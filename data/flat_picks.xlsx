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5" headerRowCount="1">
  <autoFilter ref="A1:CO1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COUNTA('Picks'!$A$2:$A$115)</f>
        <v/>
      </c>
      <c r="C4" s="6">
        <f>COUNTIF('Picks'!$U$2:$U$115,"open")</f>
        <v/>
      </c>
      <c r="E4" s="6">
        <f>COUNTIF('Picks'!$U$2:$U$115,"settled")</f>
        <v/>
      </c>
      <c r="G4" s="6">
        <f>IF(COUNTIFS('Picks'!$U$2:$U$115,"settled",'Picks'!$V$2:$V$115,"win")+COUNTIFS('Picks'!$U$2:$U$115,"settled",'Picks'!$V$2:$V$115,"loss")&gt;=$L$2,"Ready","Insufficient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COUNTIF('Picks'!$BX$2:$BX$115,"&gt;0")</f>
        <v/>
      </c>
      <c r="C7" s="6">
        <f>COUNTIFS('Picks'!$BX$2:$BX$115,"&gt;0",'Picks'!$V$2:$V$115,"win")&amp;"-"&amp;COUNTIFS('Picks'!$BX$2:$BX$115,"&gt;0",'Picks'!$V$2:$V$115,"loss")</f>
        <v/>
      </c>
      <c r="E7" s="7">
        <f>IFERROR(COUNTIFS('Picks'!$BX$2:$BX$115,"&gt;0",'Picks'!$V$2:$V$115,"win")/(COUNTIFS('Picks'!$BX$2:$BX$115,"&gt;0",'Picks'!$V$2:$V$115,"win")+COUNTIFS('Picks'!$BX$2:$BX$115,"&gt;0",'Picks'!$V$2:$V$115,"loss")),0)</f>
        <v/>
      </c>
      <c r="G7" s="7">
        <f>IFERROR(SUM('Picks'!$BY$2:$BY$115)/SUM('Picks'!$BX$2:$BX$115),0)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SUM('Picks'!$BY$2:$BY$115)</f>
        <v/>
      </c>
      <c r="C10" s="9">
        <f>IFERROR(AVERAGEIF('Picks'!$AB$2:$AB$115,"&lt;&gt;",'Picks'!$AB$2:$AB$115),0)</f>
        <v/>
      </c>
      <c r="E10" s="6">
        <f>COUNTIFS('Picks'!$AM$2:$AM$115,"QUALIFIED_SHADOW_CALL",'Picks'!$U$2:$U$115,"settled")</f>
        <v/>
      </c>
      <c r="G10" s="8">
        <f>SUMIFS('Picks'!$AC$2:$AC$115,'Picks'!$AM$2:$AM$115,"QUALIFIED_SHADOW_CALL")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COUNTIFS('Picks'!$H$2:$H$115,$A14,'Picks'!$U$2:$U$115,"settled")</f>
        <v/>
      </c>
      <c r="C14" s="13">
        <f>COUNTIFS('Picks'!$H$2:$H$115,$A14,'Picks'!$U$2:$U$115,"settled",'Picks'!$V$2:$V$115,"win")</f>
        <v/>
      </c>
      <c r="D14" s="13">
        <f>COUNTIFS('Picks'!$H$2:$H$115,$A14,'Picks'!$U$2:$U$115,"settled",'Picks'!$V$2:$V$115,"loss")</f>
        <v/>
      </c>
      <c r="E14" s="14">
        <f>IFERROR(C14/(C14+D14),0)</f>
        <v/>
      </c>
      <c r="F14" s="15">
        <f>SUMIFS('Picks'!$BY$2:$BY$115,'Picks'!$H$2:$H$115,$A14)</f>
        <v/>
      </c>
      <c r="G14" s="16">
        <f>IFERROR(AVERAGEIFS('Picks'!$AB$2:$AB$115,'Picks'!$H$2:$H$115,$A14,'Picks'!$U$2:$U$115,"settled"),0)</f>
        <v/>
      </c>
    </row>
    <row r="15">
      <c r="A15" s="17" t="inlineStr">
        <is>
          <t>spread</t>
        </is>
      </c>
      <c r="B15" s="18">
        <f>COUNTIFS('Picks'!$H$2:$H$115,$A15,'Picks'!$U$2:$U$115,"settled")</f>
        <v/>
      </c>
      <c r="C15" s="18">
        <f>COUNTIFS('Picks'!$H$2:$H$115,$A15,'Picks'!$U$2:$U$115,"settled",'Picks'!$V$2:$V$115,"win")</f>
        <v/>
      </c>
      <c r="D15" s="18">
        <f>COUNTIFS('Picks'!$H$2:$H$115,$A15,'Picks'!$U$2:$U$115,"settled",'Picks'!$V$2:$V$115,"loss")</f>
        <v/>
      </c>
      <c r="E15" s="19">
        <f>IFERROR(C15/(C15+D15),0)</f>
        <v/>
      </c>
      <c r="F15" s="20">
        <f>SUMIFS('Picks'!$BY$2:$BY$115,'Picks'!$H$2:$H$115,$A15)</f>
        <v/>
      </c>
      <c r="G15" s="21">
        <f>IFERROR(AVERAGEIFS('Picks'!$AB$2:$AB$115,'Picks'!$H$2:$H$115,$A15,'Picks'!$U$2:$U$115,"settled"),0)</f>
        <v/>
      </c>
    </row>
    <row r="16">
      <c r="A16" s="12" t="inlineStr">
        <is>
          <t>total</t>
        </is>
      </c>
      <c r="B16" s="13">
        <f>COUNTIFS('Picks'!$H$2:$H$115,$A16,'Picks'!$U$2:$U$115,"settled")</f>
        <v/>
      </c>
      <c r="C16" s="13">
        <f>COUNTIFS('Picks'!$H$2:$H$115,$A16,'Picks'!$U$2:$U$115,"settled",'Picks'!$V$2:$V$115,"win")</f>
        <v/>
      </c>
      <c r="D16" s="13">
        <f>COUNTIFS('Picks'!$H$2:$H$115,$A16,'Picks'!$U$2:$U$115,"settled",'Picks'!$V$2:$V$115,"loss")</f>
        <v/>
      </c>
      <c r="E16" s="14">
        <f>IFERROR(C16/(C16+D16),0)</f>
        <v/>
      </c>
      <c r="F16" s="15">
        <f>SUMIFS('Picks'!$BY$2:$BY$115,'Picks'!$H$2:$H$115,$A16)</f>
        <v/>
      </c>
      <c r="G16" s="16">
        <f>IFERROR(AVERAGEIFS('Picks'!$AB$2:$AB$115,'Picks'!$H$2:$H$115,$A16,'Picks'!$U$2:$U$115,"settled"),0)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a8810388228644fc</t>
        </is>
      </c>
      <c r="B2" s="24" t="inlineStr">
        <is>
          <t>2026-07-27T17:34:48.845070Z</t>
        </is>
      </c>
      <c r="C2" s="24" t="inlineStr">
        <is>
          <t>2026-07-27T18:35Z</t>
        </is>
      </c>
      <c r="D2" s="24" t="inlineStr">
        <is>
          <t>401816288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spread</t>
        </is>
      </c>
      <c r="I2" s="24" t="inlineStr">
        <is>
          <t>away</t>
        </is>
      </c>
      <c r="J2" s="25" t="n">
        <v>-1.5</v>
      </c>
      <c r="K2" s="24" t="inlineStr">
        <is>
          <t>polymarket_us</t>
        </is>
      </c>
      <c r="L2" s="26" t="n">
        <v>141</v>
      </c>
      <c r="M2" s="27" t="n">
        <v>2.41</v>
      </c>
      <c r="N2" s="28" t="n">
        <v>0.414938</v>
      </c>
      <c r="O2" s="28" t="n">
        <v>0.433105</v>
      </c>
      <c r="P2" s="28" t="n">
        <v>0.046637</v>
      </c>
      <c r="Q2" s="28" t="n">
        <v>0.018167</v>
      </c>
      <c r="R2" s="26" t="n">
        <v>31</v>
      </c>
      <c r="S2" s="29" t="n">
        <v>0</v>
      </c>
      <c r="T2" s="24" t="inlineStr">
        <is>
          <t>measured-edge-margin-v1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7</v>
      </c>
      <c r="Y2" s="25" t="n">
        <v>-1.5</v>
      </c>
      <c r="Z2" s="26" t="n">
        <v>141</v>
      </c>
      <c r="AA2" s="28" t="n">
        <v>0.415</v>
      </c>
      <c r="AB2" s="28" t="n">
        <v>6.2e-05</v>
      </c>
      <c r="AC2" s="30" t="n">
        <v>0</v>
      </c>
      <c r="AD2" s="24" t="inlineStr">
        <is>
          <t>2026-07-27T22:51:46.664752Z</t>
        </is>
      </c>
      <c r="AE2" s="31" t="inlineStr">
        <is>
          <t>Measured Edge Margin: Trend Engine projected 4.20-3.15; raw selected-side p=0.4213, calibrated p=0.4331.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bd86494ed21c6a0389ab0efcf4b8a5bb7b9f8f8786b6d5fb9da69d8cf0a70bdc</t>
        </is>
      </c>
      <c r="BB2" s="24" t="inlineStr">
        <is>
          <t>flat_probability_shrinkage_toward_half</t>
        </is>
      </c>
      <c r="BC2" s="24" t="inlineStr">
        <is>
          <t>measured-edge-margin-v1</t>
        </is>
      </c>
      <c r="BD2" s="24" t="inlineStr">
        <is>
          <t>bd86494ed21c6a0389ab0efcf4b8a5bb7b9f8f8786b6d5fb9da69d8cf0a70bdc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2026-07-27T17:34:48.845070Z</t>
        </is>
      </c>
      <c r="BI2" s="24" t="inlineStr">
        <is>
          <t>["same_event","same_team_same_day","same_league_same_day"]</t>
        </is>
      </c>
      <c r="BJ2" s="25" t="n">
        <v>-1.5</v>
      </c>
      <c r="BK2" s="26" t="n">
        <v>141</v>
      </c>
      <c r="BL2" s="27" t="n">
        <v>2.41</v>
      </c>
      <c r="BM2" s="28" t="n">
        <v>0.414938</v>
      </c>
      <c r="BN2" s="28" t="n">
        <v>0.412935</v>
      </c>
      <c r="BO2" s="28" t="n"/>
      <c r="BP2" s="25" t="n"/>
      <c r="BQ2" s="27" t="n">
        <v>2.41</v>
      </c>
      <c r="BR2" s="28" t="n">
        <v>0.415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77f1301f0ce24679</t>
        </is>
      </c>
      <c r="B3" s="24" t="inlineStr">
        <is>
          <t>2026-07-27T17:34:48.845070Z</t>
        </is>
      </c>
      <c r="C3" s="24" t="inlineStr">
        <is>
          <t>2026-07-27T18:35Z</t>
        </is>
      </c>
      <c r="D3" s="24" t="inlineStr">
        <is>
          <t>401816288</t>
        </is>
      </c>
      <c r="E3" s="24" t="inlineStr">
        <is>
          <t>MLB</t>
        </is>
      </c>
      <c r="F3" s="24" t="inlineStr">
        <is>
          <t>Seattle Mariners</t>
        </is>
      </c>
      <c r="G3" s="24" t="inlineStr">
        <is>
          <t>Texas Rangers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0.5623050000000001</v>
      </c>
      <c r="P3" s="28" t="n">
        <v>0.046637</v>
      </c>
      <c r="Q3" s="28" t="n">
        <v>0.092821</v>
      </c>
      <c r="R3" s="26" t="n">
        <v>68</v>
      </c>
      <c r="S3" s="29" t="n">
        <v>0</v>
      </c>
      <c r="T3" s="24" t="inlineStr">
        <is>
          <t>measured-edge-totals-v1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7</v>
      </c>
      <c r="Y3" s="25" t="n">
        <v>7.5</v>
      </c>
      <c r="Z3" s="26" t="n">
        <v>113</v>
      </c>
      <c r="AA3" s="28" t="n">
        <v>0.47</v>
      </c>
      <c r="AB3" s="28" t="n">
        <v>0.000516</v>
      </c>
      <c r="AC3" s="30" t="n">
        <v>0</v>
      </c>
      <c r="AD3" s="24" t="inlineStr">
        <is>
          <t>2026-07-27T22:51:46.895854Z</t>
        </is>
      </c>
      <c r="AE3" s="31" t="inlineStr">
        <is>
          <t>Measured Edge Totals: Trend Engine projected 4.20-3.15; raw selected-side p=0.5733, calibrated p=0.5623.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mlb-sea</t>
        </is>
      </c>
      <c r="AQ3" s="24" t="inlineStr">
        <is>
          <t>Seattle Mariners</t>
        </is>
      </c>
      <c r="AR3" s="24" t="inlineStr">
        <is>
          <t>Seattle Mariners</t>
        </is>
      </c>
      <c r="AS3" s="24" t="inlineStr">
        <is>
          <t>mlb-tex</t>
        </is>
      </c>
      <c r="AT3" s="24" t="inlineStr">
        <is>
          <t>Texas Rangers</t>
        </is>
      </c>
      <c r="AU3" s="24" t="inlineStr">
        <is>
          <t>Texas Rangers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0aa06c0f065ec20d43901d386280174165e2b07065216b6c7ffe72c98e322706</t>
        </is>
      </c>
      <c r="BB3" s="24" t="inlineStr">
        <is>
          <t>flat_probability_shrinkage_toward_half</t>
        </is>
      </c>
      <c r="BC3" s="24" t="inlineStr">
        <is>
          <t>measured-edge-totals-v1</t>
        </is>
      </c>
      <c r="BD3" s="24" t="inlineStr">
        <is>
          <t>0aa06c0f065ec20d43901d386280174165e2b07065216b6c7ffe72c98e322706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2026-07-27T17:34:48.845070Z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cb6e9135d64149a8</t>
        </is>
      </c>
      <c r="B4" s="24" t="inlineStr">
        <is>
          <t>2026-07-27T19:48:45.712766Z</t>
        </is>
      </c>
      <c r="C4" s="24" t="inlineStr">
        <is>
          <t>2026-07-27T22:40Z</t>
        </is>
      </c>
      <c r="D4" s="24" t="inlineStr">
        <is>
          <t>401816280</t>
        </is>
      </c>
      <c r="E4" s="24" t="inlineStr">
        <is>
          <t>MLB</t>
        </is>
      </c>
      <c r="F4" s="24" t="inlineStr">
        <is>
          <t>Arizona Diamondbacks</t>
        </is>
      </c>
      <c r="G4" s="24" t="inlineStr">
        <is>
          <t>Pittsburgh Pirates</t>
        </is>
      </c>
      <c r="H4" s="24" t="inlineStr">
        <is>
          <t>spread</t>
        </is>
      </c>
      <c r="I4" s="24" t="inlineStr">
        <is>
          <t>away</t>
        </is>
      </c>
      <c r="J4" s="25" t="n">
        <v>-1.5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0.500085</v>
      </c>
      <c r="P4" s="28" t="n">
        <v>0.047697</v>
      </c>
      <c r="Q4" s="28" t="n">
        <v>0.129715</v>
      </c>
      <c r="R4" s="26" t="n">
        <v>86</v>
      </c>
      <c r="S4" s="29" t="n">
        <v>0</v>
      </c>
      <c r="T4" s="24" t="inlineStr">
        <is>
          <t>measured-edge-margin-v1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-1.5</v>
      </c>
      <c r="Z4" s="26" t="n">
        <v>170</v>
      </c>
      <c r="AA4" s="28" t="n">
        <v>0.37</v>
      </c>
      <c r="AB4" s="28" t="n">
        <v>-0.00037</v>
      </c>
      <c r="AC4" s="30" t="n">
        <v>0</v>
      </c>
      <c r="AD4" s="24" t="inlineStr">
        <is>
          <t>2026-07-28T01:57:02.360106Z</t>
        </is>
      </c>
      <c r="AE4" s="31" t="inlineStr">
        <is>
          <t>Measured Edge Margin: Trend Engine projected 6.22-4.59; raw selected-side p=0.5001, calibrated p=0.5001.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mlb-ari</t>
        </is>
      </c>
      <c r="AQ4" s="24" t="inlineStr">
        <is>
          <t>Arizona Diamondbacks</t>
        </is>
      </c>
      <c r="AR4" s="24" t="inlineStr">
        <is>
          <t>Arizona Diamondbacks</t>
        </is>
      </c>
      <c r="AS4" s="24" t="inlineStr">
        <is>
          <t>mlb-pit</t>
        </is>
      </c>
      <c r="AT4" s="24" t="inlineStr">
        <is>
          <t>Pittsburgh Pirates</t>
        </is>
      </c>
      <c r="AU4" s="24" t="inlineStr">
        <is>
          <t>Pittsburgh Pirates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bd86494ed21c6a0389ab0efcf4b8a5bb7b9f8f8786b6d5fb9da69d8cf0a70bdc</t>
        </is>
      </c>
      <c r="BB4" s="24" t="inlineStr">
        <is>
          <t>flat_probability_shrinkage_toward_half</t>
        </is>
      </c>
      <c r="BC4" s="24" t="inlineStr">
        <is>
          <t>measured-edge-margin-v1</t>
        </is>
      </c>
      <c r="BD4" s="24" t="inlineStr">
        <is>
          <t>bd86494ed21c6a0389ab0efcf4b8a5bb7b9f8f8786b6d5fb9da69d8cf0a70bdc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2026-07-27T19:48:45.712766Z</t>
        </is>
      </c>
      <c r="BI4" s="24" t="inlineStr">
        <is>
          <t>["same_event","same_team_same_day","same_league_same_day"]</t>
        </is>
      </c>
      <c r="BJ4" s="25" t="n">
        <v>-1.5</v>
      </c>
      <c r="BK4" s="26" t="n">
        <v>170</v>
      </c>
      <c r="BL4" s="27" t="n">
        <v>2.7</v>
      </c>
      <c r="BM4" s="28" t="n">
        <v>0.37037</v>
      </c>
      <c r="BN4" s="28" t="n">
        <v>0.368159</v>
      </c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762b31b281104edb</t>
        </is>
      </c>
      <c r="B5" s="24" t="inlineStr">
        <is>
          <t>2026-07-27T19:48:45.712766Z</t>
        </is>
      </c>
      <c r="C5" s="24" t="inlineStr">
        <is>
          <t>2026-07-27T22:40Z</t>
        </is>
      </c>
      <c r="D5" s="24" t="inlineStr">
        <is>
          <t>401816280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Pittsburgh Pirates</t>
        </is>
      </c>
      <c r="H5" s="24" t="inlineStr">
        <is>
          <t>total</t>
        </is>
      </c>
      <c r="I5" s="24" t="inlineStr">
        <is>
          <t>over</t>
        </is>
      </c>
      <c r="J5" s="25" t="n">
        <v>9.5</v>
      </c>
      <c r="K5" s="24" t="inlineStr">
        <is>
          <t>polymarket_us</t>
        </is>
      </c>
      <c r="L5" s="26" t="n">
        <v>106</v>
      </c>
      <c r="M5" s="27" t="n">
        <v>2.06</v>
      </c>
      <c r="N5" s="28" t="n">
        <v>0.485437</v>
      </c>
      <c r="O5" s="28" t="n">
        <v>0.55015</v>
      </c>
      <c r="P5" s="28" t="n">
        <v>0.047697</v>
      </c>
      <c r="Q5" s="28" t="n">
        <v>0.06471300000000001</v>
      </c>
      <c r="R5" s="26" t="n">
        <v>54</v>
      </c>
      <c r="S5" s="29" t="n">
        <v>0</v>
      </c>
      <c r="T5" s="24" t="inlineStr">
        <is>
          <t>measured-edge-totals-v1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3</v>
      </c>
      <c r="Y5" s="25" t="n">
        <v>9.5</v>
      </c>
      <c r="Z5" s="26" t="n">
        <v>106</v>
      </c>
      <c r="AA5" s="28" t="n">
        <v>0.485</v>
      </c>
      <c r="AB5" s="28" t="n">
        <v>-0.000437</v>
      </c>
      <c r="AC5" s="30" t="n">
        <v>0</v>
      </c>
      <c r="AD5" s="24" t="inlineStr">
        <is>
          <t>2026-07-28T01:57:02.571471Z</t>
        </is>
      </c>
      <c r="AE5" s="31" t="inlineStr">
        <is>
          <t>Measured Edge Totals: Trend Engine projected 6.22-4.59; raw selected-side p=0.5590, calibrated p=0.5502.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mlb-pit</t>
        </is>
      </c>
      <c r="AT5" s="24" t="inlineStr">
        <is>
          <t>Pittsburgh Pirates</t>
        </is>
      </c>
      <c r="AU5" s="24" t="inlineStr">
        <is>
          <t>Pittsburgh Pirates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0aa06c0f065ec20d43901d386280174165e2b07065216b6c7ffe72c98e322706</t>
        </is>
      </c>
      <c r="BB5" s="24" t="inlineStr">
        <is>
          <t>flat_probability_shrinkage_toward_half</t>
        </is>
      </c>
      <c r="BC5" s="24" t="inlineStr">
        <is>
          <t>measured-edge-totals-v1</t>
        </is>
      </c>
      <c r="BD5" s="24" t="inlineStr">
        <is>
          <t>0aa06c0f065ec20d43901d386280174165e2b07065216b6c7ffe72c98e322706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2026-07-27T19:48:45.712766Z</t>
        </is>
      </c>
      <c r="BI5" s="24" t="inlineStr">
        <is>
          <t>["same_event","same_team_same_day","same_league_same_day"]</t>
        </is>
      </c>
      <c r="BJ5" s="25" t="n">
        <v>9.5</v>
      </c>
      <c r="BK5" s="26" t="n">
        <v>106</v>
      </c>
      <c r="BL5" s="27" t="n">
        <v>2.06</v>
      </c>
      <c r="BM5" s="28" t="n">
        <v>0.485437</v>
      </c>
      <c r="BN5" s="28" t="n">
        <v>0.482587</v>
      </c>
      <c r="BO5" s="28" t="n"/>
      <c r="BP5" s="25" t="n"/>
      <c r="BQ5" s="27" t="n">
        <v>2.06</v>
      </c>
      <c r="BR5" s="28" t="n">
        <v>0.485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40bd9560905a4d7a</t>
        </is>
      </c>
      <c r="B6" s="24" t="inlineStr">
        <is>
          <t>2026-07-27T19:48:45.712766Z</t>
        </is>
      </c>
      <c r="C6" s="24" t="inlineStr">
        <is>
          <t>2026-07-27T22:40Z</t>
        </is>
      </c>
      <c r="D6" s="24" t="inlineStr">
        <is>
          <t>401816282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Detroit Tigers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0.70791</v>
      </c>
      <c r="P6" s="28" t="n">
        <v>0.047697</v>
      </c>
      <c r="Q6" s="28" t="n">
        <v>0.06252000000000001</v>
      </c>
      <c r="R6" s="26" t="n">
        <v>53</v>
      </c>
      <c r="S6" s="29" t="n">
        <v>0</v>
      </c>
      <c r="T6" s="24" t="inlineStr">
        <is>
          <t>measured-edge-margin-v1</t>
        </is>
      </c>
      <c r="U6" s="24" t="inlineStr">
        <is>
          <t>settled</t>
        </is>
      </c>
      <c r="V6" s="24" t="inlineStr">
        <is>
          <t>loss</t>
        </is>
      </c>
      <c r="W6" s="26" t="n">
        <v>8</v>
      </c>
      <c r="X6" s="26" t="n">
        <v>5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0</v>
      </c>
      <c r="AD6" s="24" t="inlineStr">
        <is>
          <t>2026-07-28T01:57:02.788142Z</t>
        </is>
      </c>
      <c r="AE6" s="31" t="inlineStr">
        <is>
          <t>Measured Edge Margin: Trend Engine projected 2.50-2.63; raw selected-side p=0.7446, calibrated p=0.7079.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mlb-det</t>
        </is>
      </c>
      <c r="AT6" s="24" t="inlineStr">
        <is>
          <t>Detroit Tigers</t>
        </is>
      </c>
      <c r="AU6" s="24" t="inlineStr">
        <is>
          <t>Detroit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bd86494ed21c6a0389ab0efcf4b8a5bb7b9f8f8786b6d5fb9da69d8cf0a70bdc</t>
        </is>
      </c>
      <c r="BB6" s="24" t="inlineStr">
        <is>
          <t>flat_probability_shrinkage_toward_half</t>
        </is>
      </c>
      <c r="BC6" s="24" t="inlineStr">
        <is>
          <t>measured-edge-margin-v1</t>
        </is>
      </c>
      <c r="BD6" s="24" t="inlineStr">
        <is>
          <t>bd86494ed21c6a0389ab0efcf4b8a5bb7b9f8f8786b6d5fb9da69d8cf0a70bdc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2026-07-27T19:48:45.712766Z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540712300f544c47</t>
        </is>
      </c>
      <c r="B7" s="24" t="inlineStr">
        <is>
          <t>2026-07-27T19:48:45.712766Z</t>
        </is>
      </c>
      <c r="C7" s="24" t="inlineStr">
        <is>
          <t>2026-07-27T22:40Z</t>
        </is>
      </c>
      <c r="D7" s="24" t="inlineStr">
        <is>
          <t>401816282</t>
        </is>
      </c>
      <c r="E7" s="24" t="inlineStr">
        <is>
          <t>MLB</t>
        </is>
      </c>
      <c r="F7" s="24" t="inlineStr">
        <is>
          <t>Baltimore Orioles</t>
        </is>
      </c>
      <c r="G7" s="24" t="inlineStr">
        <is>
          <t>Detroit Tigers</t>
        </is>
      </c>
      <c r="H7" s="24" t="inlineStr">
        <is>
          <t>total</t>
        </is>
      </c>
      <c r="I7" s="24" t="inlineStr">
        <is>
          <t>under</t>
        </is>
      </c>
      <c r="J7" s="25" t="n">
        <v>8.5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0.807275</v>
      </c>
      <c r="P7" s="28" t="n">
        <v>0.047697</v>
      </c>
      <c r="Q7" s="28" t="n">
        <v>0.302325</v>
      </c>
      <c r="R7" s="26" t="n">
        <v>100</v>
      </c>
      <c r="S7" s="29" t="n">
        <v>0</v>
      </c>
      <c r="T7" s="24" t="inlineStr">
        <is>
          <t>measured-edge-totals-v1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5</v>
      </c>
      <c r="Y7" s="25" t="n">
        <v>8.5</v>
      </c>
      <c r="Z7" s="26" t="n">
        <v>-102</v>
      </c>
      <c r="AA7" s="28" t="n">
        <v>0.505</v>
      </c>
      <c r="AB7" s="28" t="n">
        <v>5e-05</v>
      </c>
      <c r="AC7" s="30" t="n">
        <v>0</v>
      </c>
      <c r="AD7" s="24" t="inlineStr">
        <is>
          <t>2026-07-28T01:57:03.004692Z</t>
        </is>
      </c>
      <c r="AE7" s="31" t="inlineStr">
        <is>
          <t>Measured Edge Totals: Trend Engine projected 2.50-2.63; raw selected-side p=0.8615, calibrated p=0.8073.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mlb-bal</t>
        </is>
      </c>
      <c r="AQ7" s="24" t="inlineStr">
        <is>
          <t>Baltimore Orioles</t>
        </is>
      </c>
      <c r="AR7" s="24" t="inlineStr">
        <is>
          <t>Baltimore Orioles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0aa06c0f065ec20d43901d386280174165e2b07065216b6c7ffe72c98e322706</t>
        </is>
      </c>
      <c r="BB7" s="24" t="inlineStr">
        <is>
          <t>flat_probability_shrinkage_toward_half</t>
        </is>
      </c>
      <c r="BC7" s="24" t="inlineStr">
        <is>
          <t>measured-edge-totals-v1</t>
        </is>
      </c>
      <c r="BD7" s="24" t="inlineStr">
        <is>
          <t>0aa06c0f065ec20d43901d386280174165e2b07065216b6c7ffe72c98e322706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2026-07-27T19:48:45.712766Z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2c97360a59024819</t>
        </is>
      </c>
      <c r="B8" s="24" t="inlineStr">
        <is>
          <t>2026-07-27T19:48:45.712766Z</t>
        </is>
      </c>
      <c r="C8" s="24" t="inlineStr">
        <is>
          <t>2026-07-27T22:40Z</t>
        </is>
      </c>
      <c r="D8" s="24" t="inlineStr">
        <is>
          <t>401816284</t>
        </is>
      </c>
      <c r="E8" s="24" t="inlineStr">
        <is>
          <t>MLB</t>
        </is>
      </c>
      <c r="F8" s="24" t="inlineStr">
        <is>
          <t>Philadelphia Phillies</t>
        </is>
      </c>
      <c r="G8" s="24" t="inlineStr">
        <is>
          <t>Miami Marlins</t>
        </is>
      </c>
      <c r="H8" s="24" t="inlineStr">
        <is>
          <t>spread</t>
        </is>
      </c>
      <c r="I8" s="24" t="inlineStr">
        <is>
          <t>away</t>
        </is>
      </c>
      <c r="J8" s="25" t="n">
        <v>-1.5</v>
      </c>
      <c r="K8" s="24" t="inlineStr">
        <is>
          <t>polymarket_us</t>
        </is>
      </c>
      <c r="L8" s="26" t="n">
        <v>-102</v>
      </c>
      <c r="M8" s="27" t="n">
        <v>1.980392</v>
      </c>
      <c r="N8" s="28" t="n">
        <v>0.50495</v>
      </c>
      <c r="O8" s="28" t="n">
        <v>0.596135</v>
      </c>
      <c r="P8" s="28" t="n">
        <v>0.046637</v>
      </c>
      <c r="Q8" s="28" t="n">
        <v>0.091185</v>
      </c>
      <c r="R8" s="26" t="n">
        <v>68</v>
      </c>
      <c r="S8" s="29" t="n">
        <v>0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8</v>
      </c>
      <c r="Y8" s="25" t="n">
        <v>-1.5</v>
      </c>
      <c r="Z8" s="26" t="n">
        <v>-102</v>
      </c>
      <c r="AA8" s="28" t="n">
        <v>0.505</v>
      </c>
      <c r="AB8" s="28" t="n">
        <v>5e-05</v>
      </c>
      <c r="AC8" s="30" t="n">
        <v>0</v>
      </c>
      <c r="AD8" s="24" t="inlineStr">
        <is>
          <t>2026-07-28T01:57:03.208930Z</t>
        </is>
      </c>
      <c r="AE8" s="31" t="inlineStr">
        <is>
          <t>Measured Edge Margin: Trend Engine projected 4.56-1.96; raw selected-side p=0.6131, calibrated p=0.5961.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mlb-phi</t>
        </is>
      </c>
      <c r="AQ8" s="24" t="inlineStr">
        <is>
          <t>Philadelphia Phillies</t>
        </is>
      </c>
      <c r="AR8" s="24" t="inlineStr">
        <is>
          <t>Philadelphia Phillies</t>
        </is>
      </c>
      <c r="AS8" s="24" t="inlineStr">
        <is>
          <t>mlb-mia</t>
        </is>
      </c>
      <c r="AT8" s="24" t="inlineStr">
        <is>
          <t>Miami Marlins</t>
        </is>
      </c>
      <c r="AU8" s="24" t="inlineStr">
        <is>
          <t>Miami Marlins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bd86494ed21c6a0389ab0efcf4b8a5bb7b9f8f8786b6d5fb9da69d8cf0a70bdc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bd86494ed21c6a0389ab0efcf4b8a5bb7b9f8f8786b6d5fb9da69d8cf0a70bdc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2026-07-27T19:48:45.712766Z</t>
        </is>
      </c>
      <c r="BI8" s="24" t="inlineStr">
        <is>
          <t>["same_event","same_team_same_day","same_league_same_day"]</t>
        </is>
      </c>
      <c r="BJ8" s="25" t="n">
        <v>-1.5</v>
      </c>
      <c r="BK8" s="26" t="n">
        <v>-102</v>
      </c>
      <c r="BL8" s="27" t="n">
        <v>1.980392</v>
      </c>
      <c r="BM8" s="28" t="n">
        <v>0.50495</v>
      </c>
      <c r="BN8" s="28" t="n">
        <v>0.502488</v>
      </c>
      <c r="BO8" s="28" t="n"/>
      <c r="BP8" s="25" t="n"/>
      <c r="BQ8" s="27" t="n">
        <v>1.980392</v>
      </c>
      <c r="BR8" s="28" t="n">
        <v>0.505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ce9ad08fa9224c02</t>
        </is>
      </c>
      <c r="B9" s="24" t="inlineStr">
        <is>
          <t>2026-07-27T19:48:45.712766Z</t>
        </is>
      </c>
      <c r="C9" s="24" t="inlineStr">
        <is>
          <t>2026-07-27T22:40Z</t>
        </is>
      </c>
      <c r="D9" s="24" t="inlineStr">
        <is>
          <t>401816284</t>
        </is>
      </c>
      <c r="E9" s="24" t="inlineStr">
        <is>
          <t>MLB</t>
        </is>
      </c>
      <c r="F9" s="24" t="inlineStr">
        <is>
          <t>Philadelphia Phillies</t>
        </is>
      </c>
      <c r="G9" s="24" t="inlineStr">
        <is>
          <t>Miami Marlins</t>
        </is>
      </c>
      <c r="H9" s="24" t="inlineStr">
        <is>
          <t>total</t>
        </is>
      </c>
      <c r="I9" s="24" t="inlineStr">
        <is>
          <t>under</t>
        </is>
      </c>
      <c r="J9" s="25" t="n">
        <v>7.5</v>
      </c>
      <c r="K9" s="24" t="inlineStr">
        <is>
          <t>polymarket_us</t>
        </is>
      </c>
      <c r="L9" s="26" t="n">
        <v>104</v>
      </c>
      <c r="M9" s="27" t="n">
        <v>2.04</v>
      </c>
      <c r="N9" s="28" t="n">
        <v>0.490196</v>
      </c>
      <c r="O9" s="28" t="n">
        <v>0.63685</v>
      </c>
      <c r="P9" s="28" t="n">
        <v>0.046637</v>
      </c>
      <c r="Q9" s="28" t="n">
        <v>0.146654</v>
      </c>
      <c r="R9" s="26" t="n">
        <v>95</v>
      </c>
      <c r="S9" s="29" t="n">
        <v>0</v>
      </c>
      <c r="T9" s="24" t="inlineStr">
        <is>
          <t>measured-edge-totals-v1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8</v>
      </c>
      <c r="Y9" s="25" t="n">
        <v>7.5</v>
      </c>
      <c r="Z9" s="26" t="n">
        <v>104</v>
      </c>
      <c r="AA9" s="28" t="n">
        <v>0.49</v>
      </c>
      <c r="AB9" s="28" t="n">
        <v>-0.000196</v>
      </c>
      <c r="AC9" s="30" t="n">
        <v>0</v>
      </c>
      <c r="AD9" s="24" t="inlineStr">
        <is>
          <t>2026-07-28T01:57:03.415540Z</t>
        </is>
      </c>
      <c r="AE9" s="31" t="inlineStr">
        <is>
          <t>Measured Edge Totals: Trend Engine projected 4.56-1.96; raw selected-side p=0.6610, calibrated p=0.6368.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mlb-phi</t>
        </is>
      </c>
      <c r="AQ9" s="24" t="inlineStr">
        <is>
          <t>Philadelphia Phillies</t>
        </is>
      </c>
      <c r="AR9" s="24" t="inlineStr">
        <is>
          <t>Philadelphia Phillies</t>
        </is>
      </c>
      <c r="AS9" s="24" t="inlineStr">
        <is>
          <t>mlb-mia</t>
        </is>
      </c>
      <c r="AT9" s="24" t="inlineStr">
        <is>
          <t>Miami Marlins</t>
        </is>
      </c>
      <c r="AU9" s="24" t="inlineStr">
        <is>
          <t>Miami Marlins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0aa06c0f065ec20d43901d386280174165e2b07065216b6c7ffe72c98e322706</t>
        </is>
      </c>
      <c r="BB9" s="24" t="inlineStr">
        <is>
          <t>flat_probability_shrinkage_toward_half</t>
        </is>
      </c>
      <c r="BC9" s="24" t="inlineStr">
        <is>
          <t>measured-edge-totals-v1</t>
        </is>
      </c>
      <c r="BD9" s="24" t="inlineStr">
        <is>
          <t>0aa06c0f065ec20d43901d386280174165e2b07065216b6c7ffe72c98e322706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2026-07-27T19:48:45.712766Z</t>
        </is>
      </c>
      <c r="BI9" s="24" t="inlineStr">
        <is>
          <t>["same_event","same_team_same_day","same_league_same_day"]</t>
        </is>
      </c>
      <c r="BJ9" s="25" t="n">
        <v>7.5</v>
      </c>
      <c r="BK9" s="26" t="n">
        <v>104</v>
      </c>
      <c r="BL9" s="27" t="n">
        <v>2.04</v>
      </c>
      <c r="BM9" s="28" t="n">
        <v>0.490196</v>
      </c>
      <c r="BN9" s="28" t="n">
        <v>0.487562</v>
      </c>
      <c r="BO9" s="28" t="n"/>
      <c r="BP9" s="25" t="n"/>
      <c r="BQ9" s="27" t="n">
        <v>2.04</v>
      </c>
      <c r="BR9" s="28" t="n">
        <v>0.49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877b620fd32748cd</t>
        </is>
      </c>
      <c r="B10" s="24" t="inlineStr">
        <is>
          <t>2026-07-27T19:48:45.712766Z</t>
        </is>
      </c>
      <c r="C10" s="24" t="inlineStr">
        <is>
          <t>2026-07-27T22:45Z</t>
        </is>
      </c>
      <c r="D10" s="24" t="inlineStr">
        <is>
          <t>401816285</t>
        </is>
      </c>
      <c r="E10" s="24" t="inlineStr">
        <is>
          <t>MLB</t>
        </is>
      </c>
      <c r="F10" s="24" t="inlineStr">
        <is>
          <t>Toronto Blue Jays</t>
        </is>
      </c>
      <c r="G10" s="24" t="inlineStr">
        <is>
          <t>Washington Nationals</t>
        </is>
      </c>
      <c r="H10" s="24" t="inlineStr">
        <is>
          <t>spread</t>
        </is>
      </c>
      <c r="I10" s="24" t="inlineStr">
        <is>
          <t>home</t>
        </is>
      </c>
      <c r="J10" s="25" t="n">
        <v>-1.5</v>
      </c>
      <c r="K10" s="24" t="inlineStr">
        <is>
          <t>polymarket_us</t>
        </is>
      </c>
      <c r="L10" s="26" t="n">
        <v>167</v>
      </c>
      <c r="M10" s="27" t="n">
        <v>2.67</v>
      </c>
      <c r="N10" s="28" t="n">
        <v>0.374532</v>
      </c>
      <c r="O10" s="28" t="n">
        <v>0.885475</v>
      </c>
      <c r="P10" s="28" t="n">
        <v>0.056347</v>
      </c>
      <c r="Q10" s="28" t="n">
        <v>0.510943</v>
      </c>
      <c r="R10" s="26" t="n">
        <v>100</v>
      </c>
      <c r="S10" s="29" t="n">
        <v>0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2</v>
      </c>
      <c r="Y10" s="25" t="n">
        <v>-1.5</v>
      </c>
      <c r="Z10" s="26" t="n">
        <v>167</v>
      </c>
      <c r="AA10" s="28" t="n">
        <v>0.375</v>
      </c>
      <c r="AB10" s="28" t="n">
        <v>0.000468</v>
      </c>
      <c r="AC10" s="30" t="n">
        <v>0</v>
      </c>
      <c r="AD10" s="24" t="inlineStr">
        <is>
          <t>2026-07-28T01:57:03.621887Z</t>
        </is>
      </c>
      <c r="AE10" s="31" t="inlineStr">
        <is>
          <t>Measured Edge Margin: Trend Engine projected 1.80-11.68; raw selected-side p=0.9535, calibrated p=0.8855.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mlb-tor</t>
        </is>
      </c>
      <c r="AQ10" s="24" t="inlineStr">
        <is>
          <t>Toronto Blue Jays</t>
        </is>
      </c>
      <c r="AR10" s="24" t="inlineStr">
        <is>
          <t>Toronto Blue Jays</t>
        </is>
      </c>
      <c r="AS10" s="24" t="inlineStr">
        <is>
          <t>mlb-wsh</t>
        </is>
      </c>
      <c r="AT10" s="24" t="inlineStr">
        <is>
          <t>Washington Nationals</t>
        </is>
      </c>
      <c r="AU10" s="24" t="inlineStr">
        <is>
          <t>Washington Nationals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bd86494ed21c6a0389ab0efcf4b8a5bb7b9f8f8786b6d5fb9da69d8cf0a70bdc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bd86494ed21c6a0389ab0efcf4b8a5bb7b9f8f8786b6d5fb9da69d8cf0a70bdc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2026-07-27T19:48:45.712766Z</t>
        </is>
      </c>
      <c r="BI10" s="24" t="inlineStr">
        <is>
          <t>["same_event","same_team_same_day","same_league_same_day"]</t>
        </is>
      </c>
      <c r="BJ10" s="25" t="n">
        <v>-1.5</v>
      </c>
      <c r="BK10" s="26" t="n">
        <v>167</v>
      </c>
      <c r="BL10" s="27" t="n">
        <v>2.67</v>
      </c>
      <c r="BM10" s="28" t="n">
        <v>0.374532</v>
      </c>
      <c r="BN10" s="28" t="n">
        <v>0.373134</v>
      </c>
      <c r="BO10" s="28" t="n"/>
      <c r="BP10" s="25" t="n"/>
      <c r="BQ10" s="27" t="n">
        <v>2.67</v>
      </c>
      <c r="BR10" s="28" t="n">
        <v>0.375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f062b6989f244acb</t>
        </is>
      </c>
      <c r="B11" s="24" t="inlineStr">
        <is>
          <t>2026-07-27T19:48:45.712766Z</t>
        </is>
      </c>
      <c r="C11" s="24" t="inlineStr">
        <is>
          <t>2026-07-27T22:45Z</t>
        </is>
      </c>
      <c r="D11" s="24" t="inlineStr">
        <is>
          <t>401816285</t>
        </is>
      </c>
      <c r="E11" s="24" t="inlineStr">
        <is>
          <t>MLB</t>
        </is>
      </c>
      <c r="F11" s="24" t="inlineStr">
        <is>
          <t>Toronto Blue Jays</t>
        </is>
      </c>
      <c r="G11" s="24" t="inlineStr">
        <is>
          <t>Washington Nationals</t>
        </is>
      </c>
      <c r="H11" s="24" t="inlineStr">
        <is>
          <t>total</t>
        </is>
      </c>
      <c r="I11" s="24" t="inlineStr">
        <is>
          <t>over</t>
        </is>
      </c>
      <c r="J11" s="25" t="n">
        <v>9.5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0.673655</v>
      </c>
      <c r="P11" s="28" t="n">
        <v>0.056347</v>
      </c>
      <c r="Q11" s="28" t="n">
        <v>0.143139</v>
      </c>
      <c r="R11" s="26" t="n">
        <v>88</v>
      </c>
      <c r="S11" s="29" t="n">
        <v>0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3</v>
      </c>
      <c r="X11" s="26" t="n">
        <v>2</v>
      </c>
      <c r="Y11" s="25" t="n">
        <v>9.5</v>
      </c>
      <c r="Z11" s="26" t="n">
        <v>-113</v>
      </c>
      <c r="AA11" s="28" t="n">
        <v>0.53</v>
      </c>
      <c r="AB11" s="28" t="n">
        <v>-0.000516</v>
      </c>
      <c r="AC11" s="30" t="n">
        <v>0</v>
      </c>
      <c r="AD11" s="24" t="inlineStr">
        <is>
          <t>2026-07-28T01:57:03.827901Z</t>
        </is>
      </c>
      <c r="AE11" s="31" t="inlineStr">
        <is>
          <t>Measured Edge Totals: Trend Engine projected 1.80-11.68; raw selected-side p=0.7043, calibrated p=0.6737.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mlb-tor</t>
        </is>
      </c>
      <c r="AQ11" s="24" t="inlineStr">
        <is>
          <t>Toronto Blue Jays</t>
        </is>
      </c>
      <c r="AR11" s="24" t="inlineStr">
        <is>
          <t>Toronto Blue Jays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0aa06c0f065ec20d43901d386280174165e2b07065216b6c7ffe72c98e322706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0aa06c0f065ec20d43901d386280174165e2b07065216b6c7ffe72c98e322706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2026-07-27T19:48:45.712766Z</t>
        </is>
      </c>
      <c r="BI11" s="24" t="inlineStr">
        <is>
          <t>["same_event","same_team_same_day","same_league_same_day"]</t>
        </is>
      </c>
      <c r="BJ11" s="25" t="n">
        <v>9.5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09314dc6b46e4fcf</t>
        </is>
      </c>
      <c r="B12" s="24" t="inlineStr">
        <is>
          <t>2026-07-27T22:53:10.309584Z</t>
        </is>
      </c>
      <c r="C12" s="24" t="inlineStr">
        <is>
          <t>2026-07-27T23:00Z</t>
        </is>
      </c>
      <c r="D12" s="24" t="inlineStr">
        <is>
          <t>401816283</t>
        </is>
      </c>
      <c r="E12" s="24" t="inlineStr">
        <is>
          <t>MLB</t>
        </is>
      </c>
      <c r="F12" s="24" t="inlineStr">
        <is>
          <t>Cleveland Guardians</t>
        </is>
      </c>
      <c r="G12" s="24" t="inlineStr">
        <is>
          <t>Cincinnati Reds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135</v>
      </c>
      <c r="M12" s="27" t="n">
        <v>2.35</v>
      </c>
      <c r="N12" s="28" t="n">
        <v>0.425532</v>
      </c>
      <c r="O12" s="28" t="n">
        <v>0.520145</v>
      </c>
      <c r="P12" s="28" t="n">
        <v>0.047697</v>
      </c>
      <c r="Q12" s="28" t="n">
        <v>0.094613</v>
      </c>
      <c r="R12" s="26" t="n">
        <v>69</v>
      </c>
      <c r="S12" s="29" t="n">
        <v>0</v>
      </c>
      <c r="T12" s="24" t="inlineStr">
        <is>
          <t>measured-edge-margin-v1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2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2026-07-29T05:32:37.769892Z</t>
        </is>
      </c>
      <c r="AE12" s="31" t="inlineStr">
        <is>
          <t>Measured Edge Margin: Trend Engine projected 3.23-5.16; raw selected-side p=0.5237, calibrated p=0.5201.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mlb-cle</t>
        </is>
      </c>
      <c r="AQ12" s="24" t="inlineStr">
        <is>
          <t>Cleveland Guardians</t>
        </is>
      </c>
      <c r="AR12" s="24" t="inlineStr">
        <is>
          <t>Cleveland Guardians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bd86494ed21c6a0389ab0efcf4b8a5bb7b9f8f8786b6d5fb9da69d8cf0a70bdc</t>
        </is>
      </c>
      <c r="BB12" s="24" t="inlineStr">
        <is>
          <t>flat_probability_shrinkage_toward_half</t>
        </is>
      </c>
      <c r="BC12" s="24" t="inlineStr">
        <is>
          <t>measured-edge-margin-v1</t>
        </is>
      </c>
      <c r="BD12" s="24" t="inlineStr">
        <is>
          <t>bd86494ed21c6a0389ab0efcf4b8a5bb7b9f8f8786b6d5fb9da69d8cf0a70bdc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2026-07-27T22:53:10.309584Z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135</v>
      </c>
      <c r="BL12" s="27" t="n">
        <v>2.35</v>
      </c>
      <c r="BM12" s="28" t="n">
        <v>0.425532</v>
      </c>
      <c r="BN12" s="28" t="n">
        <v>0.422886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d756fd6b7dae48b5</t>
        </is>
      </c>
      <c r="B13" s="24" t="inlineStr">
        <is>
          <t>2026-07-27T22:53:10.309584Z</t>
        </is>
      </c>
      <c r="C13" s="24" t="inlineStr">
        <is>
          <t>2026-07-27T23:00Z</t>
        </is>
      </c>
      <c r="D13" s="24" t="inlineStr">
        <is>
          <t>401816283</t>
        </is>
      </c>
      <c r="E13" s="24" t="inlineStr">
        <is>
          <t>MLB</t>
        </is>
      </c>
      <c r="F13" s="24" t="inlineStr">
        <is>
          <t>Cleveland Guardians</t>
        </is>
      </c>
      <c r="G13" s="24" t="inlineStr">
        <is>
          <t>Cincinnati Reds</t>
        </is>
      </c>
      <c r="H13" s="24" t="inlineStr">
        <is>
          <t>total</t>
        </is>
      </c>
      <c r="I13" s="24" t="inlineStr">
        <is>
          <t>under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0.54692</v>
      </c>
      <c r="P13" s="28" t="n">
        <v>0.047697</v>
      </c>
      <c r="Q13" s="28" t="n">
        <v>0.081804</v>
      </c>
      <c r="R13" s="26" t="n">
        <v>62</v>
      </c>
      <c r="S13" s="29" t="n">
        <v>0</v>
      </c>
      <c r="T13" s="24" t="inlineStr">
        <is>
          <t>measured-edge-totals-v1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2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2026-07-29T05:32:38.457921Z</t>
        </is>
      </c>
      <c r="AE13" s="31" t="inlineStr">
        <is>
          <t>Measured Edge Totals: Trend Engine projected 3.23-5.16; raw selected-side p=0.5552, calibrated p=0.5469.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mlb-cle</t>
        </is>
      </c>
      <c r="AQ13" s="24" t="inlineStr">
        <is>
          <t>Cleveland Guardians</t>
        </is>
      </c>
      <c r="AR13" s="24" t="inlineStr">
        <is>
          <t>Cleveland Guardians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0aa06c0f065ec20d43901d386280174165e2b07065216b6c7ffe72c98e322706</t>
        </is>
      </c>
      <c r="BB13" s="24" t="inlineStr">
        <is>
          <t>flat_probability_shrinkage_toward_half</t>
        </is>
      </c>
      <c r="BC13" s="24" t="inlineStr">
        <is>
          <t>measured-edge-totals-v1</t>
        </is>
      </c>
      <c r="BD13" s="24" t="inlineStr">
        <is>
          <t>0aa06c0f065ec20d43901d386280174165e2b07065216b6c7ffe72c98e322706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2026-07-27T22:53:10.309584Z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771f572c758e4ad3</t>
        </is>
      </c>
      <c r="B14" s="24" t="inlineStr">
        <is>
          <t>2026-07-27T22:53:10.309584Z</t>
        </is>
      </c>
      <c r="C14" s="24" t="inlineStr">
        <is>
          <t>2026-07-27T23:10Z</t>
        </is>
      </c>
      <c r="D14" s="24" t="inlineStr">
        <is>
          <t>401816281</t>
        </is>
      </c>
      <c r="E14" s="24" t="inlineStr">
        <is>
          <t>MLB</t>
        </is>
      </c>
      <c r="F14" s="24" t="inlineStr">
        <is>
          <t>Atlanta Braves</t>
        </is>
      </c>
      <c r="G14" s="24" t="inlineStr">
        <is>
          <t>New York Mets</t>
        </is>
      </c>
      <c r="H14" s="24" t="inlineStr">
        <is>
          <t>spread</t>
        </is>
      </c>
      <c r="I14" s="24" t="inlineStr">
        <is>
          <t>home</t>
        </is>
      </c>
      <c r="J14" s="25" t="n">
        <v>1.5</v>
      </c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0.821045</v>
      </c>
      <c r="P14" s="28" t="n">
        <v>0.056347</v>
      </c>
      <c r="Q14" s="28" t="n">
        <v>0.191415</v>
      </c>
      <c r="R14" s="26" t="n">
        <v>100</v>
      </c>
      <c r="S14" s="29" t="n">
        <v>0</v>
      </c>
      <c r="T14" s="24" t="inlineStr">
        <is>
          <t>measured-edge-margin-v1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14</v>
      </c>
      <c r="Y14" s="25" t="n">
        <v>1.5</v>
      </c>
      <c r="Z14" s="26" t="n">
        <v>-170</v>
      </c>
      <c r="AA14" s="28" t="n">
        <v>0.63</v>
      </c>
      <c r="AB14" s="28" t="n">
        <v>0.00037</v>
      </c>
      <c r="AC14" s="30" t="n">
        <v>0</v>
      </c>
      <c r="AD14" s="24" t="inlineStr">
        <is>
          <t>2026-07-28T01:57:04.036530Z</t>
        </is>
      </c>
      <c r="AE14" s="31" t="inlineStr">
        <is>
          <t>Measured Edge Margin: Trend Engine projected 2.42-4.34; raw selected-side p=0.8777, calibrated p=0.8210.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mlb-atl</t>
        </is>
      </c>
      <c r="AQ14" s="24" t="inlineStr">
        <is>
          <t>Atlanta Braves</t>
        </is>
      </c>
      <c r="AR14" s="24" t="inlineStr">
        <is>
          <t>Atlanta Braves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bd86494ed21c6a0389ab0efcf4b8a5bb7b9f8f8786b6d5fb9da69d8cf0a70bdc</t>
        </is>
      </c>
      <c r="BB14" s="24" t="inlineStr">
        <is>
          <t>flat_probability_shrinkage_toward_half</t>
        </is>
      </c>
      <c r="BC14" s="24" t="inlineStr">
        <is>
          <t>measured-edge-margin-v1</t>
        </is>
      </c>
      <c r="BD14" s="24" t="inlineStr">
        <is>
          <t>bd86494ed21c6a0389ab0efcf4b8a5bb7b9f8f8786b6d5fb9da69d8cf0a70bdc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2026-07-27T22:53:10.309584Z</t>
        </is>
      </c>
      <c r="BI14" s="24" t="inlineStr">
        <is>
          <t>["same_event","same_team_same_day","same_league_same_day"]</t>
        </is>
      </c>
      <c r="BJ14" s="25" t="n">
        <v>1.5</v>
      </c>
      <c r="BK14" s="26" t="n">
        <v>-170</v>
      </c>
      <c r="BL14" s="27" t="n">
        <v>1.588235</v>
      </c>
      <c r="BM14" s="28" t="n">
        <v>0.62963</v>
      </c>
      <c r="BN14" s="28" t="n">
        <v>0.626866</v>
      </c>
      <c r="BO14" s="28" t="n"/>
      <c r="BP14" s="25" t="n"/>
      <c r="BQ14" s="27" t="n">
        <v>1.588235</v>
      </c>
      <c r="BR14" s="28" t="n">
        <v>0.63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2716ffebc32645ad</t>
        </is>
      </c>
      <c r="B15" s="24" t="inlineStr">
        <is>
          <t>2026-07-27T22:53:10.309584Z</t>
        </is>
      </c>
      <c r="C15" s="24" t="inlineStr">
        <is>
          <t>2026-07-27T23:10Z</t>
        </is>
      </c>
      <c r="D15" s="24" t="inlineStr">
        <is>
          <t>401816281</t>
        </is>
      </c>
      <c r="E15" s="24" t="inlineStr">
        <is>
          <t>MLB</t>
        </is>
      </c>
      <c r="F15" s="24" t="inlineStr">
        <is>
          <t>Atlanta Braves</t>
        </is>
      </c>
      <c r="G15" s="24" t="inlineStr">
        <is>
          <t>New York Mets</t>
        </is>
      </c>
      <c r="H15" s="24" t="inlineStr">
        <is>
          <t>total</t>
        </is>
      </c>
      <c r="I15" s="24" t="inlineStr">
        <is>
          <t>under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0.469484</v>
      </c>
      <c r="O15" s="28" t="n">
        <v>0.67918</v>
      </c>
      <c r="P15" s="28" t="n">
        <v>0.056347</v>
      </c>
      <c r="Q15" s="28" t="n">
        <v>0.209696</v>
      </c>
      <c r="R15" s="26" t="n">
        <v>100</v>
      </c>
      <c r="S15" s="29" t="n">
        <v>0</v>
      </c>
      <c r="T15" s="24" t="inlineStr">
        <is>
          <t>measured-edge-totals-v1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14</v>
      </c>
      <c r="Y15" s="25" t="n">
        <v>8.5</v>
      </c>
      <c r="Z15" s="26" t="n">
        <v>113</v>
      </c>
      <c r="AA15" s="28" t="n">
        <v>0.47</v>
      </c>
      <c r="AB15" s="28" t="n">
        <v>0.000516</v>
      </c>
      <c r="AC15" s="30" t="n">
        <v>0</v>
      </c>
      <c r="AD15" s="24" t="inlineStr">
        <is>
          <t>2026-07-28T01:57:04.276906Z</t>
        </is>
      </c>
      <c r="AE15" s="31" t="inlineStr">
        <is>
          <t>Measured Edge Totals: Trend Engine projected 2.42-4.34; raw selected-side p=0.7108, calibrated p=0.6792.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mlb-atl</t>
        </is>
      </c>
      <c r="AQ15" s="24" t="inlineStr">
        <is>
          <t>Atlanta Braves</t>
        </is>
      </c>
      <c r="AR15" s="24" t="inlineStr">
        <is>
          <t>Atlanta Braves</t>
        </is>
      </c>
      <c r="AS15" s="24" t="inlineStr">
        <is>
          <t>mlb-nym</t>
        </is>
      </c>
      <c r="AT15" s="24" t="inlineStr">
        <is>
          <t>New York Mets</t>
        </is>
      </c>
      <c r="AU15" s="24" t="inlineStr">
        <is>
          <t>New York Mets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0aa06c0f065ec20d43901d386280174165e2b07065216b6c7ffe72c98e322706</t>
        </is>
      </c>
      <c r="BB15" s="24" t="inlineStr">
        <is>
          <t>flat_probability_shrinkage_toward_half</t>
        </is>
      </c>
      <c r="BC15" s="24" t="inlineStr">
        <is>
          <t>measured-edge-totals-v1</t>
        </is>
      </c>
      <c r="BD15" s="24" t="inlineStr">
        <is>
          <t>0aa06c0f065ec20d43901d386280174165e2b07065216b6c7ffe72c98e322706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2026-07-27T22:53:10.309584Z</t>
        </is>
      </c>
      <c r="BI15" s="24" t="inlineStr">
        <is>
          <t>["same_event","same_team_same_day","same_league_same_day"]</t>
        </is>
      </c>
      <c r="BJ15" s="25" t="n">
        <v>8.5</v>
      </c>
      <c r="BK15" s="26" t="n">
        <v>113</v>
      </c>
      <c r="BL15" s="27" t="n">
        <v>2.13</v>
      </c>
      <c r="BM15" s="28" t="n">
        <v>0.469484</v>
      </c>
      <c r="BN15" s="28" t="n">
        <v>0.467662</v>
      </c>
      <c r="BO15" s="28" t="n"/>
      <c r="BP15" s="25" t="n"/>
      <c r="BQ15" s="27" t="n">
        <v>2.13</v>
      </c>
      <c r="BR15" s="28" t="n">
        <v>0.47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da228f3da9cb4e93</t>
        </is>
      </c>
      <c r="B16" s="24" t="inlineStr">
        <is>
          <t>2026-07-27T22:53:10.309584Z</t>
        </is>
      </c>
      <c r="C16" s="24" t="inlineStr">
        <is>
          <t>2026-07-27T23:40Z</t>
        </is>
      </c>
      <c r="D16" s="24" t="inlineStr">
        <is>
          <t>401816287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away</t>
        </is>
      </c>
      <c r="J16" s="25" t="n">
        <v>-1.5</v>
      </c>
      <c r="K16" s="24" t="inlineStr">
        <is>
          <t>polymarket_us</t>
        </is>
      </c>
      <c r="L16" s="26" t="n">
        <v>125</v>
      </c>
      <c r="M16" s="27" t="n">
        <v>2.25</v>
      </c>
      <c r="N16" s="28" t="n">
        <v>0.444444</v>
      </c>
      <c r="O16" s="28" t="n">
        <v>0.542585</v>
      </c>
      <c r="P16" s="28" t="n">
        <v>0.047697</v>
      </c>
      <c r="Q16" s="28" t="n">
        <v>0.09814100000000001</v>
      </c>
      <c r="R16" s="26" t="n">
        <v>70</v>
      </c>
      <c r="S16" s="29" t="n">
        <v>0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9</v>
      </c>
      <c r="X16" s="26" t="n">
        <v>5</v>
      </c>
      <c r="Y16" s="25" t="n">
        <v>-1.5</v>
      </c>
      <c r="Z16" s="26" t="n">
        <v>125</v>
      </c>
      <c r="AA16" s="28" t="n">
        <v>0.445</v>
      </c>
      <c r="AB16" s="28" t="n">
        <v>0.000556</v>
      </c>
      <c r="AC16" s="30" t="n">
        <v>0</v>
      </c>
      <c r="AD16" s="24" t="inlineStr">
        <is>
          <t>2026-07-28T05:00:23.083295Z</t>
        </is>
      </c>
      <c r="AE16" s="31" t="inlineStr">
        <is>
          <t>Measured Edge Margin: Trend Engine projected 6.65-4.41; raw selected-side p=0.5501, calibrated p=0.5426.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bd86494ed21c6a0389ab0efcf4b8a5bb7b9f8f8786b6d5fb9da69d8cf0a70bdc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bd86494ed21c6a0389ab0efcf4b8a5bb7b9f8f8786b6d5fb9da69d8cf0a70bdc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2026-07-27T22:53:10.309584Z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125</v>
      </c>
      <c r="BL16" s="27" t="n">
        <v>2.25</v>
      </c>
      <c r="BM16" s="28" t="n">
        <v>0.444444</v>
      </c>
      <c r="BN16" s="28" t="n">
        <v>0.442786</v>
      </c>
      <c r="BO16" s="28" t="n"/>
      <c r="BP16" s="25" t="n"/>
      <c r="BQ16" s="27" t="n">
        <v>2.25</v>
      </c>
      <c r="BR16" s="28" t="n">
        <v>0.445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94ff64733f4d41e6</t>
        </is>
      </c>
      <c r="B17" s="24" t="inlineStr">
        <is>
          <t>2026-07-27T22:53:10.309584Z</t>
        </is>
      </c>
      <c r="C17" s="24" t="inlineStr">
        <is>
          <t>2026-07-27T23:40Z</t>
        </is>
      </c>
      <c r="D17" s="24" t="inlineStr">
        <is>
          <t>401816287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0.64756</v>
      </c>
      <c r="P17" s="28" t="n">
        <v>0.047697</v>
      </c>
      <c r="Q17" s="28" t="n">
        <v>0.162123</v>
      </c>
      <c r="R17" s="26" t="n">
        <v>100</v>
      </c>
      <c r="S17" s="29" t="n">
        <v>0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9</v>
      </c>
      <c r="X17" s="26" t="n">
        <v>5</v>
      </c>
      <c r="Y17" s="25" t="n">
        <v>8.5</v>
      </c>
      <c r="Z17" s="26" t="n">
        <v>106</v>
      </c>
      <c r="AA17" s="28" t="n">
        <v>0.485</v>
      </c>
      <c r="AB17" s="28" t="n">
        <v>-0.000437</v>
      </c>
      <c r="AC17" s="30" t="n">
        <v>0</v>
      </c>
      <c r="AD17" s="24" t="inlineStr">
        <is>
          <t>2026-07-28T05:00:23.297146Z</t>
        </is>
      </c>
      <c r="AE17" s="31" t="inlineStr">
        <is>
          <t>Measured Edge Totals: Trend Engine projected 6.65-4.41; raw selected-side p=0.6736, calibrated p=0.6476.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0aa06c0f065ec20d43901d386280174165e2b07065216b6c7ffe72c98e322706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0aa06c0f065ec20d43901d386280174165e2b07065216b6c7ffe72c98e322706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2026-07-27T22:53:10.309584Z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652ff54ed34c4224</t>
        </is>
      </c>
      <c r="B18" s="24" t="inlineStr">
        <is>
          <t>2026-07-27T22:53:10.309584Z</t>
        </is>
      </c>
      <c r="C18" s="24" t="inlineStr">
        <is>
          <t>2026-07-27T23:45Z</t>
        </is>
      </c>
      <c r="D18" s="24" t="inlineStr">
        <is>
          <t>401816286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0.587465</v>
      </c>
      <c r="P18" s="28" t="n">
        <v>0.047697</v>
      </c>
      <c r="Q18" s="28" t="n">
        <v>0.002403</v>
      </c>
      <c r="R18" s="26" t="n">
        <v>23</v>
      </c>
      <c r="S18" s="29" t="n">
        <v>0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3</v>
      </c>
      <c r="Y18" s="25" t="n">
        <v>1.5</v>
      </c>
      <c r="Z18" s="26" t="n">
        <v>-141</v>
      </c>
      <c r="AA18" s="28" t="n">
        <v>0.585</v>
      </c>
      <c r="AB18" s="28" t="n">
        <v>-6.2e-05</v>
      </c>
      <c r="AC18" s="30" t="n">
        <v>0</v>
      </c>
      <c r="AD18" s="24" t="inlineStr">
        <is>
          <t>2026-07-28T05:00:23.503268Z</t>
        </is>
      </c>
      <c r="AE18" s="31" t="inlineStr">
        <is>
          <t>Measured Edge Margin: Trend Engine projected 6.53-6.24; raw selected-side p=0.6029, calibrated p=0.5875.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bd86494ed21c6a0389ab0efcf4b8a5bb7b9f8f8786b6d5fb9da69d8cf0a70bdc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bd86494ed21c6a0389ab0efcf4b8a5bb7b9f8f8786b6d5fb9da69d8cf0a70bdc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2026-07-27T22:53:10.309584Z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-141</v>
      </c>
      <c r="BL18" s="27" t="n">
        <v>1.70922</v>
      </c>
      <c r="BM18" s="28" t="n">
        <v>0.585062</v>
      </c>
      <c r="BN18" s="28" t="n">
        <v>0.58209</v>
      </c>
      <c r="BO18" s="28" t="n"/>
      <c r="BP18" s="25" t="n"/>
      <c r="BQ18" s="27" t="n">
        <v>1.70922</v>
      </c>
      <c r="BR18" s="28" t="n">
        <v>0.585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0cc760ea24b94b9d</t>
        </is>
      </c>
      <c r="B19" s="24" t="inlineStr">
        <is>
          <t>2026-07-27T22:53:10.309584Z</t>
        </is>
      </c>
      <c r="C19" s="24" t="inlineStr">
        <is>
          <t>2026-07-27T23:45Z</t>
        </is>
      </c>
      <c r="D19" s="24" t="inlineStr">
        <is>
          <t>401816286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9.5</v>
      </c>
      <c r="K19" s="24" t="inlineStr">
        <is>
          <t>polymarket_us</t>
        </is>
      </c>
      <c r="L19" s="26" t="n">
        <v>102</v>
      </c>
      <c r="M19" s="27" t="n">
        <v>2.02</v>
      </c>
      <c r="N19" s="28" t="n">
        <v>0.49505</v>
      </c>
      <c r="O19" s="28" t="n">
        <v>0.659375</v>
      </c>
      <c r="P19" s="28" t="n">
        <v>0.047697</v>
      </c>
      <c r="Q19" s="28" t="n">
        <v>0.164325</v>
      </c>
      <c r="R19" s="26" t="n">
        <v>100</v>
      </c>
      <c r="S19" s="29" t="n">
        <v>0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win</t>
        </is>
      </c>
      <c r="W19" s="26" t="n">
        <v>7</v>
      </c>
      <c r="X19" s="26" t="n">
        <v>3</v>
      </c>
      <c r="Y19" s="25" t="n">
        <v>9.5</v>
      </c>
      <c r="Z19" s="26" t="n">
        <v>102</v>
      </c>
      <c r="AA19" s="28" t="n">
        <v>0.495</v>
      </c>
      <c r="AB19" s="28" t="n">
        <v>-5e-05</v>
      </c>
      <c r="AC19" s="30" t="n">
        <v>0</v>
      </c>
      <c r="AD19" s="24" t="inlineStr">
        <is>
          <t>2026-07-28T05:00:23.706731Z</t>
        </is>
      </c>
      <c r="AE19" s="31" t="inlineStr">
        <is>
          <t>Measured Edge Totals: Trend Engine projected 6.53-6.24; raw selected-side p=0.6875, calibrated p=0.6594.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0aa06c0f065ec20d43901d386280174165e2b07065216b6c7ffe72c98e322706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0aa06c0f065ec20d43901d386280174165e2b07065216b6c7ffe72c98e322706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2026-07-27T22:53:10.309584Z</t>
        </is>
      </c>
      <c r="BI19" s="24" t="inlineStr">
        <is>
          <t>["same_event","same_team_same_day","same_league_same_day"]</t>
        </is>
      </c>
      <c r="BJ19" s="25" t="n">
        <v>9.5</v>
      </c>
      <c r="BK19" s="26" t="n">
        <v>102</v>
      </c>
      <c r="BL19" s="27" t="n">
        <v>2.02</v>
      </c>
      <c r="BM19" s="28" t="n">
        <v>0.49505</v>
      </c>
      <c r="BN19" s="28" t="n">
        <v>0.492537</v>
      </c>
      <c r="BO19" s="28" t="n"/>
      <c r="BP19" s="25" t="n"/>
      <c r="BQ19" s="27" t="n">
        <v>2.02</v>
      </c>
      <c r="BR19" s="28" t="n">
        <v>0.495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1d52e2a5bf474bf5</t>
        </is>
      </c>
      <c r="B20" s="24" t="inlineStr">
        <is>
          <t>2026-07-27T22:53:10.309584Z</t>
        </is>
      </c>
      <c r="C20" s="24" t="inlineStr">
        <is>
          <t>2026-07-28T01:38Z</t>
        </is>
      </c>
      <c r="D20" s="24" t="inlineStr">
        <is>
          <t>401816290</t>
        </is>
      </c>
      <c r="E20" s="24" t="inlineStr">
        <is>
          <t>MLB</t>
        </is>
      </c>
      <c r="F20" s="24" t="inlineStr">
        <is>
          <t>Houston Astros</t>
        </is>
      </c>
      <c r="G20" s="24" t="inlineStr">
        <is>
          <t>Los Angeles Angels</t>
        </is>
      </c>
      <c r="H20" s="24" t="inlineStr">
        <is>
          <t>spread</t>
        </is>
      </c>
      <c r="I20" s="24" t="inlineStr">
        <is>
          <t>home</t>
        </is>
      </c>
      <c r="J20" s="25" t="n">
        <v>1.5</v>
      </c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0.73613</v>
      </c>
      <c r="P20" s="28" t="n">
        <v>0.047697</v>
      </c>
      <c r="Q20" s="28" t="n">
        <v>0.116358</v>
      </c>
      <c r="R20" s="26" t="n">
        <v>80</v>
      </c>
      <c r="S20" s="29" t="n">
        <v>0</v>
      </c>
      <c r="T20" s="24" t="inlineStr">
        <is>
          <t>measured-edge-margin-v1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4</v>
      </c>
      <c r="Y20" s="25" t="n">
        <v>1.5</v>
      </c>
      <c r="Z20" s="26" t="n">
        <v>-163</v>
      </c>
      <c r="AA20" s="28" t="n">
        <v>0.62</v>
      </c>
      <c r="AB20" s="28" t="n">
        <v>0.000228</v>
      </c>
      <c r="AC20" s="30" t="n">
        <v>0</v>
      </c>
      <c r="AD20" s="24" t="inlineStr">
        <is>
          <t>2026-07-28T08:06:24.047294Z</t>
        </is>
      </c>
      <c r="AE20" s="31" t="inlineStr">
        <is>
          <t>Measured Edge Margin: Trend Engine projected 3.40-4.29; raw selected-side p=0.7778, calibrated p=0.7361.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mlb-hou</t>
        </is>
      </c>
      <c r="AQ20" s="24" t="inlineStr">
        <is>
          <t>Houston Astros</t>
        </is>
      </c>
      <c r="AR20" s="24" t="inlineStr">
        <is>
          <t>Houston Astros</t>
        </is>
      </c>
      <c r="AS20" s="24" t="inlineStr">
        <is>
          <t>mlb-laa</t>
        </is>
      </c>
      <c r="AT20" s="24" t="inlineStr">
        <is>
          <t>Los Angeles Angels</t>
        </is>
      </c>
      <c r="AU20" s="24" t="inlineStr">
        <is>
          <t>Los Angeles Angels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bd86494ed21c6a0389ab0efcf4b8a5bb7b9f8f8786b6d5fb9da69d8cf0a70bdc</t>
        </is>
      </c>
      <c r="BB20" s="24" t="inlineStr">
        <is>
          <t>flat_probability_shrinkage_toward_half</t>
        </is>
      </c>
      <c r="BC20" s="24" t="inlineStr">
        <is>
          <t>measured-edge-margin-v1</t>
        </is>
      </c>
      <c r="BD20" s="24" t="inlineStr">
        <is>
          <t>bd86494ed21c6a0389ab0efcf4b8a5bb7b9f8f8786b6d5fb9da69d8cf0a70bdc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2026-07-27T22:53:10.309584Z</t>
        </is>
      </c>
      <c r="BI20" s="24" t="inlineStr">
        <is>
          <t>["same_event","same_team_same_day","same_league_same_day"]</t>
        </is>
      </c>
      <c r="BJ20" s="25" t="n">
        <v>1.5</v>
      </c>
      <c r="BK20" s="26" t="n">
        <v>-163</v>
      </c>
      <c r="BL20" s="27" t="n">
        <v>1.613497</v>
      </c>
      <c r="BM20" s="28" t="n">
        <v>0.619772</v>
      </c>
      <c r="BN20" s="28" t="n">
        <v>0.616915</v>
      </c>
      <c r="BO20" s="28" t="n"/>
      <c r="BP20" s="25" t="n"/>
      <c r="BQ20" s="27" t="n">
        <v>1.613497</v>
      </c>
      <c r="BR20" s="28" t="n">
        <v>0.62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e26cc806976f477f</t>
        </is>
      </c>
      <c r="B21" s="24" t="inlineStr">
        <is>
          <t>2026-07-27T22:53:10.309584Z</t>
        </is>
      </c>
      <c r="C21" s="24" t="inlineStr">
        <is>
          <t>2026-07-28T01:38Z</t>
        </is>
      </c>
      <c r="D21" s="24" t="inlineStr">
        <is>
          <t>401816290</t>
        </is>
      </c>
      <c r="E21" s="24" t="inlineStr">
        <is>
          <t>MLB</t>
        </is>
      </c>
      <c r="F21" s="24" t="inlineStr">
        <is>
          <t>Houston Astros</t>
        </is>
      </c>
      <c r="G21" s="24" t="inlineStr">
        <is>
          <t>Los Angeles Angels</t>
        </is>
      </c>
      <c r="H21" s="24" t="inlineStr">
        <is>
          <t>total</t>
        </is>
      </c>
      <c r="I21" s="24" t="inlineStr">
        <is>
          <t>under</t>
        </is>
      </c>
      <c r="J21" s="25" t="n">
        <v>8.5</v>
      </c>
      <c r="K21" s="24" t="inlineStr">
        <is>
          <t>polymarket_us</t>
        </is>
      </c>
      <c r="L21" s="26" t="n">
        <v>106</v>
      </c>
      <c r="M21" s="27" t="n">
        <v>2.06</v>
      </c>
      <c r="N21" s="28" t="n">
        <v>0.485437</v>
      </c>
      <c r="O21" s="28" t="n">
        <v>0.59197</v>
      </c>
      <c r="P21" s="28" t="n">
        <v>0.047697</v>
      </c>
      <c r="Q21" s="28" t="n">
        <v>0.106533</v>
      </c>
      <c r="R21" s="26" t="n">
        <v>75</v>
      </c>
      <c r="S21" s="29" t="n">
        <v>0</v>
      </c>
      <c r="T21" s="24" t="inlineStr">
        <is>
          <t>measured-edge-totals-v1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4</v>
      </c>
      <c r="Y21" s="25" t="n">
        <v>8.5</v>
      </c>
      <c r="Z21" s="26" t="n">
        <v>106</v>
      </c>
      <c r="AA21" s="28" t="n">
        <v>0.485</v>
      </c>
      <c r="AB21" s="28" t="n">
        <v>-0.000437</v>
      </c>
      <c r="AC21" s="30" t="n">
        <v>0</v>
      </c>
      <c r="AD21" s="24" t="inlineStr">
        <is>
          <t>2026-07-28T08:06:24.385087Z</t>
        </is>
      </c>
      <c r="AE21" s="31" t="inlineStr">
        <is>
          <t>Measured Edge Totals: Trend Engine projected 3.40-4.29; raw selected-side p=0.6082, calibrated p=0.5920.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mlb-hou</t>
        </is>
      </c>
      <c r="AQ21" s="24" t="inlineStr">
        <is>
          <t>Houston Astros</t>
        </is>
      </c>
      <c r="AR21" s="24" t="inlineStr">
        <is>
          <t>Houston Astros</t>
        </is>
      </c>
      <c r="AS21" s="24" t="inlineStr">
        <is>
          <t>mlb-laa</t>
        </is>
      </c>
      <c r="AT21" s="24" t="inlineStr">
        <is>
          <t>Los Angeles Angels</t>
        </is>
      </c>
      <c r="AU21" s="24" t="inlineStr">
        <is>
          <t>Los Angeles Angels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0aa06c0f065ec20d43901d386280174165e2b07065216b6c7ffe72c98e322706</t>
        </is>
      </c>
      <c r="BB21" s="24" t="inlineStr">
        <is>
          <t>flat_probability_shrinkage_toward_half</t>
        </is>
      </c>
      <c r="BC21" s="24" t="inlineStr">
        <is>
          <t>measured-edge-totals-v1</t>
        </is>
      </c>
      <c r="BD21" s="24" t="inlineStr">
        <is>
          <t>0aa06c0f065ec20d43901d386280174165e2b07065216b6c7ffe72c98e322706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2026-07-27T22:53:10.309584Z</t>
        </is>
      </c>
      <c r="BI21" s="24" t="inlineStr">
        <is>
          <t>["same_event","same_team_same_day","same_league_same_day"]</t>
        </is>
      </c>
      <c r="BJ21" s="25" t="n">
        <v>8.5</v>
      </c>
      <c r="BK21" s="26" t="n">
        <v>106</v>
      </c>
      <c r="BL21" s="27" t="n">
        <v>2.06</v>
      </c>
      <c r="BM21" s="28" t="n">
        <v>0.485437</v>
      </c>
      <c r="BN21" s="28" t="n">
        <v>0.482587</v>
      </c>
      <c r="BO21" s="28" t="n"/>
      <c r="BP21" s="25" t="n"/>
      <c r="BQ21" s="27" t="n">
        <v>2.06</v>
      </c>
      <c r="BR21" s="28" t="n">
        <v>0.485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68406b09150b40b6</t>
        </is>
      </c>
      <c r="B22" s="24" t="inlineStr">
        <is>
          <t>2026-07-27T22:53:10.309584Z</t>
        </is>
      </c>
      <c r="C22" s="24" t="inlineStr">
        <is>
          <t>2026-07-28T01:40Z</t>
        </is>
      </c>
      <c r="D22" s="24" t="inlineStr">
        <is>
          <t>401816289</t>
        </is>
      </c>
      <c r="E22" s="24" t="inlineStr">
        <is>
          <t>MLB</t>
        </is>
      </c>
      <c r="F22" s="24" t="inlineStr">
        <is>
          <t>Boston Red Sox</t>
        </is>
      </c>
      <c r="G22" s="24" t="inlineStr">
        <is>
          <t>Athletics</t>
        </is>
      </c>
      <c r="H22" s="24" t="inlineStr">
        <is>
          <t>spread</t>
        </is>
      </c>
      <c r="I22" s="24" t="inlineStr">
        <is>
          <t>away</t>
        </is>
      </c>
      <c r="J22" s="25" t="n">
        <v>-1.5</v>
      </c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0.67255</v>
      </c>
      <c r="P22" s="28" t="n">
        <v>0.047697</v>
      </c>
      <c r="Q22" s="28" t="n">
        <v>0.153319</v>
      </c>
      <c r="R22" s="26" t="n">
        <v>98</v>
      </c>
      <c r="S22" s="29" t="n">
        <v>0</v>
      </c>
      <c r="T22" s="24" t="inlineStr">
        <is>
          <t>measured-edge-margin-v1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2</v>
      </c>
      <c r="Y22" s="25" t="n">
        <v>-1.5</v>
      </c>
      <c r="Z22" s="26" t="n">
        <v>-108</v>
      </c>
      <c r="AA22" s="28" t="n">
        <v>0.52</v>
      </c>
      <c r="AB22" s="28" t="n">
        <v>0.000769</v>
      </c>
      <c r="AC22" s="30" t="n">
        <v>0</v>
      </c>
      <c r="AD22" s="24" t="inlineStr">
        <is>
          <t>2026-07-28T05:00:23.910139Z</t>
        </is>
      </c>
      <c r="AE22" s="31" t="inlineStr">
        <is>
          <t>Measured Edge Margin: Trend Engine projected 8.28-4.06; raw selected-side p=0.7030, calibrated p=0.6725.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mlb-bos</t>
        </is>
      </c>
      <c r="AQ22" s="24" t="inlineStr">
        <is>
          <t>Boston Red Sox</t>
        </is>
      </c>
      <c r="AR22" s="24" t="inlineStr">
        <is>
          <t>Boston Red Sox</t>
        </is>
      </c>
      <c r="AS22" s="24" t="inlineStr">
        <is>
          <t>mlb-ath</t>
        </is>
      </c>
      <c r="AT22" s="24" t="inlineStr">
        <is>
          <t>Athletics</t>
        </is>
      </c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bd86494ed21c6a0389ab0efcf4b8a5bb7b9f8f8786b6d5fb9da69d8cf0a70bdc</t>
        </is>
      </c>
      <c r="BB22" s="24" t="inlineStr">
        <is>
          <t>flat_probability_shrinkage_toward_half</t>
        </is>
      </c>
      <c r="BC22" s="24" t="inlineStr">
        <is>
          <t>measured-edge-margin-v1</t>
        </is>
      </c>
      <c r="BD22" s="24" t="inlineStr">
        <is>
          <t>bd86494ed21c6a0389ab0efcf4b8a5bb7b9f8f8786b6d5fb9da69d8cf0a70bdc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2026-07-27T22:53:10.309584Z</t>
        </is>
      </c>
      <c r="BI22" s="24" t="inlineStr">
        <is>
          <t>["same_event","same_team_same_day","same_league_same_day"]</t>
        </is>
      </c>
      <c r="BJ22" s="25" t="n">
        <v>-1.5</v>
      </c>
      <c r="BK22" s="26" t="n">
        <v>-108</v>
      </c>
      <c r="BL22" s="27" t="n">
        <v>1.925926</v>
      </c>
      <c r="BM22" s="28" t="n">
        <v>0.519231</v>
      </c>
      <c r="BN22" s="28" t="n">
        <v>0.517413</v>
      </c>
      <c r="BO22" s="28" t="n"/>
      <c r="BP22" s="25" t="n"/>
      <c r="BQ22" s="27" t="n">
        <v>1.925926</v>
      </c>
      <c r="BR22" s="28" t="n">
        <v>0.52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285487976b264717</t>
        </is>
      </c>
      <c r="B23" s="24" t="inlineStr">
        <is>
          <t>2026-07-27T22:53:10.309584Z</t>
        </is>
      </c>
      <c r="C23" s="24" t="inlineStr">
        <is>
          <t>2026-07-28T01:40Z</t>
        </is>
      </c>
      <c r="D23" s="24" t="inlineStr">
        <is>
          <t>401816289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Athletics</t>
        </is>
      </c>
      <c r="H23" s="24" t="inlineStr">
        <is>
          <t>total</t>
        </is>
      </c>
      <c r="I23" s="24" t="inlineStr">
        <is>
          <t>over</t>
        </is>
      </c>
      <c r="J23" s="25" t="n">
        <v>9.5</v>
      </c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0.638975</v>
      </c>
      <c r="P23" s="28" t="n">
        <v>0.047697</v>
      </c>
      <c r="Q23" s="28" t="n">
        <v>0.138975</v>
      </c>
      <c r="R23" s="26" t="n">
        <v>91</v>
      </c>
      <c r="S23" s="29" t="n">
        <v>0</v>
      </c>
      <c r="T23" s="24" t="inlineStr">
        <is>
          <t>measured-edge-totals-v1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2</v>
      </c>
      <c r="Y23" s="25" t="n">
        <v>9.5</v>
      </c>
      <c r="Z23" s="26" t="n">
        <v>100</v>
      </c>
      <c r="AA23" s="28" t="n">
        <v>0.5</v>
      </c>
      <c r="AB23" s="28" t="n">
        <v>0</v>
      </c>
      <c r="AC23" s="30" t="n">
        <v>0</v>
      </c>
      <c r="AD23" s="24" t="inlineStr">
        <is>
          <t>2026-07-28T05:00:24.117686Z</t>
        </is>
      </c>
      <c r="AE23" s="31" t="inlineStr">
        <is>
          <t>Measured Edge Totals: Trend Engine projected 8.28-4.06; raw selected-side p=0.6635, calibrated p=0.6390.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mlb-ath</t>
        </is>
      </c>
      <c r="AT23" s="24" t="inlineStr">
        <is>
          <t>Athletics</t>
        </is>
      </c>
      <c r="AU23" s="24" t="inlineStr">
        <is>
          <t>Athletics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0aa06c0f065ec20d43901d386280174165e2b07065216b6c7ffe72c98e322706</t>
        </is>
      </c>
      <c r="BB23" s="24" t="inlineStr">
        <is>
          <t>flat_probability_shrinkage_toward_half</t>
        </is>
      </c>
      <c r="BC23" s="24" t="inlineStr">
        <is>
          <t>measured-edge-totals-v1</t>
        </is>
      </c>
      <c r="BD23" s="24" t="inlineStr">
        <is>
          <t>0aa06c0f065ec20d43901d386280174165e2b07065216b6c7ffe72c98e322706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2026-07-27T22:53:10.309584Z</t>
        </is>
      </c>
      <c r="BI23" s="24" t="inlineStr">
        <is>
          <t>["same_event","same_team_same_day","same_league_same_day"]</t>
        </is>
      </c>
      <c r="BJ23" s="25" t="n">
        <v>9.5</v>
      </c>
      <c r="BK23" s="26" t="n">
        <v>100</v>
      </c>
      <c r="BL23" s="27" t="n">
        <v>2</v>
      </c>
      <c r="BM23" s="28" t="n">
        <v>0.5</v>
      </c>
      <c r="BN23" s="28" t="n">
        <v>0.497512</v>
      </c>
      <c r="BO23" s="28" t="n"/>
      <c r="BP23" s="25" t="n"/>
      <c r="BQ23" s="27" t="n">
        <v>2</v>
      </c>
      <c r="BR23" s="28" t="n">
        <v>0.5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1159f2f1948e42de</t>
        </is>
      </c>
      <c r="B24" s="24" t="inlineStr">
        <is>
          <t>2026-07-27T22:53:10.309584Z</t>
        </is>
      </c>
      <c r="C24" s="24" t="inlineStr">
        <is>
          <t>2026-07-28T01:45Z</t>
        </is>
      </c>
      <c r="D24" s="24" t="inlineStr">
        <is>
          <t>401816291</t>
        </is>
      </c>
      <c r="E24" s="24" t="inlineStr">
        <is>
          <t>MLB</t>
        </is>
      </c>
      <c r="F24" s="24" t="inlineStr">
        <is>
          <t>Milwaukee Brewers</t>
        </is>
      </c>
      <c r="G24" s="24" t="inlineStr">
        <is>
          <t>San Francisco Giants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-130</v>
      </c>
      <c r="M24" s="27" t="n">
        <v>1.769231</v>
      </c>
      <c r="N24" s="28" t="n">
        <v>0.565217</v>
      </c>
      <c r="O24" s="28" t="n">
        <v>0.55287</v>
      </c>
      <c r="P24" s="28" t="n">
        <v>0.047697</v>
      </c>
      <c r="Q24" s="28" t="n">
        <v>-0.012347</v>
      </c>
      <c r="R24" s="26" t="n">
        <v>15</v>
      </c>
      <c r="S24" s="29" t="n">
        <v>0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>
        <v>1.5</v>
      </c>
      <c r="Z24" s="26" t="n">
        <v>-130</v>
      </c>
      <c r="AA24" s="28" t="n">
        <v>0.5649999999999999</v>
      </c>
      <c r="AB24" s="28" t="n">
        <v>-0.000217</v>
      </c>
      <c r="AC24" s="30" t="n">
        <v>0</v>
      </c>
      <c r="AD24" s="24" t="inlineStr">
        <is>
          <t>2026-07-28T05:00:24.320948Z</t>
        </is>
      </c>
      <c r="AE24" s="31" t="inlineStr">
        <is>
          <t>Measured Edge Margin: Trend Engine projected 4.74-3.67; raw selected-side p=0.5622, calibrated p=0.5529.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mlb-mil</t>
        </is>
      </c>
      <c r="AQ24" s="24" t="inlineStr">
        <is>
          <t>Milwaukee Brewers</t>
        </is>
      </c>
      <c r="AR24" s="24" t="inlineStr">
        <is>
          <t>Milwaukee Brewers</t>
        </is>
      </c>
      <c r="AS24" s="24" t="inlineStr">
        <is>
          <t>mlb-sf</t>
        </is>
      </c>
      <c r="AT24" s="24" t="inlineStr">
        <is>
          <t>San Francisco Giants</t>
        </is>
      </c>
      <c r="AU24" s="24" t="inlineStr">
        <is>
          <t>San Francisco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bd86494ed21c6a0389ab0efcf4b8a5bb7b9f8f8786b6d5fb9da69d8cf0a70bdc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bd86494ed21c6a0389ab0efcf4b8a5bb7b9f8f8786b6d5fb9da69d8cf0a70bdc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2026-07-27T22:53:10.309584Z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-130</v>
      </c>
      <c r="BL24" s="27" t="n">
        <v>1.769231</v>
      </c>
      <c r="BM24" s="28" t="n">
        <v>0.565217</v>
      </c>
      <c r="BN24" s="28" t="n">
        <v>0.562189</v>
      </c>
      <c r="BO24" s="28" t="n"/>
      <c r="BP24" s="25" t="n"/>
      <c r="BQ24" s="27" t="n">
        <v>1.769231</v>
      </c>
      <c r="BR24" s="28" t="n">
        <v>0.5649999999999999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fea58fa1dfe0422d</t>
        </is>
      </c>
      <c r="B25" s="24" t="inlineStr">
        <is>
          <t>2026-07-27T22:53:10.309584Z</t>
        </is>
      </c>
      <c r="C25" s="24" t="inlineStr">
        <is>
          <t>2026-07-28T01:45Z</t>
        </is>
      </c>
      <c r="D25" s="24" t="inlineStr">
        <is>
          <t>401816291</t>
        </is>
      </c>
      <c r="E25" s="24" t="inlineStr">
        <is>
          <t>MLB</t>
        </is>
      </c>
      <c r="F25" s="24" t="inlineStr">
        <is>
          <t>Milwaukee Brewers</t>
        </is>
      </c>
      <c r="G25" s="24" t="inlineStr">
        <is>
          <t>San Francisco Giants</t>
        </is>
      </c>
      <c r="H25" s="24" t="inlineStr">
        <is>
          <t>total</t>
        </is>
      </c>
      <c r="I25" s="24" t="inlineStr">
        <is>
          <t>under</t>
        </is>
      </c>
      <c r="J25" s="25" t="n">
        <v>8.5</v>
      </c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0.532385</v>
      </c>
      <c r="P25" s="28" t="n">
        <v>0.047697</v>
      </c>
      <c r="Q25" s="28" t="n">
        <v>0.042189</v>
      </c>
      <c r="R25" s="26" t="n">
        <v>42</v>
      </c>
      <c r="S25" s="29" t="n">
        <v>0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3</v>
      </c>
      <c r="Y25" s="25" t="n">
        <v>8.5</v>
      </c>
      <c r="Z25" s="26" t="n">
        <v>104</v>
      </c>
      <c r="AA25" s="28" t="n">
        <v>0.49</v>
      </c>
      <c r="AB25" s="28" t="n">
        <v>-0.000196</v>
      </c>
      <c r="AC25" s="30" t="n">
        <v>0</v>
      </c>
      <c r="AD25" s="24" t="inlineStr">
        <is>
          <t>2026-07-28T05:00:24.524581Z</t>
        </is>
      </c>
      <c r="AE25" s="31" t="inlineStr">
        <is>
          <t>Measured Edge Totals: Trend Engine projected 4.74-3.67; raw selected-side p=0.5381, calibrated p=0.5324.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mlb-mil</t>
        </is>
      </c>
      <c r="AQ25" s="24" t="inlineStr">
        <is>
          <t>Milwaukee Brewers</t>
        </is>
      </c>
      <c r="AR25" s="24" t="inlineStr">
        <is>
          <t>Milwaukee Brewers</t>
        </is>
      </c>
      <c r="AS25" s="24" t="inlineStr">
        <is>
          <t>mlb-sf</t>
        </is>
      </c>
      <c r="AT25" s="24" t="inlineStr">
        <is>
          <t>San Francisco Giants</t>
        </is>
      </c>
      <c r="AU25" s="24" t="inlineStr">
        <is>
          <t>San Francisco Giants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0aa06c0f065ec20d43901d386280174165e2b07065216b6c7ffe72c98e322706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0aa06c0f065ec20d43901d386280174165e2b07065216b6c7ffe72c98e322706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2026-07-27T22:53:10.309584Z</t>
        </is>
      </c>
      <c r="BI25" s="24" t="inlineStr">
        <is>
          <t>["same_event","same_team_same_day","same_league_same_day"]</t>
        </is>
      </c>
      <c r="BJ25" s="25" t="n">
        <v>8.5</v>
      </c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2781a8f17bf048f7</t>
        </is>
      </c>
      <c r="B26" s="24" t="inlineStr">
        <is>
          <t>2026-07-28T17:26:47.998892Z</t>
        </is>
      </c>
      <c r="C26" s="24" t="inlineStr">
        <is>
          <t>2026-07-28T17:40Z</t>
        </is>
      </c>
      <c r="D26" s="24" t="inlineStr">
        <is>
          <t>401901849</t>
        </is>
      </c>
      <c r="E26" s="24" t="inlineStr">
        <is>
          <t>MLB</t>
        </is>
      </c>
      <c r="F26" s="24" t="inlineStr">
        <is>
          <t>Cleveland Guardians</t>
        </is>
      </c>
      <c r="G26" s="24" t="inlineStr">
        <is>
          <t>Cincinnati Reds</t>
        </is>
      </c>
      <c r="H26" s="24" t="inlineStr">
        <is>
          <t>spread</t>
        </is>
      </c>
      <c r="I26" s="24" t="inlineStr">
        <is>
          <t>home</t>
        </is>
      </c>
      <c r="J26" s="25" t="n">
        <v>-1.5</v>
      </c>
      <c r="K26" s="24" t="inlineStr">
        <is>
          <t>polymarket_us</t>
        </is>
      </c>
      <c r="L26" s="26" t="n">
        <v>127</v>
      </c>
      <c r="M26" s="27" t="n">
        <v>2.27</v>
      </c>
      <c r="N26" s="28" t="n">
        <v>0.440529</v>
      </c>
      <c r="O26" s="28" t="n">
        <v>0.52329</v>
      </c>
      <c r="P26" s="28" t="n">
        <v>0.047697</v>
      </c>
      <c r="Q26" s="28" t="n">
        <v>0.082761</v>
      </c>
      <c r="R26" s="26" t="n">
        <v>63</v>
      </c>
      <c r="S26" s="29" t="n">
        <v>0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loss</t>
        </is>
      </c>
      <c r="W26" s="26" t="n">
        <v>6</v>
      </c>
      <c r="X26" s="26" t="n">
        <v>5</v>
      </c>
      <c r="Y26" s="25" t="n">
        <v>-1.5</v>
      </c>
      <c r="Z26" s="26" t="n">
        <v>127</v>
      </c>
      <c r="AA26" s="28" t="n">
        <v>0.44</v>
      </c>
      <c r="AB26" s="28" t="n">
        <v>-0.000529</v>
      </c>
      <c r="AC26" s="30" t="n">
        <v>0</v>
      </c>
      <c r="AD26" s="24" t="inlineStr">
        <is>
          <t>2026-07-28T23:36:44.097579Z</t>
        </is>
      </c>
      <c r="AE26" s="31" t="inlineStr">
        <is>
          <t>Measured Edge Margin: Trend Engine projected 3.23-5.16; raw selected-side p=0.5274, calibrated p=0.5233.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mlb-cle</t>
        </is>
      </c>
      <c r="AQ26" s="24" t="inlineStr">
        <is>
          <t>Cleveland Guardians</t>
        </is>
      </c>
      <c r="AR26" s="24" t="inlineStr">
        <is>
          <t>Cleveland Guardians</t>
        </is>
      </c>
      <c r="AS26" s="24" t="inlineStr">
        <is>
          <t>mlb-cin</t>
        </is>
      </c>
      <c r="AT26" s="24" t="inlineStr">
        <is>
          <t>Cincinnati Reds</t>
        </is>
      </c>
      <c r="AU26" s="24" t="inlineStr">
        <is>
          <t>Cincinnati Reds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bd86494ed21c6a0389ab0efcf4b8a5bb7b9f8f8786b6d5fb9da69d8cf0a70bdc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bd86494ed21c6a0389ab0efcf4b8a5bb7b9f8f8786b6d5fb9da69d8cf0a70bdc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2026-07-28T17:26:47.998892Z</t>
        </is>
      </c>
      <c r="BI26" s="24" t="inlineStr">
        <is>
          <t>["same_event","same_team_same_day","same_league_same_day"]</t>
        </is>
      </c>
      <c r="BJ26" s="25" t="n">
        <v>-1.5</v>
      </c>
      <c r="BK26" s="26" t="n">
        <v>127</v>
      </c>
      <c r="BL26" s="27" t="n">
        <v>2.27</v>
      </c>
      <c r="BM26" s="28" t="n">
        <v>0.440529</v>
      </c>
      <c r="BN26" s="28" t="n">
        <v>0.437811</v>
      </c>
      <c r="BO26" s="28" t="n"/>
      <c r="BP26" s="25" t="n"/>
      <c r="BQ26" s="27" t="n">
        <v>2.27</v>
      </c>
      <c r="BR26" s="28" t="n">
        <v>0.44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147dd9f13a2e49e0</t>
        </is>
      </c>
      <c r="B27" s="24" t="inlineStr">
        <is>
          <t>2026-07-28T17:26:47.998892Z</t>
        </is>
      </c>
      <c r="C27" s="24" t="inlineStr">
        <is>
          <t>2026-07-28T17:40Z</t>
        </is>
      </c>
      <c r="D27" s="24" t="inlineStr">
        <is>
          <t>401901849</t>
        </is>
      </c>
      <c r="E27" s="24" t="inlineStr">
        <is>
          <t>MLB</t>
        </is>
      </c>
      <c r="F27" s="24" t="inlineStr">
        <is>
          <t>Cleveland Guardians</t>
        </is>
      </c>
      <c r="G27" s="24" t="inlineStr">
        <is>
          <t>Cincinnati Reds</t>
        </is>
      </c>
      <c r="H27" s="24" t="inlineStr">
        <is>
          <t>total</t>
        </is>
      </c>
      <c r="I27" s="24" t="inlineStr">
        <is>
          <t>under</t>
        </is>
      </c>
      <c r="J27" s="25" t="n">
        <v>8.5</v>
      </c>
      <c r="K27" s="24" t="inlineStr">
        <is>
          <t>polymarket_us</t>
        </is>
      </c>
      <c r="L27" s="26" t="n">
        <v>125</v>
      </c>
      <c r="M27" s="27" t="n">
        <v>2.25</v>
      </c>
      <c r="N27" s="28" t="n">
        <v>0.444444</v>
      </c>
      <c r="O27" s="28" t="n">
        <v>0.53451</v>
      </c>
      <c r="P27" s="28" t="n">
        <v>0.047697</v>
      </c>
      <c r="Q27" s="28" t="n">
        <v>0.09006599999999999</v>
      </c>
      <c r="R27" s="26" t="n">
        <v>66</v>
      </c>
      <c r="S27" s="29" t="n">
        <v>0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6</v>
      </c>
      <c r="X27" s="26" t="n">
        <v>5</v>
      </c>
      <c r="Y27" s="25" t="n">
        <v>8.5</v>
      </c>
      <c r="Z27" s="26" t="n">
        <v>125</v>
      </c>
      <c r="AA27" s="28" t="n">
        <v>0.445</v>
      </c>
      <c r="AB27" s="28" t="n">
        <v>0.000556</v>
      </c>
      <c r="AC27" s="30" t="n">
        <v>0</v>
      </c>
      <c r="AD27" s="24" t="inlineStr">
        <is>
          <t>2026-07-28T23:36:44.465727Z</t>
        </is>
      </c>
      <c r="AE27" s="31" t="inlineStr">
        <is>
          <t>Measured Edge Totals: Trend Engine projected 3.23-5.16; raw selected-side p=0.5406, calibrated p=0.5345.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mlb-cle</t>
        </is>
      </c>
      <c r="AQ27" s="24" t="inlineStr">
        <is>
          <t>Cleveland Guardians</t>
        </is>
      </c>
      <c r="AR27" s="24" t="inlineStr">
        <is>
          <t>Cleveland Guardians</t>
        </is>
      </c>
      <c r="AS27" s="24" t="inlineStr">
        <is>
          <t>mlb-cin</t>
        </is>
      </c>
      <c r="AT27" s="24" t="inlineStr">
        <is>
          <t>Cincinnati Reds</t>
        </is>
      </c>
      <c r="AU27" s="24" t="inlineStr">
        <is>
          <t>Cincinnati Reds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0aa06c0f065ec20d43901d386280174165e2b07065216b6c7ffe72c98e322706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0aa06c0f065ec20d43901d386280174165e2b07065216b6c7ffe72c98e322706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2026-07-28T17:26:47.998892Z</t>
        </is>
      </c>
      <c r="BI27" s="24" t="inlineStr">
        <is>
          <t>["same_event","same_team_same_day","same_league_same_day"]</t>
        </is>
      </c>
      <c r="BJ27" s="25" t="n">
        <v>8.5</v>
      </c>
      <c r="BK27" s="26" t="n">
        <v>125</v>
      </c>
      <c r="BL27" s="27" t="n">
        <v>2.25</v>
      </c>
      <c r="BM27" s="28" t="n">
        <v>0.444444</v>
      </c>
      <c r="BN27" s="28" t="n">
        <v>0.442786</v>
      </c>
      <c r="BO27" s="28" t="n"/>
      <c r="BP27" s="25" t="n"/>
      <c r="BQ27" s="27" t="n">
        <v>2.25</v>
      </c>
      <c r="BR27" s="28" t="n">
        <v>0.445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fa2528b34ff54c85</t>
        </is>
      </c>
      <c r="B28" s="24" t="inlineStr">
        <is>
          <t>2026-07-28T20:32:52.305699Z</t>
        </is>
      </c>
      <c r="C28" s="24" t="inlineStr">
        <is>
          <t>2026-07-28T19:30:00-0400</t>
        </is>
      </c>
      <c r="D28" s="24" t="inlineStr">
        <is>
          <t>401857092</t>
        </is>
      </c>
      <c r="E28" s="24" t="inlineStr">
        <is>
          <t>WNBA</t>
        </is>
      </c>
      <c r="F28" s="24" t="inlineStr">
        <is>
          <t>Connecticut Sun</t>
        </is>
      </c>
      <c r="G28" s="24" t="inlineStr">
        <is>
          <t>Washington Mystics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-233</v>
      </c>
      <c r="M28" s="27" t="n">
        <v>1.429185</v>
      </c>
      <c r="N28" s="28" t="n">
        <v>0.6997</v>
      </c>
      <c r="O28" s="28" t="n">
        <v>0.651351</v>
      </c>
      <c r="P28" s="28" t="n"/>
      <c r="Q28" s="28" t="n">
        <v>-0.048349</v>
      </c>
      <c r="R28" s="26" t="n">
        <v>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84</v>
      </c>
      <c r="X28" s="26" t="n">
        <v>92</v>
      </c>
      <c r="Y28" s="25" t="n"/>
      <c r="Z28" s="26" t="n"/>
      <c r="AA28" s="28" t="n"/>
      <c r="AB28" s="28" t="n"/>
      <c r="AC28" s="30" t="n">
        <v>0.8584000000000001</v>
      </c>
      <c r="AD28" s="24" t="inlineStr">
        <is>
          <t>2026-07-29T02:41:27.874111Z</t>
        </is>
      </c>
      <c r="AE28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wnba-con</t>
        </is>
      </c>
      <c r="AQ28" s="24" t="inlineStr">
        <is>
          <t>Connecticut Sun</t>
        </is>
      </c>
      <c r="AR28" s="24" t="inlineStr">
        <is>
          <t>Connecticut Sun</t>
        </is>
      </c>
      <c r="AS28" s="24" t="inlineStr">
        <is>
          <t>wnba-was</t>
        </is>
      </c>
      <c r="AT28" s="24" t="inlineStr">
        <is>
          <t>Washington Mystics</t>
        </is>
      </c>
      <c r="AU28" s="24" t="inlineStr">
        <is>
          <t>Washington Mystics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9ff7e91f06711349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2026-07-28T20:32:19.399772Z</t>
        </is>
      </c>
      <c r="BI28" s="24" t="inlineStr">
        <is>
          <t>["same_event","same_team_same_day","same_league_same_day"]</t>
        </is>
      </c>
      <c r="BJ28" s="25" t="n"/>
      <c r="BK28" s="26" t="n">
        <v>-233</v>
      </c>
      <c r="BL28" s="27" t="n">
        <v>1.429185</v>
      </c>
      <c r="BM28" s="28" t="n">
        <v>0.6997</v>
      </c>
      <c r="BN28" s="28" t="n">
        <v>0.693069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0.6918482186</t>
        </is>
      </c>
      <c r="CD28" s="24" t="inlineStr">
        <is>
          <t>-5.150338</t>
        </is>
      </c>
      <c r="CE28" s="24" t="n"/>
      <c r="CF28" s="24" t="n"/>
      <c r="CG28" s="24" t="n"/>
      <c r="CH28" s="24" t="n"/>
      <c r="CI28" s="24" t="inlineStr">
        <is>
          <t>wnba_availability_source_conflict</t>
        </is>
      </c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b67883b8cc164b58</t>
        </is>
      </c>
      <c r="B29" s="24" t="inlineStr">
        <is>
          <t>2026-07-28T20:33:04.711319Z</t>
        </is>
      </c>
      <c r="C29" s="24" t="inlineStr">
        <is>
          <t>2026-07-28T22:40Z</t>
        </is>
      </c>
      <c r="D29" s="24" t="inlineStr">
        <is>
          <t>401816292</t>
        </is>
      </c>
      <c r="E29" s="24" t="inlineStr">
        <is>
          <t>MLB</t>
        </is>
      </c>
      <c r="F29" s="24" t="inlineStr">
        <is>
          <t>Arizona Diamondbacks</t>
        </is>
      </c>
      <c r="G29" s="24" t="inlineStr">
        <is>
          <t>Pittsburgh Pirates</t>
        </is>
      </c>
      <c r="H29" s="24" t="inlineStr">
        <is>
          <t>spread</t>
        </is>
      </c>
      <c r="I29" s="24" t="inlineStr">
        <is>
          <t>away</t>
        </is>
      </c>
      <c r="J29" s="25" t="n">
        <v>-1.5</v>
      </c>
      <c r="K29" s="24" t="inlineStr">
        <is>
          <t>polymarket_us</t>
        </is>
      </c>
      <c r="L29" s="26" t="n">
        <v>167</v>
      </c>
      <c r="M29" s="27" t="n">
        <v>2.67</v>
      </c>
      <c r="N29" s="28" t="n">
        <v>0.374532</v>
      </c>
      <c r="O29" s="28" t="n">
        <v>0.53604</v>
      </c>
      <c r="P29" s="28" t="n">
        <v>0.047697</v>
      </c>
      <c r="Q29" s="28" t="n">
        <v>0.161508</v>
      </c>
      <c r="R29" s="26" t="n">
        <v>100</v>
      </c>
      <c r="S29" s="29" t="n">
        <v>0</v>
      </c>
      <c r="T29" s="24" t="inlineStr">
        <is>
          <t>measured-edge-margin-v1</t>
        </is>
      </c>
      <c r="U29" s="24" t="inlineStr">
        <is>
          <t>settled</t>
        </is>
      </c>
      <c r="V29" s="24" t="inlineStr">
        <is>
          <t>loss</t>
        </is>
      </c>
      <c r="W29" s="26" t="n">
        <v>8</v>
      </c>
      <c r="X29" s="26" t="n">
        <v>7</v>
      </c>
      <c r="Y29" s="25" t="n">
        <v>-1.5</v>
      </c>
      <c r="Z29" s="26" t="n">
        <v>167</v>
      </c>
      <c r="AA29" s="28" t="n">
        <v>0.375</v>
      </c>
      <c r="AB29" s="28" t="n">
        <v>0.000468</v>
      </c>
      <c r="AC29" s="30" t="n">
        <v>0</v>
      </c>
      <c r="AD29" s="24" t="inlineStr">
        <is>
          <t>2026-07-29T05:44:53.523375Z</t>
        </is>
      </c>
      <c r="AE29" s="31" t="inlineStr">
        <is>
          <t>Measured Edge Margin: Trend Engine projected 5.17-3.11; raw selected-side p=0.5424, calibrated p=0.5360.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mlb-ari</t>
        </is>
      </c>
      <c r="AQ29" s="24" t="inlineStr">
        <is>
          <t>Arizona Diamondbacks</t>
        </is>
      </c>
      <c r="AR29" s="24" t="inlineStr">
        <is>
          <t>Arizona Diamondbacks</t>
        </is>
      </c>
      <c r="AS29" s="24" t="inlineStr">
        <is>
          <t>mlb-pit</t>
        </is>
      </c>
      <c r="AT29" s="24" t="inlineStr">
        <is>
          <t>Pittsburgh Pirates</t>
        </is>
      </c>
      <c r="AU29" s="24" t="inlineStr">
        <is>
          <t>Pittsburgh Pirates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bd86494ed21c6a0389ab0efcf4b8a5bb7b9f8f8786b6d5fb9da69d8cf0a70bdc</t>
        </is>
      </c>
      <c r="BB29" s="24" t="inlineStr">
        <is>
          <t>flat_probability_shrinkage_toward_half</t>
        </is>
      </c>
      <c r="BC29" s="24" t="inlineStr">
        <is>
          <t>measured-edge-margin-v1</t>
        </is>
      </c>
      <c r="BD29" s="24" t="inlineStr">
        <is>
          <t>bd86494ed21c6a0389ab0efcf4b8a5bb7b9f8f8786b6d5fb9da69d8cf0a70bdc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2026-07-28T20:33:04.711319Z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167</v>
      </c>
      <c r="BL29" s="27" t="n">
        <v>2.67</v>
      </c>
      <c r="BM29" s="28" t="n">
        <v>0.374532</v>
      </c>
      <c r="BN29" s="28" t="n">
        <v>0.373134</v>
      </c>
      <c r="BO29" s="28" t="n"/>
      <c r="BP29" s="25" t="n"/>
      <c r="BQ29" s="27" t="n">
        <v>2.67</v>
      </c>
      <c r="BR29" s="28" t="n">
        <v>0.375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2eb6ec85e7ad467a</t>
        </is>
      </c>
      <c r="B30" s="24" t="inlineStr">
        <is>
          <t>2026-07-28T20:33:04.711319Z</t>
        </is>
      </c>
      <c r="C30" s="24" t="inlineStr">
        <is>
          <t>2026-07-28T22:40Z</t>
        </is>
      </c>
      <c r="D30" s="24" t="inlineStr">
        <is>
          <t>401816292</t>
        </is>
      </c>
      <c r="E30" s="24" t="inlineStr">
        <is>
          <t>MLB</t>
        </is>
      </c>
      <c r="F30" s="24" t="inlineStr">
        <is>
          <t>Arizona Diamondbacks</t>
        </is>
      </c>
      <c r="G30" s="24" t="inlineStr">
        <is>
          <t>Pittsburgh Pirates</t>
        </is>
      </c>
      <c r="H30" s="24" t="inlineStr">
        <is>
          <t>total</t>
        </is>
      </c>
      <c r="I30" s="24" t="inlineStr">
        <is>
          <t>under</t>
        </is>
      </c>
      <c r="J30" s="25" t="n">
        <v>9.5</v>
      </c>
      <c r="K30" s="24" t="inlineStr">
        <is>
          <t>polymarket_us</t>
        </is>
      </c>
      <c r="L30" s="26" t="n">
        <v>-115</v>
      </c>
      <c r="M30" s="27" t="n">
        <v>1.869565</v>
      </c>
      <c r="N30" s="28" t="n">
        <v>0.534884</v>
      </c>
      <c r="O30" s="28" t="n">
        <v>0.64076</v>
      </c>
      <c r="P30" s="28" t="n">
        <v>0.047697</v>
      </c>
      <c r="Q30" s="28" t="n">
        <v>0.105876</v>
      </c>
      <c r="R30" s="26" t="n">
        <v>74</v>
      </c>
      <c r="S30" s="29" t="n">
        <v>0</v>
      </c>
      <c r="T30" s="24" t="inlineStr">
        <is>
          <t>measured-edge-totals-v1</t>
        </is>
      </c>
      <c r="U30" s="24" t="inlineStr">
        <is>
          <t>settled</t>
        </is>
      </c>
      <c r="V30" s="24" t="inlineStr">
        <is>
          <t>loss</t>
        </is>
      </c>
      <c r="W30" s="26" t="n">
        <v>8</v>
      </c>
      <c r="X30" s="26" t="n">
        <v>7</v>
      </c>
      <c r="Y30" s="25" t="n">
        <v>9.5</v>
      </c>
      <c r="Z30" s="26" t="n">
        <v>-115</v>
      </c>
      <c r="AA30" s="28" t="n">
        <v>0.535</v>
      </c>
      <c r="AB30" s="28" t="n">
        <v>0.000116</v>
      </c>
      <c r="AC30" s="30" t="n">
        <v>0</v>
      </c>
      <c r="AD30" s="24" t="inlineStr">
        <is>
          <t>2026-07-29T05:44:53.889526Z</t>
        </is>
      </c>
      <c r="AE30" s="31" t="inlineStr">
        <is>
          <t>Measured Edge Totals: Trend Engine projected 5.17-3.11; raw selected-side p=0.6656, calibrated p=0.6408.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mlb-ari</t>
        </is>
      </c>
      <c r="AQ30" s="24" t="inlineStr">
        <is>
          <t>Arizona Diamondbacks</t>
        </is>
      </c>
      <c r="AR30" s="24" t="inlineStr">
        <is>
          <t>Arizona Diamondbacks</t>
        </is>
      </c>
      <c r="AS30" s="24" t="inlineStr">
        <is>
          <t>mlb-pit</t>
        </is>
      </c>
      <c r="AT30" s="24" t="inlineStr">
        <is>
          <t>Pittsburgh Pirates</t>
        </is>
      </c>
      <c r="AU30" s="24" t="inlineStr">
        <is>
          <t>Pittsburgh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0aa06c0f065ec20d43901d386280174165e2b07065216b6c7ffe72c98e322706</t>
        </is>
      </c>
      <c r="BB30" s="24" t="inlineStr">
        <is>
          <t>flat_probability_shrinkage_toward_half</t>
        </is>
      </c>
      <c r="BC30" s="24" t="inlineStr">
        <is>
          <t>measured-edge-totals-v1</t>
        </is>
      </c>
      <c r="BD30" s="24" t="inlineStr">
        <is>
          <t>0aa06c0f065ec20d43901d386280174165e2b07065216b6c7ffe72c98e322706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2026-07-28T20:33:04.711319Z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-115</v>
      </c>
      <c r="BL30" s="27" t="n">
        <v>1.869565</v>
      </c>
      <c r="BM30" s="28" t="n">
        <v>0.534884</v>
      </c>
      <c r="BN30" s="28" t="n">
        <v>0.532338</v>
      </c>
      <c r="BO30" s="28" t="n"/>
      <c r="BP30" s="25" t="n"/>
      <c r="BQ30" s="27" t="n">
        <v>1.869565</v>
      </c>
      <c r="BR30" s="28" t="n">
        <v>0.535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37b3b8cd691e40b2</t>
        </is>
      </c>
      <c r="B31" s="24" t="inlineStr">
        <is>
          <t>2026-07-28T20:33:04.711319Z</t>
        </is>
      </c>
      <c r="C31" s="24" t="inlineStr">
        <is>
          <t>2026-07-28T22:40Z</t>
        </is>
      </c>
      <c r="D31" s="24" t="inlineStr">
        <is>
          <t>401816294</t>
        </is>
      </c>
      <c r="E31" s="24" t="inlineStr">
        <is>
          <t>MLB</t>
        </is>
      </c>
      <c r="F31" s="24" t="inlineStr">
        <is>
          <t>Baltimore Orioles</t>
        </is>
      </c>
      <c r="G31" s="24" t="inlineStr">
        <is>
          <t>Detroit Tigers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147</v>
      </c>
      <c r="M31" s="27" t="n">
        <v>2.47</v>
      </c>
      <c r="N31" s="28" t="n">
        <v>0.404858</v>
      </c>
      <c r="O31" s="28" t="n">
        <v>0.64535</v>
      </c>
      <c r="P31" s="28" t="n">
        <v>0.056347</v>
      </c>
      <c r="Q31" s="28" t="n">
        <v>0.240492</v>
      </c>
      <c r="R31" s="26" t="n">
        <v>100</v>
      </c>
      <c r="S31" s="29" t="n">
        <v>0</v>
      </c>
      <c r="T31" s="24" t="inlineStr">
        <is>
          <t>measured-edge-margin-v1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14</v>
      </c>
      <c r="Y31" s="25" t="n">
        <v>-1.5</v>
      </c>
      <c r="Z31" s="26" t="n">
        <v>147</v>
      </c>
      <c r="AA31" s="28" t="n">
        <v>0.405</v>
      </c>
      <c r="AB31" s="28" t="n">
        <v>0.000142</v>
      </c>
      <c r="AC31" s="30" t="n">
        <v>0</v>
      </c>
      <c r="AD31" s="24" t="inlineStr">
        <is>
          <t>2026-07-29T02:41:29.472217Z</t>
        </is>
      </c>
      <c r="AE31" s="31" t="inlineStr">
        <is>
          <t>Measured Edge Margin: Trend Engine projected 2.20-5.43; raw selected-side p=0.6710, calibrated p=0.6453.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mlb-bal</t>
        </is>
      </c>
      <c r="AQ31" s="24" t="inlineStr">
        <is>
          <t>Baltimore Orioles</t>
        </is>
      </c>
      <c r="AR31" s="24" t="inlineStr">
        <is>
          <t>Baltimore Orioles</t>
        </is>
      </c>
      <c r="AS31" s="24" t="inlineStr">
        <is>
          <t>mlb-det</t>
        </is>
      </c>
      <c r="AT31" s="24" t="inlineStr">
        <is>
          <t>Detroit Tigers</t>
        </is>
      </c>
      <c r="AU31" s="24" t="inlineStr">
        <is>
          <t>Detroit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bd86494ed21c6a0389ab0efcf4b8a5bb7b9f8f8786b6d5fb9da69d8cf0a70bdc</t>
        </is>
      </c>
      <c r="BB31" s="24" t="inlineStr">
        <is>
          <t>flat_probability_shrinkage_toward_half</t>
        </is>
      </c>
      <c r="BC31" s="24" t="inlineStr">
        <is>
          <t>measured-edge-margin-v1</t>
        </is>
      </c>
      <c r="BD31" s="24" t="inlineStr">
        <is>
          <t>bd86494ed21c6a0389ab0efcf4b8a5bb7b9f8f8786b6d5fb9da69d8cf0a70bdc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2026-07-28T20:33:04.711319Z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147</v>
      </c>
      <c r="BL31" s="27" t="n">
        <v>2.47</v>
      </c>
      <c r="BM31" s="28" t="n">
        <v>0.404858</v>
      </c>
      <c r="BN31" s="28" t="n">
        <v>0.402985</v>
      </c>
      <c r="BO31" s="28" t="n"/>
      <c r="BP31" s="25" t="n"/>
      <c r="BQ31" s="27" t="n">
        <v>2.47</v>
      </c>
      <c r="BR31" s="28" t="n">
        <v>0.405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d5d8babc17d84e19</t>
        </is>
      </c>
      <c r="B32" s="24" t="inlineStr">
        <is>
          <t>2026-07-28T20:33:04.711319Z</t>
        </is>
      </c>
      <c r="C32" s="24" t="inlineStr">
        <is>
          <t>2026-07-28T22:40Z</t>
        </is>
      </c>
      <c r="D32" s="24" t="inlineStr">
        <is>
          <t>401816294</t>
        </is>
      </c>
      <c r="E32" s="24" t="inlineStr">
        <is>
          <t>MLB</t>
        </is>
      </c>
      <c r="F32" s="24" t="inlineStr">
        <is>
          <t>Baltimore Orioles</t>
        </is>
      </c>
      <c r="G32" s="24" t="inlineStr">
        <is>
          <t>Detroit Tigers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-120</v>
      </c>
      <c r="M32" s="27" t="n">
        <v>1.833333</v>
      </c>
      <c r="N32" s="28" t="n">
        <v>0.545455</v>
      </c>
      <c r="O32" s="28" t="n">
        <v>0.6869150000000001</v>
      </c>
      <c r="P32" s="28" t="n">
        <v>0.056347</v>
      </c>
      <c r="Q32" s="28" t="n">
        <v>0.14146</v>
      </c>
      <c r="R32" s="26" t="n">
        <v>87</v>
      </c>
      <c r="S32" s="29" t="n">
        <v>0</v>
      </c>
      <c r="T32" s="24" t="inlineStr">
        <is>
          <t>measured-edge-totals-v1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14</v>
      </c>
      <c r="Y32" s="25" t="n">
        <v>9.5</v>
      </c>
      <c r="Z32" s="26" t="n">
        <v>-120</v>
      </c>
      <c r="AA32" s="28" t="n">
        <v>0.545</v>
      </c>
      <c r="AB32" s="28" t="n">
        <v>-0.000455</v>
      </c>
      <c r="AC32" s="30" t="n">
        <v>0</v>
      </c>
      <c r="AD32" s="24" t="inlineStr">
        <is>
          <t>2026-07-29T02:41:29.883737Z</t>
        </is>
      </c>
      <c r="AE32" s="31" t="inlineStr">
        <is>
          <t>Measured Edge Totals: Trend Engine projected 2.20-5.43; raw selected-side p=0.7199, calibrated p=0.6869.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mlb-bal</t>
        </is>
      </c>
      <c r="AQ32" s="24" t="inlineStr">
        <is>
          <t>Baltimore Orioles</t>
        </is>
      </c>
      <c r="AR32" s="24" t="inlineStr">
        <is>
          <t>Baltimore Orioles</t>
        </is>
      </c>
      <c r="AS32" s="24" t="inlineStr">
        <is>
          <t>mlb-det</t>
        </is>
      </c>
      <c r="AT32" s="24" t="inlineStr">
        <is>
          <t>Detroit Tigers</t>
        </is>
      </c>
      <c r="AU32" s="24" t="inlineStr">
        <is>
          <t>Detroit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0aa06c0f065ec20d43901d386280174165e2b07065216b6c7ffe72c98e322706</t>
        </is>
      </c>
      <c r="BB32" s="24" t="inlineStr">
        <is>
          <t>flat_probability_shrinkage_toward_half</t>
        </is>
      </c>
      <c r="BC32" s="24" t="inlineStr">
        <is>
          <t>measured-edge-totals-v1</t>
        </is>
      </c>
      <c r="BD32" s="24" t="inlineStr">
        <is>
          <t>0aa06c0f065ec20d43901d386280174165e2b07065216b6c7ffe72c98e322706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2026-07-28T20:33:04.711319Z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-120</v>
      </c>
      <c r="BL32" s="27" t="n">
        <v>1.833333</v>
      </c>
      <c r="BM32" s="28" t="n">
        <v>0.545455</v>
      </c>
      <c r="BN32" s="28" t="n">
        <v>0.542289</v>
      </c>
      <c r="BO32" s="28" t="n"/>
      <c r="BP32" s="25" t="n"/>
      <c r="BQ32" s="27" t="n">
        <v>1.833333</v>
      </c>
      <c r="BR32" s="28" t="n">
        <v>0.545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cef5ec6a216b4868</t>
        </is>
      </c>
      <c r="B33" s="24" t="inlineStr">
        <is>
          <t>2026-07-28T20:33:04.711319Z</t>
        </is>
      </c>
      <c r="C33" s="24" t="inlineStr">
        <is>
          <t>2026-07-28T22:40Z</t>
        </is>
      </c>
      <c r="D33" s="24" t="inlineStr">
        <is>
          <t>401816296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Miami Marlins</t>
        </is>
      </c>
      <c r="H33" s="24" t="inlineStr">
        <is>
          <t>spread</t>
        </is>
      </c>
      <c r="I33" s="24" t="inlineStr">
        <is>
          <t>home</t>
        </is>
      </c>
      <c r="J33" s="25" t="n">
        <v>-1.5</v>
      </c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0.50935</v>
      </c>
      <c r="P33" s="28" t="n">
        <v>0.046637</v>
      </c>
      <c r="Q33" s="28" t="n">
        <v>0.1597</v>
      </c>
      <c r="R33" s="26" t="n">
        <v>100</v>
      </c>
      <c r="S33" s="29" t="n">
        <v>0</v>
      </c>
      <c r="T33" s="24" t="inlineStr">
        <is>
          <t>measured-edge-margin-v1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>
        <v>-1.5</v>
      </c>
      <c r="Z33" s="26" t="n">
        <v>186</v>
      </c>
      <c r="AA33" s="28" t="n">
        <v>0.35</v>
      </c>
      <c r="AB33" s="28" t="n">
        <v>0.00035</v>
      </c>
      <c r="AC33" s="30" t="n">
        <v>0</v>
      </c>
      <c r="AD33" s="24" t="inlineStr">
        <is>
          <t>2026-07-29T02:41:30.249956Z</t>
        </is>
      </c>
      <c r="AE33" s="31" t="inlineStr">
        <is>
          <t>Measured Edge Margin: Trend Engine projected 4.28-6.18; raw selected-side p=0.5110, calibrated p=0.5093.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mlb-mia</t>
        </is>
      </c>
      <c r="AT33" s="24" t="inlineStr">
        <is>
          <t>Miami Marlins</t>
        </is>
      </c>
      <c r="AU33" s="24" t="inlineStr">
        <is>
          <t>Miami Marlins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bd86494ed21c6a0389ab0efcf4b8a5bb7b9f8f8786b6d5fb9da69d8cf0a70bdc</t>
        </is>
      </c>
      <c r="BB33" s="24" t="inlineStr">
        <is>
          <t>flat_probability_shrinkage_toward_half</t>
        </is>
      </c>
      <c r="BC33" s="24" t="inlineStr">
        <is>
          <t>measured-edge-margin-v1</t>
        </is>
      </c>
      <c r="BD33" s="24" t="inlineStr">
        <is>
          <t>bd86494ed21c6a0389ab0efcf4b8a5bb7b9f8f8786b6d5fb9da69d8cf0a70bdc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2026-07-28T20:33:04.711319Z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186</v>
      </c>
      <c r="BL33" s="27" t="n">
        <v>2.86</v>
      </c>
      <c r="BM33" s="28" t="n">
        <v>0.34965</v>
      </c>
      <c r="BN33" s="28" t="n">
        <v>0.348259</v>
      </c>
      <c r="BO33" s="28" t="n"/>
      <c r="BP33" s="25" t="n"/>
      <c r="BQ33" s="27" t="n">
        <v>2.86</v>
      </c>
      <c r="BR33" s="28" t="n">
        <v>0.35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97450c6cb51d4ce8</t>
        </is>
      </c>
      <c r="B34" s="24" t="inlineStr">
        <is>
          <t>2026-07-28T20:33:04.711319Z</t>
        </is>
      </c>
      <c r="C34" s="24" t="inlineStr">
        <is>
          <t>2026-07-28T22:40Z</t>
        </is>
      </c>
      <c r="D34" s="24" t="inlineStr">
        <is>
          <t>401816296</t>
        </is>
      </c>
      <c r="E34" s="24" t="inlineStr">
        <is>
          <t>MLB</t>
        </is>
      </c>
      <c r="F34" s="24" t="inlineStr">
        <is>
          <t>Philadelphia Phillies</t>
        </is>
      </c>
      <c r="G34" s="24" t="inlineStr">
        <is>
          <t>Miami Marlins</t>
        </is>
      </c>
      <c r="H34" s="24" t="inlineStr">
        <is>
          <t>total</t>
        </is>
      </c>
      <c r="I34" s="24" t="inlineStr">
        <is>
          <t>over</t>
        </is>
      </c>
      <c r="J34" s="25" t="n">
        <v>8.5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0.607525</v>
      </c>
      <c r="P34" s="28" t="n">
        <v>0.046637</v>
      </c>
      <c r="Q34" s="28" t="n">
        <v>0.133591</v>
      </c>
      <c r="R34" s="26" t="n">
        <v>89</v>
      </c>
      <c r="S34" s="29" t="n">
        <v>0</v>
      </c>
      <c r="T34" s="24" t="inlineStr">
        <is>
          <t>measured-edge-totals-v1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>
        <v>8.5</v>
      </c>
      <c r="Z34" s="26" t="n">
        <v>111</v>
      </c>
      <c r="AA34" s="28" t="n">
        <v>0.475</v>
      </c>
      <c r="AB34" s="28" t="n">
        <v>0.001066</v>
      </c>
      <c r="AC34" s="30" t="n">
        <v>0</v>
      </c>
      <c r="AD34" s="24" t="inlineStr">
        <is>
          <t>2026-07-29T02:41:30.633496Z</t>
        </is>
      </c>
      <c r="AE34" s="31" t="inlineStr">
        <is>
          <t>Measured Edge Totals: Trend Engine projected 4.28-6.18; raw selected-side p=0.6265, calibrated p=0.6075.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mlb-phi</t>
        </is>
      </c>
      <c r="AQ34" s="24" t="inlineStr">
        <is>
          <t>Philadelphia Phillies</t>
        </is>
      </c>
      <c r="AR34" s="24" t="inlineStr">
        <is>
          <t>Philadelphia Phillies</t>
        </is>
      </c>
      <c r="AS34" s="24" t="inlineStr">
        <is>
          <t>mlb-mia</t>
        </is>
      </c>
      <c r="AT34" s="24" t="inlineStr">
        <is>
          <t>Miami Marlins</t>
        </is>
      </c>
      <c r="AU34" s="24" t="inlineStr">
        <is>
          <t>Miami Marlins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0aa06c0f065ec20d43901d386280174165e2b07065216b6c7ffe72c98e322706</t>
        </is>
      </c>
      <c r="BB34" s="24" t="inlineStr">
        <is>
          <t>flat_probability_shrinkage_toward_half</t>
        </is>
      </c>
      <c r="BC34" s="24" t="inlineStr">
        <is>
          <t>measured-edge-totals-v1</t>
        </is>
      </c>
      <c r="BD34" s="24" t="inlineStr">
        <is>
          <t>0aa06c0f065ec20d43901d386280174165e2b07065216b6c7ffe72c98e322706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2026-07-28T20:33:04.711319Z</t>
        </is>
      </c>
      <c r="BI34" s="24" t="inlineStr">
        <is>
          <t>["same_event","same_team_same_day","same_league_same_day"]</t>
        </is>
      </c>
      <c r="BJ34" s="25" t="n">
        <v>8.5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b028cc7074d34e30</t>
        </is>
      </c>
      <c r="B35" s="24" t="inlineStr">
        <is>
          <t>2026-07-28T20:33:04.711319Z</t>
        </is>
      </c>
      <c r="C35" s="24" t="inlineStr">
        <is>
          <t>2026-07-28T22:40Z</t>
        </is>
      </c>
      <c r="D35" s="24" t="inlineStr">
        <is>
          <t>401816297</t>
        </is>
      </c>
      <c r="E35" s="24" t="inlineStr">
        <is>
          <t>MLB</t>
        </is>
      </c>
      <c r="F35" s="24" t="inlineStr">
        <is>
          <t>Texas Rangers</t>
        </is>
      </c>
      <c r="G35" s="24" t="inlineStr">
        <is>
          <t>Tampa Bay Rays</t>
        </is>
      </c>
      <c r="H35" s="24" t="inlineStr">
        <is>
          <t>spread</t>
        </is>
      </c>
      <c r="I35" s="24" t="inlineStr">
        <is>
          <t>away</t>
        </is>
      </c>
      <c r="J35" s="25" t="n">
        <v>1.5</v>
      </c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0.64654</v>
      </c>
      <c r="P35" s="28" t="n">
        <v>0.046637</v>
      </c>
      <c r="Q35" s="28" t="n">
        <v>0.075725</v>
      </c>
      <c r="R35" s="26" t="n">
        <v>60</v>
      </c>
      <c r="S35" s="29" t="n">
        <v>0</v>
      </c>
      <c r="T35" s="24" t="inlineStr">
        <is>
          <t>measured-edge-margin-v1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>
        <v>1.5</v>
      </c>
      <c r="Z35" s="26" t="n">
        <v>-133</v>
      </c>
      <c r="AA35" s="28" t="n">
        <v>0.57</v>
      </c>
      <c r="AB35" s="28" t="n">
        <v>-0.000815</v>
      </c>
      <c r="AC35" s="30" t="n">
        <v>0</v>
      </c>
      <c r="AD35" s="24" t="inlineStr">
        <is>
          <t>2026-07-29T02:41:31.035767Z</t>
        </is>
      </c>
      <c r="AE35" s="31" t="inlineStr">
        <is>
          <t>Measured Edge Margin: Trend Engine projected 5.11-4.89; raw selected-side p=0.6724, calibrated p=0.6465.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mlb-tex</t>
        </is>
      </c>
      <c r="AQ35" s="24" t="inlineStr">
        <is>
          <t>Texas Rangers</t>
        </is>
      </c>
      <c r="AR35" s="24" t="inlineStr">
        <is>
          <t>Texas Rangers</t>
        </is>
      </c>
      <c r="AS35" s="24" t="inlineStr">
        <is>
          <t>mlb-tb</t>
        </is>
      </c>
      <c r="AT35" s="24" t="inlineStr">
        <is>
          <t>Tampa Bay Rays</t>
        </is>
      </c>
      <c r="AU35" s="24" t="inlineStr">
        <is>
          <t>Tampa Bay Rays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bd86494ed21c6a0389ab0efcf4b8a5bb7b9f8f8786b6d5fb9da69d8cf0a70bdc</t>
        </is>
      </c>
      <c r="BB35" s="24" t="inlineStr">
        <is>
          <t>flat_probability_shrinkage_toward_half</t>
        </is>
      </c>
      <c r="BC35" s="24" t="inlineStr">
        <is>
          <t>measured-edge-margin-v1</t>
        </is>
      </c>
      <c r="BD35" s="24" t="inlineStr">
        <is>
          <t>bd86494ed21c6a0389ab0efcf4b8a5bb7b9f8f8786b6d5fb9da69d8cf0a70bdc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2026-07-28T20:33:04.711319Z</t>
        </is>
      </c>
      <c r="BI35" s="24" t="inlineStr">
        <is>
          <t>["same_event","same_team_same_day","same_league_same_day"]</t>
        </is>
      </c>
      <c r="BJ35" s="25" t="n">
        <v>1.5</v>
      </c>
      <c r="BK35" s="26" t="n">
        <v>-133</v>
      </c>
      <c r="BL35" s="27" t="n">
        <v>1.75188</v>
      </c>
      <c r="BM35" s="28" t="n">
        <v>0.570815</v>
      </c>
      <c r="BN35" s="28" t="n">
        <v>0.567164</v>
      </c>
      <c r="BO35" s="28" t="n"/>
      <c r="BP35" s="25" t="n"/>
      <c r="BQ35" s="27" t="n">
        <v>1.75188</v>
      </c>
      <c r="BR35" s="28" t="n">
        <v>0.57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10a7a379b0614f96</t>
        </is>
      </c>
      <c r="B36" s="24" t="inlineStr">
        <is>
          <t>2026-07-28T20:33:04.711319Z</t>
        </is>
      </c>
      <c r="C36" s="24" t="inlineStr">
        <is>
          <t>2026-07-28T22:40Z</t>
        </is>
      </c>
      <c r="D36" s="24" t="inlineStr">
        <is>
          <t>401816297</t>
        </is>
      </c>
      <c r="E36" s="24" t="inlineStr">
        <is>
          <t>MLB</t>
        </is>
      </c>
      <c r="F36" s="24" t="inlineStr">
        <is>
          <t>Texas Rangers</t>
        </is>
      </c>
      <c r="G36" s="24" t="inlineStr">
        <is>
          <t>Tampa Bay Rays</t>
        </is>
      </c>
      <c r="H36" s="24" t="inlineStr">
        <is>
          <t>total</t>
        </is>
      </c>
      <c r="I36" s="24" t="inlineStr">
        <is>
          <t>over</t>
        </is>
      </c>
      <c r="J36" s="25" t="n">
        <v>8.5</v>
      </c>
      <c r="K36" s="24" t="inlineStr">
        <is>
          <t>polymarket_us</t>
        </is>
      </c>
      <c r="L36" s="26" t="n">
        <v>113</v>
      </c>
      <c r="M36" s="27" t="n">
        <v>2.13</v>
      </c>
      <c r="N36" s="28" t="n">
        <v>0.469484</v>
      </c>
      <c r="O36" s="28" t="n">
        <v>0.58976</v>
      </c>
      <c r="P36" s="28" t="n">
        <v>0.046637</v>
      </c>
      <c r="Q36" s="28" t="n">
        <v>0.120276</v>
      </c>
      <c r="R36" s="26" t="n">
        <v>82</v>
      </c>
      <c r="S36" s="29" t="n">
        <v>0</v>
      </c>
      <c r="T36" s="24" t="inlineStr">
        <is>
          <t>measured-edge-totals-v1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1</v>
      </c>
      <c r="Y36" s="25" t="n">
        <v>8.5</v>
      </c>
      <c r="Z36" s="26" t="n">
        <v>113</v>
      </c>
      <c r="AA36" s="28" t="n">
        <v>0.47</v>
      </c>
      <c r="AB36" s="28" t="n">
        <v>0.000516</v>
      </c>
      <c r="AC36" s="30" t="n">
        <v>0</v>
      </c>
      <c r="AD36" s="24" t="inlineStr">
        <is>
          <t>2026-07-29T02:41:31.431680Z</t>
        </is>
      </c>
      <c r="AE36" s="31" t="inlineStr">
        <is>
          <t>Measured Edge Totals: Trend Engine projected 5.11-4.89; raw selected-side p=0.6056, calibrated p=0.5898.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mlb-tex</t>
        </is>
      </c>
      <c r="AQ36" s="24" t="inlineStr">
        <is>
          <t>Texas Rangers</t>
        </is>
      </c>
      <c r="AR36" s="24" t="inlineStr">
        <is>
          <t>Texas Rangers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0aa06c0f065ec20d43901d386280174165e2b07065216b6c7ffe72c98e322706</t>
        </is>
      </c>
      <c r="BB36" s="24" t="inlineStr">
        <is>
          <t>flat_probability_shrinkage_toward_half</t>
        </is>
      </c>
      <c r="BC36" s="24" t="inlineStr">
        <is>
          <t>measured-edge-totals-v1</t>
        </is>
      </c>
      <c r="BD36" s="24" t="inlineStr">
        <is>
          <t>0aa06c0f065ec20d43901d386280174165e2b07065216b6c7ffe72c98e322706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2026-07-28T20:33:04.711319Z</t>
        </is>
      </c>
      <c r="BI36" s="24" t="inlineStr">
        <is>
          <t>["same_event","same_team_same_day","same_league_same_day"]</t>
        </is>
      </c>
      <c r="BJ36" s="25" t="n">
        <v>8.5</v>
      </c>
      <c r="BK36" s="26" t="n">
        <v>113</v>
      </c>
      <c r="BL36" s="27" t="n">
        <v>2.13</v>
      </c>
      <c r="BM36" s="28" t="n">
        <v>0.469484</v>
      </c>
      <c r="BN36" s="28" t="n">
        <v>0.467662</v>
      </c>
      <c r="BO36" s="28" t="n"/>
      <c r="BP36" s="25" t="n"/>
      <c r="BQ36" s="27" t="n">
        <v>2.13</v>
      </c>
      <c r="BR36" s="28" t="n">
        <v>0.47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5dcddf1417f44eb4</t>
        </is>
      </c>
      <c r="B37" s="24" t="inlineStr">
        <is>
          <t>2026-07-28T20:33:04.711319Z</t>
        </is>
      </c>
      <c r="C37" s="24" t="inlineStr">
        <is>
          <t>2026-07-28T22:45Z</t>
        </is>
      </c>
      <c r="D37" s="24" t="inlineStr">
        <is>
          <t>401816298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Washington Nationals</t>
        </is>
      </c>
      <c r="H37" s="24" t="inlineStr">
        <is>
          <t>spread</t>
        </is>
      </c>
      <c r="I37" s="24" t="inlineStr">
        <is>
          <t>home</t>
        </is>
      </c>
      <c r="J37" s="25" t="n">
        <v>-1.5</v>
      </c>
      <c r="K37" s="24" t="inlineStr">
        <is>
          <t>polymarket_us</t>
        </is>
      </c>
      <c r="L37" s="26" t="n">
        <v>156</v>
      </c>
      <c r="M37" s="27" t="n">
        <v>2.56</v>
      </c>
      <c r="N37" s="28" t="n">
        <v>0.390625</v>
      </c>
      <c r="O37" s="28" t="n">
        <v>0.666005</v>
      </c>
      <c r="P37" s="28" t="n">
        <v>0.056347</v>
      </c>
      <c r="Q37" s="28" t="n">
        <v>0.27538</v>
      </c>
      <c r="R37" s="26" t="n">
        <v>100</v>
      </c>
      <c r="S37" s="29" t="n">
        <v>0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win</t>
        </is>
      </c>
      <c r="W37" s="26" t="n">
        <v>6</v>
      </c>
      <c r="X37" s="26" t="n">
        <v>8</v>
      </c>
      <c r="Y37" s="25" t="n">
        <v>-1.5</v>
      </c>
      <c r="Z37" s="26" t="n">
        <v>156</v>
      </c>
      <c r="AA37" s="28" t="n">
        <v>0.39</v>
      </c>
      <c r="AB37" s="28" t="n">
        <v>-0.000625</v>
      </c>
      <c r="AC37" s="30" t="n">
        <v>0</v>
      </c>
      <c r="AD37" s="24" t="inlineStr">
        <is>
          <t>2026-07-29T05:44:54.245162Z</t>
        </is>
      </c>
      <c r="AE37" s="31" t="inlineStr">
        <is>
          <t>Measured Edge Margin: Trend Engine projected 2.24-5.72; raw selected-side p=0.6953, calibrated p=0.6660.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mlb-wsh</t>
        </is>
      </c>
      <c r="AT37" s="24" t="inlineStr">
        <is>
          <t>Washington Nationals</t>
        </is>
      </c>
      <c r="AU37" s="24" t="inlineStr">
        <is>
          <t>Washington Nationals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bd86494ed21c6a0389ab0efcf4b8a5bb7b9f8f8786b6d5fb9da69d8cf0a70bdc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bd86494ed21c6a0389ab0efcf4b8a5bb7b9f8f8786b6d5fb9da69d8cf0a70bdc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2026-07-28T20:33:04.711319Z</t>
        </is>
      </c>
      <c r="BI37" s="24" t="inlineStr">
        <is>
          <t>["same_event","same_team_same_day","same_league_same_day"]</t>
        </is>
      </c>
      <c r="BJ37" s="25" t="n">
        <v>-1.5</v>
      </c>
      <c r="BK37" s="26" t="n">
        <v>156</v>
      </c>
      <c r="BL37" s="27" t="n">
        <v>2.56</v>
      </c>
      <c r="BM37" s="28" t="n">
        <v>0.390625</v>
      </c>
      <c r="BN37" s="28" t="n">
        <v>0.38806</v>
      </c>
      <c r="BO37" s="28" t="n"/>
      <c r="BP37" s="25" t="n"/>
      <c r="BQ37" s="27" t="n">
        <v>2.56</v>
      </c>
      <c r="BR37" s="28" t="n">
        <v>0.39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a24b1793ae2b4e5d</t>
        </is>
      </c>
      <c r="B38" s="24" t="inlineStr">
        <is>
          <t>2026-07-28T20:33:04.711319Z</t>
        </is>
      </c>
      <c r="C38" s="24" t="inlineStr">
        <is>
          <t>2026-07-28T22:45Z</t>
        </is>
      </c>
      <c r="D38" s="24" t="inlineStr">
        <is>
          <t>401816298</t>
        </is>
      </c>
      <c r="E38" s="24" t="inlineStr">
        <is>
          <t>MLB</t>
        </is>
      </c>
      <c r="F38" s="24" t="inlineStr">
        <is>
          <t>Toronto Blue Jays</t>
        </is>
      </c>
      <c r="G38" s="24" t="inlineStr">
        <is>
          <t>Washington Nationals</t>
        </is>
      </c>
      <c r="H38" s="24" t="inlineStr">
        <is>
          <t>total</t>
        </is>
      </c>
      <c r="I38" s="24" t="inlineStr">
        <is>
          <t>under</t>
        </is>
      </c>
      <c r="J38" s="25" t="n">
        <v>8.5</v>
      </c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0.586275</v>
      </c>
      <c r="P38" s="28" t="n">
        <v>0.056347</v>
      </c>
      <c r="Q38" s="28" t="n">
        <v>0.121159</v>
      </c>
      <c r="R38" s="26" t="n">
        <v>77</v>
      </c>
      <c r="S38" s="29" t="n">
        <v>0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6</v>
      </c>
      <c r="X38" s="26" t="n">
        <v>8</v>
      </c>
      <c r="Y38" s="25" t="n">
        <v>8.5</v>
      </c>
      <c r="Z38" s="26" t="n">
        <v>115</v>
      </c>
      <c r="AA38" s="28" t="n">
        <v>0.465</v>
      </c>
      <c r="AB38" s="28" t="n">
        <v>-0.000116</v>
      </c>
      <c r="AC38" s="30" t="n">
        <v>0</v>
      </c>
      <c r="AD38" s="24" t="inlineStr">
        <is>
          <t>2026-07-29T05:44:54.635526Z</t>
        </is>
      </c>
      <c r="AE38" s="31" t="inlineStr">
        <is>
          <t>Measured Edge Totals: Trend Engine projected 2.24-5.72; raw selected-side p=0.6015, calibrated p=0.5863.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mlb-tor</t>
        </is>
      </c>
      <c r="AQ38" s="24" t="inlineStr">
        <is>
          <t>Toronto Blue Jays</t>
        </is>
      </c>
      <c r="AR38" s="24" t="inlineStr">
        <is>
          <t>Toronto Blue Jays</t>
        </is>
      </c>
      <c r="AS38" s="24" t="inlineStr">
        <is>
          <t>mlb-wsh</t>
        </is>
      </c>
      <c r="AT38" s="24" t="inlineStr">
        <is>
          <t>Washington Nationals</t>
        </is>
      </c>
      <c r="AU38" s="24" t="inlineStr">
        <is>
          <t>Washington Nationals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0aa06c0f065ec20d43901d386280174165e2b07065216b6c7ffe72c98e322706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0aa06c0f065ec20d43901d386280174165e2b07065216b6c7ffe72c98e322706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2026-07-28T20:33:04.711319Z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>
        <v>2.15</v>
      </c>
      <c r="BR38" s="28" t="n">
        <v>0.465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ea6da1b7d56c4211</t>
        </is>
      </c>
      <c r="B39" s="24" t="inlineStr">
        <is>
          <t>2026-07-28T23:38:20.366083Z</t>
        </is>
      </c>
      <c r="C39" s="24" t="inlineStr">
        <is>
          <t>2026-07-28T20:00:00-0400</t>
        </is>
      </c>
      <c r="D39" s="24" t="inlineStr">
        <is>
          <t>401857093</t>
        </is>
      </c>
      <c r="E39" s="24" t="inlineStr">
        <is>
          <t>WNBA</t>
        </is>
      </c>
      <c r="F39" s="24" t="inlineStr">
        <is>
          <t>Toronto Tempo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-1011</v>
      </c>
      <c r="M39" s="27" t="n">
        <v>1.098912</v>
      </c>
      <c r="N39" s="28" t="n">
        <v>0.909991</v>
      </c>
      <c r="O39" s="28" t="n">
        <v>0.778885</v>
      </c>
      <c r="P39" s="28" t="n"/>
      <c r="Q39" s="28" t="n">
        <v>-0.131106</v>
      </c>
      <c r="R39" s="26" t="n">
        <v>0</v>
      </c>
      <c r="S39" s="29" t="n">
        <v>2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93</v>
      </c>
      <c r="X39" s="26" t="n">
        <v>100</v>
      </c>
      <c r="Y39" s="25" t="n"/>
      <c r="Z39" s="26" t="n"/>
      <c r="AA39" s="28" t="n"/>
      <c r="AB39" s="28" t="n"/>
      <c r="AC39" s="30" t="n">
        <v>0.1978</v>
      </c>
      <c r="AD39" s="24" t="inlineStr">
        <is>
          <t>2026-07-29T02:41:32.227419Z</t>
        </is>
      </c>
      <c r="AE39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wnba-tor</t>
        </is>
      </c>
      <c r="AQ39" s="24" t="inlineStr">
        <is>
          <t>Toronto Tempo</t>
        </is>
      </c>
      <c r="AR39" s="24" t="inlineStr">
        <is>
          <t>Toronto Tempo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5d941a25079d4ddd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2026-07-28T23:37:54.980549Z</t>
        </is>
      </c>
      <c r="BI39" s="24" t="inlineStr">
        <is>
          <t>["same_event","same_team_same_day","same_league_same_day"]</t>
        </is>
      </c>
      <c r="BJ39" s="25" t="n"/>
      <c r="BK39" s="26" t="n">
        <v>-1011</v>
      </c>
      <c r="BL39" s="27" t="n">
        <v>1.098912</v>
      </c>
      <c r="BM39" s="28" t="n">
        <v>0.909991</v>
      </c>
      <c r="BN39" s="28" t="n">
        <v>0.90099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0.9095039397</t>
        </is>
      </c>
      <c r="CD39" s="24" t="inlineStr">
        <is>
          <t>5.061789</t>
        </is>
      </c>
      <c r="CE39" s="24" t="n"/>
      <c r="CF39" s="24" t="n"/>
      <c r="CG39" s="24" t="n"/>
      <c r="CH39" s="24" t="n"/>
      <c r="CI39" s="24" t="inlineStr">
        <is>
          <t>wnba_availability_source_conflict</t>
        </is>
      </c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fe9449a57062428e</t>
        </is>
      </c>
      <c r="B40" s="24" t="inlineStr">
        <is>
          <t>2026-07-28T23:38:20.366083Z</t>
        </is>
      </c>
      <c r="C40" s="24" t="inlineStr">
        <is>
          <t>2026-07-28T21:30:00-0400</t>
        </is>
      </c>
      <c r="D40" s="24" t="inlineStr">
        <is>
          <t>401857094</t>
        </is>
      </c>
      <c r="E40" s="24" t="inlineStr">
        <is>
          <t>WNBA</t>
        </is>
      </c>
      <c r="F40" s="24" t="inlineStr">
        <is>
          <t>Indiana Fever</t>
        </is>
      </c>
      <c r="G40" s="24" t="inlineStr">
        <is>
          <t>Seattle Storm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0.684756</v>
      </c>
      <c r="P40" s="28" t="n"/>
      <c r="Q40" s="28" t="n">
        <v>-0.09546399999999999</v>
      </c>
      <c r="R40" s="26" t="n">
        <v>0</v>
      </c>
      <c r="S40" s="29" t="n">
        <v>2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105</v>
      </c>
      <c r="X40" s="26" t="n">
        <v>95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2026-07-29T05:44:55.346504Z</t>
        </is>
      </c>
      <c r="AE40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wnba-ind</t>
        </is>
      </c>
      <c r="AQ40" s="24" t="inlineStr">
        <is>
          <t>Indiana Fever</t>
        </is>
      </c>
      <c r="AR40" s="24" t="inlineStr">
        <is>
          <t>Indiana Fever</t>
        </is>
      </c>
      <c r="AS40" s="24" t="inlineStr">
        <is>
          <t>wnba-sea</t>
        </is>
      </c>
      <c r="AT40" s="24" t="inlineStr">
        <is>
          <t>Seattle Storm</t>
        </is>
      </c>
      <c r="AU40" s="24" t="inlineStr">
        <is>
          <t>Seattle Storm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6e0ccdfedaa12592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2026-07-28T23:37:55.863565Z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>
        <v>0.772277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0.2416972703</t>
        </is>
      </c>
      <c r="CD40" s="24" t="inlineStr">
        <is>
          <t>-4.477657</t>
        </is>
      </c>
      <c r="CE40" s="24" t="n"/>
      <c r="CF40" s="24" t="n"/>
      <c r="CG40" s="24" t="n"/>
      <c r="CH40" s="24" t="n"/>
      <c r="CI40" s="24" t="inlineStr">
        <is>
          <t>wnba_availability_source_conflict</t>
        </is>
      </c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2b8a162265d04475</t>
        </is>
      </c>
      <c r="B41" s="24" t="inlineStr">
        <is>
          <t>2026-07-28T23:38:20.366083Z</t>
        </is>
      </c>
      <c r="C41" s="24" t="inlineStr">
        <is>
          <t>2026-07-28T22:00:00-0400</t>
        </is>
      </c>
      <c r="D41" s="24" t="inlineStr">
        <is>
          <t>401857095</t>
        </is>
      </c>
      <c r="E41" s="24" t="inlineStr">
        <is>
          <t>WNBA</t>
        </is>
      </c>
      <c r="F41" s="24" t="inlineStr">
        <is>
          <t>Portland Fire</t>
        </is>
      </c>
      <c r="G41" s="24" t="inlineStr">
        <is>
          <t>Las Vegas Aces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-614</v>
      </c>
      <c r="M41" s="27" t="n">
        <v>1.162866</v>
      </c>
      <c r="N41" s="28" t="n">
        <v>0.859944</v>
      </c>
      <c r="O41" s="28" t="n">
        <v>0.70389</v>
      </c>
      <c r="P41" s="28" t="n"/>
      <c r="Q41" s="28" t="n">
        <v>-0.156054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83</v>
      </c>
      <c r="X41" s="26" t="n">
        <v>98</v>
      </c>
      <c r="Y41" s="25" t="n"/>
      <c r="Z41" s="26" t="n"/>
      <c r="AA41" s="28" t="n"/>
      <c r="AB41" s="28" t="n"/>
      <c r="AC41" s="30" t="n">
        <v>0.3257</v>
      </c>
      <c r="AD41" s="24" t="inlineStr">
        <is>
          <t>2026-07-29T05:44:56.065486Z</t>
        </is>
      </c>
      <c r="AE41" s="31" t="inlineStr">
        <is>
          <t>Learned LR call at threshold 0.5001; executable ask 0.8600 (aec-wnba-por-lv-2026-07-28).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wnba-por</t>
        </is>
      </c>
      <c r="AQ41" s="24" t="inlineStr">
        <is>
          <t>Portland Fire</t>
        </is>
      </c>
      <c r="AR41" s="24" t="inlineStr">
        <is>
          <t>Portland Fire</t>
        </is>
      </c>
      <c r="AS41" s="24" t="inlineStr">
        <is>
          <t>wnba-lva</t>
        </is>
      </c>
      <c r="AT41" s="24" t="inlineStr">
        <is>
          <t>Las Vegas Aces</t>
        </is>
      </c>
      <c r="AU41" s="24" t="inlineStr">
        <is>
          <t>Las Vegas Aces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b361b2a5b789ec69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2026-07-28T23:37:57.460079Z</t>
        </is>
      </c>
      <c r="BI41" s="24" t="inlineStr">
        <is>
          <t>["same_event","same_team_same_day","same_league_same_day"]</t>
        </is>
      </c>
      <c r="BJ41" s="25" t="n"/>
      <c r="BK41" s="26" t="n">
        <v>-614</v>
      </c>
      <c r="BL41" s="27" t="n">
        <v>1.162866</v>
      </c>
      <c r="BM41" s="28" t="n">
        <v>0.859944</v>
      </c>
      <c r="BN41" s="28" t="n">
        <v>0.851485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0.7673200787</t>
        </is>
      </c>
      <c r="CD41" s="24" t="inlineStr">
        <is>
          <t>-4.164083</t>
        </is>
      </c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63de2dfbf1a84729</t>
        </is>
      </c>
      <c r="B42" s="24" t="inlineStr">
        <is>
          <t>2026-07-28T23:38:20.366083Z</t>
        </is>
      </c>
      <c r="C42" s="24" t="inlineStr">
        <is>
          <t>2026-07-28T22:00:00-0400</t>
        </is>
      </c>
      <c r="D42" s="24" t="inlineStr">
        <is>
          <t>401857096</t>
        </is>
      </c>
      <c r="E42" s="24" t="inlineStr">
        <is>
          <t>WNBA</t>
        </is>
      </c>
      <c r="F42" s="24" t="inlineStr">
        <is>
          <t>New York Liberty</t>
        </is>
      </c>
      <c r="G42" s="24" t="inlineStr">
        <is>
          <t>Los Angeles Sparks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0.571136</v>
      </c>
      <c r="P42" s="28" t="n"/>
      <c r="Q42" s="28" t="n">
        <v>-0.06915200000000001</v>
      </c>
      <c r="R42" s="26" t="n">
        <v>0</v>
      </c>
      <c r="S42" s="29" t="n">
        <v>1.25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113</v>
      </c>
      <c r="X42" s="26" t="n">
        <v>109</v>
      </c>
      <c r="Y42" s="25" t="n"/>
      <c r="Z42" s="26" t="n"/>
      <c r="AA42" s="28" t="n"/>
      <c r="AB42" s="28" t="n"/>
      <c r="AC42" s="30" t="n">
        <v>0.7022</v>
      </c>
      <c r="AD42" s="24" t="inlineStr">
        <is>
          <t>2026-07-29T05:44:56.782128Z</t>
        </is>
      </c>
      <c r="AE42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wnba-nyl</t>
        </is>
      </c>
      <c r="AQ42" s="24" t="inlineStr">
        <is>
          <t>New York Liberty</t>
        </is>
      </c>
      <c r="AR42" s="24" t="inlineStr">
        <is>
          <t>New York Liberty</t>
        </is>
      </c>
      <c r="AS42" s="24" t="inlineStr">
        <is>
          <t>wnba-las</t>
        </is>
      </c>
      <c r="AT42" s="24" t="inlineStr">
        <is>
          <t>Los Angeles Sparks</t>
        </is>
      </c>
      <c r="AU42" s="24" t="inlineStr">
        <is>
          <t>Los Angeles Sparks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cdebf9ad1de7512e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2026-07-28T23:37:58.046318Z</t>
        </is>
      </c>
      <c r="BI42" s="24" t="inlineStr">
        <is>
          <t>["same_event","same_team_same_day","same_league_same_day"]</t>
        </is>
      </c>
      <c r="BJ42" s="25" t="n"/>
      <c r="BK42" s="26" t="n">
        <v>-178</v>
      </c>
      <c r="BL42" s="27" t="n">
        <v>1.561798</v>
      </c>
      <c r="BM42" s="28" t="n">
        <v>0.640288</v>
      </c>
      <c r="BN42" s="28" t="n">
        <v>0.633663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0.4096120487</t>
        </is>
      </c>
      <c r="CD42" s="24" t="inlineStr">
        <is>
          <t>-1.261801</t>
        </is>
      </c>
      <c r="CE42" s="24" t="n"/>
      <c r="CF42" s="24" t="n"/>
      <c r="CG42" s="24" t="n"/>
      <c r="CH42" s="24" t="n"/>
      <c r="CI42" s="24" t="inlineStr">
        <is>
          <t>wnba_availability_source_conflict</t>
        </is>
      </c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0d3535aef651454f</t>
        </is>
      </c>
      <c r="B43" s="24" t="inlineStr">
        <is>
          <t>2026-07-28T23:38:30.230753Z</t>
        </is>
      </c>
      <c r="C43" s="24" t="inlineStr">
        <is>
          <t>2026-07-28T23:40Z</t>
        </is>
      </c>
      <c r="D43" s="24" t="inlineStr">
        <is>
          <t>401816300</t>
        </is>
      </c>
      <c r="E43" s="24" t="inlineStr">
        <is>
          <t>MLB</t>
        </is>
      </c>
      <c r="F43" s="24" t="inlineStr">
        <is>
          <t>Kansas City Royals</t>
        </is>
      </c>
      <c r="G43" s="24" t="inlineStr">
        <is>
          <t>Minnesota Twins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120</v>
      </c>
      <c r="M43" s="27" t="n">
        <v>2.2</v>
      </c>
      <c r="N43" s="28" t="n">
        <v>0.454545</v>
      </c>
      <c r="O43" s="28" t="n">
        <v>0.536465</v>
      </c>
      <c r="P43" s="28" t="n">
        <v>0.047697</v>
      </c>
      <c r="Q43" s="28" t="n">
        <v>0.08192000000000001</v>
      </c>
      <c r="R43" s="26" t="n">
        <v>62</v>
      </c>
      <c r="S43" s="29" t="n">
        <v>0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2</v>
      </c>
      <c r="X43" s="26" t="n">
        <v>3</v>
      </c>
      <c r="Y43" s="25" t="n">
        <v>-1.5</v>
      </c>
      <c r="Z43" s="26" t="n">
        <v>120</v>
      </c>
      <c r="AA43" s="28" t="n">
        <v>0.455</v>
      </c>
      <c r="AB43" s="28" t="n">
        <v>0.000455</v>
      </c>
      <c r="AC43" s="30" t="n">
        <v>0</v>
      </c>
      <c r="AD43" s="24" t="inlineStr">
        <is>
          <t>2026-07-29T02:41:32.965005Z</t>
        </is>
      </c>
      <c r="AE43" s="31" t="inlineStr">
        <is>
          <t>Measured Edge Margin: Trend Engine projected 3.08-5.15; raw selected-side p=0.5429, calibrated p=0.5365.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mlb-kc</t>
        </is>
      </c>
      <c r="AQ43" s="24" t="inlineStr">
        <is>
          <t>Kansas City Royals</t>
        </is>
      </c>
      <c r="AR43" s="24" t="inlineStr">
        <is>
          <t>Kansas City Royals</t>
        </is>
      </c>
      <c r="AS43" s="24" t="inlineStr">
        <is>
          <t>mlb-min</t>
        </is>
      </c>
      <c r="AT43" s="24" t="inlineStr">
        <is>
          <t>Minnesota Twins</t>
        </is>
      </c>
      <c r="AU43" s="24" t="inlineStr">
        <is>
          <t>Minnesota Twins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bd86494ed21c6a0389ab0efcf4b8a5bb7b9f8f8786b6d5fb9da69d8cf0a70bdc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bd86494ed21c6a0389ab0efcf4b8a5bb7b9f8f8786b6d5fb9da69d8cf0a70bdc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2026-07-28T23:38:30.230753Z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120</v>
      </c>
      <c r="BL43" s="27" t="n">
        <v>2.2</v>
      </c>
      <c r="BM43" s="28" t="n">
        <v>0.454545</v>
      </c>
      <c r="BN43" s="28" t="n">
        <v>0.452736</v>
      </c>
      <c r="BO43" s="28" t="n"/>
      <c r="BP43" s="25" t="n"/>
      <c r="BQ43" s="27" t="n">
        <v>2.2</v>
      </c>
      <c r="BR43" s="28" t="n">
        <v>0.455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1b32fcf2e35e4a2f</t>
        </is>
      </c>
      <c r="B44" s="24" t="inlineStr">
        <is>
          <t>2026-07-28T23:38:30.230753Z</t>
        </is>
      </c>
      <c r="C44" s="24" t="inlineStr">
        <is>
          <t>2026-07-28T23:40Z</t>
        </is>
      </c>
      <c r="D44" s="24" t="inlineStr">
        <is>
          <t>401816300</t>
        </is>
      </c>
      <c r="E44" s="24" t="inlineStr">
        <is>
          <t>MLB</t>
        </is>
      </c>
      <c r="F44" s="24" t="inlineStr">
        <is>
          <t>Kansas City Royals</t>
        </is>
      </c>
      <c r="G44" s="24" t="inlineStr">
        <is>
          <t>Minnesota Twins</t>
        </is>
      </c>
      <c r="H44" s="24" t="inlineStr">
        <is>
          <t>total</t>
        </is>
      </c>
      <c r="I44" s="24" t="inlineStr">
        <is>
          <t>under</t>
        </is>
      </c>
      <c r="J44" s="25" t="n">
        <v>8.5</v>
      </c>
      <c r="K44" s="24" t="inlineStr">
        <is>
          <t>polymarket_us</t>
        </is>
      </c>
      <c r="L44" s="26" t="n">
        <v>125</v>
      </c>
      <c r="M44" s="27" t="n">
        <v>2.25</v>
      </c>
      <c r="N44" s="28" t="n">
        <v>0.444444</v>
      </c>
      <c r="O44" s="28" t="n">
        <v>0.54862</v>
      </c>
      <c r="P44" s="28" t="n">
        <v>0.047697</v>
      </c>
      <c r="Q44" s="28" t="n">
        <v>0.104176</v>
      </c>
      <c r="R44" s="26" t="n">
        <v>73</v>
      </c>
      <c r="S44" s="29" t="n">
        <v>0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win</t>
        </is>
      </c>
      <c r="W44" s="26" t="n">
        <v>2</v>
      </c>
      <c r="X44" s="26" t="n">
        <v>3</v>
      </c>
      <c r="Y44" s="25" t="n">
        <v>8.5</v>
      </c>
      <c r="Z44" s="26" t="n">
        <v>125</v>
      </c>
      <c r="AA44" s="28" t="n">
        <v>0.445</v>
      </c>
      <c r="AB44" s="28" t="n">
        <v>0.000556</v>
      </c>
      <c r="AC44" s="30" t="n">
        <v>0</v>
      </c>
      <c r="AD44" s="24" t="inlineStr">
        <is>
          <t>2026-07-29T02:41:33.333299Z</t>
        </is>
      </c>
      <c r="AE44" s="31" t="inlineStr">
        <is>
          <t>Measured Edge Totals: Trend Engine projected 3.08-5.15; raw selected-side p=0.5572, calibrated p=0.5486.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mlb-kc</t>
        </is>
      </c>
      <c r="AQ44" s="24" t="inlineStr">
        <is>
          <t>Kansas City Royals</t>
        </is>
      </c>
      <c r="AR44" s="24" t="inlineStr">
        <is>
          <t>Kansas City Royals</t>
        </is>
      </c>
      <c r="AS44" s="24" t="inlineStr">
        <is>
          <t>mlb-min</t>
        </is>
      </c>
      <c r="AT44" s="24" t="inlineStr">
        <is>
          <t>Minnesota Twins</t>
        </is>
      </c>
      <c r="AU44" s="24" t="inlineStr">
        <is>
          <t>Minnesota Twins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0aa06c0f065ec20d43901d386280174165e2b07065216b6c7ffe72c98e322706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0aa06c0f065ec20d43901d386280174165e2b07065216b6c7ffe72c98e322706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2026-07-28T23:38:30.230753Z</t>
        </is>
      </c>
      <c r="BI44" s="24" t="inlineStr">
        <is>
          <t>["same_event","same_team_same_day","same_league_same_day"]</t>
        </is>
      </c>
      <c r="BJ44" s="25" t="n">
        <v>8.5</v>
      </c>
      <c r="BK44" s="26" t="n">
        <v>125</v>
      </c>
      <c r="BL44" s="27" t="n">
        <v>2.25</v>
      </c>
      <c r="BM44" s="28" t="n">
        <v>0.444444</v>
      </c>
      <c r="BN44" s="28" t="n">
        <v>0.442786</v>
      </c>
      <c r="BO44" s="28" t="n"/>
      <c r="BP44" s="25" t="n"/>
      <c r="BQ44" s="27" t="n">
        <v>2.25</v>
      </c>
      <c r="BR44" s="28" t="n">
        <v>0.445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6268095044154520</t>
        </is>
      </c>
      <c r="B45" s="24" t="inlineStr">
        <is>
          <t>2026-07-28T23:38:30.230753Z</t>
        </is>
      </c>
      <c r="C45" s="24" t="inlineStr">
        <is>
          <t>2026-07-28T23:40Z</t>
        </is>
      </c>
      <c r="D45" s="24" t="inlineStr">
        <is>
          <t>401816301</t>
        </is>
      </c>
      <c r="E45" s="24" t="inlineStr">
        <is>
          <t>MLB</t>
        </is>
      </c>
      <c r="F45" s="24" t="inlineStr">
        <is>
          <t>New York Yankees</t>
        </is>
      </c>
      <c r="G45" s="24" t="inlineStr">
        <is>
          <t>Chicago White Sox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0.7085050000000001</v>
      </c>
      <c r="P45" s="28" t="n">
        <v>0.047697</v>
      </c>
      <c r="Q45" s="28" t="n">
        <v>0.09913</v>
      </c>
      <c r="R45" s="26" t="n">
        <v>71</v>
      </c>
      <c r="S45" s="29" t="n">
        <v>0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2</v>
      </c>
      <c r="Y45" s="25" t="n">
        <v>1.5</v>
      </c>
      <c r="Z45" s="26" t="n">
        <v>-156</v>
      </c>
      <c r="AA45" s="28" t="n">
        <v>0.61</v>
      </c>
      <c r="AB45" s="28" t="n">
        <v>0.000625</v>
      </c>
      <c r="AC45" s="30" t="n">
        <v>0</v>
      </c>
      <c r="AD45" s="24" t="inlineStr">
        <is>
          <t>2026-07-29T02:41:33.702819Z</t>
        </is>
      </c>
      <c r="AE45" s="31" t="inlineStr">
        <is>
          <t>Measured Edge Margin: Trend Engine projected 4.08-4.82; raw selected-side p=0.7453, calibrated p=0.7085.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mlb-nyy</t>
        </is>
      </c>
      <c r="AQ45" s="24" t="inlineStr">
        <is>
          <t>New York Yankees</t>
        </is>
      </c>
      <c r="AR45" s="24" t="inlineStr">
        <is>
          <t>New York Yankees</t>
        </is>
      </c>
      <c r="AS45" s="24" t="inlineStr">
        <is>
          <t>mlb-cws</t>
        </is>
      </c>
      <c r="AT45" s="24" t="inlineStr">
        <is>
          <t>Chicago White Sox</t>
        </is>
      </c>
      <c r="AU45" s="24" t="inlineStr">
        <is>
          <t>Chicago White Sox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bd86494ed21c6a0389ab0efcf4b8a5bb7b9f8f8786b6d5fb9da69d8cf0a70bdc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bd86494ed21c6a0389ab0efcf4b8a5bb7b9f8f8786b6d5fb9da69d8cf0a70bdc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2026-07-28T23:38:30.230753Z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-156</v>
      </c>
      <c r="BL45" s="27" t="n">
        <v>1.641026</v>
      </c>
      <c r="BM45" s="28" t="n">
        <v>0.609375</v>
      </c>
      <c r="BN45" s="28" t="n">
        <v>0.606965</v>
      </c>
      <c r="BO45" s="28" t="n"/>
      <c r="BP45" s="25" t="n"/>
      <c r="BQ45" s="27" t="n">
        <v>1.641026</v>
      </c>
      <c r="BR45" s="28" t="n">
        <v>0.61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f34e3e2e66ed4447</t>
        </is>
      </c>
      <c r="B46" s="24" t="inlineStr">
        <is>
          <t>2026-07-28T23:38:30.230753Z</t>
        </is>
      </c>
      <c r="C46" s="24" t="inlineStr">
        <is>
          <t>2026-07-28T23:40Z</t>
        </is>
      </c>
      <c r="D46" s="24" t="inlineStr">
        <is>
          <t>401816301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White Sox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0.568765</v>
      </c>
      <c r="P46" s="28" t="n">
        <v>0.047697</v>
      </c>
      <c r="Q46" s="28" t="n">
        <v>0.042699</v>
      </c>
      <c r="R46" s="26" t="n">
        <v>43</v>
      </c>
      <c r="S46" s="29" t="n">
        <v>0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3</v>
      </c>
      <c r="X46" s="26" t="n">
        <v>2</v>
      </c>
      <c r="Y46" s="25" t="n">
        <v>7.5</v>
      </c>
      <c r="Z46" s="26" t="n">
        <v>-111</v>
      </c>
      <c r="AA46" s="28" t="n">
        <v>0.525</v>
      </c>
      <c r="AB46" s="28" t="n">
        <v>-0.001066</v>
      </c>
      <c r="AC46" s="30" t="n">
        <v>0</v>
      </c>
      <c r="AD46" s="24" t="inlineStr">
        <is>
          <t>2026-07-29T02:41:34.081263Z</t>
        </is>
      </c>
      <c r="AE46" s="31" t="inlineStr">
        <is>
          <t>Measured Edge Totals: Trend Engine projected 4.08-4.82; raw selected-side p=0.5809, calibrated p=0.5688.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mlb-cws</t>
        </is>
      </c>
      <c r="AT46" s="24" t="inlineStr">
        <is>
          <t>Chicago White Sox</t>
        </is>
      </c>
      <c r="AU46" s="24" t="inlineStr">
        <is>
          <t>Chicago White Sox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0aa06c0f065ec20d43901d386280174165e2b07065216b6c7ffe72c98e322706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0aa06c0f065ec20d43901d386280174165e2b07065216b6c7ffe72c98e322706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2026-07-28T23:38:30.230753Z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cba8cd9694b04aa5</t>
        </is>
      </c>
      <c r="B47" s="24" t="inlineStr">
        <is>
          <t>2026-07-28T23:38:30.230753Z</t>
        </is>
      </c>
      <c r="C47" s="24" t="inlineStr">
        <is>
          <t>2026-07-28T23:45Z</t>
        </is>
      </c>
      <c r="D47" s="24" t="inlineStr">
        <is>
          <t>401816299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St. Louis Cardinals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-160</v>
      </c>
      <c r="M47" s="27" t="n">
        <v>1.625</v>
      </c>
      <c r="N47" s="28" t="n">
        <v>0.615385</v>
      </c>
      <c r="O47" s="28" t="n">
        <v>0.7631599999999999</v>
      </c>
      <c r="P47" s="28" t="n">
        <v>0.047697</v>
      </c>
      <c r="Q47" s="28" t="n">
        <v>0.147775</v>
      </c>
      <c r="R47" s="26" t="n">
        <v>95</v>
      </c>
      <c r="S47" s="29" t="n">
        <v>0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loss</t>
        </is>
      </c>
      <c r="W47" s="26" t="n">
        <v>10</v>
      </c>
      <c r="X47" s="26" t="n">
        <v>2</v>
      </c>
      <c r="Y47" s="25" t="n">
        <v>1.5</v>
      </c>
      <c r="Z47" s="26" t="n">
        <v>-160</v>
      </c>
      <c r="AA47" s="28" t="n">
        <v>0.615</v>
      </c>
      <c r="AB47" s="28" t="n">
        <v>-0.000385</v>
      </c>
      <c r="AC47" s="30" t="n">
        <v>0</v>
      </c>
      <c r="AD47" s="24" t="inlineStr">
        <is>
          <t>2026-07-29T05:44:58.625594Z</t>
        </is>
      </c>
      <c r="AE47" s="31" t="inlineStr">
        <is>
          <t>Measured Edge Margin: Trend Engine projected 3.27-4.56; raw selected-side p=0.8096, calibrated p=0.7632.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mlb-stl</t>
        </is>
      </c>
      <c r="AT47" s="24" t="inlineStr">
        <is>
          <t>St. Louis Cardinals</t>
        </is>
      </c>
      <c r="AU47" s="24" t="inlineStr">
        <is>
          <t>St. Louis Cardinals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bd86494ed21c6a0389ab0efcf4b8a5bb7b9f8f8786b6d5fb9da69d8cf0a70bdc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bd86494ed21c6a0389ab0efcf4b8a5bb7b9f8f8786b6d5fb9da69d8cf0a70bdc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2026-07-28T23:38:30.230753Z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-160</v>
      </c>
      <c r="BL47" s="27" t="n">
        <v>1.625</v>
      </c>
      <c r="BM47" s="28" t="n">
        <v>0.615385</v>
      </c>
      <c r="BN47" s="28" t="n">
        <v>0.61194</v>
      </c>
      <c r="BO47" s="28" t="n"/>
      <c r="BP47" s="25" t="n"/>
      <c r="BQ47" s="27" t="n">
        <v>1.625</v>
      </c>
      <c r="BR47" s="28" t="n">
        <v>0.615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f2c60b9fd11a4c9a</t>
        </is>
      </c>
      <c r="B48" s="24" t="inlineStr">
        <is>
          <t>2026-07-28T23:38:30.230753Z</t>
        </is>
      </c>
      <c r="C48" s="24" t="inlineStr">
        <is>
          <t>2026-07-28T23:45Z</t>
        </is>
      </c>
      <c r="D48" s="24" t="inlineStr">
        <is>
          <t>401816299</t>
        </is>
      </c>
      <c r="E48" s="24" t="inlineStr">
        <is>
          <t>MLB</t>
        </is>
      </c>
      <c r="F48" s="24" t="inlineStr">
        <is>
          <t>Chicago Cubs</t>
        </is>
      </c>
      <c r="G48" s="24" t="inlineStr">
        <is>
          <t>St. Louis Cardinals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111</v>
      </c>
      <c r="M48" s="27" t="n">
        <v>2.11</v>
      </c>
      <c r="N48" s="28" t="n">
        <v>0.473934</v>
      </c>
      <c r="O48" s="28" t="n">
        <v>0.58245</v>
      </c>
      <c r="P48" s="28" t="n">
        <v>0.047697</v>
      </c>
      <c r="Q48" s="28" t="n">
        <v>0.108516</v>
      </c>
      <c r="R48" s="26" t="n">
        <v>76</v>
      </c>
      <c r="S48" s="29" t="n">
        <v>0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loss</t>
        </is>
      </c>
      <c r="W48" s="26" t="n">
        <v>10</v>
      </c>
      <c r="X48" s="26" t="n">
        <v>2</v>
      </c>
      <c r="Y48" s="25" t="n">
        <v>8.5</v>
      </c>
      <c r="Z48" s="26" t="n">
        <v>111</v>
      </c>
      <c r="AA48" s="28" t="n">
        <v>0.475</v>
      </c>
      <c r="AB48" s="28" t="n">
        <v>0.001066</v>
      </c>
      <c r="AC48" s="30" t="n">
        <v>0</v>
      </c>
      <c r="AD48" s="24" t="inlineStr">
        <is>
          <t>2026-07-29T05:44:58.999452Z</t>
        </is>
      </c>
      <c r="AE48" s="31" t="inlineStr">
        <is>
          <t>Measured Edge Totals: Trend Engine projected 3.27-4.56; raw selected-side p=0.5970, calibrated p=0.5824.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mlb-chc</t>
        </is>
      </c>
      <c r="AQ48" s="24" t="inlineStr">
        <is>
          <t>Chicago Cubs</t>
        </is>
      </c>
      <c r="AR48" s="24" t="inlineStr">
        <is>
          <t>Chicago Cubs</t>
        </is>
      </c>
      <c r="AS48" s="24" t="inlineStr">
        <is>
          <t>mlb-stl</t>
        </is>
      </c>
      <c r="AT48" s="24" t="inlineStr">
        <is>
          <t>St. Louis Cardinals</t>
        </is>
      </c>
      <c r="AU48" s="24" t="inlineStr">
        <is>
          <t>St. Louis Cardinals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0aa06c0f065ec20d43901d386280174165e2b07065216b6c7ffe72c98e322706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0aa06c0f065ec20d43901d386280174165e2b07065216b6c7ffe72c98e322706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2026-07-28T23:38:30.230753Z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111</v>
      </c>
      <c r="BL48" s="27" t="n">
        <v>2.11</v>
      </c>
      <c r="BM48" s="28" t="n">
        <v>0.473934</v>
      </c>
      <c r="BN48" s="28" t="n">
        <v>0.472637</v>
      </c>
      <c r="BO48" s="28" t="n"/>
      <c r="BP48" s="25" t="n"/>
      <c r="BQ48" s="27" t="n">
        <v>2.11</v>
      </c>
      <c r="BR48" s="28" t="n">
        <v>0.475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c94be94324a44f44</t>
        </is>
      </c>
      <c r="B49" s="24" t="inlineStr">
        <is>
          <t>2026-07-28T23:38:30.230753Z</t>
        </is>
      </c>
      <c r="C49" s="24" t="inlineStr">
        <is>
          <t>2026-07-29T01:38Z</t>
        </is>
      </c>
      <c r="D49" s="24" t="inlineStr">
        <is>
          <t>401816304</t>
        </is>
      </c>
      <c r="E49" s="24" t="inlineStr">
        <is>
          <t>MLB</t>
        </is>
      </c>
      <c r="F49" s="24" t="inlineStr">
        <is>
          <t>Houston Astros</t>
        </is>
      </c>
      <c r="G49" s="24" t="inlineStr">
        <is>
          <t>Los Angeles Angels</t>
        </is>
      </c>
      <c r="H49" s="24" t="inlineStr">
        <is>
          <t>spread</t>
        </is>
      </c>
      <c r="I49" s="24" t="inlineStr">
        <is>
          <t>away</t>
        </is>
      </c>
      <c r="J49" s="25" t="n">
        <v>-1.5</v>
      </c>
      <c r="K49" s="24" t="inlineStr">
        <is>
          <t>polymarket_us</t>
        </is>
      </c>
      <c r="L49" s="26" t="n">
        <v>160</v>
      </c>
      <c r="M49" s="27" t="n">
        <v>2.6</v>
      </c>
      <c r="N49" s="28" t="n">
        <v>0.384615</v>
      </c>
      <c r="O49" s="28" t="n">
        <v>0.565025</v>
      </c>
      <c r="P49" s="28" t="n">
        <v>0.047697</v>
      </c>
      <c r="Q49" s="28" t="n">
        <v>0.18041</v>
      </c>
      <c r="R49" s="26" t="n">
        <v>100</v>
      </c>
      <c r="S49" s="29" t="n">
        <v>0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>
        <v>-1.5</v>
      </c>
      <c r="Z49" s="26" t="n">
        <v>160</v>
      </c>
      <c r="AA49" s="28" t="n">
        <v>0.385</v>
      </c>
      <c r="AB49" s="28" t="n">
        <v>0.000385</v>
      </c>
      <c r="AC49" s="30" t="n">
        <v>0</v>
      </c>
      <c r="AD49" s="24" t="inlineStr">
        <is>
          <t>2026-07-29T05:44:59.408140Z</t>
        </is>
      </c>
      <c r="AE49" s="31" t="inlineStr">
        <is>
          <t>Measured Edge Margin: Trend Engine projected 4.81-2.49; raw selected-side p=0.5765, calibrated p=0.5650.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mlb-hou</t>
        </is>
      </c>
      <c r="AQ49" s="24" t="inlineStr">
        <is>
          <t>Houston Astros</t>
        </is>
      </c>
      <c r="AR49" s="24" t="inlineStr">
        <is>
          <t>Houston Astros</t>
        </is>
      </c>
      <c r="AS49" s="24" t="inlineStr">
        <is>
          <t>mlb-laa</t>
        </is>
      </c>
      <c r="AT49" s="24" t="inlineStr">
        <is>
          <t>Los Angeles Angels</t>
        </is>
      </c>
      <c r="AU49" s="24" t="inlineStr">
        <is>
          <t>Los Angeles Angels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bd86494ed21c6a0389ab0efcf4b8a5bb7b9f8f8786b6d5fb9da69d8cf0a70bdc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bd86494ed21c6a0389ab0efcf4b8a5bb7b9f8f8786b6d5fb9da69d8cf0a70bdc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2026-07-28T23:38:30.230753Z</t>
        </is>
      </c>
      <c r="BI49" s="24" t="inlineStr">
        <is>
          <t>["same_event","same_team_same_day","same_league_same_day"]</t>
        </is>
      </c>
      <c r="BJ49" s="25" t="n">
        <v>-1.5</v>
      </c>
      <c r="BK49" s="26" t="n">
        <v>160</v>
      </c>
      <c r="BL49" s="27" t="n">
        <v>2.6</v>
      </c>
      <c r="BM49" s="28" t="n">
        <v>0.384615</v>
      </c>
      <c r="BN49" s="28" t="n">
        <v>0.383085</v>
      </c>
      <c r="BO49" s="28" t="n"/>
      <c r="BP49" s="25" t="n"/>
      <c r="BQ49" s="27" t="n">
        <v>2.6</v>
      </c>
      <c r="BR49" s="28" t="n">
        <v>0.385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349938efa6aa4346</t>
        </is>
      </c>
      <c r="B50" s="24" t="inlineStr">
        <is>
          <t>2026-07-28T23:38:30.230753Z</t>
        </is>
      </c>
      <c r="C50" s="24" t="inlineStr">
        <is>
          <t>2026-07-29T01:38Z</t>
        </is>
      </c>
      <c r="D50" s="24" t="inlineStr">
        <is>
          <t>401816304</t>
        </is>
      </c>
      <c r="E50" s="24" t="inlineStr">
        <is>
          <t>MLB</t>
        </is>
      </c>
      <c r="F50" s="24" t="inlineStr">
        <is>
          <t>Houston Astros</t>
        </is>
      </c>
      <c r="G50" s="24" t="inlineStr">
        <is>
          <t>Los Angeles Angels</t>
        </is>
      </c>
      <c r="H50" s="24" t="inlineStr">
        <is>
          <t>total</t>
        </is>
      </c>
      <c r="I50" s="24" t="inlineStr">
        <is>
          <t>under</t>
        </is>
      </c>
      <c r="J50" s="25" t="n">
        <v>8.5</v>
      </c>
      <c r="K50" s="24" t="inlineStr">
        <is>
          <t>polymarket_us</t>
        </is>
      </c>
      <c r="L50" s="26" t="n">
        <v>-106</v>
      </c>
      <c r="M50" s="27" t="n">
        <v>1.943396</v>
      </c>
      <c r="N50" s="28" t="n">
        <v>0.514563</v>
      </c>
      <c r="O50" s="28" t="n">
        <v>0.63345</v>
      </c>
      <c r="P50" s="28" t="n">
        <v>0.047697</v>
      </c>
      <c r="Q50" s="28" t="n">
        <v>0.118887</v>
      </c>
      <c r="R50" s="26" t="n">
        <v>81</v>
      </c>
      <c r="S50" s="29" t="n">
        <v>0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2</v>
      </c>
      <c r="Y50" s="25" t="n">
        <v>8.5</v>
      </c>
      <c r="Z50" s="26" t="n">
        <v>-106</v>
      </c>
      <c r="AA50" s="28" t="n">
        <v>0.515</v>
      </c>
      <c r="AB50" s="28" t="n">
        <v>0.000437</v>
      </c>
      <c r="AC50" s="30" t="n">
        <v>0</v>
      </c>
      <c r="AD50" s="24" t="inlineStr">
        <is>
          <t>2026-07-29T05:44:59.772626Z</t>
        </is>
      </c>
      <c r="AE50" s="31" t="inlineStr">
        <is>
          <t>Measured Edge Totals: Trend Engine projected 4.81-2.49; raw selected-side p=0.6570, calibrated p=0.6334.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mlb-hou</t>
        </is>
      </c>
      <c r="AQ50" s="24" t="inlineStr">
        <is>
          <t>Houston Astros</t>
        </is>
      </c>
      <c r="AR50" s="24" t="inlineStr">
        <is>
          <t>Houston Astros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0aa06c0f065ec20d43901d386280174165e2b07065216b6c7ffe72c98e322706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0aa06c0f065ec20d43901d386280174165e2b07065216b6c7ffe72c98e322706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2026-07-28T23:38:30.230753Z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-106</v>
      </c>
      <c r="BL50" s="27" t="n">
        <v>1.943396</v>
      </c>
      <c r="BM50" s="28" t="n">
        <v>0.514563</v>
      </c>
      <c r="BN50" s="28" t="n">
        <v>0.5124379999999999</v>
      </c>
      <c r="BO50" s="28" t="n"/>
      <c r="BP50" s="25" t="n"/>
      <c r="BQ50" s="27" t="n">
        <v>1.943396</v>
      </c>
      <c r="BR50" s="28" t="n">
        <v>0.515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1c51d51c16c741d5</t>
        </is>
      </c>
      <c r="B51" s="24" t="inlineStr">
        <is>
          <t>2026-07-28T23:38:30.230753Z</t>
        </is>
      </c>
      <c r="C51" s="24" t="inlineStr">
        <is>
          <t>2026-07-29T01:40Z</t>
        </is>
      </c>
      <c r="D51" s="24" t="inlineStr">
        <is>
          <t>401816302</t>
        </is>
      </c>
      <c r="E51" s="24" t="inlineStr">
        <is>
          <t>MLB</t>
        </is>
      </c>
      <c r="F51" s="24" t="inlineStr">
        <is>
          <t>Boston Red Sox</t>
        </is>
      </c>
      <c r="G51" s="24" t="inlineStr">
        <is>
          <t>Athletics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0.769875</v>
      </c>
      <c r="P51" s="28" t="n">
        <v>0.047697</v>
      </c>
      <c r="Q51" s="28" t="n">
        <v>0.289106</v>
      </c>
      <c r="R51" s="26" t="n">
        <v>100</v>
      </c>
      <c r="S51" s="29" t="n">
        <v>0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4</v>
      </c>
      <c r="Y51" s="25" t="n">
        <v>-1.5</v>
      </c>
      <c r="Z51" s="26" t="n">
        <v>108</v>
      </c>
      <c r="AA51" s="28" t="n">
        <v>0.48</v>
      </c>
      <c r="AB51" s="28" t="n">
        <v>-0.000769</v>
      </c>
      <c r="AC51" s="30" t="n">
        <v>0</v>
      </c>
      <c r="AD51" s="24" t="inlineStr">
        <is>
          <t>2026-07-29T05:45:00.139707Z</t>
        </is>
      </c>
      <c r="AE51" s="31" t="inlineStr">
        <is>
          <t>Measured Edge Margin: Trend Engine projected 7.52-2.30; raw selected-side p=0.8175, calibrated p=0.7699.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mlb-bos</t>
        </is>
      </c>
      <c r="AQ51" s="24" t="inlineStr">
        <is>
          <t>Boston Red Sox</t>
        </is>
      </c>
      <c r="AR51" s="24" t="inlineStr">
        <is>
          <t>Boston Red Sox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bd86494ed21c6a0389ab0efcf4b8a5bb7b9f8f8786b6d5fb9da69d8cf0a70bdc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bd86494ed21c6a0389ab0efcf4b8a5bb7b9f8f8786b6d5fb9da69d8cf0a70bdc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2026-07-28T23:38:30.230753Z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108</v>
      </c>
      <c r="BL51" s="27" t="n">
        <v>2.08</v>
      </c>
      <c r="BM51" s="28" t="n">
        <v>0.480769</v>
      </c>
      <c r="BN51" s="28" t="n">
        <v>0.477612</v>
      </c>
      <c r="BO51" s="28" t="n"/>
      <c r="BP51" s="25" t="n"/>
      <c r="BQ51" s="27" t="n">
        <v>2.08</v>
      </c>
      <c r="BR51" s="28" t="n">
        <v>0.48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e1199de067464220</t>
        </is>
      </c>
      <c r="B52" s="24" t="inlineStr">
        <is>
          <t>2026-07-28T23:38:30.230753Z</t>
        </is>
      </c>
      <c r="C52" s="24" t="inlineStr">
        <is>
          <t>2026-07-29T01:40Z</t>
        </is>
      </c>
      <c r="D52" s="24" t="inlineStr">
        <is>
          <t>401816302</t>
        </is>
      </c>
      <c r="E52" s="24" t="inlineStr">
        <is>
          <t>MLB</t>
        </is>
      </c>
      <c r="F52" s="24" t="inlineStr">
        <is>
          <t>Boston Red Sox</t>
        </is>
      </c>
      <c r="G52" s="24" t="inlineStr">
        <is>
          <t>Athletics</t>
        </is>
      </c>
      <c r="H52" s="24" t="inlineStr">
        <is>
          <t>total</t>
        </is>
      </c>
      <c r="I52" s="24" t="inlineStr">
        <is>
          <t>under</t>
        </is>
      </c>
      <c r="J52" s="25" t="n">
        <v>10.5</v>
      </c>
      <c r="K52" s="24" t="inlineStr">
        <is>
          <t>polymarket_us</t>
        </is>
      </c>
      <c r="L52" s="26" t="n">
        <v>-115</v>
      </c>
      <c r="M52" s="27" t="n">
        <v>1.869565</v>
      </c>
      <c r="N52" s="28" t="n">
        <v>0.534884</v>
      </c>
      <c r="O52" s="28" t="n">
        <v>0.58874</v>
      </c>
      <c r="P52" s="28" t="n">
        <v>0.047697</v>
      </c>
      <c r="Q52" s="28" t="n">
        <v>0.053856</v>
      </c>
      <c r="R52" s="26" t="n">
        <v>48</v>
      </c>
      <c r="S52" s="29" t="n">
        <v>0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3</v>
      </c>
      <c r="X52" s="26" t="n">
        <v>4</v>
      </c>
      <c r="Y52" s="25" t="n">
        <v>10.5</v>
      </c>
      <c r="Z52" s="26" t="n">
        <v>-115</v>
      </c>
      <c r="AA52" s="28" t="n">
        <v>0.535</v>
      </c>
      <c r="AB52" s="28" t="n">
        <v>0.000116</v>
      </c>
      <c r="AC52" s="30" t="n">
        <v>0</v>
      </c>
      <c r="AD52" s="24" t="inlineStr">
        <is>
          <t>2026-07-29T05:45:00.505596Z</t>
        </is>
      </c>
      <c r="AE52" s="31" t="inlineStr">
        <is>
          <t>Measured Edge Totals: Trend Engine projected 7.52-2.30; raw selected-side p=0.6044, calibrated p=0.5887.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mlb-bos</t>
        </is>
      </c>
      <c r="AQ52" s="24" t="inlineStr">
        <is>
          <t>Boston Red Sox</t>
        </is>
      </c>
      <c r="AR52" s="24" t="inlineStr">
        <is>
          <t>Boston Red Sox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0aa06c0f065ec20d43901d386280174165e2b07065216b6c7ffe72c98e322706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0aa06c0f065ec20d43901d386280174165e2b07065216b6c7ffe72c98e322706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2026-07-28T23:38:30.230753Z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-115</v>
      </c>
      <c r="BL52" s="27" t="n">
        <v>1.869565</v>
      </c>
      <c r="BM52" s="28" t="n">
        <v>0.534884</v>
      </c>
      <c r="BN52" s="28" t="n">
        <v>0.532338</v>
      </c>
      <c r="BO52" s="28" t="n"/>
      <c r="BP52" s="25" t="n"/>
      <c r="BQ52" s="27" t="n">
        <v>1.869565</v>
      </c>
      <c r="BR52" s="28" t="n">
        <v>0.535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a884931227d74be6</t>
        </is>
      </c>
      <c r="B53" s="24" t="inlineStr">
        <is>
          <t>2026-07-28T23:38:30.230753Z</t>
        </is>
      </c>
      <c r="C53" s="24" t="inlineStr">
        <is>
          <t>2026-07-29T01:40Z</t>
        </is>
      </c>
      <c r="D53" s="24" t="inlineStr">
        <is>
          <t>401816303</t>
        </is>
      </c>
      <c r="E53" s="24" t="inlineStr">
        <is>
          <t>MLB</t>
        </is>
      </c>
      <c r="F53" s="24" t="inlineStr">
        <is>
          <t>Colorado Rockies</t>
        </is>
      </c>
      <c r="G53" s="24" t="inlineStr">
        <is>
          <t>San Diego Padres</t>
        </is>
      </c>
      <c r="H53" s="24" t="inlineStr">
        <is>
          <t>spread</t>
        </is>
      </c>
      <c r="I53" s="24" t="inlineStr">
        <is>
          <t>home</t>
        </is>
      </c>
      <c r="J53" s="25" t="n">
        <v>-1.5</v>
      </c>
      <c r="K53" s="24" t="inlineStr">
        <is>
          <t>polymarket_us</t>
        </is>
      </c>
      <c r="L53" s="26" t="n">
        <v>102</v>
      </c>
      <c r="M53" s="27" t="n">
        <v>2.02</v>
      </c>
      <c r="N53" s="28" t="n">
        <v>0.49505</v>
      </c>
      <c r="O53" s="28" t="n">
        <v>0.65521</v>
      </c>
      <c r="P53" s="28" t="n">
        <v>0.047697</v>
      </c>
      <c r="Q53" s="28" t="n">
        <v>0.16016</v>
      </c>
      <c r="R53" s="26" t="n">
        <v>100</v>
      </c>
      <c r="S53" s="29" t="n">
        <v>0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7</v>
      </c>
      <c r="X53" s="26" t="n">
        <v>8</v>
      </c>
      <c r="Y53" s="25" t="n">
        <v>-1.5</v>
      </c>
      <c r="Z53" s="26" t="n">
        <v>102</v>
      </c>
      <c r="AA53" s="28" t="n">
        <v>0.495</v>
      </c>
      <c r="AB53" s="28" t="n">
        <v>-5e-05</v>
      </c>
      <c r="AC53" s="30" t="n">
        <v>0</v>
      </c>
      <c r="AD53" s="24" t="inlineStr">
        <is>
          <t>2026-07-29T05:45:00.870063Z</t>
        </is>
      </c>
      <c r="AE53" s="31" t="inlineStr">
        <is>
          <t>Measured Edge Margin: Trend Engine projected 3.01-6.66; raw selected-side p=0.6826, calibrated p=0.6552.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mlb-col</t>
        </is>
      </c>
      <c r="AQ53" s="24" t="inlineStr">
        <is>
          <t>Colorado Rockies</t>
        </is>
      </c>
      <c r="AR53" s="24" t="inlineStr">
        <is>
          <t>Colorado Rockies</t>
        </is>
      </c>
      <c r="AS53" s="24" t="inlineStr">
        <is>
          <t>mlb-sd</t>
        </is>
      </c>
      <c r="AT53" s="24" t="inlineStr">
        <is>
          <t>San Diego Padres</t>
        </is>
      </c>
      <c r="AU53" s="24" t="inlineStr">
        <is>
          <t>San Diego Padres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bd86494ed21c6a0389ab0efcf4b8a5bb7b9f8f8786b6d5fb9da69d8cf0a70bdc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bd86494ed21c6a0389ab0efcf4b8a5bb7b9f8f8786b6d5fb9da69d8cf0a70bdc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2026-07-28T23:38:30.230753Z</t>
        </is>
      </c>
      <c r="BI53" s="24" t="inlineStr">
        <is>
          <t>["same_event","same_team_same_day","same_league_same_day"]</t>
        </is>
      </c>
      <c r="BJ53" s="25" t="n">
        <v>-1.5</v>
      </c>
      <c r="BK53" s="26" t="n">
        <v>102</v>
      </c>
      <c r="BL53" s="27" t="n">
        <v>2.02</v>
      </c>
      <c r="BM53" s="28" t="n">
        <v>0.49505</v>
      </c>
      <c r="BN53" s="28" t="n">
        <v>0.492537</v>
      </c>
      <c r="BO53" s="28" t="n"/>
      <c r="BP53" s="25" t="n"/>
      <c r="BQ53" s="27" t="n">
        <v>2.02</v>
      </c>
      <c r="BR53" s="28" t="n">
        <v>0.495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7dcbb40503024cc8</t>
        </is>
      </c>
      <c r="B54" s="24" t="inlineStr">
        <is>
          <t>2026-07-28T23:38:30.230753Z</t>
        </is>
      </c>
      <c r="C54" s="24" t="inlineStr">
        <is>
          <t>2026-07-29T01:40Z</t>
        </is>
      </c>
      <c r="D54" s="24" t="inlineStr">
        <is>
          <t>401816303</t>
        </is>
      </c>
      <c r="E54" s="24" t="inlineStr">
        <is>
          <t>MLB</t>
        </is>
      </c>
      <c r="F54" s="24" t="inlineStr">
        <is>
          <t>Colorado Rockies</t>
        </is>
      </c>
      <c r="G54" s="24" t="inlineStr">
        <is>
          <t>San Diego Padres</t>
        </is>
      </c>
      <c r="H54" s="24" t="inlineStr">
        <is>
          <t>total</t>
        </is>
      </c>
      <c r="I54" s="24" t="inlineStr">
        <is>
          <t>over</t>
        </is>
      </c>
      <c r="J54" s="25" t="n">
        <v>8.5</v>
      </c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0.55355</v>
      </c>
      <c r="P54" s="28" t="n">
        <v>0.047697</v>
      </c>
      <c r="Q54" s="28" t="n">
        <v>0.072781</v>
      </c>
      <c r="R54" s="26" t="n">
        <v>58</v>
      </c>
      <c r="S54" s="29" t="n">
        <v>0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win</t>
        </is>
      </c>
      <c r="W54" s="26" t="n">
        <v>7</v>
      </c>
      <c r="X54" s="26" t="n">
        <v>8</v>
      </c>
      <c r="Y54" s="25" t="n">
        <v>8.5</v>
      </c>
      <c r="Z54" s="26" t="n">
        <v>108</v>
      </c>
      <c r="AA54" s="28" t="n">
        <v>0.48</v>
      </c>
      <c r="AB54" s="28" t="n">
        <v>-0.000769</v>
      </c>
      <c r="AC54" s="30" t="n">
        <v>0</v>
      </c>
      <c r="AD54" s="24" t="inlineStr">
        <is>
          <t>2026-07-29T05:45:01.233438Z</t>
        </is>
      </c>
      <c r="AE54" s="31" t="inlineStr">
        <is>
          <t>Measured Edge Totals: Trend Engine projected 3.01-6.66; raw selected-side p=0.5630, calibrated p=0.5535.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mlb-col</t>
        </is>
      </c>
      <c r="AQ54" s="24" t="inlineStr">
        <is>
          <t>Colorado Rockies</t>
        </is>
      </c>
      <c r="AR54" s="24" t="inlineStr">
        <is>
          <t>Colorado Rockies</t>
        </is>
      </c>
      <c r="AS54" s="24" t="inlineStr">
        <is>
          <t>mlb-sd</t>
        </is>
      </c>
      <c r="AT54" s="24" t="inlineStr">
        <is>
          <t>San Diego Padres</t>
        </is>
      </c>
      <c r="AU54" s="24" t="inlineStr">
        <is>
          <t>San Diego Padres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0aa06c0f065ec20d43901d386280174165e2b07065216b6c7ffe72c98e322706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0aa06c0f065ec20d43901d386280174165e2b07065216b6c7ffe72c98e322706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2026-07-28T23:38:30.230753Z</t>
        </is>
      </c>
      <c r="BI54" s="24" t="inlineStr">
        <is>
          <t>["same_event","same_team_same_day","same_league_same_day"]</t>
        </is>
      </c>
      <c r="BJ54" s="25" t="n">
        <v>8.5</v>
      </c>
      <c r="BK54" s="26" t="n">
        <v>108</v>
      </c>
      <c r="BL54" s="27" t="n">
        <v>2.08</v>
      </c>
      <c r="BM54" s="28" t="n">
        <v>0.480769</v>
      </c>
      <c r="BN54" s="28" t="n">
        <v>0.477612</v>
      </c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30fef590ff6b48b7</t>
        </is>
      </c>
      <c r="B55" s="24" t="inlineStr">
        <is>
          <t>2026-07-28T23:38:30.230753Z</t>
        </is>
      </c>
      <c r="C55" s="24" t="inlineStr">
        <is>
          <t>2026-07-29T01:45Z</t>
        </is>
      </c>
      <c r="D55" s="24" t="inlineStr">
        <is>
          <t>401816305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San Francisco Giants</t>
        </is>
      </c>
      <c r="H55" s="24" t="inlineStr">
        <is>
          <t>spread</t>
        </is>
      </c>
      <c r="I55" s="24" t="inlineStr">
        <is>
          <t>home</t>
        </is>
      </c>
      <c r="J55" s="25" t="n">
        <v>1.5</v>
      </c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0.59044</v>
      </c>
      <c r="P55" s="28" t="n">
        <v>0.056347</v>
      </c>
      <c r="Q55" s="28" t="n">
        <v>0.030969</v>
      </c>
      <c r="R55" s="26" t="n">
        <v>32</v>
      </c>
      <c r="S55" s="29" t="n">
        <v>0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2</v>
      </c>
      <c r="Y55" s="25" t="n">
        <v>1.5</v>
      </c>
      <c r="Z55" s="26" t="n">
        <v>-127</v>
      </c>
      <c r="AA55" s="28" t="n">
        <v>0.5600000000000001</v>
      </c>
      <c r="AB55" s="28" t="n">
        <v>0.000529</v>
      </c>
      <c r="AC55" s="30" t="n">
        <v>0</v>
      </c>
      <c r="AD55" s="24" t="inlineStr">
        <is>
          <t>2026-07-29T05:45:01.637986Z</t>
        </is>
      </c>
      <c r="AE55" s="31" t="inlineStr">
        <is>
          <t>Measured Edge Margin: Trend Engine projected 3.69-2.77; raw selected-side p=0.6064, calibrated p=0.5904.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mlb-sf</t>
        </is>
      </c>
      <c r="AT55" s="24" t="inlineStr">
        <is>
          <t>San Francisco Giants</t>
        </is>
      </c>
      <c r="AU55" s="24" t="inlineStr">
        <is>
          <t>San Francisco Giants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bd86494ed21c6a0389ab0efcf4b8a5bb7b9f8f8786b6d5fb9da69d8cf0a70bdc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bd86494ed21c6a0389ab0efcf4b8a5bb7b9f8f8786b6d5fb9da69d8cf0a70bdc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2026-07-28T23:38:30.230753Z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-127</v>
      </c>
      <c r="BL55" s="27" t="n">
        <v>1.787402</v>
      </c>
      <c r="BM55" s="28" t="n">
        <v>0.5594710000000001</v>
      </c>
      <c r="BN55" s="28" t="n">
        <v>0.557214</v>
      </c>
      <c r="BO55" s="28" t="n"/>
      <c r="BP55" s="25" t="n"/>
      <c r="BQ55" s="27" t="n">
        <v>1.787402</v>
      </c>
      <c r="BR55" s="28" t="n">
        <v>0.5600000000000001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67d9369db72e4292</t>
        </is>
      </c>
      <c r="B56" s="24" t="inlineStr">
        <is>
          <t>2026-07-28T23:38:30.230753Z</t>
        </is>
      </c>
      <c r="C56" s="24" t="inlineStr">
        <is>
          <t>2026-07-29T01:45Z</t>
        </is>
      </c>
      <c r="D56" s="24" t="inlineStr">
        <is>
          <t>401816305</t>
        </is>
      </c>
      <c r="E56" s="24" t="inlineStr">
        <is>
          <t>MLB</t>
        </is>
      </c>
      <c r="F56" s="24" t="inlineStr">
        <is>
          <t>Milwaukee Brewers</t>
        </is>
      </c>
      <c r="G56" s="24" t="inlineStr">
        <is>
          <t>San Francisco Giants</t>
        </is>
      </c>
      <c r="H56" s="24" t="inlineStr">
        <is>
          <t>total</t>
        </is>
      </c>
      <c r="I56" s="24" t="inlineStr">
        <is>
          <t>under</t>
        </is>
      </c>
      <c r="J56" s="25" t="n">
        <v>7.5</v>
      </c>
      <c r="K56" s="24" t="inlineStr">
        <is>
          <t>polymarket_us</t>
        </is>
      </c>
      <c r="L56" s="26" t="n">
        <v>-115</v>
      </c>
      <c r="M56" s="27" t="n">
        <v>1.869565</v>
      </c>
      <c r="N56" s="28" t="n">
        <v>0.534884</v>
      </c>
      <c r="O56" s="28" t="n">
        <v>0.63923</v>
      </c>
      <c r="P56" s="28" t="n">
        <v>0.056347</v>
      </c>
      <c r="Q56" s="28" t="n">
        <v>0.104346</v>
      </c>
      <c r="R56" s="26" t="n">
        <v>68</v>
      </c>
      <c r="S56" s="29" t="n">
        <v>0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8</v>
      </c>
      <c r="X56" s="26" t="n">
        <v>2</v>
      </c>
      <c r="Y56" s="25" t="n">
        <v>7.5</v>
      </c>
      <c r="Z56" s="26" t="n">
        <v>-115</v>
      </c>
      <c r="AA56" s="28" t="n">
        <v>0.535</v>
      </c>
      <c r="AB56" s="28" t="n">
        <v>0.000116</v>
      </c>
      <c r="AC56" s="30" t="n">
        <v>0</v>
      </c>
      <c r="AD56" s="24" t="inlineStr">
        <is>
          <t>2026-07-29T05:45:02.002223Z</t>
        </is>
      </c>
      <c r="AE56" s="31" t="inlineStr">
        <is>
          <t>Measured Edge Totals: Trend Engine projected 3.69-2.77; raw selected-side p=0.6638, calibrated p=0.6392.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mlb-mil</t>
        </is>
      </c>
      <c r="AQ56" s="24" t="inlineStr">
        <is>
          <t>Milwaukee Brewers</t>
        </is>
      </c>
      <c r="AR56" s="24" t="inlineStr">
        <is>
          <t>Milwaukee Brewers</t>
        </is>
      </c>
      <c r="AS56" s="24" t="inlineStr">
        <is>
          <t>mlb-sf</t>
        </is>
      </c>
      <c r="AT56" s="24" t="inlineStr">
        <is>
          <t>San Francisco Giants</t>
        </is>
      </c>
      <c r="AU56" s="24" t="inlineStr">
        <is>
          <t>San Francisco Giants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0aa06c0f065ec20d43901d386280174165e2b07065216b6c7ffe72c98e322706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0aa06c0f065ec20d43901d386280174165e2b07065216b6c7ffe72c98e322706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2026-07-28T23:38:30.230753Z</t>
        </is>
      </c>
      <c r="BI56" s="24" t="inlineStr">
        <is>
          <t>["same_event","same_team_same_day","same_league_same_day"]</t>
        </is>
      </c>
      <c r="BJ56" s="25" t="n">
        <v>7.5</v>
      </c>
      <c r="BK56" s="26" t="n">
        <v>-115</v>
      </c>
      <c r="BL56" s="27" t="n">
        <v>1.869565</v>
      </c>
      <c r="BM56" s="28" t="n">
        <v>0.534884</v>
      </c>
      <c r="BN56" s="28" t="n">
        <v>0.532338</v>
      </c>
      <c r="BO56" s="28" t="n"/>
      <c r="BP56" s="25" t="n"/>
      <c r="BQ56" s="27" t="n">
        <v>1.869565</v>
      </c>
      <c r="BR56" s="28" t="n">
        <v>0.535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74b7db0608724569</t>
        </is>
      </c>
      <c r="B57" s="24" t="inlineStr">
        <is>
          <t>2026-07-28T23:38:30.230753Z</t>
        </is>
      </c>
      <c r="C57" s="24" t="inlineStr">
        <is>
          <t>2026-07-29T02:10Z</t>
        </is>
      </c>
      <c r="D57" s="24" t="inlineStr">
        <is>
          <t>401816306</t>
        </is>
      </c>
      <c r="E57" s="24" t="inlineStr">
        <is>
          <t>MLB</t>
        </is>
      </c>
      <c r="F57" s="24" t="inlineStr">
        <is>
          <t>Seattle Mariners</t>
        </is>
      </c>
      <c r="G57" s="24" t="inlineStr">
        <is>
          <t>Los Angeles Dodgers</t>
        </is>
      </c>
      <c r="H57" s="24" t="inlineStr">
        <is>
          <t>spread</t>
        </is>
      </c>
      <c r="I57" s="24" t="inlineStr">
        <is>
          <t>home</t>
        </is>
      </c>
      <c r="J57" s="25" t="n">
        <v>-1.5</v>
      </c>
      <c r="K57" s="24" t="inlineStr">
        <is>
          <t>polymarket_us</t>
        </is>
      </c>
      <c r="L57" s="26" t="n">
        <v>-111</v>
      </c>
      <c r="M57" s="27" t="n">
        <v>1.900901</v>
      </c>
      <c r="N57" s="28" t="n">
        <v>0.526066</v>
      </c>
      <c r="O57" s="28" t="n">
        <v>0.59214</v>
      </c>
      <c r="P57" s="28" t="n">
        <v>0.047697</v>
      </c>
      <c r="Q57" s="28" t="n">
        <v>0.06607399999999999</v>
      </c>
      <c r="R57" s="26" t="n">
        <v>54</v>
      </c>
      <c r="S57" s="29" t="n">
        <v>0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loss</t>
        </is>
      </c>
      <c r="W57" s="26" t="n">
        <v>7</v>
      </c>
      <c r="X57" s="26" t="n">
        <v>6</v>
      </c>
      <c r="Y57" s="25" t="n">
        <v>-1.5</v>
      </c>
      <c r="Z57" s="26" t="n">
        <v>-111</v>
      </c>
      <c r="AA57" s="28" t="n">
        <v>0.525</v>
      </c>
      <c r="AB57" s="28" t="n">
        <v>-0.001066</v>
      </c>
      <c r="AC57" s="30" t="n">
        <v>0</v>
      </c>
      <c r="AD57" s="24" t="inlineStr">
        <is>
          <t>2026-07-29T05:45:02.499667Z</t>
        </is>
      </c>
      <c r="AE57" s="31" t="inlineStr">
        <is>
          <t>Measured Edge Margin: Trend Engine projected 2.41-5.02; raw selected-side p=0.6084, calibrated p=0.5921.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mlb-sea</t>
        </is>
      </c>
      <c r="AQ57" s="24" t="inlineStr">
        <is>
          <t>Seattle Mariners</t>
        </is>
      </c>
      <c r="AR57" s="24" t="inlineStr">
        <is>
          <t>Seattle Mariners</t>
        </is>
      </c>
      <c r="AS57" s="24" t="inlineStr">
        <is>
          <t>mlb-lad</t>
        </is>
      </c>
      <c r="AT57" s="24" t="inlineStr">
        <is>
          <t>Los Angeles Dodgers</t>
        </is>
      </c>
      <c r="AU57" s="24" t="inlineStr">
        <is>
          <t>Los Angeles Dodgers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bd86494ed21c6a0389ab0efcf4b8a5bb7b9f8f8786b6d5fb9da69d8cf0a70bdc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bd86494ed21c6a0389ab0efcf4b8a5bb7b9f8f8786b6d5fb9da69d8cf0a70bdc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2026-07-28T23:38:30.230753Z</t>
        </is>
      </c>
      <c r="BI57" s="24" t="inlineStr">
        <is>
          <t>["same_event","same_team_same_day","same_league_same_day"]</t>
        </is>
      </c>
      <c r="BJ57" s="25" t="n">
        <v>-1.5</v>
      </c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>
        <v>1.900901</v>
      </c>
      <c r="BR57" s="28" t="n">
        <v>0.525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cee6ad5cbf45481f</t>
        </is>
      </c>
      <c r="B58" s="24" t="inlineStr">
        <is>
          <t>2026-07-28T23:38:30.230753Z</t>
        </is>
      </c>
      <c r="C58" s="24" t="inlineStr">
        <is>
          <t>2026-07-29T02:10Z</t>
        </is>
      </c>
      <c r="D58" s="24" t="inlineStr">
        <is>
          <t>401816306</t>
        </is>
      </c>
      <c r="E58" s="24" t="inlineStr">
        <is>
          <t>MLB</t>
        </is>
      </c>
      <c r="F58" s="24" t="inlineStr">
        <is>
          <t>Seattle Mariners</t>
        </is>
      </c>
      <c r="G58" s="24" t="inlineStr">
        <is>
          <t>Los Angeles Dodgers</t>
        </is>
      </c>
      <c r="H58" s="24" t="inlineStr">
        <is>
          <t>total</t>
        </is>
      </c>
      <c r="I58" s="24" t="inlineStr">
        <is>
          <t>under</t>
        </is>
      </c>
      <c r="J58" s="25" t="n">
        <v>9.5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0.70485</v>
      </c>
      <c r="P58" s="28" t="n">
        <v>0.047697</v>
      </c>
      <c r="Q58" s="28" t="n">
        <v>0.178784</v>
      </c>
      <c r="R58" s="26" t="n">
        <v>100</v>
      </c>
      <c r="S58" s="29" t="n">
        <v>0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loss</t>
        </is>
      </c>
      <c r="W58" s="26" t="n">
        <v>7</v>
      </c>
      <c r="X58" s="26" t="n">
        <v>6</v>
      </c>
      <c r="Y58" s="25" t="n">
        <v>9.5</v>
      </c>
      <c r="Z58" s="26" t="n">
        <v>-111</v>
      </c>
      <c r="AA58" s="28" t="n">
        <v>0.525</v>
      </c>
      <c r="AB58" s="28" t="n">
        <v>-0.001066</v>
      </c>
      <c r="AC58" s="30" t="n">
        <v>0</v>
      </c>
      <c r="AD58" s="24" t="inlineStr">
        <is>
          <t>2026-07-29T05:45:02.940715Z</t>
        </is>
      </c>
      <c r="AE58" s="31" t="inlineStr">
        <is>
          <t>Measured Edge Totals: Trend Engine projected 2.41-5.02; raw selected-side p=0.7410, calibrated p=0.7048.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mlb-sea</t>
        </is>
      </c>
      <c r="AQ58" s="24" t="inlineStr">
        <is>
          <t>Seattle Mariners</t>
        </is>
      </c>
      <c r="AR58" s="24" t="inlineStr">
        <is>
          <t>Seattle Mariners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0aa06c0f065ec20d43901d386280174165e2b07065216b6c7ffe72c98e322706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0aa06c0f065ec20d43901d386280174165e2b07065216b6c7ffe72c98e322706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2026-07-28T23:38:30.230753Z</t>
        </is>
      </c>
      <c r="BI58" s="24" t="inlineStr">
        <is>
          <t>["same_event","same_team_same_day","same_league_same_day"]</t>
        </is>
      </c>
      <c r="BJ58" s="25" t="n">
        <v>9.5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9729768851cd4ce0</t>
        </is>
      </c>
      <c r="B59" s="24" t="inlineStr">
        <is>
          <t>2026-07-29T17:43:50.913671Z</t>
        </is>
      </c>
      <c r="C59" s="24" t="inlineStr">
        <is>
          <t>2026-07-29T20:00:00-0400</t>
        </is>
      </c>
      <c r="D59" s="24" t="inlineStr">
        <is>
          <t>401857097</t>
        </is>
      </c>
      <c r="E59" s="24" t="inlineStr">
        <is>
          <t>WNBA</t>
        </is>
      </c>
      <c r="F59" s="24" t="inlineStr">
        <is>
          <t>Atlanta Dream</t>
        </is>
      </c>
      <c r="G59" s="24" t="inlineStr">
        <is>
          <t>Dallas Wings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108</v>
      </c>
      <c r="M59" s="27" t="n">
        <v>2.08</v>
      </c>
      <c r="N59" s="28" t="n">
        <v>0.480769</v>
      </c>
      <c r="O59" s="28" t="n">
        <v>0.66476</v>
      </c>
      <c r="P59" s="28" t="n"/>
      <c r="Q59" s="28" t="n">
        <v>0.183991</v>
      </c>
      <c r="R59" s="26" t="n">
        <v>100</v>
      </c>
      <c r="S59" s="29" t="n">
        <v>2</v>
      </c>
      <c r="T59" s="24" t="inlineStr">
        <is>
          <t>wnba-elo-trend-lr-v4</t>
        </is>
      </c>
      <c r="U59" s="24" t="inlineStr">
        <is>
          <t>settled</t>
        </is>
      </c>
      <c r="V59" s="24" t="inlineStr">
        <is>
          <t>loss</t>
        </is>
      </c>
      <c r="W59" s="26" t="n">
        <v>82</v>
      </c>
      <c r="X59" s="26" t="n">
        <v>81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2026-07-30T04:11:52.718757Z</t>
        </is>
      </c>
      <c r="AE59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wnba-atl</t>
        </is>
      </c>
      <c r="AQ59" s="24" t="inlineStr">
        <is>
          <t>Atlanta Dream</t>
        </is>
      </c>
      <c r="AR59" s="24" t="inlineStr">
        <is>
          <t>Atlanta Dream</t>
        </is>
      </c>
      <c r="AS59" s="24" t="inlineStr">
        <is>
          <t>wnba-dal</t>
        </is>
      </c>
      <c r="AT59" s="24" t="inlineStr">
        <is>
          <t>Dallas Wings</t>
        </is>
      </c>
      <c r="AU59" s="24" t="inlineStr">
        <is>
          <t>Dallas Wings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7afd5274214b58b7efd7f7febc7be3ab33b92351cda5cc6403c0a39faea0cc8c</t>
        </is>
      </c>
      <c r="BB59" s="24" t="inlineStr">
        <is>
          <t>learned_lr</t>
        </is>
      </c>
      <c r="BC59" s="24" t="inlineStr">
        <is>
          <t>wnba-elo-trend-lr-v4</t>
        </is>
      </c>
      <c r="BD59" s="24" t="inlineStr">
        <is>
          <t>7afd5274214b58b7efd7f7febc7be3ab33b92351cda5cc6403c0a39faea0cc8c</t>
        </is>
      </c>
      <c r="BE59" s="24" t="inlineStr">
        <is>
          <t>f25936b561e6d355</t>
        </is>
      </c>
      <c r="BF59" s="24" t="inlineStr">
        <is>
          <t>1</t>
        </is>
      </c>
      <c r="BG59" s="24" t="inlineStr">
        <is>
          <t>wnba-elo-trend-lr-v4</t>
        </is>
      </c>
      <c r="BH59" s="24" t="inlineStr">
        <is>
          <t>2026-07-29T17:43:12.551208Z</t>
        </is>
      </c>
      <c r="BI59" s="24" t="inlineStr">
        <is>
          <t>["same_event","same_team_same_day","same_league_same_day"]</t>
        </is>
      </c>
      <c r="BJ59" s="25" t="n"/>
      <c r="BK59" s="26" t="n">
        <v>108</v>
      </c>
      <c r="BL59" s="27" t="n">
        <v>2.08</v>
      </c>
      <c r="BM59" s="28" t="n">
        <v>0.480769</v>
      </c>
      <c r="BN59" s="28" t="n">
        <v>0.475248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0.7229749194</t>
        </is>
      </c>
      <c r="CD59" s="24" t="inlineStr">
        <is>
          <t>-2.425932</t>
        </is>
      </c>
      <c r="CE59" s="24" t="n"/>
      <c r="CF59" s="24" t="n"/>
      <c r="CG59" s="24" t="n"/>
      <c r="CH59" s="24" t="n"/>
      <c r="CI59" s="24" t="inlineStr">
        <is>
          <t>wnba_availability_source_conflict</t>
        </is>
      </c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78b993466b62448a</t>
        </is>
      </c>
      <c r="B60" s="24" t="inlineStr">
        <is>
          <t>2026-07-29T17:43:50.913671Z</t>
        </is>
      </c>
      <c r="C60" s="24" t="inlineStr">
        <is>
          <t>2026-07-29T22:00:00-0400</t>
        </is>
      </c>
      <c r="D60" s="24" t="inlineStr">
        <is>
          <t>401857098</t>
        </is>
      </c>
      <c r="E60" s="24" t="inlineStr">
        <is>
          <t>WNBA</t>
        </is>
      </c>
      <c r="F60" s="24" t="inlineStr">
        <is>
          <t>Golden State Valkyries</t>
        </is>
      </c>
      <c r="G60" s="24" t="inlineStr">
        <is>
          <t>Phoenix Mercury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-156</v>
      </c>
      <c r="M60" s="27" t="n">
        <v>1.641026</v>
      </c>
      <c r="N60" s="28" t="n">
        <v>0.609375</v>
      </c>
      <c r="O60" s="28" t="n">
        <v>0.7219989999999999</v>
      </c>
      <c r="P60" s="28" t="n"/>
      <c r="Q60" s="28" t="n">
        <v>0.112624</v>
      </c>
      <c r="R60" s="26" t="n">
        <v>79</v>
      </c>
      <c r="S60" s="29" t="n">
        <v>2</v>
      </c>
      <c r="T60" s="24" t="inlineStr">
        <is>
          <t>wnba-elo-trend-lr-v4</t>
        </is>
      </c>
      <c r="U60" s="24" t="inlineStr">
        <is>
          <t>settled</t>
        </is>
      </c>
      <c r="V60" s="24" t="inlineStr">
        <is>
          <t>loss</t>
        </is>
      </c>
      <c r="W60" s="26" t="n">
        <v>89</v>
      </c>
      <c r="X60" s="26" t="n">
        <v>91</v>
      </c>
      <c r="Y60" s="25" t="n"/>
      <c r="Z60" s="26" t="n"/>
      <c r="AA60" s="28" t="n"/>
      <c r="AB60" s="28" t="n"/>
      <c r="AC60" s="30" t="n">
        <v>-2</v>
      </c>
      <c r="AD60" s="24" t="inlineStr">
        <is>
          <t>2026-07-30T05:40:57.557947Z</t>
        </is>
      </c>
      <c r="AE60" s="31" t="inlineStr">
        <is>
          <t>Learned LR call at threshold 0.5001; executable ask 0.6100 (aec-wnba-gsv-phx-2026-07-29).</t>
        </is>
      </c>
      <c r="AF60" s="31" t="inlineStr">
        <is>
          <t>Learned model; shadow-qualified via operator override.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wnba-gsv</t>
        </is>
      </c>
      <c r="AQ60" s="24" t="inlineStr">
        <is>
          <t>Golden State Valkyries</t>
        </is>
      </c>
      <c r="AR60" s="24" t="inlineStr">
        <is>
          <t>Golden State Valkyries</t>
        </is>
      </c>
      <c r="AS60" s="24" t="inlineStr">
        <is>
          <t>wnba-phx</t>
        </is>
      </c>
      <c r="AT60" s="24" t="inlineStr">
        <is>
          <t>Phoenix Mercury</t>
        </is>
      </c>
      <c r="AU60" s="24" t="inlineStr">
        <is>
          <t>Phoenix Mercury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7afd5274214b58b7efd7f7febc7be3ab33b92351cda5cc6403c0a39faea0cc8c</t>
        </is>
      </c>
      <c r="BB60" s="24" t="inlineStr">
        <is>
          <t>learned_lr</t>
        </is>
      </c>
      <c r="BC60" s="24" t="inlineStr">
        <is>
          <t>wnba-elo-trend-lr-v4</t>
        </is>
      </c>
      <c r="BD60" s="24" t="inlineStr">
        <is>
          <t>7afd5274214b58b7efd7f7febc7be3ab33b92351cda5cc6403c0a39faea0cc8c</t>
        </is>
      </c>
      <c r="BE60" s="24" t="inlineStr">
        <is>
          <t>5ba5847b783e4237</t>
        </is>
      </c>
      <c r="BF60" s="24" t="inlineStr">
        <is>
          <t>1</t>
        </is>
      </c>
      <c r="BG60" s="24" t="inlineStr">
        <is>
          <t>wnba-elo-trend-lr-v4</t>
        </is>
      </c>
      <c r="BH60" s="24" t="inlineStr">
        <is>
          <t>2026-07-29T17:43:13.575889Z</t>
        </is>
      </c>
      <c r="BI60" s="24" t="inlineStr">
        <is>
          <t>["same_event","same_team_same_day","same_league_same_day"]</t>
        </is>
      </c>
      <c r="BJ60" s="25" t="n"/>
      <c r="BK60" s="26" t="n">
        <v>-156</v>
      </c>
      <c r="BL60" s="27" t="n">
        <v>1.641026</v>
      </c>
      <c r="BM60" s="28" t="n">
        <v>0.609375</v>
      </c>
      <c r="BN60" s="28" t="n">
        <v>0.6039600000000001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0.1902656067</t>
        </is>
      </c>
      <c r="CD60" s="24" t="inlineStr">
        <is>
          <t>-0.399848</t>
        </is>
      </c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8f7594e6c4424f9a</t>
        </is>
      </c>
      <c r="B61" s="24" t="inlineStr">
        <is>
          <t>2026-07-29T17:44:02.507912Z</t>
        </is>
      </c>
      <c r="C61" s="24" t="inlineStr">
        <is>
          <t>2026-07-29T19:45Z</t>
        </is>
      </c>
      <c r="D61" s="24" t="inlineStr">
        <is>
          <t>401816320</t>
        </is>
      </c>
      <c r="E61" s="24" t="inlineStr">
        <is>
          <t>MLB</t>
        </is>
      </c>
      <c r="F61" s="24" t="inlineStr">
        <is>
          <t>Milwaukee Brewers</t>
        </is>
      </c>
      <c r="G61" s="24" t="inlineStr">
        <is>
          <t>San Francisco Giants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-163</v>
      </c>
      <c r="M61" s="27" t="n">
        <v>1.613497</v>
      </c>
      <c r="N61" s="28" t="n">
        <v>0.619772</v>
      </c>
      <c r="O61" s="28" t="n">
        <v>0.528993</v>
      </c>
      <c r="P61" s="28" t="n">
        <v>0.05172</v>
      </c>
      <c r="Q61" s="28" t="n">
        <v>-0.090779</v>
      </c>
      <c r="R61" s="26" t="n">
        <v>0</v>
      </c>
      <c r="S61" s="29" t="n">
        <v>0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16</v>
      </c>
      <c r="Y61" s="25" t="n">
        <v>1.5</v>
      </c>
      <c r="Z61" s="26" t="n">
        <v>-163</v>
      </c>
      <c r="AA61" s="28" t="n">
        <v>0.62</v>
      </c>
      <c r="AB61" s="28" t="n">
        <v>0.000228</v>
      </c>
      <c r="AC61" s="30" t="n">
        <v>0</v>
      </c>
      <c r="AD61" s="24" t="inlineStr">
        <is>
          <t>2026-07-30T04:11:57.750016Z</t>
        </is>
      </c>
      <c r="AE61" s="31" t="inlineStr">
        <is>
          <t>Measured Edge Margin: Trend Engine projected 4.96-4.57; raw selected-side p=0.6186, calibrated p=0.5290.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mlb-mil</t>
        </is>
      </c>
      <c r="AQ61" s="24" t="inlineStr">
        <is>
          <t>Milwaukee Brewers</t>
        </is>
      </c>
      <c r="AR61" s="24" t="inlineStr">
        <is>
          <t>Milwaukee Brewers</t>
        </is>
      </c>
      <c r="AS61" s="24" t="inlineStr">
        <is>
          <t>mlb-sf</t>
        </is>
      </c>
      <c r="AT61" s="24" t="inlineStr">
        <is>
          <t>San Francisco Giants</t>
        </is>
      </c>
      <c r="AU61" s="24" t="inlineStr">
        <is>
          <t>San Francisco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c05bda6086190b5b398519d3b57b0edba8160090cd5e3c9cb0614cecfbf03f01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c05bda6086190b5b398519d3b57b0edba8160090cd5e3c9cb0614cecfbf03f01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2026-07-29T17:44:02.507912Z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-163</v>
      </c>
      <c r="BL61" s="27" t="n">
        <v>1.613497</v>
      </c>
      <c r="BM61" s="28" t="n">
        <v>0.619772</v>
      </c>
      <c r="BN61" s="28" t="n">
        <v>0.616915</v>
      </c>
      <c r="BO61" s="28" t="n"/>
      <c r="BP61" s="25" t="n"/>
      <c r="BQ61" s="27" t="n">
        <v>1.613497</v>
      </c>
      <c r="BR61" s="28" t="n">
        <v>0.62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0a34b288a75b4af8</t>
        </is>
      </c>
      <c r="B62" s="24" t="inlineStr">
        <is>
          <t>2026-07-29T17:44:02.507912Z</t>
        </is>
      </c>
      <c r="C62" s="24" t="inlineStr">
        <is>
          <t>2026-07-29T19:45Z</t>
        </is>
      </c>
      <c r="D62" s="24" t="inlineStr">
        <is>
          <t>401816320</t>
        </is>
      </c>
      <c r="E62" s="24" t="inlineStr">
        <is>
          <t>MLB</t>
        </is>
      </c>
      <c r="F62" s="24" t="inlineStr">
        <is>
          <t>Milwaukee Brewers</t>
        </is>
      </c>
      <c r="G62" s="24" t="inlineStr">
        <is>
          <t>San Francisco Giants</t>
        </is>
      </c>
      <c r="H62" s="24" t="inlineStr">
        <is>
          <t>total</t>
        </is>
      </c>
      <c r="I62" s="24" t="inlineStr">
        <is>
          <t>over</t>
        </is>
      </c>
      <c r="J62" s="25" t="n">
        <v>7.5</v>
      </c>
      <c r="K62" s="24" t="inlineStr">
        <is>
          <t>polymarket_us</t>
        </is>
      </c>
      <c r="L62" s="26" t="n">
        <v>-106</v>
      </c>
      <c r="M62" s="27" t="n">
        <v>1.943396</v>
      </c>
      <c r="N62" s="28" t="n">
        <v>0.514563</v>
      </c>
      <c r="O62" s="28" t="n">
        <v>0.51432</v>
      </c>
      <c r="P62" s="28" t="n">
        <v>0.05172</v>
      </c>
      <c r="Q62" s="28" t="n">
        <v>-0.000243</v>
      </c>
      <c r="R62" s="26" t="n">
        <v>19</v>
      </c>
      <c r="S62" s="29" t="n">
        <v>0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16</v>
      </c>
      <c r="Y62" s="25" t="n">
        <v>7.5</v>
      </c>
      <c r="Z62" s="26" t="n">
        <v>-106</v>
      </c>
      <c r="AA62" s="28" t="n">
        <v>0.515</v>
      </c>
      <c r="AB62" s="28" t="n">
        <v>0.000437</v>
      </c>
      <c r="AC62" s="30" t="n">
        <v>0</v>
      </c>
      <c r="AD62" s="24" t="inlineStr">
        <is>
          <t>2026-07-30T04:11:58.507959Z</t>
        </is>
      </c>
      <c r="AE62" s="31" t="inlineStr">
        <is>
          <t>Measured Edge Totals: Trend Engine projected 4.96-4.57; raw selected-side p=0.6427, calibrated p=0.5143.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mlb-mil</t>
        </is>
      </c>
      <c r="AQ62" s="24" t="inlineStr">
        <is>
          <t>Milwaukee Brewers</t>
        </is>
      </c>
      <c r="AR62" s="24" t="inlineStr">
        <is>
          <t>Milwaukee Brewers</t>
        </is>
      </c>
      <c r="AS62" s="24" t="inlineStr">
        <is>
          <t>mlb-sf</t>
        </is>
      </c>
      <c r="AT62" s="24" t="inlineStr">
        <is>
          <t>San Francisco Giants</t>
        </is>
      </c>
      <c r="AU62" s="24" t="inlineStr">
        <is>
          <t>San Francisco Giants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57de3d47944562994a5b1afaec1ed80c7d895d39fce98e14c1dee1a330df60d1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57de3d47944562994a5b1afaec1ed80c7d895d39fce98e14c1dee1a330df60d1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2026-07-29T17:44:02.507912Z</t>
        </is>
      </c>
      <c r="BI62" s="24" t="inlineStr">
        <is>
          <t>["same_event","same_team_same_day","same_league_same_day"]</t>
        </is>
      </c>
      <c r="BJ62" s="25" t="n">
        <v>7.5</v>
      </c>
      <c r="BK62" s="26" t="n">
        <v>-106</v>
      </c>
      <c r="BL62" s="27" t="n">
        <v>1.943396</v>
      </c>
      <c r="BM62" s="28" t="n">
        <v>0.514563</v>
      </c>
      <c r="BN62" s="28" t="n">
        <v>0.5124379999999999</v>
      </c>
      <c r="BO62" s="28" t="n"/>
      <c r="BP62" s="25" t="n"/>
      <c r="BQ62" s="27" t="n">
        <v>1.943396</v>
      </c>
      <c r="BR62" s="28" t="n">
        <v>0.515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8f1af0aca0df41e2</t>
        </is>
      </c>
      <c r="B63" s="24" t="inlineStr">
        <is>
          <t>2026-07-29T17:44:02.507912Z</t>
        </is>
      </c>
      <c r="C63" s="24" t="inlineStr">
        <is>
          <t>2026-07-29T20:10Z</t>
        </is>
      </c>
      <c r="D63" s="24" t="inlineStr">
        <is>
          <t>401816318</t>
        </is>
      </c>
      <c r="E63" s="24" t="inlineStr">
        <is>
          <t>MLB</t>
        </is>
      </c>
      <c r="F63" s="24" t="inlineStr">
        <is>
          <t>Colorado Rockies</t>
        </is>
      </c>
      <c r="G63" s="24" t="inlineStr">
        <is>
          <t>San Diego Padres</t>
        </is>
      </c>
      <c r="H63" s="24" t="inlineStr">
        <is>
          <t>spread</t>
        </is>
      </c>
      <c r="I63" s="24" t="inlineStr">
        <is>
          <t>away</t>
        </is>
      </c>
      <c r="J63" s="25" t="n">
        <v>1.5</v>
      </c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0.5385490000000001</v>
      </c>
      <c r="P63" s="28" t="n">
        <v>0.05172</v>
      </c>
      <c r="Q63" s="28" t="n">
        <v>-0.051615</v>
      </c>
      <c r="R63" s="26" t="n">
        <v>0</v>
      </c>
      <c r="S63" s="29" t="n">
        <v>0</v>
      </c>
      <c r="T63" s="24" t="inlineStr">
        <is>
          <t>measured-edge-margin-v1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3</v>
      </c>
      <c r="Y63" s="25" t="n">
        <v>1.5</v>
      </c>
      <c r="Z63" s="26" t="n">
        <v>-144</v>
      </c>
      <c r="AA63" s="28" t="n">
        <v>0.59</v>
      </c>
      <c r="AB63" s="28" t="n">
        <v>-0.000164</v>
      </c>
      <c r="AC63" s="30" t="n">
        <v>0</v>
      </c>
      <c r="AD63" s="24" t="inlineStr">
        <is>
          <t>2026-07-30T04:11:59.220639Z</t>
        </is>
      </c>
      <c r="AE63" s="31" t="inlineStr">
        <is>
          <t>Measured Edge Margin: Trend Engine projected 4.41-4.02; raw selected-side p=0.7135, calibrated p=0.5385.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mlb-col</t>
        </is>
      </c>
      <c r="AQ63" s="24" t="inlineStr">
        <is>
          <t>Colorado Rockies</t>
        </is>
      </c>
      <c r="AR63" s="24" t="inlineStr">
        <is>
          <t>Colorado Rockies</t>
        </is>
      </c>
      <c r="AS63" s="24" t="inlineStr">
        <is>
          <t>mlb-sd</t>
        </is>
      </c>
      <c r="AT63" s="24" t="inlineStr">
        <is>
          <t>San Diego Padres</t>
        </is>
      </c>
      <c r="AU63" s="24" t="inlineStr">
        <is>
          <t>San Diego Padres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c05bda6086190b5b398519d3b57b0edba8160090cd5e3c9cb0614cecfbf03f01</t>
        </is>
      </c>
      <c r="BB63" s="24" t="inlineStr">
        <is>
          <t>flat_probability_shrinkage_toward_half</t>
        </is>
      </c>
      <c r="BC63" s="24" t="inlineStr">
        <is>
          <t>measured-edge-margin-v1</t>
        </is>
      </c>
      <c r="BD63" s="24" t="inlineStr">
        <is>
          <t>c05bda6086190b5b398519d3b57b0edba8160090cd5e3c9cb0614cecfbf03f01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2026-07-29T17:44:02.507912Z</t>
        </is>
      </c>
      <c r="BI63" s="24" t="inlineStr">
        <is>
          <t>["same_event","same_team_same_day","same_league_same_day"]</t>
        </is>
      </c>
      <c r="BJ63" s="25" t="n">
        <v>1.5</v>
      </c>
      <c r="BK63" s="26" t="n">
        <v>-144</v>
      </c>
      <c r="BL63" s="27" t="n">
        <v>1.694444</v>
      </c>
      <c r="BM63" s="28" t="n">
        <v>0.590164</v>
      </c>
      <c r="BN63" s="28" t="n">
        <v>0.5870649999999999</v>
      </c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b01ee298fc454312</t>
        </is>
      </c>
      <c r="B64" s="24" t="inlineStr">
        <is>
          <t>2026-07-29T17:44:02.507912Z</t>
        </is>
      </c>
      <c r="C64" s="24" t="inlineStr">
        <is>
          <t>2026-07-29T20:10Z</t>
        </is>
      </c>
      <c r="D64" s="24" t="inlineStr">
        <is>
          <t>401816318</t>
        </is>
      </c>
      <c r="E64" s="24" t="inlineStr">
        <is>
          <t>MLB</t>
        </is>
      </c>
      <c r="F64" s="24" t="inlineStr">
        <is>
          <t>Colorado Rockies</t>
        </is>
      </c>
      <c r="G64" s="24" t="inlineStr">
        <is>
          <t>San Diego Padres</t>
        </is>
      </c>
      <c r="H64" s="24" t="inlineStr">
        <is>
          <t>total</t>
        </is>
      </c>
      <c r="I64" s="24" t="inlineStr">
        <is>
          <t>under</t>
        </is>
      </c>
      <c r="J64" s="25" t="n">
        <v>8.5</v>
      </c>
      <c r="K64" s="24" t="inlineStr">
        <is>
          <t>polymarket_us</t>
        </is>
      </c>
      <c r="L64" s="26" t="n">
        <v>-111</v>
      </c>
      <c r="M64" s="27" t="n">
        <v>1.900901</v>
      </c>
      <c r="N64" s="28" t="n">
        <v>0.526066</v>
      </c>
      <c r="O64" s="28" t="n">
        <v>0.503364</v>
      </c>
      <c r="P64" s="28" t="n">
        <v>0.05172</v>
      </c>
      <c r="Q64" s="28" t="n">
        <v>-0.022702</v>
      </c>
      <c r="R64" s="26" t="n">
        <v>8</v>
      </c>
      <c r="S64" s="29" t="n">
        <v>0</v>
      </c>
      <c r="T64" s="24" t="inlineStr">
        <is>
          <t>measured-edge-totals-v1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3</v>
      </c>
      <c r="Y64" s="25" t="n">
        <v>8.5</v>
      </c>
      <c r="Z64" s="26" t="n">
        <v>-111</v>
      </c>
      <c r="AA64" s="28" t="n">
        <v>0.525</v>
      </c>
      <c r="AB64" s="28" t="n">
        <v>-0.001066</v>
      </c>
      <c r="AC64" s="30" t="n">
        <v>0</v>
      </c>
      <c r="AD64" s="24" t="inlineStr">
        <is>
          <t>2026-07-30T04:11:59.736738Z</t>
        </is>
      </c>
      <c r="AE64" s="31" t="inlineStr">
        <is>
          <t>Measured Edge Totals: Trend Engine projected 4.41-4.02; raw selected-side p=0.5339, calibrated p=0.5034.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mlb-col</t>
        </is>
      </c>
      <c r="AQ64" s="24" t="inlineStr">
        <is>
          <t>Colorado Rockies</t>
        </is>
      </c>
      <c r="AR64" s="24" t="inlineStr">
        <is>
          <t>Colorado Rockies</t>
        </is>
      </c>
      <c r="AS64" s="24" t="inlineStr">
        <is>
          <t>mlb-sd</t>
        </is>
      </c>
      <c r="AT64" s="24" t="inlineStr">
        <is>
          <t>San Diego Padres</t>
        </is>
      </c>
      <c r="AU64" s="24" t="inlineStr">
        <is>
          <t>San Diego Padres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57de3d47944562994a5b1afaec1ed80c7d895d39fce98e14c1dee1a330df60d1</t>
        </is>
      </c>
      <c r="BB64" s="24" t="inlineStr">
        <is>
          <t>flat_probability_shrinkage_toward_half</t>
        </is>
      </c>
      <c r="BC64" s="24" t="inlineStr">
        <is>
          <t>measured-edge-totals-v1</t>
        </is>
      </c>
      <c r="BD64" s="24" t="inlineStr">
        <is>
          <t>57de3d47944562994a5b1afaec1ed80c7d895d39fce98e14c1dee1a330df60d1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2026-07-29T17:44:02.507912Z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-111</v>
      </c>
      <c r="BL64" s="27" t="n">
        <v>1.900901</v>
      </c>
      <c r="BM64" s="28" t="n">
        <v>0.526066</v>
      </c>
      <c r="BN64" s="28" t="n">
        <v>0.522388</v>
      </c>
      <c r="BO64" s="28" t="n"/>
      <c r="BP64" s="25" t="n"/>
      <c r="BQ64" s="27" t="n">
        <v>1.900901</v>
      </c>
      <c r="BR64" s="28" t="n">
        <v>0.525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b0bf634ea00b44b1</t>
        </is>
      </c>
      <c r="B65" s="24" t="inlineStr">
        <is>
          <t>2026-07-29T17:44:02.507912Z</t>
        </is>
      </c>
      <c r="C65" s="24" t="inlineStr">
        <is>
          <t>2026-07-29T22:40Z</t>
        </is>
      </c>
      <c r="D65" s="24" t="inlineStr">
        <is>
          <t>401816312</t>
        </is>
      </c>
      <c r="E65" s="24" t="inlineStr">
        <is>
          <t>MLB</t>
        </is>
      </c>
      <c r="F65" s="24" t="inlineStr">
        <is>
          <t>Texas Rangers</t>
        </is>
      </c>
      <c r="G65" s="24" t="inlineStr">
        <is>
          <t>Tampa Bay Rays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160</v>
      </c>
      <c r="M65" s="27" t="n">
        <v>2.6</v>
      </c>
      <c r="N65" s="28" t="n">
        <v>0.384615</v>
      </c>
      <c r="O65" s="28" t="n">
        <v>0.540392</v>
      </c>
      <c r="P65" s="28" t="n">
        <v>0.042131</v>
      </c>
      <c r="Q65" s="28" t="n">
        <v>0.155777</v>
      </c>
      <c r="R65" s="26" t="n">
        <v>100</v>
      </c>
      <c r="S65" s="29" t="n">
        <v>0</v>
      </c>
      <c r="T65" s="24" t="inlineStr">
        <is>
          <t>measured-edge-margin-v1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3</v>
      </c>
      <c r="Y65" s="25" t="n">
        <v>-1.5</v>
      </c>
      <c r="Z65" s="26" t="n">
        <v>160</v>
      </c>
      <c r="AA65" s="28" t="n">
        <v>0.385</v>
      </c>
      <c r="AB65" s="28" t="n">
        <v>0.000385</v>
      </c>
      <c r="AC65" s="30" t="n">
        <v>0</v>
      </c>
      <c r="AD65" s="24" t="inlineStr">
        <is>
          <t>2026-07-30T04:12:00.351990Z</t>
        </is>
      </c>
      <c r="AE65" s="31" t="inlineStr">
        <is>
          <t>Measured Edge Margin: Trend Engine projected 4.44-9.39; raw selected-side p=0.7318, calibrated p=0.5404.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mlb-tex</t>
        </is>
      </c>
      <c r="AQ65" s="24" t="inlineStr">
        <is>
          <t>Texas Rangers</t>
        </is>
      </c>
      <c r="AR65" s="24" t="inlineStr">
        <is>
          <t>Texas Rangers</t>
        </is>
      </c>
      <c r="AS65" s="24" t="inlineStr">
        <is>
          <t>mlb-tb</t>
        </is>
      </c>
      <c r="AT65" s="24" t="inlineStr">
        <is>
          <t>Tampa Bay Rays</t>
        </is>
      </c>
      <c r="AU65" s="24" t="inlineStr">
        <is>
          <t>Tampa Bay Rays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c05bda6086190b5b398519d3b57b0edba8160090cd5e3c9cb0614cecfbf03f01</t>
        </is>
      </c>
      <c r="BB65" s="24" t="inlineStr">
        <is>
          <t>flat_probability_shrinkage_toward_half</t>
        </is>
      </c>
      <c r="BC65" s="24" t="inlineStr">
        <is>
          <t>measured-edge-margin-v1</t>
        </is>
      </c>
      <c r="BD65" s="24" t="inlineStr">
        <is>
          <t>c05bda6086190b5b398519d3b57b0edba8160090cd5e3c9cb0614cecfbf03f01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2026-07-29T17:44:02.507912Z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160</v>
      </c>
      <c r="BL65" s="27" t="n">
        <v>2.6</v>
      </c>
      <c r="BM65" s="28" t="n">
        <v>0.384615</v>
      </c>
      <c r="BN65" s="28" t="n">
        <v>0.383085</v>
      </c>
      <c r="BO65" s="28" t="n"/>
      <c r="BP65" s="25" t="n"/>
      <c r="BQ65" s="27" t="n">
        <v>2.6</v>
      </c>
      <c r="BR65" s="28" t="n">
        <v>0.385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c2d6c2e3daa14e86</t>
        </is>
      </c>
      <c r="B66" s="24" t="inlineStr">
        <is>
          <t>2026-07-29T17:44:02.507912Z</t>
        </is>
      </c>
      <c r="C66" s="24" t="inlineStr">
        <is>
          <t>2026-07-29T22:40Z</t>
        </is>
      </c>
      <c r="D66" s="24" t="inlineStr">
        <is>
          <t>401816312</t>
        </is>
      </c>
      <c r="E66" s="24" t="inlineStr">
        <is>
          <t>MLB</t>
        </is>
      </c>
      <c r="F66" s="24" t="inlineStr">
        <is>
          <t>Texas Rangers</t>
        </is>
      </c>
      <c r="G66" s="24" t="inlineStr">
        <is>
          <t>Tampa Bay Rays</t>
        </is>
      </c>
      <c r="H66" s="24" t="inlineStr">
        <is>
          <t>total</t>
        </is>
      </c>
      <c r="I66" s="24" t="inlineStr">
        <is>
          <t>over</t>
        </is>
      </c>
      <c r="J66" s="25" t="n">
        <v>7.5</v>
      </c>
      <c r="K66" s="24" t="inlineStr">
        <is>
          <t>polymarket_us</t>
        </is>
      </c>
      <c r="L66" s="26" t="n">
        <v>-106</v>
      </c>
      <c r="M66" s="27" t="n">
        <v>1.943396</v>
      </c>
      <c r="N66" s="28" t="n">
        <v>0.514563</v>
      </c>
      <c r="O66" s="28" t="n">
        <v>0.536293</v>
      </c>
      <c r="P66" s="28" t="n">
        <v>0.042131</v>
      </c>
      <c r="Q66" s="28" t="n">
        <v>0.02173</v>
      </c>
      <c r="R66" s="26" t="n">
        <v>36</v>
      </c>
      <c r="S66" s="29" t="n">
        <v>0</v>
      </c>
      <c r="T66" s="24" t="inlineStr">
        <is>
          <t>measured-edge-totals-v1</t>
        </is>
      </c>
      <c r="U66" s="24" t="inlineStr">
        <is>
          <t>settled</t>
        </is>
      </c>
      <c r="V66" s="24" t="inlineStr">
        <is>
          <t>loss</t>
        </is>
      </c>
      <c r="W66" s="26" t="n">
        <v>0</v>
      </c>
      <c r="X66" s="26" t="n">
        <v>3</v>
      </c>
      <c r="Y66" s="25" t="n">
        <v>7.5</v>
      </c>
      <c r="Z66" s="26" t="n">
        <v>-106</v>
      </c>
      <c r="AA66" s="28" t="n">
        <v>0.515</v>
      </c>
      <c r="AB66" s="28" t="n">
        <v>0.000437</v>
      </c>
      <c r="AC66" s="30" t="n">
        <v>0</v>
      </c>
      <c r="AD66" s="24" t="inlineStr">
        <is>
          <t>2026-07-30T04:12:00.917084Z</t>
        </is>
      </c>
      <c r="AE66" s="31" t="inlineStr">
        <is>
          <t>Measured Edge Totals: Trend Engine projected 4.44-9.39; raw selected-side p=0.8609, calibrated p=0.5363.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mlb-tex</t>
        </is>
      </c>
      <c r="AQ66" s="24" t="inlineStr">
        <is>
          <t>Texas Rangers</t>
        </is>
      </c>
      <c r="AR66" s="24" t="inlineStr">
        <is>
          <t>Texas Rangers</t>
        </is>
      </c>
      <c r="AS66" s="24" t="inlineStr">
        <is>
          <t>mlb-tb</t>
        </is>
      </c>
      <c r="AT66" s="24" t="inlineStr">
        <is>
          <t>Tampa Bay Rays</t>
        </is>
      </c>
      <c r="AU66" s="24" t="inlineStr">
        <is>
          <t>Tampa Bay Rays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57de3d47944562994a5b1afaec1ed80c7d895d39fce98e14c1dee1a330df60d1</t>
        </is>
      </c>
      <c r="BB66" s="24" t="inlineStr">
        <is>
          <t>flat_probability_shrinkage_toward_half</t>
        </is>
      </c>
      <c r="BC66" s="24" t="inlineStr">
        <is>
          <t>measured-edge-totals-v1</t>
        </is>
      </c>
      <c r="BD66" s="24" t="inlineStr">
        <is>
          <t>57de3d47944562994a5b1afaec1ed80c7d895d39fce98e14c1dee1a330df60d1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2026-07-29T17:44:02.507912Z</t>
        </is>
      </c>
      <c r="BI66" s="24" t="inlineStr">
        <is>
          <t>["same_event","same_team_same_day","same_league_same_day"]</t>
        </is>
      </c>
      <c r="BJ66" s="25" t="n">
        <v>7.5</v>
      </c>
      <c r="BK66" s="26" t="n">
        <v>-106</v>
      </c>
      <c r="BL66" s="27" t="n">
        <v>1.943396</v>
      </c>
      <c r="BM66" s="28" t="n">
        <v>0.514563</v>
      </c>
      <c r="BN66" s="28" t="n">
        <v>0.5124379999999999</v>
      </c>
      <c r="BO66" s="28" t="n"/>
      <c r="BP66" s="25" t="n"/>
      <c r="BQ66" s="27" t="n">
        <v>1.943396</v>
      </c>
      <c r="BR66" s="28" t="n">
        <v>0.515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826a903c9f17486c</t>
        </is>
      </c>
      <c r="B67" s="24" t="inlineStr">
        <is>
          <t>2026-07-29T17:44:02.507912Z</t>
        </is>
      </c>
      <c r="C67" s="24" t="inlineStr">
        <is>
          <t>2026-07-29T23:10Z</t>
        </is>
      </c>
      <c r="D67" s="24" t="inlineStr">
        <is>
          <t>401816310</t>
        </is>
      </c>
      <c r="E67" s="24" t="inlineStr">
        <is>
          <t>MLB</t>
        </is>
      </c>
      <c r="F67" s="24" t="inlineStr">
        <is>
          <t>Cleveland Guardians</t>
        </is>
      </c>
      <c r="G67" s="24" t="inlineStr">
        <is>
          <t>Cincinnati Reds</t>
        </is>
      </c>
      <c r="H67" s="24" t="inlineStr">
        <is>
          <t>spread</t>
        </is>
      </c>
      <c r="I67" s="24" t="inlineStr">
        <is>
          <t>home</t>
        </is>
      </c>
      <c r="J67" s="25" t="n">
        <v>1.5</v>
      </c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0.53139</v>
      </c>
      <c r="P67" s="28" t="n">
        <v>0.042131</v>
      </c>
      <c r="Q67" s="28" t="n">
        <v>-0.039425</v>
      </c>
      <c r="R67" s="26" t="n">
        <v>5</v>
      </c>
      <c r="S67" s="29" t="n">
        <v>0</v>
      </c>
      <c r="T67" s="24" t="inlineStr">
        <is>
          <t>measured-edge-margin-v1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1</v>
      </c>
      <c r="Y67" s="25" t="n">
        <v>1.5</v>
      </c>
      <c r="Z67" s="26" t="n">
        <v>-133</v>
      </c>
      <c r="AA67" s="28" t="n">
        <v>0.57</v>
      </c>
      <c r="AB67" s="28" t="n">
        <v>-0.000815</v>
      </c>
      <c r="AC67" s="30" t="n">
        <v>0</v>
      </c>
      <c r="AD67" s="24" t="inlineStr">
        <is>
          <t>2026-07-30T04:12:01.462641Z</t>
        </is>
      </c>
      <c r="AE67" s="31" t="inlineStr">
        <is>
          <t>Measured Edge Margin: Trend Engine projected 4.23-3.85; raw selected-side p=0.6424, calibrated p=0.5314.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mlb-cle</t>
        </is>
      </c>
      <c r="AQ67" s="24" t="inlineStr">
        <is>
          <t>Cleveland Guardians</t>
        </is>
      </c>
      <c r="AR67" s="24" t="inlineStr">
        <is>
          <t>Cleveland Guardians</t>
        </is>
      </c>
      <c r="AS67" s="24" t="inlineStr">
        <is>
          <t>mlb-cin</t>
        </is>
      </c>
      <c r="AT67" s="24" t="inlineStr">
        <is>
          <t>Cincinnati Reds</t>
        </is>
      </c>
      <c r="AU67" s="24" t="inlineStr">
        <is>
          <t>Cincinnati Reds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c05bda6086190b5b398519d3b57b0edba8160090cd5e3c9cb0614cecfbf03f01</t>
        </is>
      </c>
      <c r="BB67" s="24" t="inlineStr">
        <is>
          <t>flat_probability_shrinkage_toward_half</t>
        </is>
      </c>
      <c r="BC67" s="24" t="inlineStr">
        <is>
          <t>measured-edge-margin-v1</t>
        </is>
      </c>
      <c r="BD67" s="24" t="inlineStr">
        <is>
          <t>c05bda6086190b5b398519d3b57b0edba8160090cd5e3c9cb0614cecfbf03f01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2026-07-29T17:44:02.507912Z</t>
        </is>
      </c>
      <c r="BI67" s="24" t="inlineStr">
        <is>
          <t>["same_event","same_team_same_day","same_league_same_day"]</t>
        </is>
      </c>
      <c r="BJ67" s="25" t="n">
        <v>1.5</v>
      </c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e8556edfcfd048c0</t>
        </is>
      </c>
      <c r="B68" s="24" t="inlineStr">
        <is>
          <t>2026-07-29T17:44:02.507912Z</t>
        </is>
      </c>
      <c r="C68" s="24" t="inlineStr">
        <is>
          <t>2026-07-29T23:10Z</t>
        </is>
      </c>
      <c r="D68" s="24" t="inlineStr">
        <is>
          <t>401816310</t>
        </is>
      </c>
      <c r="E68" s="24" t="inlineStr">
        <is>
          <t>MLB</t>
        </is>
      </c>
      <c r="F68" s="24" t="inlineStr">
        <is>
          <t>Cleveland Guardians</t>
        </is>
      </c>
      <c r="G68" s="24" t="inlineStr">
        <is>
          <t>Cincinnati Reds</t>
        </is>
      </c>
      <c r="H68" s="24" t="inlineStr">
        <is>
          <t>total</t>
        </is>
      </c>
      <c r="I68" s="24" t="inlineStr">
        <is>
          <t>under</t>
        </is>
      </c>
      <c r="J68" s="25" t="n">
        <v>8.5</v>
      </c>
      <c r="K68" s="24" t="inlineStr">
        <is>
          <t>polymarket_us</t>
        </is>
      </c>
      <c r="L68" s="26" t="n">
        <v>115</v>
      </c>
      <c r="M68" s="27" t="n">
        <v>2.15</v>
      </c>
      <c r="N68" s="28" t="n">
        <v>0.465116</v>
      </c>
      <c r="O68" s="28" t="n">
        <v>0.506274</v>
      </c>
      <c r="P68" s="28" t="n">
        <v>0.042131</v>
      </c>
      <c r="Q68" s="28" t="n">
        <v>0.041158</v>
      </c>
      <c r="R68" s="26" t="n">
        <v>45</v>
      </c>
      <c r="S68" s="29" t="n">
        <v>0</v>
      </c>
      <c r="T68" s="24" t="inlineStr">
        <is>
          <t>measured-edge-totals-v1</t>
        </is>
      </c>
      <c r="U68" s="24" t="inlineStr">
        <is>
          <t>settled</t>
        </is>
      </c>
      <c r="V68" s="24" t="inlineStr">
        <is>
          <t>win</t>
        </is>
      </c>
      <c r="W68" s="26" t="n">
        <v>6</v>
      </c>
      <c r="X68" s="26" t="n">
        <v>1</v>
      </c>
      <c r="Y68" s="25" t="n">
        <v>8.5</v>
      </c>
      <c r="Z68" s="26" t="n">
        <v>115</v>
      </c>
      <c r="AA68" s="28" t="n">
        <v>0.465</v>
      </c>
      <c r="AB68" s="28" t="n">
        <v>-0.000116</v>
      </c>
      <c r="AC68" s="30" t="n">
        <v>0</v>
      </c>
      <c r="AD68" s="24" t="inlineStr">
        <is>
          <t>2026-07-30T04:12:01.959664Z</t>
        </is>
      </c>
      <c r="AE68" s="31" t="inlineStr">
        <is>
          <t>Measured Edge Totals: Trend Engine projected 4.23-3.85; raw selected-side p=0.5628, calibrated p=0.5063.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mlb-cle</t>
        </is>
      </c>
      <c r="AQ68" s="24" t="inlineStr">
        <is>
          <t>Cleveland Guardians</t>
        </is>
      </c>
      <c r="AR68" s="24" t="inlineStr">
        <is>
          <t>Cleveland Guardians</t>
        </is>
      </c>
      <c r="AS68" s="24" t="inlineStr">
        <is>
          <t>mlb-cin</t>
        </is>
      </c>
      <c r="AT68" s="24" t="inlineStr">
        <is>
          <t>Cincinnati Reds</t>
        </is>
      </c>
      <c r="AU68" s="24" t="inlineStr">
        <is>
          <t>Cincinnati Reds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57de3d47944562994a5b1afaec1ed80c7d895d39fce98e14c1dee1a330df60d1</t>
        </is>
      </c>
      <c r="BB68" s="24" t="inlineStr">
        <is>
          <t>flat_probability_shrinkage_toward_half</t>
        </is>
      </c>
      <c r="BC68" s="24" t="inlineStr">
        <is>
          <t>measured-edge-totals-v1</t>
        </is>
      </c>
      <c r="BD68" s="24" t="inlineStr">
        <is>
          <t>57de3d47944562994a5b1afaec1ed80c7d895d39fce98e14c1dee1a330df60d1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2026-07-29T17:44:02.507912Z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115</v>
      </c>
      <c r="BL68" s="27" t="n">
        <v>2.15</v>
      </c>
      <c r="BM68" s="28" t="n">
        <v>0.465116</v>
      </c>
      <c r="BN68" s="28" t="n">
        <v>0.462687</v>
      </c>
      <c r="BO68" s="28" t="n"/>
      <c r="BP68" s="25" t="n"/>
      <c r="BQ68" s="27" t="n">
        <v>2.15</v>
      </c>
      <c r="BR68" s="28" t="n">
        <v>0.465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d78dbe0e68d04b17</t>
        </is>
      </c>
      <c r="B69" s="24" t="inlineStr">
        <is>
          <t>2026-07-29T17:44:02.507912Z</t>
        </is>
      </c>
      <c r="C69" s="24" t="inlineStr">
        <is>
          <t>2026-07-29T23:10Z</t>
        </is>
      </c>
      <c r="D69" s="24" t="inlineStr">
        <is>
          <t>401902545</t>
        </is>
      </c>
      <c r="E69" s="24" t="inlineStr">
        <is>
          <t>MLB</t>
        </is>
      </c>
      <c r="F69" s="24" t="inlineStr">
        <is>
          <t>Atlanta Braves</t>
        </is>
      </c>
      <c r="G69" s="24" t="inlineStr">
        <is>
          <t>New York Mets</t>
        </is>
      </c>
      <c r="H69" s="24" t="inlineStr">
        <is>
          <t>spread</t>
        </is>
      </c>
      <c r="I69" s="24" t="inlineStr">
        <is>
          <t>away</t>
        </is>
      </c>
      <c r="J69" s="25" t="n">
        <v>-1.5</v>
      </c>
      <c r="K69" s="24" t="inlineStr">
        <is>
          <t>polymarket_us</t>
        </is>
      </c>
      <c r="L69" s="26" t="n">
        <v>141</v>
      </c>
      <c r="M69" s="27" t="n">
        <v>2.41</v>
      </c>
      <c r="N69" s="28" t="n">
        <v>0.414938</v>
      </c>
      <c r="O69" s="28" t="n">
        <v>0.52142</v>
      </c>
      <c r="P69" s="28" t="n">
        <v>0.042131</v>
      </c>
      <c r="Q69" s="28" t="n">
        <v>0.106482</v>
      </c>
      <c r="R69" s="26" t="n">
        <v>78</v>
      </c>
      <c r="S69" s="29" t="n">
        <v>0</v>
      </c>
      <c r="T69" s="24" t="inlineStr">
        <is>
          <t>measured-edge-margin-v1</t>
        </is>
      </c>
      <c r="U69" s="24" t="inlineStr">
        <is>
          <t>settled</t>
        </is>
      </c>
      <c r="V69" s="24" t="inlineStr">
        <is>
          <t>loss</t>
        </is>
      </c>
      <c r="W69" s="26" t="n">
        <v>2</v>
      </c>
      <c r="X69" s="26" t="n">
        <v>3</v>
      </c>
      <c r="Y69" s="25" t="n">
        <v>-1.5</v>
      </c>
      <c r="Z69" s="26" t="n">
        <v>141</v>
      </c>
      <c r="AA69" s="28" t="n">
        <v>0.415</v>
      </c>
      <c r="AB69" s="28" t="n">
        <v>6.2e-05</v>
      </c>
      <c r="AC69" s="30" t="n">
        <v>0</v>
      </c>
      <c r="AD69" s="24" t="inlineStr">
        <is>
          <t>2026-07-30T04:12:02.525730Z</t>
        </is>
      </c>
      <c r="AE69" s="31" t="inlineStr">
        <is>
          <t>Measured Edge Margin: Trend Engine projected 5.12-3.06; raw selected-side p=0.5434, calibrated p=0.5214.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mlb-atl</t>
        </is>
      </c>
      <c r="AQ69" s="24" t="inlineStr">
        <is>
          <t>Atlanta Braves</t>
        </is>
      </c>
      <c r="AR69" s="24" t="inlineStr">
        <is>
          <t>Atlanta Braves</t>
        </is>
      </c>
      <c r="AS69" s="24" t="inlineStr">
        <is>
          <t>mlb-nym</t>
        </is>
      </c>
      <c r="AT69" s="24" t="inlineStr">
        <is>
          <t>New York Mets</t>
        </is>
      </c>
      <c r="AU69" s="24" t="inlineStr">
        <is>
          <t>New York Mets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c05bda6086190b5b398519d3b57b0edba8160090cd5e3c9cb0614cecfbf03f01</t>
        </is>
      </c>
      <c r="BB69" s="24" t="inlineStr">
        <is>
          <t>flat_probability_shrinkage_toward_half</t>
        </is>
      </c>
      <c r="BC69" s="24" t="inlineStr">
        <is>
          <t>measured-edge-margin-v1</t>
        </is>
      </c>
      <c r="BD69" s="24" t="inlineStr">
        <is>
          <t>c05bda6086190b5b398519d3b57b0edba8160090cd5e3c9cb0614cecfbf03f01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2026-07-29T17:44:02.507912Z</t>
        </is>
      </c>
      <c r="BI69" s="24" t="inlineStr">
        <is>
          <t>["same_event","same_team_same_day","same_league_same_day"]</t>
        </is>
      </c>
      <c r="BJ69" s="25" t="n">
        <v>-1.5</v>
      </c>
      <c r="BK69" s="26" t="n">
        <v>141</v>
      </c>
      <c r="BL69" s="27" t="n">
        <v>2.41</v>
      </c>
      <c r="BM69" s="28" t="n">
        <v>0.414938</v>
      </c>
      <c r="BN69" s="28" t="n">
        <v>0.412935</v>
      </c>
      <c r="BO69" s="28" t="n"/>
      <c r="BP69" s="25" t="n"/>
      <c r="BQ69" s="27" t="n">
        <v>2.41</v>
      </c>
      <c r="BR69" s="28" t="n">
        <v>0.415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35b6711d75374b24</t>
        </is>
      </c>
      <c r="B70" s="24" t="inlineStr">
        <is>
          <t>2026-07-29T17:44:02.507912Z</t>
        </is>
      </c>
      <c r="C70" s="24" t="inlineStr">
        <is>
          <t>2026-07-29T23:10Z</t>
        </is>
      </c>
      <c r="D70" s="24" t="inlineStr">
        <is>
          <t>401902545</t>
        </is>
      </c>
      <c r="E70" s="24" t="inlineStr">
        <is>
          <t>MLB</t>
        </is>
      </c>
      <c r="F70" s="24" t="inlineStr">
        <is>
          <t>Atlanta Braves</t>
        </is>
      </c>
      <c r="G70" s="24" t="inlineStr">
        <is>
          <t>New York Mets</t>
        </is>
      </c>
      <c r="H70" s="24" t="inlineStr">
        <is>
          <t>total</t>
        </is>
      </c>
      <c r="I70" s="24" t="inlineStr">
        <is>
          <t>over</t>
        </is>
      </c>
      <c r="J70" s="25" t="n">
        <v>7.5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0.501883</v>
      </c>
      <c r="P70" s="28" t="n">
        <v>0.042131</v>
      </c>
      <c r="Q70" s="28" t="n">
        <v>0.072698</v>
      </c>
      <c r="R70" s="26" t="n">
        <v>61</v>
      </c>
      <c r="S70" s="29" t="n">
        <v>0</v>
      </c>
      <c r="T70" s="24" t="inlineStr">
        <is>
          <t>measured-edge-totals-v1</t>
        </is>
      </c>
      <c r="U70" s="24" t="inlineStr">
        <is>
          <t>settled</t>
        </is>
      </c>
      <c r="V70" s="24" t="inlineStr">
        <is>
          <t>loss</t>
        </is>
      </c>
      <c r="W70" s="26" t="n">
        <v>2</v>
      </c>
      <c r="X70" s="26" t="n">
        <v>3</v>
      </c>
      <c r="Y70" s="25" t="n">
        <v>7.5</v>
      </c>
      <c r="Z70" s="26" t="n">
        <v>133</v>
      </c>
      <c r="AA70" s="28" t="n">
        <v>0.43</v>
      </c>
      <c r="AB70" s="28" t="n">
        <v>0.000815</v>
      </c>
      <c r="AC70" s="30" t="n">
        <v>0</v>
      </c>
      <c r="AD70" s="24" t="inlineStr">
        <is>
          <t>2026-07-30T04:12:03.151130Z</t>
        </is>
      </c>
      <c r="AE70" s="31" t="inlineStr">
        <is>
          <t>Measured Edge Totals: Trend Engine projected 5.12-3.06; raw selected-side p=0.5192, calibrated p=0.5019.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mlb-atl</t>
        </is>
      </c>
      <c r="AQ70" s="24" t="inlineStr">
        <is>
          <t>Atlanta Braves</t>
        </is>
      </c>
      <c r="AR70" s="24" t="inlineStr">
        <is>
          <t>Atlanta Braves</t>
        </is>
      </c>
      <c r="AS70" s="24" t="inlineStr">
        <is>
          <t>mlb-nym</t>
        </is>
      </c>
      <c r="AT70" s="24" t="inlineStr">
        <is>
          <t>New York Mets</t>
        </is>
      </c>
      <c r="AU70" s="24" t="inlineStr">
        <is>
          <t>New York Mets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57de3d47944562994a5b1afaec1ed80c7d895d39fce98e14c1dee1a330df60d1</t>
        </is>
      </c>
      <c r="BB70" s="24" t="inlineStr">
        <is>
          <t>flat_probability_shrinkage_toward_half</t>
        </is>
      </c>
      <c r="BC70" s="24" t="inlineStr">
        <is>
          <t>measured-edge-totals-v1</t>
        </is>
      </c>
      <c r="BD70" s="24" t="inlineStr">
        <is>
          <t>57de3d47944562994a5b1afaec1ed80c7d895d39fce98e14c1dee1a330df60d1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2026-07-29T17:44:02.507912Z</t>
        </is>
      </c>
      <c r="BI70" s="24" t="inlineStr">
        <is>
          <t>["same_event","same_team_same_day","same_league_same_day"]</t>
        </is>
      </c>
      <c r="BJ70" s="25" t="n">
        <v>7.5</v>
      </c>
      <c r="BK70" s="26" t="n">
        <v>133</v>
      </c>
      <c r="BL70" s="27" t="n">
        <v>2.33</v>
      </c>
      <c r="BM70" s="28" t="n">
        <v>0.429185</v>
      </c>
      <c r="BN70" s="28" t="n">
        <v>0.427861</v>
      </c>
      <c r="BO70" s="28" t="n"/>
      <c r="BP70" s="25" t="n"/>
      <c r="BQ70" s="27" t="n">
        <v>2.33</v>
      </c>
      <c r="BR70" s="28" t="n">
        <v>0.43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83456450550e45d0</t>
        </is>
      </c>
      <c r="B71" s="24" t="inlineStr">
        <is>
          <t>2026-07-29T17:44:02.507912Z</t>
        </is>
      </c>
      <c r="C71" s="24" t="inlineStr">
        <is>
          <t>2026-07-29T23:40Z</t>
        </is>
      </c>
      <c r="D71" s="24" t="inlineStr">
        <is>
          <t>401816315</t>
        </is>
      </c>
      <c r="E71" s="24" t="inlineStr">
        <is>
          <t>MLB</t>
        </is>
      </c>
      <c r="F71" s="24" t="inlineStr">
        <is>
          <t>Kansas City Royals</t>
        </is>
      </c>
      <c r="G71" s="24" t="inlineStr">
        <is>
          <t>Minnesota Twins</t>
        </is>
      </c>
      <c r="H71" s="24" t="inlineStr">
        <is>
          <t>spread</t>
        </is>
      </c>
      <c r="I71" s="24" t="inlineStr">
        <is>
          <t>away</t>
        </is>
      </c>
      <c r="J71" s="25" t="n">
        <v>1.5</v>
      </c>
      <c r="K71" s="24" t="inlineStr">
        <is>
          <t>polymarket_us</t>
        </is>
      </c>
      <c r="L71" s="26" t="n">
        <v>-117</v>
      </c>
      <c r="M71" s="27" t="n">
        <v>1.854701</v>
      </c>
      <c r="N71" s="28" t="n">
        <v>0.539171</v>
      </c>
      <c r="O71" s="28" t="n">
        <v>0.525146</v>
      </c>
      <c r="P71" s="28" t="n">
        <v>0.05172</v>
      </c>
      <c r="Q71" s="28" t="n">
        <v>-0.014025</v>
      </c>
      <c r="R71" s="26" t="n">
        <v>12</v>
      </c>
      <c r="S71" s="29" t="n">
        <v>0</v>
      </c>
      <c r="T71" s="24" t="inlineStr">
        <is>
          <t>measured-edge-margin-v1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0</v>
      </c>
      <c r="Y71" s="25" t="n">
        <v>1.5</v>
      </c>
      <c r="Z71" s="26" t="n">
        <v>-117</v>
      </c>
      <c r="AA71" s="28" t="n">
        <v>0.54</v>
      </c>
      <c r="AB71" s="28" t="n">
        <v>0.000829</v>
      </c>
      <c r="AC71" s="30" t="n">
        <v>0</v>
      </c>
      <c r="AD71" s="24" t="inlineStr">
        <is>
          <t>2026-07-30T04:12:03.672524Z</t>
        </is>
      </c>
      <c r="AE71" s="31" t="inlineStr">
        <is>
          <t>Measured Edge Margin: Trend Engine projected 3.05-4.10; raw selected-side p=0.5804, calibrated p=0.5251.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mlb-kc</t>
        </is>
      </c>
      <c r="AQ71" s="24" t="inlineStr">
        <is>
          <t>Kansas City Royals</t>
        </is>
      </c>
      <c r="AR71" s="24" t="inlineStr">
        <is>
          <t>Kansas City Royals</t>
        </is>
      </c>
      <c r="AS71" s="24" t="inlineStr">
        <is>
          <t>mlb-min</t>
        </is>
      </c>
      <c r="AT71" s="24" t="inlineStr">
        <is>
          <t>Minnesota Twins</t>
        </is>
      </c>
      <c r="AU71" s="24" t="inlineStr">
        <is>
          <t>Minnesota Twins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c05bda6086190b5b398519d3b57b0edba8160090cd5e3c9cb0614cecfbf03f01</t>
        </is>
      </c>
      <c r="BB71" s="24" t="inlineStr">
        <is>
          <t>flat_probability_shrinkage_toward_half</t>
        </is>
      </c>
      <c r="BC71" s="24" t="inlineStr">
        <is>
          <t>measured-edge-margin-v1</t>
        </is>
      </c>
      <c r="BD71" s="24" t="inlineStr">
        <is>
          <t>c05bda6086190b5b398519d3b57b0edba8160090cd5e3c9cb0614cecfbf03f01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2026-07-29T17:44:02.507912Z</t>
        </is>
      </c>
      <c r="BI71" s="24" t="inlineStr">
        <is>
          <t>["same_event","same_team_same_day","same_league_same_day"]</t>
        </is>
      </c>
      <c r="BJ71" s="25" t="n">
        <v>1.5</v>
      </c>
      <c r="BK71" s="26" t="n">
        <v>-117</v>
      </c>
      <c r="BL71" s="27" t="n">
        <v>1.854701</v>
      </c>
      <c r="BM71" s="28" t="n">
        <v>0.539171</v>
      </c>
      <c r="BN71" s="28" t="n">
        <v>0.537313</v>
      </c>
      <c r="BO71" s="28" t="n"/>
      <c r="BP71" s="25" t="n"/>
      <c r="BQ71" s="27" t="n">
        <v>1.854701</v>
      </c>
      <c r="BR71" s="28" t="n">
        <v>0.54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eec5642710d04001</t>
        </is>
      </c>
      <c r="B72" s="24" t="inlineStr">
        <is>
          <t>2026-07-29T17:44:02.507912Z</t>
        </is>
      </c>
      <c r="C72" s="24" t="inlineStr">
        <is>
          <t>2026-07-29T23:40Z</t>
        </is>
      </c>
      <c r="D72" s="24" t="inlineStr">
        <is>
          <t>401816315</t>
        </is>
      </c>
      <c r="E72" s="24" t="inlineStr">
        <is>
          <t>MLB</t>
        </is>
      </c>
      <c r="F72" s="24" t="inlineStr">
        <is>
          <t>Kansas City Royals</t>
        </is>
      </c>
      <c r="G72" s="24" t="inlineStr">
        <is>
          <t>Minnesota Twins</t>
        </is>
      </c>
      <c r="H72" s="24" t="inlineStr">
        <is>
          <t>total</t>
        </is>
      </c>
      <c r="I72" s="24" t="inlineStr">
        <is>
          <t>under</t>
        </is>
      </c>
      <c r="J72" s="25" t="n">
        <v>8.5</v>
      </c>
      <c r="K72" s="24" t="inlineStr">
        <is>
          <t>polymarket_us</t>
        </is>
      </c>
      <c r="L72" s="26" t="n">
        <v>115</v>
      </c>
      <c r="M72" s="27" t="n">
        <v>2.15</v>
      </c>
      <c r="N72" s="28" t="n">
        <v>0.465116</v>
      </c>
      <c r="O72" s="28" t="n">
        <v>0.516535</v>
      </c>
      <c r="P72" s="28" t="n">
        <v>0.05172</v>
      </c>
      <c r="Q72" s="28" t="n">
        <v>0.051419</v>
      </c>
      <c r="R72" s="26" t="n">
        <v>45</v>
      </c>
      <c r="S72" s="29" t="n">
        <v>0</v>
      </c>
      <c r="T72" s="24" t="inlineStr">
        <is>
          <t>measured-edge-totals-v1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0</v>
      </c>
      <c r="Y72" s="25" t="n">
        <v>8.5</v>
      </c>
      <c r="Z72" s="26" t="n">
        <v>115</v>
      </c>
      <c r="AA72" s="28" t="n">
        <v>0.465</v>
      </c>
      <c r="AB72" s="28" t="n">
        <v>-0.000116</v>
      </c>
      <c r="AC72" s="30" t="n">
        <v>0</v>
      </c>
      <c r="AD72" s="24" t="inlineStr">
        <is>
          <t>2026-07-30T04:12:04.203832Z</t>
        </is>
      </c>
      <c r="AE72" s="31" t="inlineStr">
        <is>
          <t>Measured Edge Totals: Trend Engine projected 3.05-4.10; raw selected-side p=0.6647, calibrated p=0.5165.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mlb-kc</t>
        </is>
      </c>
      <c r="AQ72" s="24" t="inlineStr">
        <is>
          <t>Kansas City Royals</t>
        </is>
      </c>
      <c r="AR72" s="24" t="inlineStr">
        <is>
          <t>Kansas City Royals</t>
        </is>
      </c>
      <c r="AS72" s="24" t="inlineStr">
        <is>
          <t>mlb-min</t>
        </is>
      </c>
      <c r="AT72" s="24" t="inlineStr">
        <is>
          <t>Minnesota Twins</t>
        </is>
      </c>
      <c r="AU72" s="24" t="inlineStr">
        <is>
          <t>Minnesota Twins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57de3d47944562994a5b1afaec1ed80c7d895d39fce98e14c1dee1a330df60d1</t>
        </is>
      </c>
      <c r="BB72" s="24" t="inlineStr">
        <is>
          <t>flat_probability_shrinkage_toward_half</t>
        </is>
      </c>
      <c r="BC72" s="24" t="inlineStr">
        <is>
          <t>measured-edge-totals-v1</t>
        </is>
      </c>
      <c r="BD72" s="24" t="inlineStr">
        <is>
          <t>57de3d47944562994a5b1afaec1ed80c7d895d39fce98e14c1dee1a330df60d1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2026-07-29T17:44:02.507912Z</t>
        </is>
      </c>
      <c r="BI72" s="24" t="inlineStr">
        <is>
          <t>["same_event","same_team_same_day","same_league_same_day"]</t>
        </is>
      </c>
      <c r="BJ72" s="25" t="n">
        <v>8.5</v>
      </c>
      <c r="BK72" s="26" t="n">
        <v>115</v>
      </c>
      <c r="BL72" s="27" t="n">
        <v>2.15</v>
      </c>
      <c r="BM72" s="28" t="n">
        <v>0.465116</v>
      </c>
      <c r="BN72" s="28" t="n">
        <v>0.462687</v>
      </c>
      <c r="BO72" s="28" t="n"/>
      <c r="BP72" s="25" t="n"/>
      <c r="BQ72" s="27" t="n">
        <v>2.15</v>
      </c>
      <c r="BR72" s="28" t="n">
        <v>0.465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d595e8582c8a4477</t>
        </is>
      </c>
      <c r="B73" s="24" t="inlineStr">
        <is>
          <t>2026-07-29T17:44:02.507912Z</t>
        </is>
      </c>
      <c r="C73" s="24" t="inlineStr">
        <is>
          <t>2026-07-29T23:40Z</t>
        </is>
      </c>
      <c r="D73" s="24" t="inlineStr">
        <is>
          <t>401816316</t>
        </is>
      </c>
      <c r="E73" s="24" t="inlineStr">
        <is>
          <t>MLB</t>
        </is>
      </c>
      <c r="F73" s="24" t="inlineStr">
        <is>
          <t>New York Yankees</t>
        </is>
      </c>
      <c r="G73" s="24" t="inlineStr">
        <is>
          <t>Chicago White Sox</t>
        </is>
      </c>
      <c r="H73" s="24" t="inlineStr">
        <is>
          <t>spread</t>
        </is>
      </c>
      <c r="I73" s="24" t="inlineStr">
        <is>
          <t>home</t>
        </is>
      </c>
      <c r="J73" s="25" t="n">
        <v>1.5</v>
      </c>
      <c r="K73" s="24" t="inlineStr">
        <is>
          <t>polymarket_us</t>
        </is>
      </c>
      <c r="L73" s="26" t="n">
        <v>-127</v>
      </c>
      <c r="M73" s="27" t="n">
        <v>1.787402</v>
      </c>
      <c r="N73" s="28" t="n">
        <v>0.5594710000000001</v>
      </c>
      <c r="O73" s="28" t="n">
        <v>0.5421240000000001</v>
      </c>
      <c r="P73" s="28" t="n">
        <v>0.042131</v>
      </c>
      <c r="Q73" s="28" t="n">
        <v>-0.017347</v>
      </c>
      <c r="R73" s="26" t="n">
        <v>16</v>
      </c>
      <c r="S73" s="29" t="n">
        <v>0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6</v>
      </c>
      <c r="Y73" s="25" t="n">
        <v>1.5</v>
      </c>
      <c r="Z73" s="26" t="n">
        <v>-127</v>
      </c>
      <c r="AA73" s="28" t="n">
        <v>0.5600000000000001</v>
      </c>
      <c r="AB73" s="28" t="n">
        <v>0.000529</v>
      </c>
      <c r="AC73" s="30" t="n">
        <v>0</v>
      </c>
      <c r="AD73" s="24" t="inlineStr">
        <is>
          <t>2026-07-30T04:12:04.721496Z</t>
        </is>
      </c>
      <c r="AE73" s="31" t="inlineStr">
        <is>
          <t>Measured Edge Margin: Trend Engine projected 2.46-2.55; raw selected-side p=0.7490, calibrated p=0.5421.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mlb-nyy</t>
        </is>
      </c>
      <c r="AQ73" s="24" t="inlineStr">
        <is>
          <t>New York Yankees</t>
        </is>
      </c>
      <c r="AR73" s="24" t="inlineStr">
        <is>
          <t>New York Yankees</t>
        </is>
      </c>
      <c r="AS73" s="24" t="inlineStr">
        <is>
          <t>mlb-cws</t>
        </is>
      </c>
      <c r="AT73" s="24" t="inlineStr">
        <is>
          <t>Chicago White Sox</t>
        </is>
      </c>
      <c r="AU73" s="24" t="inlineStr">
        <is>
          <t>Chicago White Sox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c05bda6086190b5b398519d3b57b0edba8160090cd5e3c9cb0614cecfbf03f01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c05bda6086190b5b398519d3b57b0edba8160090cd5e3c9cb0614cecfbf03f01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2026-07-29T17:44:02.507912Z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-127</v>
      </c>
      <c r="BL73" s="27" t="n">
        <v>1.787402</v>
      </c>
      <c r="BM73" s="28" t="n">
        <v>0.5594710000000001</v>
      </c>
      <c r="BN73" s="28" t="n">
        <v>0.557214</v>
      </c>
      <c r="BO73" s="28" t="n"/>
      <c r="BP73" s="25" t="n"/>
      <c r="BQ73" s="27" t="n">
        <v>1.787402</v>
      </c>
      <c r="BR73" s="28" t="n">
        <v>0.5600000000000001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a83b68ad5dfd4ad7</t>
        </is>
      </c>
      <c r="B74" s="24" t="inlineStr">
        <is>
          <t>2026-07-29T17:44:02.507912Z</t>
        </is>
      </c>
      <c r="C74" s="24" t="inlineStr">
        <is>
          <t>2026-07-29T23:40Z</t>
        </is>
      </c>
      <c r="D74" s="24" t="inlineStr">
        <is>
          <t>401816316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Chicago White Sox</t>
        </is>
      </c>
      <c r="H74" s="24" t="inlineStr">
        <is>
          <t>total</t>
        </is>
      </c>
      <c r="I74" s="24" t="inlineStr">
        <is>
          <t>under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0.532305</v>
      </c>
      <c r="P74" s="28" t="n">
        <v>0.042131</v>
      </c>
      <c r="Q74" s="28" t="n">
        <v>0.032305</v>
      </c>
      <c r="R74" s="26" t="n">
        <v>41</v>
      </c>
      <c r="S74" s="29" t="n">
        <v>0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loss</t>
        </is>
      </c>
      <c r="W74" s="26" t="n">
        <v>5</v>
      </c>
      <c r="X74" s="26" t="n">
        <v>6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0</v>
      </c>
      <c r="AD74" s="24" t="inlineStr">
        <is>
          <t>2026-07-30T04:12:05.333618Z</t>
        </is>
      </c>
      <c r="AE74" s="31" t="inlineStr">
        <is>
          <t>Measured Edge Totals: Trend Engine projected 2.46-2.55; raw selected-side p=0.8213, calibrated p=0.5323.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mlb-cws</t>
        </is>
      </c>
      <c r="AT74" s="24" t="inlineStr">
        <is>
          <t>Chicago White Sox</t>
        </is>
      </c>
      <c r="AU74" s="24" t="inlineStr">
        <is>
          <t>Chicago White Sox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57de3d47944562994a5b1afaec1ed80c7d895d39fce98e14c1dee1a330df60d1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57de3d47944562994a5b1afaec1ed80c7d895d39fce98e14c1dee1a330df60d1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2026-07-29T17:44:02.507912Z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2aab26aaaf1848ff</t>
        </is>
      </c>
      <c r="B75" s="24" t="inlineStr">
        <is>
          <t>2026-07-29T17:44:02.507912Z</t>
        </is>
      </c>
      <c r="C75" s="24" t="inlineStr">
        <is>
          <t>2026-07-29T23:45Z</t>
        </is>
      </c>
      <c r="D75" s="24" t="inlineStr">
        <is>
          <t>401816314</t>
        </is>
      </c>
      <c r="E75" s="24" t="inlineStr">
        <is>
          <t>MLB</t>
        </is>
      </c>
      <c r="F75" s="24" t="inlineStr">
        <is>
          <t>Chicago Cubs</t>
        </is>
      </c>
      <c r="G75" s="24" t="inlineStr">
        <is>
          <t>St. Louis Cardinals</t>
        </is>
      </c>
      <c r="H75" s="24" t="inlineStr">
        <is>
          <t>spread</t>
        </is>
      </c>
      <c r="I75" s="24" t="inlineStr">
        <is>
          <t>away</t>
        </is>
      </c>
      <c r="J75" s="25" t="n">
        <v>-1.5</v>
      </c>
      <c r="K75" s="24" t="inlineStr">
        <is>
          <t>polymarket_us</t>
        </is>
      </c>
      <c r="L75" s="26" t="n">
        <v>163</v>
      </c>
      <c r="M75" s="27" t="n">
        <v>2.63</v>
      </c>
      <c r="N75" s="28" t="n">
        <v>0.380228</v>
      </c>
      <c r="O75" s="28" t="n">
        <v>0.53145</v>
      </c>
      <c r="P75" s="28" t="n">
        <v>0.042131</v>
      </c>
      <c r="Q75" s="28" t="n">
        <v>0.151222</v>
      </c>
      <c r="R75" s="26" t="n">
        <v>100</v>
      </c>
      <c r="S75" s="29" t="n">
        <v>0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loss</t>
        </is>
      </c>
      <c r="W75" s="26" t="n">
        <v>2</v>
      </c>
      <c r="X75" s="26" t="n">
        <v>3</v>
      </c>
      <c r="Y75" s="25" t="n">
        <v>-1.5</v>
      </c>
      <c r="Z75" s="26" t="n">
        <v>163</v>
      </c>
      <c r="AA75" s="28" t="n">
        <v>0.38</v>
      </c>
      <c r="AB75" s="28" t="n">
        <v>-0.000228</v>
      </c>
      <c r="AC75" s="30" t="n">
        <v>0</v>
      </c>
      <c r="AD75" s="24" t="inlineStr">
        <is>
          <t>2026-07-30T04:12:06.026694Z</t>
        </is>
      </c>
      <c r="AE75" s="31" t="inlineStr">
        <is>
          <t>Measured Edge Margin: Trend Engine projected 7.10-3.84; raw selected-side p=0.6430, calibrated p=0.5315.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mlb-chc</t>
        </is>
      </c>
      <c r="AQ75" s="24" t="inlineStr">
        <is>
          <t>Chicago Cubs</t>
        </is>
      </c>
      <c r="AR75" s="24" t="inlineStr">
        <is>
          <t>Chicago Cubs</t>
        </is>
      </c>
      <c r="AS75" s="24" t="inlineStr">
        <is>
          <t>mlb-stl</t>
        </is>
      </c>
      <c r="AT75" s="24" t="inlineStr">
        <is>
          <t>St. Louis Cardinals</t>
        </is>
      </c>
      <c r="AU75" s="24" t="inlineStr">
        <is>
          <t>St. Louis Cardinals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c05bda6086190b5b398519d3b57b0edba8160090cd5e3c9cb0614cecfbf03f01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c05bda6086190b5b398519d3b57b0edba8160090cd5e3c9cb0614cecfbf03f01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2026-07-29T17:44:02.507912Z</t>
        </is>
      </c>
      <c r="BI75" s="24" t="inlineStr">
        <is>
          <t>["same_event","same_team_same_day","same_league_same_day"]</t>
        </is>
      </c>
      <c r="BJ75" s="25" t="n">
        <v>-1.5</v>
      </c>
      <c r="BK75" s="26" t="n">
        <v>163</v>
      </c>
      <c r="BL75" s="27" t="n">
        <v>2.63</v>
      </c>
      <c r="BM75" s="28" t="n">
        <v>0.380228</v>
      </c>
      <c r="BN75" s="28" t="n">
        <v>0.378109</v>
      </c>
      <c r="BO75" s="28" t="n"/>
      <c r="BP75" s="25" t="n"/>
      <c r="BQ75" s="27" t="n">
        <v>2.63</v>
      </c>
      <c r="BR75" s="28" t="n">
        <v>0.38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15696d1bda0a4f4c</t>
        </is>
      </c>
      <c r="B76" s="24" t="inlineStr">
        <is>
          <t>2026-07-29T17:44:02.507912Z</t>
        </is>
      </c>
      <c r="C76" s="24" t="inlineStr">
        <is>
          <t>2026-07-29T23:45Z</t>
        </is>
      </c>
      <c r="D76" s="24" t="inlineStr">
        <is>
          <t>401816314</t>
        </is>
      </c>
      <c r="E76" s="24" t="inlineStr">
        <is>
          <t>MLB</t>
        </is>
      </c>
      <c r="F76" s="24" t="inlineStr">
        <is>
          <t>Chicago Cubs</t>
        </is>
      </c>
      <c r="G76" s="24" t="inlineStr">
        <is>
          <t>St. Louis Cardinals</t>
        </is>
      </c>
      <c r="H76" s="24" t="inlineStr">
        <is>
          <t>total</t>
        </is>
      </c>
      <c r="I76" s="24" t="inlineStr">
        <is>
          <t>over</t>
        </is>
      </c>
      <c r="J76" s="25" t="n">
        <v>7.5</v>
      </c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0.52295</v>
      </c>
      <c r="P76" s="28" t="n">
        <v>0.042131</v>
      </c>
      <c r="Q76" s="28" t="n">
        <v>-0.007566</v>
      </c>
      <c r="R76" s="26" t="n">
        <v>21</v>
      </c>
      <c r="S76" s="29" t="n">
        <v>0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loss</t>
        </is>
      </c>
      <c r="W76" s="26" t="n">
        <v>2</v>
      </c>
      <c r="X76" s="26" t="n">
        <v>3</v>
      </c>
      <c r="Y76" s="25" t="n">
        <v>7.5</v>
      </c>
      <c r="Z76" s="26" t="n">
        <v>-113</v>
      </c>
      <c r="AA76" s="28" t="n">
        <v>0.53</v>
      </c>
      <c r="AB76" s="28" t="n">
        <v>-0.000516</v>
      </c>
      <c r="AC76" s="30" t="n">
        <v>0</v>
      </c>
      <c r="AD76" s="24" t="inlineStr">
        <is>
          <t>2026-07-30T04:12:06.677634Z</t>
        </is>
      </c>
      <c r="AE76" s="31" t="inlineStr">
        <is>
          <t>Measured Edge Totals: Trend Engine projected 7.10-3.84; raw selected-side p=0.7284, calibrated p=0.5229.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mlb-chc</t>
        </is>
      </c>
      <c r="AQ76" s="24" t="inlineStr">
        <is>
          <t>Chicago Cubs</t>
        </is>
      </c>
      <c r="AR76" s="24" t="inlineStr">
        <is>
          <t>Chicago Cubs</t>
        </is>
      </c>
      <c r="AS76" s="24" t="inlineStr">
        <is>
          <t>mlb-stl</t>
        </is>
      </c>
      <c r="AT76" s="24" t="inlineStr">
        <is>
          <t>St. Louis Cardinals</t>
        </is>
      </c>
      <c r="AU76" s="24" t="inlineStr">
        <is>
          <t>St. Louis Cardinals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57de3d47944562994a5b1afaec1ed80c7d895d39fce98e14c1dee1a330df60d1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57de3d47944562994a5b1afaec1ed80c7d895d39fce98e14c1dee1a330df60d1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2026-07-29T17:44:02.507912Z</t>
        </is>
      </c>
      <c r="BI76" s="24" t="inlineStr">
        <is>
          <t>["same_event","same_team_same_day","same_league_same_day"]</t>
        </is>
      </c>
      <c r="BJ76" s="25" t="n">
        <v>7.5</v>
      </c>
      <c r="BK76" s="26" t="n">
        <v>-113</v>
      </c>
      <c r="BL76" s="27" t="n">
        <v>1.884956</v>
      </c>
      <c r="BM76" s="28" t="n">
        <v>0.530516</v>
      </c>
      <c r="BN76" s="28" t="n">
        <v>0.527363</v>
      </c>
      <c r="BO76" s="28" t="n"/>
      <c r="BP76" s="25" t="n"/>
      <c r="BQ76" s="27" t="n">
        <v>1.884956</v>
      </c>
      <c r="BR76" s="28" t="n">
        <v>0.53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45895537fb5b41d8</t>
        </is>
      </c>
      <c r="B77" s="24" t="inlineStr">
        <is>
          <t>2026-07-29T17:44:02.507912Z</t>
        </is>
      </c>
      <c r="C77" s="24" t="inlineStr">
        <is>
          <t>2026-07-30T01:38Z</t>
        </is>
      </c>
      <c r="D77" s="24" t="inlineStr">
        <is>
          <t>401816319</t>
        </is>
      </c>
      <c r="E77" s="24" t="inlineStr">
        <is>
          <t>MLB</t>
        </is>
      </c>
      <c r="F77" s="24" t="inlineStr">
        <is>
          <t>Houston Astros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away</t>
        </is>
      </c>
      <c r="J77" s="25" t="n">
        <v>-1.5</v>
      </c>
      <c r="K77" s="24" t="inlineStr">
        <is>
          <t>polymarket_us</t>
        </is>
      </c>
      <c r="L77" s="26" t="n">
        <v>125</v>
      </c>
      <c r="M77" s="27" t="n">
        <v>2.25</v>
      </c>
      <c r="N77" s="28" t="n">
        <v>0.444444</v>
      </c>
      <c r="O77" s="28" t="n">
        <v>0.537059</v>
      </c>
      <c r="P77" s="28" t="n">
        <v>0.05172</v>
      </c>
      <c r="Q77" s="28" t="n">
        <v>0.092615</v>
      </c>
      <c r="R77" s="26" t="n">
        <v>65</v>
      </c>
      <c r="S77" s="29" t="n">
        <v>0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4</v>
      </c>
      <c r="Y77" s="25" t="n">
        <v>-1.5</v>
      </c>
      <c r="Z77" s="26" t="n">
        <v>125</v>
      </c>
      <c r="AA77" s="28" t="n">
        <v>0.445</v>
      </c>
      <c r="AB77" s="28" t="n">
        <v>0.000556</v>
      </c>
      <c r="AC77" s="30" t="n">
        <v>0</v>
      </c>
      <c r="AD77" s="24" t="inlineStr">
        <is>
          <t>2026-07-30T05:41:00.080285Z</t>
        </is>
      </c>
      <c r="AE77" s="31" t="inlineStr">
        <is>
          <t>Measured Edge Margin: Trend Engine projected 7.94-3.81; raw selected-side p=0.6987, calibrated p=0.5371.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mlb-hou</t>
        </is>
      </c>
      <c r="AQ77" s="24" t="inlineStr">
        <is>
          <t>Houston Astros</t>
        </is>
      </c>
      <c r="AR77" s="24" t="inlineStr">
        <is>
          <t>Houston Astros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c05bda6086190b5b398519d3b57b0edba8160090cd5e3c9cb0614cecfbf03f01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c05bda6086190b5b398519d3b57b0edba8160090cd5e3c9cb0614cecfbf03f01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2026-07-29T17:44:02.507912Z</t>
        </is>
      </c>
      <c r="BI77" s="24" t="inlineStr">
        <is>
          <t>["same_event","same_team_same_day","same_league_same_day"]</t>
        </is>
      </c>
      <c r="BJ77" s="25" t="n">
        <v>-1.5</v>
      </c>
      <c r="BK77" s="26" t="n">
        <v>125</v>
      </c>
      <c r="BL77" s="27" t="n">
        <v>2.25</v>
      </c>
      <c r="BM77" s="28" t="n">
        <v>0.444444</v>
      </c>
      <c r="BN77" s="28" t="n">
        <v>0.442786</v>
      </c>
      <c r="BO77" s="28" t="n"/>
      <c r="BP77" s="25" t="n"/>
      <c r="BQ77" s="27" t="n">
        <v>2.25</v>
      </c>
      <c r="BR77" s="28" t="n">
        <v>0.445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ca4b6bfe47e54013</t>
        </is>
      </c>
      <c r="B78" s="24" t="inlineStr">
        <is>
          <t>2026-07-29T17:44:02.507912Z</t>
        </is>
      </c>
      <c r="C78" s="24" t="inlineStr">
        <is>
          <t>2026-07-30T01:38Z</t>
        </is>
      </c>
      <c r="D78" s="24" t="inlineStr">
        <is>
          <t>401816319</t>
        </is>
      </c>
      <c r="E78" s="24" t="inlineStr">
        <is>
          <t>MLB</t>
        </is>
      </c>
      <c r="F78" s="24" t="inlineStr">
        <is>
          <t>Houston Astros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9.5</v>
      </c>
      <c r="K78" s="24" t="inlineStr">
        <is>
          <t>polymarket_us</t>
        </is>
      </c>
      <c r="L78" s="26" t="n">
        <v>-106</v>
      </c>
      <c r="M78" s="27" t="n">
        <v>1.943396</v>
      </c>
      <c r="N78" s="28" t="n">
        <v>0.514563</v>
      </c>
      <c r="O78" s="28" t="n">
        <v>0.512034</v>
      </c>
      <c r="P78" s="28" t="n">
        <v>0.05172</v>
      </c>
      <c r="Q78" s="28" t="n">
        <v>-0.002529</v>
      </c>
      <c r="R78" s="26" t="n">
        <v>18</v>
      </c>
      <c r="S78" s="29" t="n">
        <v>0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win</t>
        </is>
      </c>
      <c r="W78" s="26" t="n">
        <v>7</v>
      </c>
      <c r="X78" s="26" t="n">
        <v>4</v>
      </c>
      <c r="Y78" s="25" t="n">
        <v>9.5</v>
      </c>
      <c r="Z78" s="26" t="n">
        <v>-106</v>
      </c>
      <c r="AA78" s="28" t="n">
        <v>0.515</v>
      </c>
      <c r="AB78" s="28" t="n">
        <v>0.000437</v>
      </c>
      <c r="AC78" s="30" t="n">
        <v>0</v>
      </c>
      <c r="AD78" s="24" t="inlineStr">
        <is>
          <t>2026-07-30T05:41:00.606330Z</t>
        </is>
      </c>
      <c r="AE78" s="31" t="inlineStr">
        <is>
          <t>Measured Edge Totals: Trend Engine projected 7.94-3.81; raw selected-side p=0.6200, calibrated p=0.5120.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mlb-hou</t>
        </is>
      </c>
      <c r="AQ78" s="24" t="inlineStr">
        <is>
          <t>Houston Astros</t>
        </is>
      </c>
      <c r="AR78" s="24" t="inlineStr">
        <is>
          <t>Houston Astros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57de3d47944562994a5b1afaec1ed80c7d895d39fce98e14c1dee1a330df60d1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57de3d47944562994a5b1afaec1ed80c7d895d39fce98e14c1dee1a330df60d1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2026-07-29T17:44:02.507912Z</t>
        </is>
      </c>
      <c r="BI78" s="24" t="inlineStr">
        <is>
          <t>["same_event","same_team_same_day","same_league_same_day"]</t>
        </is>
      </c>
      <c r="BJ78" s="25" t="n">
        <v>9.5</v>
      </c>
      <c r="BK78" s="26" t="n">
        <v>-106</v>
      </c>
      <c r="BL78" s="27" t="n">
        <v>1.943396</v>
      </c>
      <c r="BM78" s="28" t="n">
        <v>0.514563</v>
      </c>
      <c r="BN78" s="28" t="n">
        <v>0.5124379999999999</v>
      </c>
      <c r="BO78" s="28" t="n"/>
      <c r="BP78" s="25" t="n"/>
      <c r="BQ78" s="27" t="n">
        <v>1.943396</v>
      </c>
      <c r="BR78" s="28" t="n">
        <v>0.515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989039912f594b19</t>
        </is>
      </c>
      <c r="B79" s="24" t="inlineStr">
        <is>
          <t>2026-07-29T17:44:02.507912Z</t>
        </is>
      </c>
      <c r="C79" s="24" t="inlineStr">
        <is>
          <t>2026-07-30T01:40Z</t>
        </is>
      </c>
      <c r="D79" s="24" t="inlineStr">
        <is>
          <t>401816317</t>
        </is>
      </c>
      <c r="E79" s="24" t="inlineStr">
        <is>
          <t>MLB</t>
        </is>
      </c>
      <c r="F79" s="24" t="inlineStr">
        <is>
          <t>Boston Red Sox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away</t>
        </is>
      </c>
      <c r="J79" s="25" t="n">
        <v>-1.5</v>
      </c>
      <c r="K79" s="24" t="inlineStr">
        <is>
          <t>polymarket_us</t>
        </is>
      </c>
      <c r="L79" s="26" t="n">
        <v>108</v>
      </c>
      <c r="M79" s="27" t="n">
        <v>2.08</v>
      </c>
      <c r="N79" s="28" t="n">
        <v>0.480769</v>
      </c>
      <c r="O79" s="28" t="n">
        <v>0.56164</v>
      </c>
      <c r="P79" s="28" t="n">
        <v>0.05172</v>
      </c>
      <c r="Q79" s="28" t="n">
        <v>0.080871</v>
      </c>
      <c r="R79" s="26" t="n">
        <v>59</v>
      </c>
      <c r="S79" s="29" t="n">
        <v>0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win</t>
        </is>
      </c>
      <c r="W79" s="26" t="n">
        <v>4</v>
      </c>
      <c r="X79" s="26" t="n">
        <v>2</v>
      </c>
      <c r="Y79" s="25" t="n">
        <v>-1.5</v>
      </c>
      <c r="Z79" s="26" t="n">
        <v>108</v>
      </c>
      <c r="AA79" s="28" t="n">
        <v>0.48</v>
      </c>
      <c r="AB79" s="28" t="n">
        <v>-0.000769</v>
      </c>
      <c r="AC79" s="30" t="n">
        <v>0</v>
      </c>
      <c r="AD79" s="24" t="inlineStr">
        <is>
          <t>2026-07-30T05:41:01.129980Z</t>
        </is>
      </c>
      <c r="AE79" s="31" t="inlineStr">
        <is>
          <t>Measured Edge Margin: Trend Engine projected 12.99-2.64; raw selected-side p=0.9428, calibrated p=0.5616.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mlb-bos</t>
        </is>
      </c>
      <c r="AQ79" s="24" t="inlineStr">
        <is>
          <t>Boston Red Sox</t>
        </is>
      </c>
      <c r="AR79" s="24" t="inlineStr">
        <is>
          <t>Boston Red Sox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c05bda6086190b5b398519d3b57b0edba8160090cd5e3c9cb0614cecfbf03f01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c05bda6086190b5b398519d3b57b0edba8160090cd5e3c9cb0614cecfbf03f01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2026-07-29T17:44:02.507912Z</t>
        </is>
      </c>
      <c r="BI79" s="24" t="inlineStr">
        <is>
          <t>["same_event","same_team_same_day","same_league_same_day"]</t>
        </is>
      </c>
      <c r="BJ79" s="25" t="n">
        <v>-1.5</v>
      </c>
      <c r="BK79" s="26" t="n">
        <v>108</v>
      </c>
      <c r="BL79" s="27" t="n">
        <v>2.08</v>
      </c>
      <c r="BM79" s="28" t="n">
        <v>0.480769</v>
      </c>
      <c r="BN79" s="28" t="n">
        <v>0.477612</v>
      </c>
      <c r="BO79" s="28" t="n"/>
      <c r="BP79" s="25" t="n"/>
      <c r="BQ79" s="27" t="n">
        <v>2.08</v>
      </c>
      <c r="BR79" s="28" t="n">
        <v>0.48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63dce3278e144a96</t>
        </is>
      </c>
      <c r="B80" s="24" t="inlineStr">
        <is>
          <t>2026-07-29T17:44:02.507912Z</t>
        </is>
      </c>
      <c r="C80" s="24" t="inlineStr">
        <is>
          <t>2026-07-30T01:40Z</t>
        </is>
      </c>
      <c r="D80" s="24" t="inlineStr">
        <is>
          <t>401816317</t>
        </is>
      </c>
      <c r="E80" s="24" t="inlineStr">
        <is>
          <t>MLB</t>
        </is>
      </c>
      <c r="F80" s="24" t="inlineStr">
        <is>
          <t>Boston Red Sox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over</t>
        </is>
      </c>
      <c r="J80" s="25" t="n">
        <v>10.5</v>
      </c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0.5249740000000001</v>
      </c>
      <c r="P80" s="28" t="n">
        <v>0.05172</v>
      </c>
      <c r="Q80" s="28" t="n">
        <v>0.024974</v>
      </c>
      <c r="R80" s="26" t="n">
        <v>31</v>
      </c>
      <c r="S80" s="29" t="n">
        <v>0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>
        <v>10.5</v>
      </c>
      <c r="Z80" s="26" t="n">
        <v>100</v>
      </c>
      <c r="AA80" s="28" t="n">
        <v>0.5</v>
      </c>
      <c r="AB80" s="28" t="n">
        <v>0</v>
      </c>
      <c r="AC80" s="30" t="n">
        <v>0</v>
      </c>
      <c r="AD80" s="24" t="inlineStr">
        <is>
          <t>2026-07-30T05:41:01.658743Z</t>
        </is>
      </c>
      <c r="AE80" s="31" t="inlineStr">
        <is>
          <t>Measured Edge Totals: Trend Engine projected 12.99-2.64; raw selected-side p=0.7485, calibrated p=0.5250.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mlb-bos</t>
        </is>
      </c>
      <c r="AQ80" s="24" t="inlineStr">
        <is>
          <t>Boston Red Sox</t>
        </is>
      </c>
      <c r="AR80" s="24" t="inlineStr">
        <is>
          <t>Boston Red Sox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57de3d47944562994a5b1afaec1ed80c7d895d39fce98e14c1dee1a330df60d1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57de3d47944562994a5b1afaec1ed80c7d895d39fce98e14c1dee1a330df60d1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2026-07-29T17:44:02.507912Z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100</v>
      </c>
      <c r="BL80" s="27" t="n">
        <v>2</v>
      </c>
      <c r="BM80" s="28" t="n">
        <v>0.5</v>
      </c>
      <c r="BN80" s="28" t="n">
        <v>0.497512</v>
      </c>
      <c r="BO80" s="28" t="n"/>
      <c r="BP80" s="25" t="n"/>
      <c r="BQ80" s="27" t="n">
        <v>2</v>
      </c>
      <c r="BR80" s="28" t="n">
        <v>0.5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ef3973b03761488e</t>
        </is>
      </c>
      <c r="B81" s="24" t="inlineStr">
        <is>
          <t>2026-07-29T17:44:02.507912Z</t>
        </is>
      </c>
      <c r="C81" s="24" t="inlineStr">
        <is>
          <t>2026-07-30T02:10Z</t>
        </is>
      </c>
      <c r="D81" s="24" t="inlineStr">
        <is>
          <t>401816321</t>
        </is>
      </c>
      <c r="E81" s="24" t="inlineStr">
        <is>
          <t>MLB</t>
        </is>
      </c>
      <c r="F81" s="24" t="inlineStr">
        <is>
          <t>Seattle Mariners</t>
        </is>
      </c>
      <c r="G81" s="24" t="inlineStr">
        <is>
          <t>Los Angeles Dodgers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0.545206</v>
      </c>
      <c r="P81" s="28" t="n">
        <v>0.042131</v>
      </c>
      <c r="Q81" s="28" t="n">
        <v>-0.025609</v>
      </c>
      <c r="R81" s="26" t="n">
        <v>12</v>
      </c>
      <c r="S81" s="29" t="n">
        <v>0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4</v>
      </c>
      <c r="Y81" s="25" t="n">
        <v>1.5</v>
      </c>
      <c r="Z81" s="26" t="n">
        <v>-133</v>
      </c>
      <c r="AA81" s="28" t="n">
        <v>0.57</v>
      </c>
      <c r="AB81" s="28" t="n">
        <v>-0.000815</v>
      </c>
      <c r="AC81" s="30" t="n">
        <v>0</v>
      </c>
      <c r="AD81" s="24" t="inlineStr">
        <is>
          <t>2026-07-30T05:41:02.269614Z</t>
        </is>
      </c>
      <c r="AE81" s="31" t="inlineStr">
        <is>
          <t>Measured Edge Margin: Trend Engine projected 4.46-3.48; raw selected-side p=0.7796, calibrated p=0.5452.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mlb-sea</t>
        </is>
      </c>
      <c r="AQ81" s="24" t="inlineStr">
        <is>
          <t>Seattle Mariners</t>
        </is>
      </c>
      <c r="AR81" s="24" t="inlineStr">
        <is>
          <t>Seattle Mariners</t>
        </is>
      </c>
      <c r="AS81" s="24" t="inlineStr">
        <is>
          <t>mlb-lad</t>
        </is>
      </c>
      <c r="AT81" s="24" t="inlineStr">
        <is>
          <t>Los Angeles Dodgers</t>
        </is>
      </c>
      <c r="AU81" s="24" t="inlineStr">
        <is>
          <t>Los Angeles Dodgers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c05bda6086190b5b398519d3b57b0edba8160090cd5e3c9cb0614cecfbf03f01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c05bda6086190b5b398519d3b57b0edba8160090cd5e3c9cb0614cecfbf03f01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2026-07-29T17:44:02.507912Z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-133</v>
      </c>
      <c r="BL81" s="27" t="n">
        <v>1.75188</v>
      </c>
      <c r="BM81" s="28" t="n">
        <v>0.570815</v>
      </c>
      <c r="BN81" s="28" t="n">
        <v>0.567164</v>
      </c>
      <c r="BO81" s="28" t="n"/>
      <c r="BP81" s="25" t="n"/>
      <c r="BQ81" s="27" t="n">
        <v>1.75188</v>
      </c>
      <c r="BR81" s="28" t="n">
        <v>0.57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9a1925c0f61e4364</t>
        </is>
      </c>
      <c r="B82" s="24" t="inlineStr">
        <is>
          <t>2026-07-29T17:44:02.507912Z</t>
        </is>
      </c>
      <c r="C82" s="24" t="inlineStr">
        <is>
          <t>2026-07-30T02:10Z</t>
        </is>
      </c>
      <c r="D82" s="24" t="inlineStr">
        <is>
          <t>401816321</t>
        </is>
      </c>
      <c r="E82" s="24" t="inlineStr">
        <is>
          <t>MLB</t>
        </is>
      </c>
      <c r="F82" s="24" t="inlineStr">
        <is>
          <t>Seattle Mariners</t>
        </is>
      </c>
      <c r="G82" s="24" t="inlineStr">
        <is>
          <t>Los Angeles Dodgers</t>
        </is>
      </c>
      <c r="H82" s="24" t="inlineStr">
        <is>
          <t>total</t>
        </is>
      </c>
      <c r="I82" s="24" t="inlineStr">
        <is>
          <t>under</t>
        </is>
      </c>
      <c r="J82" s="25" t="n">
        <v>9.5</v>
      </c>
      <c r="K82" s="24" t="inlineStr">
        <is>
          <t>polymarket_us</t>
        </is>
      </c>
      <c r="L82" s="26" t="n">
        <v>100</v>
      </c>
      <c r="M82" s="27" t="n">
        <v>2</v>
      </c>
      <c r="N82" s="28" t="n">
        <v>0.5</v>
      </c>
      <c r="O82" s="28" t="n">
        <v>0.519143</v>
      </c>
      <c r="P82" s="28" t="n">
        <v>0.042131</v>
      </c>
      <c r="Q82" s="28" t="n">
        <v>0.019143</v>
      </c>
      <c r="R82" s="26" t="n">
        <v>34</v>
      </c>
      <c r="S82" s="29" t="n">
        <v>0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4</v>
      </c>
      <c r="Y82" s="25" t="n">
        <v>9.5</v>
      </c>
      <c r="Z82" s="26" t="n">
        <v>100</v>
      </c>
      <c r="AA82" s="28" t="n">
        <v>0.5</v>
      </c>
      <c r="AB82" s="28" t="n">
        <v>0</v>
      </c>
      <c r="AC82" s="30" t="n">
        <v>0</v>
      </c>
      <c r="AD82" s="24" t="inlineStr">
        <is>
          <t>2026-07-30T05:41:02.840654Z</t>
        </is>
      </c>
      <c r="AE82" s="31" t="inlineStr">
        <is>
          <t>Measured Edge Totals: Trend Engine projected 4.46-3.48; raw selected-side p=0.6906, calibrated p=0.5191.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mlb-sea</t>
        </is>
      </c>
      <c r="AQ82" s="24" t="inlineStr">
        <is>
          <t>Seattle Mariners</t>
        </is>
      </c>
      <c r="AR82" s="24" t="inlineStr">
        <is>
          <t>Seattle Mariners</t>
        </is>
      </c>
      <c r="AS82" s="24" t="inlineStr">
        <is>
          <t>mlb-lad</t>
        </is>
      </c>
      <c r="AT82" s="24" t="inlineStr">
        <is>
          <t>Los Angeles Dodgers</t>
        </is>
      </c>
      <c r="AU82" s="24" t="inlineStr">
        <is>
          <t>Los Angeles Dodgers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57de3d47944562994a5b1afaec1ed80c7d895d39fce98e14c1dee1a330df60d1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57de3d47944562994a5b1afaec1ed80c7d895d39fce98e14c1dee1a330df60d1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2026-07-29T17:44:02.507912Z</t>
        </is>
      </c>
      <c r="BI82" s="24" t="inlineStr">
        <is>
          <t>["same_event","same_team_same_day","same_league_same_day"]</t>
        </is>
      </c>
      <c r="BJ82" s="25" t="n">
        <v>9.5</v>
      </c>
      <c r="BK82" s="26" t="n">
        <v>100</v>
      </c>
      <c r="BL82" s="27" t="n">
        <v>2</v>
      </c>
      <c r="BM82" s="28" t="n">
        <v>0.5</v>
      </c>
      <c r="BN82" s="28" t="n">
        <v>0.497512</v>
      </c>
      <c r="BO82" s="28" t="n"/>
      <c r="BP82" s="25" t="n"/>
      <c r="BQ82" s="27" t="n">
        <v>2</v>
      </c>
      <c r="BR82" s="28" t="n">
        <v>0.5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4765ca9658a544c2</t>
        </is>
      </c>
      <c r="B83" s="24" t="inlineStr">
        <is>
          <t>2026-07-30T16:02:41.811013Z</t>
        </is>
      </c>
      <c r="C83" s="24" t="inlineStr">
        <is>
          <t>2026-07-30T12:10:00-0400</t>
        </is>
      </c>
      <c r="D83" s="24" t="inlineStr">
        <is>
          <t>401816324</t>
        </is>
      </c>
      <c r="E83" s="24" t="inlineStr">
        <is>
          <t>MLB</t>
        </is>
      </c>
      <c r="F83" s="24" t="inlineStr">
        <is>
          <t>Texas Rangers</t>
        </is>
      </c>
      <c r="G83" s="24" t="inlineStr">
        <is>
          <t>Tampa Bay Rays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-160</v>
      </c>
      <c r="M83" s="27" t="n">
        <v>1.625</v>
      </c>
      <c r="N83" s="28" t="n">
        <v>0.615385</v>
      </c>
      <c r="O83" s="28" t="n">
        <v>0.560375</v>
      </c>
      <c r="P83" s="28" t="n"/>
      <c r="Q83" s="28" t="n">
        <v>-0.05501</v>
      </c>
      <c r="R83" s="26" t="n">
        <v>0</v>
      </c>
      <c r="S83" s="29" t="n">
        <v>1</v>
      </c>
      <c r="T83" s="24" t="inlineStr">
        <is>
          <t>mlb-elo-trend-lr-v7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0.6242; executable ask 0.6150 (aec-mlb-tex-tb-2026-07-30); model edge vs ask -0.0546.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mlb-tex</t>
        </is>
      </c>
      <c r="AQ83" s="24" t="inlineStr">
        <is>
          <t>Texas Rangers</t>
        </is>
      </c>
      <c r="AR83" s="24" t="inlineStr">
        <is>
          <t>Texas Rangers</t>
        </is>
      </c>
      <c r="AS83" s="24" t="inlineStr">
        <is>
          <t>mlb-tb</t>
        </is>
      </c>
      <c r="AT83" s="24" t="inlineStr">
        <is>
          <t>Tampa Bay Rays</t>
        </is>
      </c>
      <c r="AU83" s="24" t="inlineStr">
        <is>
          <t>Tampa Bay Rays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464eef695bfbbdaa819ec6f5e4c5bd1068ed20b92915fb2677220ae91e20d8b6</t>
        </is>
      </c>
      <c r="BB83" s="24" t="inlineStr">
        <is>
          <t>learned_lr</t>
        </is>
      </c>
      <c r="BC83" s="24" t="inlineStr">
        <is>
          <t>mlb-elo-trend-lr-v7</t>
        </is>
      </c>
      <c r="BD83" s="24" t="inlineStr">
        <is>
          <t>464eef695bfbbdaa819ec6f5e4c5bd1068ed20b92915fb2677220ae91e20d8b6</t>
        </is>
      </c>
      <c r="BE83" s="24" t="inlineStr">
        <is>
          <t>2e5c467578e391cd</t>
        </is>
      </c>
      <c r="BF83" s="24" t="inlineStr">
        <is>
          <t>1</t>
        </is>
      </c>
      <c r="BG83" s="24" t="inlineStr">
        <is>
          <t>mlb-elo-trend-lr-v7</t>
        </is>
      </c>
      <c r="BH83" s="24" t="inlineStr">
        <is>
          <t>2026-07-30T16:01:48.107244Z</t>
        </is>
      </c>
      <c r="BI83" s="24" t="inlineStr">
        <is>
          <t>["same_event","same_team_same_day","same_league_same_day"]</t>
        </is>
      </c>
      <c r="BJ83" s="25" t="n"/>
      <c r="BK83" s="26" t="n">
        <v>-160</v>
      </c>
      <c r="BL83" s="27" t="n">
        <v>1.625</v>
      </c>
      <c r="BM83" s="28" t="n">
        <v>0.615385</v>
      </c>
      <c r="BN83" s="28" t="n">
        <v>0.61194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0.5786000288</t>
        </is>
      </c>
      <c r="CD83" s="24" t="inlineStr">
        <is>
          <t>0.008586</t>
        </is>
      </c>
      <c r="CE83" s="24" t="inlineStr">
        <is>
          <t>0.965</t>
        </is>
      </c>
      <c r="CF83" s="24" t="inlineStr">
        <is>
          <t>1.0</t>
        </is>
      </c>
      <c r="CG83" s="24" t="inlineStr">
        <is>
          <t>-1.6</t>
        </is>
      </c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406393dea9594c0a</t>
        </is>
      </c>
      <c r="B84" s="24" t="inlineStr">
        <is>
          <t>2026-07-30T16:03:19.057215Z</t>
        </is>
      </c>
      <c r="C84" s="24" t="inlineStr">
        <is>
          <t>2026-07-30T16:10Z</t>
        </is>
      </c>
      <c r="D84" s="24" t="inlineStr">
        <is>
          <t>401816324</t>
        </is>
      </c>
      <c r="E84" s="24" t="inlineStr">
        <is>
          <t>MLB</t>
        </is>
      </c>
      <c r="F84" s="24" t="inlineStr">
        <is>
          <t>Texas Rangers</t>
        </is>
      </c>
      <c r="G84" s="24" t="inlineStr">
        <is>
          <t>Tampa Bay Rays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-125</v>
      </c>
      <c r="M84" s="27" t="n">
        <v>1.8</v>
      </c>
      <c r="N84" s="28" t="n">
        <v>0.555556</v>
      </c>
      <c r="O84" s="28" t="n">
        <v>0.542925</v>
      </c>
      <c r="P84" s="28" t="n">
        <v>0.042131</v>
      </c>
      <c r="Q84" s="28" t="n">
        <v>-0.012631</v>
      </c>
      <c r="R84" s="26" t="n">
        <v>18</v>
      </c>
      <c r="S84" s="29" t="n">
        <v>0</v>
      </c>
      <c r="T84" s="24" t="inlineStr">
        <is>
          <t>measured-edge-margin-v1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Measured Edge Margin: Trend Engine projected 4.22-4.87; raw selected-side p=0.6072, calibrated p=0.5429.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mlb-tex</t>
        </is>
      </c>
      <c r="AQ84" s="24" t="inlineStr">
        <is>
          <t>Texas Rangers</t>
        </is>
      </c>
      <c r="AR84" s="24" t="inlineStr">
        <is>
          <t>Texas Rangers</t>
        </is>
      </c>
      <c r="AS84" s="24" t="inlineStr">
        <is>
          <t>mlb-tb</t>
        </is>
      </c>
      <c r="AT84" s="24" t="inlineStr">
        <is>
          <t>Tampa Bay Rays</t>
        </is>
      </c>
      <c r="AU84" s="24" t="inlineStr">
        <is>
          <t>Tampa Bay Rays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2026-07-30T16:03:19.057215Z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-125</v>
      </c>
      <c r="BL84" s="27" t="n">
        <v>1.8</v>
      </c>
      <c r="BM84" s="28" t="n">
        <v>0.555556</v>
      </c>
      <c r="BN84" s="28" t="n">
        <v>0.552239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11bd8c09245d4774</t>
        </is>
      </c>
      <c r="B85" s="24" t="inlineStr">
        <is>
          <t>2026-07-30T16:03:19.057215Z</t>
        </is>
      </c>
      <c r="C85" s="24" t="inlineStr">
        <is>
          <t>2026-07-30T16:10Z</t>
        </is>
      </c>
      <c r="D85" s="24" t="inlineStr">
        <is>
          <t>401816324</t>
        </is>
      </c>
      <c r="E85" s="24" t="inlineStr">
        <is>
          <t>MLB</t>
        </is>
      </c>
      <c r="F85" s="24" t="inlineStr">
        <is>
          <t>Texas Rangers</t>
        </is>
      </c>
      <c r="G85" s="24" t="inlineStr">
        <is>
          <t>Tampa Bay Rays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-113</v>
      </c>
      <c r="M85" s="27" t="n">
        <v>1.884956</v>
      </c>
      <c r="N85" s="28" t="n">
        <v>0.530516</v>
      </c>
      <c r="O85" s="28" t="n">
        <v>0.582045</v>
      </c>
      <c r="P85" s="28" t="n">
        <v>0.042131</v>
      </c>
      <c r="Q85" s="28" t="n">
        <v>0.051529</v>
      </c>
      <c r="R85" s="26" t="n">
        <v>50</v>
      </c>
      <c r="S85" s="29" t="n">
        <v>0</v>
      </c>
      <c r="T85" s="24" t="inlineStr">
        <is>
          <t>measured-edge-totals-v1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Measured Edge Totals: Trend Engine projected 4.22-4.87; raw selected-side p=0.6005, calibrated p=0.5820.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mlb-tex</t>
        </is>
      </c>
      <c r="AQ85" s="24" t="inlineStr">
        <is>
          <t>Texas Rangers</t>
        </is>
      </c>
      <c r="AR85" s="24" t="inlineStr">
        <is>
          <t>Texas Rangers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2026-07-30T16:03:19.057215Z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-113</v>
      </c>
      <c r="BL85" s="27" t="n">
        <v>1.884956</v>
      </c>
      <c r="BM85" s="28" t="n">
        <v>0.530516</v>
      </c>
      <c r="BN85" s="28" t="n">
        <v>0.527363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90555303e32f47c0</t>
        </is>
      </c>
      <c r="B86" s="24" t="inlineStr">
        <is>
          <t>2026-07-30T17:18:22.482445Z</t>
        </is>
      </c>
      <c r="C86" s="24" t="inlineStr">
        <is>
          <t>2026-07-30T20:00:00-0400</t>
        </is>
      </c>
      <c r="D86" s="24" t="inlineStr">
        <is>
          <t>401857099</t>
        </is>
      </c>
      <c r="E86" s="24" t="inlineStr">
        <is>
          <t>WNBA</t>
        </is>
      </c>
      <c r="F86" s="24" t="inlineStr">
        <is>
          <t>Minnesota Lynx</t>
        </is>
      </c>
      <c r="G86" s="24" t="inlineStr">
        <is>
          <t>Toronto Tempo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-614</v>
      </c>
      <c r="M86" s="27" t="n">
        <v>1.162866</v>
      </c>
      <c r="N86" s="28" t="n">
        <v>0.859944</v>
      </c>
      <c r="O86" s="28" t="n">
        <v>0.750119</v>
      </c>
      <c r="P86" s="28" t="n"/>
      <c r="Q86" s="28" t="n">
        <v>-0.109825</v>
      </c>
      <c r="R86" s="26" t="n">
        <v>0</v>
      </c>
      <c r="S86" s="29" t="n">
        <v>2</v>
      </c>
      <c r="T86" s="24" t="inlineStr">
        <is>
          <t>wnba-elo-trend-lr-v4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wnba-min</t>
        </is>
      </c>
      <c r="AQ86" s="24" t="inlineStr">
        <is>
          <t>Minnesota Lynx</t>
        </is>
      </c>
      <c r="AR86" s="24" t="inlineStr">
        <is>
          <t>Minnesota Lynx</t>
        </is>
      </c>
      <c r="AS86" s="24" t="inlineStr">
        <is>
          <t>wnba-tor</t>
        </is>
      </c>
      <c r="AT86" s="24" t="inlineStr">
        <is>
          <t>Toronto Tempo</t>
        </is>
      </c>
      <c r="AU86" s="24" t="inlineStr">
        <is>
          <t>Toronto Tempo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7afd5274214b58b7efd7f7febc7be3ab33b92351cda5cc6403c0a39faea0cc8c</t>
        </is>
      </c>
      <c r="BB86" s="24" t="inlineStr">
        <is>
          <t>learned_lr</t>
        </is>
      </c>
      <c r="BC86" s="24" t="inlineStr">
        <is>
          <t>wnba-elo-trend-lr-v4</t>
        </is>
      </c>
      <c r="BD86" s="24" t="inlineStr">
        <is>
          <t>7afd5274214b58b7efd7f7febc7be3ab33b92351cda5cc6403c0a39faea0cc8c</t>
        </is>
      </c>
      <c r="BE86" s="24" t="inlineStr">
        <is>
          <t>a8d16f9be486f04d</t>
        </is>
      </c>
      <c r="BF86" s="24" t="inlineStr">
        <is>
          <t>1</t>
        </is>
      </c>
      <c r="BG86" s="24" t="inlineStr">
        <is>
          <t>wnba-elo-trend-lr-v4</t>
        </is>
      </c>
      <c r="BH86" s="24" t="inlineStr">
        <is>
          <t>2026-07-30T17:17:41.975528Z</t>
        </is>
      </c>
      <c r="BI86" s="24" t="inlineStr">
        <is>
          <t>["same_event","same_team_same_day","same_league_same_day"]</t>
        </is>
      </c>
      <c r="BJ86" s="25" t="n"/>
      <c r="BK86" s="26" t="n">
        <v>-614</v>
      </c>
      <c r="BL86" s="27" t="n">
        <v>1.162866</v>
      </c>
      <c r="BM86" s="28" t="n">
        <v>0.859944</v>
      </c>
      <c r="BN86" s="28" t="n">
        <v>0.851485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0.1447442732</t>
        </is>
      </c>
      <c r="CD86" s="24" t="inlineStr">
        <is>
          <t>-5.213719</t>
        </is>
      </c>
      <c r="CE86" s="24" t="n"/>
      <c r="CF86" s="24" t="n"/>
      <c r="CG86" s="24" t="n"/>
      <c r="CH86" s="24" t="n"/>
      <c r="CI86" s="24" t="inlineStr">
        <is>
          <t>wnba_availability_source_conflict</t>
        </is>
      </c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46446adc53524558</t>
        </is>
      </c>
      <c r="B87" s="24" t="inlineStr">
        <is>
          <t>2026-07-30T17:18:22.482445Z</t>
        </is>
      </c>
      <c r="C87" s="24" t="inlineStr">
        <is>
          <t>2026-07-30T13:40:00-0400</t>
        </is>
      </c>
      <c r="D87" s="24" t="inlineStr">
        <is>
          <t>401816327</t>
        </is>
      </c>
      <c r="E87" s="24" t="inlineStr">
        <is>
          <t>MLB</t>
        </is>
      </c>
      <c r="F87" s="24" t="inlineStr">
        <is>
          <t>Kansas City Royals</t>
        </is>
      </c>
      <c r="G87" s="24" t="inlineStr">
        <is>
          <t>Minnesota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0.529687</v>
      </c>
      <c r="P87" s="28" t="n"/>
      <c r="Q87" s="28" t="n">
        <v>-0.029784</v>
      </c>
      <c r="R87" s="26" t="n">
        <v>6</v>
      </c>
      <c r="S87" s="29" t="n">
        <v>0.75</v>
      </c>
      <c r="T87" s="24" t="inlineStr">
        <is>
          <t>mlb-elo-trend-lr-v7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0.6242; executable ask 0.5600 (aec-mlb-kc-min-2026-07-30); model edge vs ask -0.0303.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mlb-kc</t>
        </is>
      </c>
      <c r="AQ87" s="24" t="inlineStr">
        <is>
          <t>Kansas City Royals</t>
        </is>
      </c>
      <c r="AR87" s="24" t="inlineStr">
        <is>
          <t>Kansas City Royals</t>
        </is>
      </c>
      <c r="AS87" s="24" t="inlineStr">
        <is>
          <t>mlb-min</t>
        </is>
      </c>
      <c r="AT87" s="24" t="inlineStr">
        <is>
          <t>Minnesota Twins</t>
        </is>
      </c>
      <c r="AU87" s="24" t="inlineStr">
        <is>
          <t>Minnesota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00a066c80876c81d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2026-07-30T17:17:33.085623Z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>
        <v>0.557214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0.5433979589</t>
        </is>
      </c>
      <c r="CD87" s="24" t="inlineStr">
        <is>
          <t>-0.186414</t>
        </is>
      </c>
      <c r="CE87" s="24" t="inlineStr">
        <is>
          <t>1.037</t>
        </is>
      </c>
      <c r="CF87" s="24" t="inlineStr">
        <is>
          <t>1.018</t>
        </is>
      </c>
      <c r="CG87" s="24" t="inlineStr">
        <is>
          <t>1.8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9ed711934b3742e5</t>
        </is>
      </c>
      <c r="B88" s="24" t="inlineStr">
        <is>
          <t>2026-07-30T17:18:22.482445Z</t>
        </is>
      </c>
      <c r="C88" s="24" t="inlineStr">
        <is>
          <t>2026-07-30T20:00:00-0400</t>
        </is>
      </c>
      <c r="D88" s="24" t="inlineStr">
        <is>
          <t>401857100</t>
        </is>
      </c>
      <c r="E88" s="24" t="inlineStr">
        <is>
          <t>WNBA</t>
        </is>
      </c>
      <c r="F88" s="24" t="inlineStr">
        <is>
          <t>Connecticut Sun</t>
        </is>
      </c>
      <c r="G88" s="24" t="inlineStr">
        <is>
          <t>Chicago Sky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0.670401</v>
      </c>
      <c r="P88" s="28" t="n"/>
      <c r="Q88" s="28" t="n">
        <v>0.010537</v>
      </c>
      <c r="R88" s="26" t="n">
        <v>28</v>
      </c>
      <c r="S88" s="29" t="n">
        <v>2</v>
      </c>
      <c r="T88" s="24" t="inlineStr">
        <is>
          <t>wnba-elo-trend-lr-v4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wnba-con</t>
        </is>
      </c>
      <c r="AQ88" s="24" t="inlineStr">
        <is>
          <t>Connecticut Sun</t>
        </is>
      </c>
      <c r="AR88" s="24" t="inlineStr">
        <is>
          <t>Connecticut Sun</t>
        </is>
      </c>
      <c r="AS88" s="24" t="inlineStr">
        <is>
          <t>wnba-chi</t>
        </is>
      </c>
      <c r="AT88" s="24" t="inlineStr">
        <is>
          <t>Chicago Sky</t>
        </is>
      </c>
      <c r="AU88" s="24" t="inlineStr">
        <is>
          <t>Chicago Sky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de1d675da66b275e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2026-07-30T17:17:43.676555Z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>
        <v>0.653465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0.6616868073</t>
        </is>
      </c>
      <c r="CD88" s="24" t="inlineStr">
        <is>
          <t>5.467445</t>
        </is>
      </c>
      <c r="CE88" s="24" t="n"/>
      <c r="CF88" s="24" t="n"/>
      <c r="CG88" s="24" t="n"/>
      <c r="CH88" s="24" t="n"/>
      <c r="CI88" s="24" t="inlineStr">
        <is>
          <t>wnba_availability_source_conflict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89d488b018874530</t>
        </is>
      </c>
      <c r="B89" s="24" t="inlineStr">
        <is>
          <t>2026-07-30T17:18:22.482445Z</t>
        </is>
      </c>
      <c r="C89" s="24" t="inlineStr">
        <is>
          <t>2026-07-30T14:10:00-0400</t>
        </is>
      </c>
      <c r="D89" s="24" t="inlineStr">
        <is>
          <t>401816328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Chicago White Sox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0.507087</v>
      </c>
      <c r="P89" s="28" t="n"/>
      <c r="Q89" s="28" t="n">
        <v>-0.012144</v>
      </c>
      <c r="R89" s="26" t="n">
        <v>15</v>
      </c>
      <c r="S89" s="29" t="n">
        <v>0.5</v>
      </c>
      <c r="T89" s="24" t="inlineStr">
        <is>
          <t>mlb-elo-trend-lr-v7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0.6242; executable ask 0.5200 (aec-mlb-nyy-cws-2026-07-30); model edge vs ask -0.0129.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mlb-cws</t>
        </is>
      </c>
      <c r="AT89" s="24" t="inlineStr">
        <is>
          <t>Chicago White Sox</t>
        </is>
      </c>
      <c r="AU89" s="24" t="inlineStr">
        <is>
          <t>Chicago White Sox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2ecf6de0bc0b4429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2026-07-30T17:17:34.062012Z</t>
        </is>
      </c>
      <c r="BI89" s="24" t="inlineStr">
        <is>
          <t>["same_event","same_team_same_day","same_league_same_day"]</t>
        </is>
      </c>
      <c r="BJ89" s="25" t="n"/>
      <c r="BK89" s="26" t="n">
        <v>-108</v>
      </c>
      <c r="BL89" s="27" t="n">
        <v>1.925926</v>
      </c>
      <c r="BM89" s="28" t="n">
        <v>0.519231</v>
      </c>
      <c r="BN89" s="28" t="n">
        <v>0.517413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0.4790915827</t>
        </is>
      </c>
      <c r="CD89" s="24" t="inlineStr">
        <is>
          <t>0.689899</t>
        </is>
      </c>
      <c r="CE89" s="24" t="inlineStr">
        <is>
          <t>0.937</t>
        </is>
      </c>
      <c r="CF89" s="24" t="inlineStr">
        <is>
          <t>1.0009</t>
        </is>
      </c>
      <c r="CG89" s="24" t="inlineStr">
        <is>
          <t>1.0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1315e1b8446b4cc6</t>
        </is>
      </c>
      <c r="B90" s="24" t="inlineStr">
        <is>
          <t>2026-07-30T17:18:22.482445Z</t>
        </is>
      </c>
      <c r="C90" s="24" t="inlineStr">
        <is>
          <t>2026-07-30T22:00:00-0400</t>
        </is>
      </c>
      <c r="D90" s="24" t="inlineStr">
        <is>
          <t>401857101</t>
        </is>
      </c>
      <c r="E90" s="24" t="inlineStr">
        <is>
          <t>WNBA</t>
        </is>
      </c>
      <c r="F90" s="24" t="inlineStr">
        <is>
          <t>New York Liberty</t>
        </is>
      </c>
      <c r="G90" s="24" t="inlineStr">
        <is>
          <t>Las Vegas Aces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-194</v>
      </c>
      <c r="M90" s="27" t="n">
        <v>1.515464</v>
      </c>
      <c r="N90" s="28" t="n">
        <v>0.659864</v>
      </c>
      <c r="O90" s="28" t="n">
        <v>0.615328</v>
      </c>
      <c r="P90" s="28" t="n"/>
      <c r="Q90" s="28" t="n">
        <v>-0.044536</v>
      </c>
      <c r="R90" s="26" t="n">
        <v>1</v>
      </c>
      <c r="S90" s="29" t="n">
        <v>1.75</v>
      </c>
      <c r="T90" s="24" t="inlineStr">
        <is>
          <t>wnba-elo-trend-lr-v4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wnba-nyl</t>
        </is>
      </c>
      <c r="AQ90" s="24" t="inlineStr">
        <is>
          <t>New York Liberty</t>
        </is>
      </c>
      <c r="AR90" s="24" t="inlineStr">
        <is>
          <t>New York Liberty</t>
        </is>
      </c>
      <c r="AS90" s="24" t="inlineStr">
        <is>
          <t>wnba-lva</t>
        </is>
      </c>
      <c r="AT90" s="24" t="inlineStr">
        <is>
          <t>Las Vegas Aces</t>
        </is>
      </c>
      <c r="AU90" s="24" t="inlineStr">
        <is>
          <t>Las Vegas Aces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7afd5274214b58b7efd7f7febc7be3ab33b92351cda5cc6403c0a39faea0cc8c</t>
        </is>
      </c>
      <c r="BB90" s="24" t="inlineStr">
        <is>
          <t>learned_lr</t>
        </is>
      </c>
      <c r="BC90" s="24" t="inlineStr">
        <is>
          <t>wnba-elo-trend-lr-v4</t>
        </is>
      </c>
      <c r="BD90" s="24" t="inlineStr">
        <is>
          <t>7afd5274214b58b7efd7f7febc7be3ab33b92351cda5cc6403c0a39faea0cc8c</t>
        </is>
      </c>
      <c r="BE90" s="24" t="inlineStr">
        <is>
          <t>181554924d3d25f6</t>
        </is>
      </c>
      <c r="BF90" s="24" t="inlineStr">
        <is>
          <t>1</t>
        </is>
      </c>
      <c r="BG90" s="24" t="inlineStr">
        <is>
          <t>wnba-elo-trend-lr-v4</t>
        </is>
      </c>
      <c r="BH90" s="24" t="inlineStr">
        <is>
          <t>2026-07-30T17:17:44.949554Z</t>
        </is>
      </c>
      <c r="BI90" s="24" t="inlineStr">
        <is>
          <t>["same_event","same_team_same_day","same_league_same_day"]</t>
        </is>
      </c>
      <c r="BJ90" s="25" t="n"/>
      <c r="BK90" s="26" t="n">
        <v>-194</v>
      </c>
      <c r="BL90" s="27" t="n">
        <v>1.515464</v>
      </c>
      <c r="BM90" s="28" t="n">
        <v>0.659864</v>
      </c>
      <c r="BN90" s="28" t="n">
        <v>0.653465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0.6511069872</t>
        </is>
      </c>
      <c r="CD90" s="24" t="inlineStr">
        <is>
          <t>-4.276653</t>
        </is>
      </c>
      <c r="CE90" s="24" t="n"/>
      <c r="CF90" s="24" t="n"/>
      <c r="CG90" s="24" t="n"/>
      <c r="CH90" s="24" t="n"/>
      <c r="CI90" s="24" t="inlineStr">
        <is>
          <t>wnba_availability_source_conflict</t>
        </is>
      </c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5352883f901947bd</t>
        </is>
      </c>
      <c r="B91" s="24" t="inlineStr">
        <is>
          <t>2026-07-30T17:18:22.482445Z</t>
        </is>
      </c>
      <c r="C91" s="24" t="inlineStr">
        <is>
          <t>2026-07-30T14:15:00-0400</t>
        </is>
      </c>
      <c r="D91" s="24" t="inlineStr">
        <is>
          <t>401816326</t>
        </is>
      </c>
      <c r="E91" s="24" t="inlineStr">
        <is>
          <t>MLB</t>
        </is>
      </c>
      <c r="F91" s="24" t="inlineStr">
        <is>
          <t>Chicago Cubs</t>
        </is>
      </c>
      <c r="G91" s="24" t="inlineStr">
        <is>
          <t>St. Louis Cardinals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106</v>
      </c>
      <c r="M91" s="27" t="n">
        <v>2.06</v>
      </c>
      <c r="N91" s="28" t="n">
        <v>0.485437</v>
      </c>
      <c r="O91" s="28" t="n">
        <v>0.503115</v>
      </c>
      <c r="P91" s="28" t="n"/>
      <c r="Q91" s="28" t="n">
        <v>0.017678</v>
      </c>
      <c r="R91" s="26" t="n">
        <v>30</v>
      </c>
      <c r="S91" s="29" t="n">
        <v>0.5</v>
      </c>
      <c r="T91" s="24" t="inlineStr">
        <is>
          <t>mlb-elo-trend-lr-v7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0.6242; executable ask 0.4850 (aec-mlb-chc-stl-2026-07-30); model edge vs ask +0.0181.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mlb-chc</t>
        </is>
      </c>
      <c r="AQ91" s="24" t="inlineStr">
        <is>
          <t>Chicago Cubs</t>
        </is>
      </c>
      <c r="AR91" s="24" t="inlineStr">
        <is>
          <t>Chicago Cubs</t>
        </is>
      </c>
      <c r="AS91" s="24" t="inlineStr">
        <is>
          <t>mlb-stl</t>
        </is>
      </c>
      <c r="AT91" s="24" t="inlineStr">
        <is>
          <t>St. Louis Cardinals</t>
        </is>
      </c>
      <c r="AU91" s="24" t="inlineStr">
        <is>
          <t>St. Louis Cardinals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34f50d6e3a3b635c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2026-07-30T17:17:35.081580Z</t>
        </is>
      </c>
      <c r="BI91" s="24" t="inlineStr">
        <is>
          <t>["same_event","same_team_same_day","same_league_same_day"]</t>
        </is>
      </c>
      <c r="BJ91" s="25" t="n"/>
      <c r="BK91" s="26" t="n">
        <v>106</v>
      </c>
      <c r="BL91" s="27" t="n">
        <v>2.06</v>
      </c>
      <c r="BM91" s="28" t="n">
        <v>0.485437</v>
      </c>
      <c r="BN91" s="28" t="n">
        <v>0.482587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0.4477582072</t>
        </is>
      </c>
      <c r="CD91" s="24" t="inlineStr">
        <is>
          <t>-1.388842</t>
        </is>
      </c>
      <c r="CE91" s="24" t="inlineStr">
        <is>
          <t>0.946</t>
        </is>
      </c>
      <c r="CF91" s="24" t="inlineStr">
        <is>
          <t>1.0125</t>
        </is>
      </c>
      <c r="CG91" s="24" t="inlineStr">
        <is>
          <t>2.0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308e6d5daced4850</t>
        </is>
      </c>
      <c r="B92" s="24" t="inlineStr">
        <is>
          <t>2026-07-30T17:18:22.482445Z</t>
        </is>
      </c>
      <c r="C92" s="24" t="inlineStr">
        <is>
          <t>2026-07-30T19:00:00-0400</t>
        </is>
      </c>
      <c r="D92" s="24" t="inlineStr">
        <is>
          <t>401816325</t>
        </is>
      </c>
      <c r="E92" s="24" t="inlineStr">
        <is>
          <t>MLB</t>
        </is>
      </c>
      <c r="F92" s="24" t="inlineStr">
        <is>
          <t>Washington Nationals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-141</v>
      </c>
      <c r="M92" s="27" t="n">
        <v>1.70922</v>
      </c>
      <c r="N92" s="28" t="n">
        <v>0.585062</v>
      </c>
      <c r="O92" s="28" t="n">
        <v>0.612872</v>
      </c>
      <c r="P92" s="28" t="n"/>
      <c r="Q92" s="28" t="n">
        <v>0.02781</v>
      </c>
      <c r="R92" s="26" t="n">
        <v>35</v>
      </c>
      <c r="S92" s="29" t="n">
        <v>1.75</v>
      </c>
      <c r="T92" s="24" t="inlineStr">
        <is>
          <t>mlb-elo-trend-lr-v7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0.6242; executable ask 0.5850 (aec-mlb-wsh-atl-2026-07-30); model edge vs ask +0.0279.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mlb-wsh</t>
        </is>
      </c>
      <c r="AQ92" s="24" t="inlineStr">
        <is>
          <t>Washington Nationals</t>
        </is>
      </c>
      <c r="AR92" s="24" t="inlineStr">
        <is>
          <t>Washington Nationals</t>
        </is>
      </c>
      <c r="AS92" s="24" t="inlineStr">
        <is>
          <t>mlb-atl</t>
        </is>
      </c>
      <c r="AT92" s="24" t="inlineStr">
        <is>
          <t>Atlanta Braves</t>
        </is>
      </c>
      <c r="AU92" s="24" t="inlineStr">
        <is>
          <t>Atlanta Braves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2ad0bbfc4a5ff39d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2026-07-30T17:17:38.217983Z</t>
        </is>
      </c>
      <c r="BI92" s="24" t="inlineStr">
        <is>
          <t>["same_event","same_team_same_day","same_league_same_day"]</t>
        </is>
      </c>
      <c r="BJ92" s="25" t="n"/>
      <c r="BK92" s="26" t="n">
        <v>-141</v>
      </c>
      <c r="BL92" s="27" t="n">
        <v>1.70922</v>
      </c>
      <c r="BM92" s="28" t="n">
        <v>0.585062</v>
      </c>
      <c r="BN92" s="28" t="n">
        <v>0.58209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0.6174839141</t>
        </is>
      </c>
      <c r="CD92" s="24" t="inlineStr">
        <is>
          <t>-0.449351</t>
        </is>
      </c>
      <c r="CE92" s="24" t="inlineStr">
        <is>
          <t>0.929</t>
        </is>
      </c>
      <c r="CF92" s="24" t="inlineStr">
        <is>
          <t>1.0174</t>
        </is>
      </c>
      <c r="CG92" s="24" t="inlineStr">
        <is>
          <t>0.2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3637a4075d654228</t>
        </is>
      </c>
      <c r="B93" s="24" t="inlineStr">
        <is>
          <t>2026-07-30T17:18:22.482445Z</t>
        </is>
      </c>
      <c r="C93" s="24" t="inlineStr">
        <is>
          <t>2026-07-30T19:10:00-0400</t>
        </is>
      </c>
      <c r="D93" s="24" t="inlineStr">
        <is>
          <t>401816322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New York Mets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0.5134919999999999</v>
      </c>
      <c r="P93" s="28" t="n"/>
      <c r="Q93" s="28" t="n">
        <v>-0.025679</v>
      </c>
      <c r="R93" s="26" t="n">
        <v>8</v>
      </c>
      <c r="S93" s="29" t="n">
        <v>0.75</v>
      </c>
      <c r="T93" s="24" t="inlineStr">
        <is>
          <t>mlb-elo-trend-lr-v7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Learned LR call at threshold 0.6242; executable ask 0.5400 (aec-mlb-mia-nym-2026-07-30); model edge vs ask -0.0265.</t>
        </is>
      </c>
      <c r="AF93" s="31" t="inlineStr">
        <is>
          <t>Learned model; shadow-qualified via operator override.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mlb-nym</t>
        </is>
      </c>
      <c r="AT93" s="24" t="inlineStr">
        <is>
          <t>New York Mets</t>
        </is>
      </c>
      <c r="AU93" s="24" t="inlineStr">
        <is>
          <t>New York Mets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464eef695bfbbdaa819ec6f5e4c5bd1068ed20b92915fb2677220ae91e20d8b6</t>
        </is>
      </c>
      <c r="BB93" s="24" t="inlineStr">
        <is>
          <t>learned_lr</t>
        </is>
      </c>
      <c r="BC93" s="24" t="inlineStr">
        <is>
          <t>mlb-elo-trend-lr-v7</t>
        </is>
      </c>
      <c r="BD93" s="24" t="inlineStr">
        <is>
          <t>464eef695bfbbdaa819ec6f5e4c5bd1068ed20b92915fb2677220ae91e20d8b6</t>
        </is>
      </c>
      <c r="BE93" s="24" t="inlineStr">
        <is>
          <t>e514206d77553482</t>
        </is>
      </c>
      <c r="BF93" s="24" t="inlineStr">
        <is>
          <t>1</t>
        </is>
      </c>
      <c r="BG93" s="24" t="inlineStr">
        <is>
          <t>mlb-elo-trend-lr-v7</t>
        </is>
      </c>
      <c r="BH93" s="24" t="inlineStr">
        <is>
          <t>2026-07-30T17:17:36.074233Z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>
        <v>0.537313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0.5051537166</t>
        </is>
      </c>
      <c r="CD93" s="24" t="inlineStr">
        <is>
          <t>0.008278</t>
        </is>
      </c>
      <c r="CE93" s="24" t="inlineStr">
        <is>
          <t>0.978</t>
        </is>
      </c>
      <c r="CF93" s="24" t="inlineStr">
        <is>
          <t>1.0054</t>
        </is>
      </c>
      <c r="CG93" s="24" t="inlineStr">
        <is>
          <t>-1.8</t>
        </is>
      </c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3a3c0a538c744d8f</t>
        </is>
      </c>
      <c r="B94" s="24" t="inlineStr">
        <is>
          <t>2026-07-30T17:18:22.482445Z</t>
        </is>
      </c>
      <c r="C94" s="24" t="inlineStr">
        <is>
          <t>2026-07-30T19:10:00-0400</t>
        </is>
      </c>
      <c r="D94" s="24" t="inlineStr">
        <is>
          <t>401816323</t>
        </is>
      </c>
      <c r="E94" s="24" t="inlineStr">
        <is>
          <t>MLB</t>
        </is>
      </c>
      <c r="F94" s="24" t="inlineStr">
        <is>
          <t>Pittsburgh Pirates</t>
        </is>
      </c>
      <c r="G94" s="24" t="inlineStr">
        <is>
          <t>Cincinnati Reds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0.520916</v>
      </c>
      <c r="P94" s="28" t="n"/>
      <c r="Q94" s="28" t="n">
        <v>0.001685</v>
      </c>
      <c r="R94" s="26" t="n">
        <v>22</v>
      </c>
      <c r="S94" s="29" t="n">
        <v>0.75</v>
      </c>
      <c r="T94" s="24" t="inlineStr">
        <is>
          <t>mlb-elo-trend-lr-v7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Learned LR call at threshold 0.6242; executable ask 0.5200 (aec-mlb-pit-cin-2026-07-30); model edge vs ask +0.0009.</t>
        </is>
      </c>
      <c r="AF94" s="31" t="inlineStr">
        <is>
          <t>Learned model; shadow-qualified via operator override.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mlb-pit</t>
        </is>
      </c>
      <c r="AQ94" s="24" t="inlineStr">
        <is>
          <t>Pittsburgh Pirates</t>
        </is>
      </c>
      <c r="AR94" s="24" t="inlineStr">
        <is>
          <t>Pittsburgh Pirates</t>
        </is>
      </c>
      <c r="AS94" s="24" t="inlineStr">
        <is>
          <t>mlb-cin</t>
        </is>
      </c>
      <c r="AT94" s="24" t="inlineStr">
        <is>
          <t>Cincinnati Reds</t>
        </is>
      </c>
      <c r="AU94" s="24" t="inlineStr">
        <is>
          <t>Cincinnati Reds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464eef695bfbbdaa819ec6f5e4c5bd1068ed20b92915fb2677220ae91e20d8b6</t>
        </is>
      </c>
      <c r="BB94" s="24" t="inlineStr">
        <is>
          <t>learned_lr</t>
        </is>
      </c>
      <c r="BC94" s="24" t="inlineStr">
        <is>
          <t>mlb-elo-trend-lr-v7</t>
        </is>
      </c>
      <c r="BD94" s="24" t="inlineStr">
        <is>
          <t>464eef695bfbbdaa819ec6f5e4c5bd1068ed20b92915fb2677220ae91e20d8b6</t>
        </is>
      </c>
      <c r="BE94" s="24" t="inlineStr">
        <is>
          <t>b3d67de7b6d26958</t>
        </is>
      </c>
      <c r="BF94" s="24" t="inlineStr">
        <is>
          <t>1</t>
        </is>
      </c>
      <c r="BG94" s="24" t="inlineStr">
        <is>
          <t>mlb-elo-trend-lr-v7</t>
        </is>
      </c>
      <c r="BH94" s="24" t="inlineStr">
        <is>
          <t>2026-07-30T17:17:37.061484Z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>
        <v>0.517413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inlineStr">
        <is>
          <t>0.4889165025</t>
        </is>
      </c>
      <c r="CD94" s="24" t="inlineStr">
        <is>
          <t>0.498942</t>
        </is>
      </c>
      <c r="CE94" s="24" t="inlineStr">
        <is>
          <t>1.036</t>
        </is>
      </c>
      <c r="CF94" s="24" t="inlineStr">
        <is>
          <t>1.0086</t>
        </is>
      </c>
      <c r="CG94" s="24" t="inlineStr">
        <is>
          <t>-1.2</t>
        </is>
      </c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89188b6bddfa4e04</t>
        </is>
      </c>
      <c r="B95" s="24" t="inlineStr">
        <is>
          <t>2026-07-30T17:18:22.482445Z</t>
        </is>
      </c>
      <c r="C95" s="24" t="inlineStr">
        <is>
          <t>2026-07-30T21:40:00-0400</t>
        </is>
      </c>
      <c r="D95" s="24" t="inlineStr">
        <is>
          <t>401816329</t>
        </is>
      </c>
      <c r="E95" s="24" t="inlineStr">
        <is>
          <t>MLB</t>
        </is>
      </c>
      <c r="F95" s="24" t="inlineStr">
        <is>
          <t>Boston Red Sox</t>
        </is>
      </c>
      <c r="G95" s="24" t="inlineStr">
        <is>
          <t>Athletics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-167</v>
      </c>
      <c r="M95" s="27" t="n">
        <v>1.598802</v>
      </c>
      <c r="N95" s="28" t="n">
        <v>0.625468</v>
      </c>
      <c r="O95" s="28" t="n">
        <v>0.598658</v>
      </c>
      <c r="P95" s="28" t="n"/>
      <c r="Q95" s="28" t="n">
        <v>-0.02681</v>
      </c>
      <c r="R95" s="26" t="n">
        <v>8</v>
      </c>
      <c r="S95" s="29" t="n">
        <v>1.5</v>
      </c>
      <c r="T95" s="24" t="inlineStr">
        <is>
          <t>mlb-elo-trend-lr-v7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Learned LR call at threshold 0.6242; executable ask 0.6250 (aec-mlb-bos-ath-2026-07-30); model edge vs ask -0.0263.</t>
        </is>
      </c>
      <c r="AF95" s="31" t="inlineStr">
        <is>
          <t>Learned model; shadow-qualified via operator override.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mlb-bos</t>
        </is>
      </c>
      <c r="AQ95" s="24" t="inlineStr">
        <is>
          <t>Boston Red Sox</t>
        </is>
      </c>
      <c r="AR95" s="24" t="inlineStr">
        <is>
          <t>Boston Red Sox</t>
        </is>
      </c>
      <c r="AS95" s="24" t="inlineStr">
        <is>
          <t>mlb-ath</t>
        </is>
      </c>
      <c r="AT95" s="24" t="inlineStr">
        <is>
          <t>Athletics</t>
        </is>
      </c>
      <c r="AU95" s="24" t="inlineStr">
        <is>
          <t>Athletics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464eef695bfbbdaa819ec6f5e4c5bd1068ed20b92915fb2677220ae91e20d8b6</t>
        </is>
      </c>
      <c r="BB95" s="24" t="inlineStr">
        <is>
          <t>learned_lr</t>
        </is>
      </c>
      <c r="BC95" s="24" t="inlineStr">
        <is>
          <t>mlb-elo-trend-lr-v7</t>
        </is>
      </c>
      <c r="BD95" s="24" t="inlineStr">
        <is>
          <t>464eef695bfbbdaa819ec6f5e4c5bd1068ed20b92915fb2677220ae91e20d8b6</t>
        </is>
      </c>
      <c r="BE95" s="24" t="inlineStr">
        <is>
          <t>3f3c29dbbe5296b9</t>
        </is>
      </c>
      <c r="BF95" s="24" t="inlineStr">
        <is>
          <t>1</t>
        </is>
      </c>
      <c r="BG95" s="24" t="inlineStr">
        <is>
          <t>mlb-elo-trend-lr-v7</t>
        </is>
      </c>
      <c r="BH95" s="24" t="inlineStr">
        <is>
          <t>2026-07-30T17:17:38.913634Z</t>
        </is>
      </c>
      <c r="BI95" s="24" t="inlineStr">
        <is>
          <t>["same_event","same_team_same_day","same_league_same_day"]</t>
        </is>
      </c>
      <c r="BJ95" s="25" t="n"/>
      <c r="BK95" s="26" t="n">
        <v>-167</v>
      </c>
      <c r="BL95" s="27" t="n">
        <v>1.598802</v>
      </c>
      <c r="BM95" s="28" t="n">
        <v>0.625468</v>
      </c>
      <c r="BN95" s="28" t="n">
        <v>0.621891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inlineStr">
        <is>
          <t>0.3783729617</t>
        </is>
      </c>
      <c r="CD95" s="24" t="inlineStr">
        <is>
          <t>-0.254128</t>
        </is>
      </c>
      <c r="CE95" s="24" t="inlineStr">
        <is>
          <t>1.153</t>
        </is>
      </c>
      <c r="CF95" s="24" t="inlineStr">
        <is>
          <t>1.0</t>
        </is>
      </c>
      <c r="CG95" s="24" t="inlineStr">
        <is>
          <t>1.8</t>
        </is>
      </c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13b93429e47d4e18</t>
        </is>
      </c>
      <c r="B96" s="24" t="inlineStr">
        <is>
          <t>2026-07-30T17:18:22.482445Z</t>
        </is>
      </c>
      <c r="C96" s="24" t="inlineStr">
        <is>
          <t>2026-07-30T21:40:00-0400</t>
        </is>
      </c>
      <c r="D96" s="24" t="inlineStr">
        <is>
          <t>401816331</t>
        </is>
      </c>
      <c r="E96" s="24" t="inlineStr">
        <is>
          <t>MLB</t>
        </is>
      </c>
      <c r="F96" s="24" t="inlineStr">
        <is>
          <t>San Francisco Giants</t>
        </is>
      </c>
      <c r="G96" s="24" t="inlineStr">
        <is>
          <t>San Diego Padres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-141</v>
      </c>
      <c r="M96" s="27" t="n">
        <v>1.70922</v>
      </c>
      <c r="N96" s="28" t="n">
        <v>0.585062</v>
      </c>
      <c r="O96" s="28" t="n">
        <v>0.594543</v>
      </c>
      <c r="P96" s="28" t="n"/>
      <c r="Q96" s="28" t="n">
        <v>0.009481</v>
      </c>
      <c r="R96" s="26" t="n">
        <v>26</v>
      </c>
      <c r="S96" s="29" t="n">
        <v>1.5</v>
      </c>
      <c r="T96" s="24" t="inlineStr">
        <is>
          <t>mlb-elo-trend-lr-v7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Learned LR call at threshold 0.6242; executable ask 0.5850 (aec-mlb-sf-sd-2026-07-30); model edge vs ask +0.0095.</t>
        </is>
      </c>
      <c r="AF96" s="31" t="inlineStr">
        <is>
          <t>Learned model; shadow-qualified via operator override.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mlb-sf</t>
        </is>
      </c>
      <c r="AQ96" s="24" t="inlineStr">
        <is>
          <t>San Francisco Giants</t>
        </is>
      </c>
      <c r="AR96" s="24" t="inlineStr">
        <is>
          <t>San Francisco Giants</t>
        </is>
      </c>
      <c r="AS96" s="24" t="inlineStr">
        <is>
          <t>mlb-sd</t>
        </is>
      </c>
      <c r="AT96" s="24" t="inlineStr">
        <is>
          <t>San Diego Padres</t>
        </is>
      </c>
      <c r="AU96" s="24" t="inlineStr">
        <is>
          <t>San Diego Padres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464eef695bfbbdaa819ec6f5e4c5bd1068ed20b92915fb2677220ae91e20d8b6</t>
        </is>
      </c>
      <c r="BB96" s="24" t="inlineStr">
        <is>
          <t>learned_lr</t>
        </is>
      </c>
      <c r="BC96" s="24" t="inlineStr">
        <is>
          <t>mlb-elo-trend-lr-v7</t>
        </is>
      </c>
      <c r="BD96" s="24" t="inlineStr">
        <is>
          <t>464eef695bfbbdaa819ec6f5e4c5bd1068ed20b92915fb2677220ae91e20d8b6</t>
        </is>
      </c>
      <c r="BE96" s="24" t="inlineStr">
        <is>
          <t>f3b785ae066974a9</t>
        </is>
      </c>
      <c r="BF96" s="24" t="inlineStr">
        <is>
          <t>1</t>
        </is>
      </c>
      <c r="BG96" s="24" t="inlineStr">
        <is>
          <t>mlb-elo-trend-lr-v7</t>
        </is>
      </c>
      <c r="BH96" s="24" t="inlineStr">
        <is>
          <t>2026-07-30T17:17:40.032869Z</t>
        </is>
      </c>
      <c r="BI96" s="24" t="inlineStr">
        <is>
          <t>["same_event","same_team_same_day","same_league_same_day"]</t>
        </is>
      </c>
      <c r="BJ96" s="25" t="n"/>
      <c r="BK96" s="26" t="n">
        <v>-141</v>
      </c>
      <c r="BL96" s="27" t="n">
        <v>1.70922</v>
      </c>
      <c r="BM96" s="28" t="n">
        <v>0.585062</v>
      </c>
      <c r="BN96" s="28" t="n">
        <v>0.58209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inlineStr">
        <is>
          <t>0.5827558821</t>
        </is>
      </c>
      <c r="CD96" s="24" t="inlineStr">
        <is>
          <t>-1.602098</t>
        </is>
      </c>
      <c r="CE96" s="24" t="inlineStr">
        <is>
          <t>0.945</t>
        </is>
      </c>
      <c r="CF96" s="24" t="inlineStr">
        <is>
          <t>1.0052</t>
        </is>
      </c>
      <c r="CG96" s="24" t="inlineStr">
        <is>
          <t>-0.2</t>
        </is>
      </c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075812f4dde4432b</t>
        </is>
      </c>
      <c r="B97" s="24" t="inlineStr">
        <is>
          <t>2026-07-30T17:18:22.482445Z</t>
        </is>
      </c>
      <c r="C97" s="24" t="inlineStr">
        <is>
          <t>2026-07-30T22:10:00-0400</t>
        </is>
      </c>
      <c r="D97" s="24" t="inlineStr">
        <is>
          <t>401816330</t>
        </is>
      </c>
      <c r="E97" s="24" t="inlineStr">
        <is>
          <t>MLB</t>
        </is>
      </c>
      <c r="F97" s="24" t="inlineStr">
        <is>
          <t>Seattle Mariners</t>
        </is>
      </c>
      <c r="G97" s="24" t="inlineStr">
        <is>
          <t>Los Angeles Dodgers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-147</v>
      </c>
      <c r="M97" s="27" t="n">
        <v>1.680272</v>
      </c>
      <c r="N97" s="28" t="n">
        <v>0.5951419999999999</v>
      </c>
      <c r="O97" s="28" t="n">
        <v>0.593883</v>
      </c>
      <c r="P97" s="28" t="n"/>
      <c r="Q97" s="28" t="n">
        <v>-0.001259</v>
      </c>
      <c r="R97" s="26" t="n">
        <v>21</v>
      </c>
      <c r="S97" s="29" t="n">
        <v>1.5</v>
      </c>
      <c r="T97" s="24" t="inlineStr">
        <is>
          <t>mlb-elo-trend-lr-v7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Learned LR call at threshold 0.6242; executable ask 0.5950 (aec-mlb-sea-lad-2026-07-30); model edge vs ask -0.0011.</t>
        </is>
      </c>
      <c r="AF97" s="31" t="inlineStr">
        <is>
          <t>Learned model; shadow-qualified via operator override.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mlb-sea</t>
        </is>
      </c>
      <c r="AQ97" s="24" t="inlineStr">
        <is>
          <t>Seattle Mariners</t>
        </is>
      </c>
      <c r="AR97" s="24" t="inlineStr">
        <is>
          <t>Seattle Mariners</t>
        </is>
      </c>
      <c r="AS97" s="24" t="inlineStr">
        <is>
          <t>mlb-lad</t>
        </is>
      </c>
      <c r="AT97" s="24" t="inlineStr">
        <is>
          <t>Los Angeles Dodgers</t>
        </is>
      </c>
      <c r="AU97" s="24" t="inlineStr">
        <is>
          <t>Los Angeles Dodgers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464eef695bfbbdaa819ec6f5e4c5bd1068ed20b92915fb2677220ae91e20d8b6</t>
        </is>
      </c>
      <c r="BB97" s="24" t="inlineStr">
        <is>
          <t>learned_lr</t>
        </is>
      </c>
      <c r="BC97" s="24" t="inlineStr">
        <is>
          <t>mlb-elo-trend-lr-v7</t>
        </is>
      </c>
      <c r="BD97" s="24" t="inlineStr">
        <is>
          <t>464eef695bfbbdaa819ec6f5e4c5bd1068ed20b92915fb2677220ae91e20d8b6</t>
        </is>
      </c>
      <c r="BE97" s="24" t="inlineStr">
        <is>
          <t>3ea32fe95dfb07a0</t>
        </is>
      </c>
      <c r="BF97" s="24" t="inlineStr">
        <is>
          <t>1</t>
        </is>
      </c>
      <c r="BG97" s="24" t="inlineStr">
        <is>
          <t>mlb-elo-trend-lr-v7</t>
        </is>
      </c>
      <c r="BH97" s="24" t="inlineStr">
        <is>
          <t>2026-07-30T17:17:41.015176Z</t>
        </is>
      </c>
      <c r="BI97" s="24" t="inlineStr">
        <is>
          <t>["same_event","same_team_same_day","same_league_same_day"]</t>
        </is>
      </c>
      <c r="BJ97" s="25" t="n"/>
      <c r="BK97" s="26" t="n">
        <v>-147</v>
      </c>
      <c r="BL97" s="27" t="n">
        <v>1.680272</v>
      </c>
      <c r="BM97" s="28" t="n">
        <v>0.5951419999999999</v>
      </c>
      <c r="BN97" s="28" t="n">
        <v>0.59204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inlineStr">
        <is>
          <t>0.6206920571</t>
        </is>
      </c>
      <c r="CD97" s="24" t="inlineStr">
        <is>
          <t>-0.391563</t>
        </is>
      </c>
      <c r="CE97" s="24" t="inlineStr">
        <is>
          <t>1.026</t>
        </is>
      </c>
      <c r="CF97" s="24" t="inlineStr">
        <is>
          <t>1.0146</t>
        </is>
      </c>
      <c r="CG97" s="24" t="inlineStr">
        <is>
          <t>-0.4</t>
        </is>
      </c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41c5bee3def94e38</t>
        </is>
      </c>
      <c r="B98" s="24" t="inlineStr">
        <is>
          <t>2026-07-30T17:18:50.985439Z</t>
        </is>
      </c>
      <c r="C98" s="24" t="inlineStr">
        <is>
          <t>2026-07-30T17:40Z</t>
        </is>
      </c>
      <c r="D98" s="24" t="inlineStr">
        <is>
          <t>401816327</t>
        </is>
      </c>
      <c r="E98" s="24" t="inlineStr">
        <is>
          <t>MLB</t>
        </is>
      </c>
      <c r="F98" s="24" t="inlineStr">
        <is>
          <t>Kansas City Royals</t>
        </is>
      </c>
      <c r="G98" s="24" t="inlineStr">
        <is>
          <t>Minnesota Twins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-156</v>
      </c>
      <c r="M98" s="27" t="n">
        <v>1.641026</v>
      </c>
      <c r="N98" s="28" t="n">
        <v>0.609375</v>
      </c>
      <c r="O98" s="28" t="n">
        <v>0.551079</v>
      </c>
      <c r="P98" s="28" t="n">
        <v>0.042131</v>
      </c>
      <c r="Q98" s="28" t="n">
        <v>-0.058296</v>
      </c>
      <c r="R98" s="26" t="n">
        <v>0</v>
      </c>
      <c r="S98" s="29" t="n">
        <v>0</v>
      </c>
      <c r="T98" s="24" t="inlineStr">
        <is>
          <t>measured-edge-margin-v1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Margin: Trend Engine projected 4.80-5.00; raw selected-side p=0.6488, calibrated p=0.5511.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mlb-kc</t>
        </is>
      </c>
      <c r="AQ98" s="24" t="inlineStr">
        <is>
          <t>Kansas City Royals</t>
        </is>
      </c>
      <c r="AR98" s="24" t="inlineStr">
        <is>
          <t>Kansas City Royals</t>
        </is>
      </c>
      <c r="AS98" s="24" t="inlineStr">
        <is>
          <t>mlb-min</t>
        </is>
      </c>
      <c r="AT98" s="24" t="inlineStr">
        <is>
          <t>Minnesota Twins</t>
        </is>
      </c>
      <c r="AU98" s="24" t="inlineStr">
        <is>
          <t>Minnesota Twins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2bc2ce55b0d39a20103f724bbddbde5394909acd49297f52665b596a0ae3ae8b</t>
        </is>
      </c>
      <c r="BB98" s="24" t="inlineStr">
        <is>
          <t>flat_probability_shrinkage_toward_half</t>
        </is>
      </c>
      <c r="BC98" s="24" t="inlineStr">
        <is>
          <t>measured-edge-margin-v1</t>
        </is>
      </c>
      <c r="BD98" s="24" t="inlineStr">
        <is>
          <t>2bc2ce55b0d39a20103f724bbddbde5394909acd49297f52665b596a0ae3ae8b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2026-07-30T17:18:50.985439Z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-156</v>
      </c>
      <c r="BL98" s="27" t="n">
        <v>1.641026</v>
      </c>
      <c r="BM98" s="28" t="n">
        <v>0.609375</v>
      </c>
      <c r="BN98" s="28" t="n">
        <v>0.606965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c7d1c1ea6a644a75</t>
        </is>
      </c>
      <c r="B99" s="24" t="inlineStr">
        <is>
          <t>2026-07-30T17:18:50.985439Z</t>
        </is>
      </c>
      <c r="C99" s="24" t="inlineStr">
        <is>
          <t>2026-07-30T17:40Z</t>
        </is>
      </c>
      <c r="D99" s="24" t="inlineStr">
        <is>
          <t>401816327</t>
        </is>
      </c>
      <c r="E99" s="24" t="inlineStr">
        <is>
          <t>MLB</t>
        </is>
      </c>
      <c r="F99" s="24" t="inlineStr">
        <is>
          <t>Kansas City Royals</t>
        </is>
      </c>
      <c r="G99" s="24" t="inlineStr">
        <is>
          <t>Minnesota Twins</t>
        </is>
      </c>
      <c r="H99" s="24" t="inlineStr">
        <is>
          <t>total</t>
        </is>
      </c>
      <c r="I99" s="24" t="inlineStr">
        <is>
          <t>over</t>
        </is>
      </c>
      <c r="J99" s="25" t="n">
        <v>9.5</v>
      </c>
      <c r="K99" s="24" t="inlineStr">
        <is>
          <t>polymarket_us</t>
        </is>
      </c>
      <c r="L99" s="26" t="n">
        <v>122</v>
      </c>
      <c r="M99" s="27" t="n">
        <v>2.22</v>
      </c>
      <c r="N99" s="28" t="n">
        <v>0.45045</v>
      </c>
      <c r="O99" s="28" t="n">
        <v>0.465051</v>
      </c>
      <c r="P99" s="28" t="n">
        <v>0.042131</v>
      </c>
      <c r="Q99" s="28" t="n">
        <v>0.014601</v>
      </c>
      <c r="R99" s="26" t="n">
        <v>32</v>
      </c>
      <c r="S99" s="29" t="n">
        <v>0</v>
      </c>
      <c r="T99" s="24" t="inlineStr">
        <is>
          <t>measured-edge-totals-v1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Totals: Trend Engine projected 4.80-5.00; raw selected-side p=0.4799, calibrated p=0.4651.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mlb-kc</t>
        </is>
      </c>
      <c r="AQ99" s="24" t="inlineStr">
        <is>
          <t>Kansas City Royals</t>
        </is>
      </c>
      <c r="AR99" s="24" t="inlineStr">
        <is>
          <t>Kansas City Royals</t>
        </is>
      </c>
      <c r="AS99" s="24" t="inlineStr">
        <is>
          <t>mlb-min</t>
        </is>
      </c>
      <c r="AT99" s="24" t="inlineStr">
        <is>
          <t>Minnesota Twins</t>
        </is>
      </c>
      <c r="AU99" s="24" t="inlineStr">
        <is>
          <t>Minnesota Twins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cbc2c9bf5a9569a49e1902c816d96556d704cf10819ca3a9e927721685757d0b</t>
        </is>
      </c>
      <c r="BB99" s="24" t="inlineStr">
        <is>
          <t>flat_probability_shrinkage_toward_half</t>
        </is>
      </c>
      <c r="BC99" s="24" t="inlineStr">
        <is>
          <t>measured-edge-totals-v1</t>
        </is>
      </c>
      <c r="BD99" s="24" t="inlineStr">
        <is>
          <t>cbc2c9bf5a9569a49e1902c816d96556d704cf10819ca3a9e927721685757d0b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2026-07-30T17:18:50.985439Z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122</v>
      </c>
      <c r="BL99" s="27" t="n">
        <v>2.22</v>
      </c>
      <c r="BM99" s="28" t="n">
        <v>0.45045</v>
      </c>
      <c r="BN99" s="28" t="n">
        <v>0.447761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aaa374fcf56346ca</t>
        </is>
      </c>
      <c r="B100" s="24" t="inlineStr">
        <is>
          <t>2026-07-30T17:18:50.985439Z</t>
        </is>
      </c>
      <c r="C100" s="24" t="inlineStr">
        <is>
          <t>2026-07-30T18:10Z</t>
        </is>
      </c>
      <c r="D100" s="24" t="inlineStr">
        <is>
          <t>401816328</t>
        </is>
      </c>
      <c r="E100" s="24" t="inlineStr">
        <is>
          <t>MLB</t>
        </is>
      </c>
      <c r="F100" s="24" t="inlineStr">
        <is>
          <t>New York Yankees</t>
        </is>
      </c>
      <c r="G100" s="24" t="inlineStr">
        <is>
          <t>Chicago White Sox</t>
        </is>
      </c>
      <c r="H100" s="24" t="inlineStr">
        <is>
          <t>spread</t>
        </is>
      </c>
      <c r="I100" s="24" t="inlineStr">
        <is>
          <t>home</t>
        </is>
      </c>
      <c r="J100" s="25" t="n">
        <v>1.5</v>
      </c>
      <c r="K100" s="24" t="inlineStr">
        <is>
          <t>polymarket_us</t>
        </is>
      </c>
      <c r="L100" s="26" t="n">
        <v>-182</v>
      </c>
      <c r="M100" s="27" t="n">
        <v>1.549451</v>
      </c>
      <c r="N100" s="28" t="n">
        <v>0.64539</v>
      </c>
      <c r="O100" s="28" t="n">
        <v>0.5684399999999999</v>
      </c>
      <c r="P100" s="28" t="n">
        <v>0.042131</v>
      </c>
      <c r="Q100" s="28" t="n">
        <v>-0.07695</v>
      </c>
      <c r="R100" s="26" t="n">
        <v>0</v>
      </c>
      <c r="S100" s="29" t="n">
        <v>0</v>
      </c>
      <c r="T100" s="24" t="inlineStr">
        <is>
          <t>measured-edge-margin-v1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Margin: Trend Engine projected 4.07-4.77; raw selected-side p=0.7371, calibrated p=0.5684.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mlb-nyy</t>
        </is>
      </c>
      <c r="AQ100" s="24" t="inlineStr">
        <is>
          <t>New York Yankees</t>
        </is>
      </c>
      <c r="AR100" s="24" t="inlineStr">
        <is>
          <t>New York Yankees</t>
        </is>
      </c>
      <c r="AS100" s="24" t="inlineStr">
        <is>
          <t>mlb-cws</t>
        </is>
      </c>
      <c r="AT100" s="24" t="inlineStr">
        <is>
          <t>Chicago White Sox</t>
        </is>
      </c>
      <c r="AU100" s="24" t="inlineStr">
        <is>
          <t>Chicago White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2bc2ce55b0d39a20103f724bbddbde5394909acd49297f52665b596a0ae3ae8b</t>
        </is>
      </c>
      <c r="BB100" s="24" t="inlineStr">
        <is>
          <t>flat_probability_shrinkage_toward_half</t>
        </is>
      </c>
      <c r="BC100" s="24" t="inlineStr">
        <is>
          <t>measured-edge-margin-v1</t>
        </is>
      </c>
      <c r="BD100" s="24" t="inlineStr">
        <is>
          <t>2bc2ce55b0d39a20103f724bbddbde5394909acd49297f52665b596a0ae3ae8b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2026-07-30T17:18:50.985439Z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-182</v>
      </c>
      <c r="BL100" s="27" t="n">
        <v>1.549451</v>
      </c>
      <c r="BM100" s="28" t="n">
        <v>0.64539</v>
      </c>
      <c r="BN100" s="28" t="n">
        <v>0.641791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dc0ec81ac7a64b06</t>
        </is>
      </c>
      <c r="B101" s="24" t="inlineStr">
        <is>
          <t>2026-07-30T17:18:50.985439Z</t>
        </is>
      </c>
      <c r="C101" s="24" t="inlineStr">
        <is>
          <t>2026-07-30T18:10Z</t>
        </is>
      </c>
      <c r="D101" s="24" t="inlineStr">
        <is>
          <t>401816328</t>
        </is>
      </c>
      <c r="E101" s="24" t="inlineStr">
        <is>
          <t>MLB</t>
        </is>
      </c>
      <c r="F101" s="24" t="inlineStr">
        <is>
          <t>New York Yankees</t>
        </is>
      </c>
      <c r="G101" s="24" t="inlineStr">
        <is>
          <t>Chicago White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0.556337</v>
      </c>
      <c r="P101" s="28" t="n">
        <v>0.042131</v>
      </c>
      <c r="Q101" s="28" t="n">
        <v>0.0709</v>
      </c>
      <c r="R101" s="26" t="n">
        <v>60</v>
      </c>
      <c r="S101" s="29" t="n">
        <v>0</v>
      </c>
      <c r="T101" s="24" t="inlineStr">
        <is>
          <t>measured-edge-totals-v1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Measured Edge Totals: Trend Engine projected 4.07-4.77; raw selected-side p=0.5740, calibrated p=0.5563.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mlb-nyy</t>
        </is>
      </c>
      <c r="AQ101" s="24" t="inlineStr">
        <is>
          <t>New York Yankees</t>
        </is>
      </c>
      <c r="AR101" s="24" t="inlineStr">
        <is>
          <t>New York Yankees</t>
        </is>
      </c>
      <c r="AS101" s="24" t="inlineStr">
        <is>
          <t>mlb-cws</t>
        </is>
      </c>
      <c r="AT101" s="24" t="inlineStr">
        <is>
          <t>Chicago White Sox</t>
        </is>
      </c>
      <c r="AU101" s="24" t="inlineStr">
        <is>
          <t>Chicago White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cbc2c9bf5a9569a49e1902c816d96556d704cf10819ca3a9e927721685757d0b</t>
        </is>
      </c>
      <c r="BB101" s="24" t="inlineStr">
        <is>
          <t>flat_probability_shrinkage_toward_half</t>
        </is>
      </c>
      <c r="BC101" s="24" t="inlineStr">
        <is>
          <t>measured-edge-totals-v1</t>
        </is>
      </c>
      <c r="BD101" s="24" t="inlineStr">
        <is>
          <t>cbc2c9bf5a9569a49e1902c816d96556d704cf10819ca3a9e927721685757d0b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2026-07-30T17:18:50.985439Z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a711dc733b2644a6</t>
        </is>
      </c>
      <c r="B102" s="24" t="inlineStr">
        <is>
          <t>2026-07-30T17:18:50.985439Z</t>
        </is>
      </c>
      <c r="C102" s="24" t="inlineStr">
        <is>
          <t>2026-07-30T18:15Z</t>
        </is>
      </c>
      <c r="D102" s="24" t="inlineStr">
        <is>
          <t>401816326</t>
        </is>
      </c>
      <c r="E102" s="24" t="inlineStr">
        <is>
          <t>MLB</t>
        </is>
      </c>
      <c r="F102" s="24" t="inlineStr">
        <is>
          <t>Chicago Cubs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-174</v>
      </c>
      <c r="M102" s="27" t="n">
        <v>1.574713</v>
      </c>
      <c r="N102" s="28" t="n">
        <v>0.635036</v>
      </c>
      <c r="O102" s="28" t="n">
        <v>0.555677</v>
      </c>
      <c r="P102" s="28" t="n">
        <v>0.042131</v>
      </c>
      <c r="Q102" s="28" t="n">
        <v>-0.079359</v>
      </c>
      <c r="R102" s="26" t="n">
        <v>0</v>
      </c>
      <c r="S102" s="29" t="n">
        <v>0</v>
      </c>
      <c r="T102" s="24" t="inlineStr">
        <is>
          <t>measured-edge-margin-v1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Margin: Trend Engine projected 4.49-4.55; raw selected-side p=0.6722, calibrated p=0.5557.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mlb-chc</t>
        </is>
      </c>
      <c r="AQ102" s="24" t="inlineStr">
        <is>
          <t>Chicago Cubs</t>
        </is>
      </c>
      <c r="AR102" s="24" t="inlineStr">
        <is>
          <t>Chicago Cubs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2bc2ce55b0d39a20103f724bbddbde5394909acd49297f52665b596a0ae3ae8b</t>
        </is>
      </c>
      <c r="BB102" s="24" t="inlineStr">
        <is>
          <t>flat_probability_shrinkage_toward_half</t>
        </is>
      </c>
      <c r="BC102" s="24" t="inlineStr">
        <is>
          <t>measured-edge-margin-v1</t>
        </is>
      </c>
      <c r="BD102" s="24" t="inlineStr">
        <is>
          <t>2bc2ce55b0d39a20103f724bbddbde5394909acd49297f52665b596a0ae3ae8b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2026-07-30T17:18:50.985439Z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-174</v>
      </c>
      <c r="BL102" s="27" t="n">
        <v>1.574713</v>
      </c>
      <c r="BM102" s="28" t="n">
        <v>0.635036</v>
      </c>
      <c r="BN102" s="28" t="n">
        <v>0.631841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1772c061995f4a46</t>
        </is>
      </c>
      <c r="B103" s="24" t="inlineStr">
        <is>
          <t>2026-07-30T17:18:50.985439Z</t>
        </is>
      </c>
      <c r="C103" s="24" t="inlineStr">
        <is>
          <t>2026-07-30T18:15Z</t>
        </is>
      </c>
      <c r="D103" s="24" t="inlineStr">
        <is>
          <t>401816326</t>
        </is>
      </c>
      <c r="E103" s="24" t="inlineStr">
        <is>
          <t>MLB</t>
        </is>
      </c>
      <c r="F103" s="24" t="inlineStr">
        <is>
          <t>Chicago Cubs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0.501139</v>
      </c>
      <c r="P103" s="28" t="n">
        <v>0.042131</v>
      </c>
      <c r="Q103" s="28" t="n">
        <v>0.031655</v>
      </c>
      <c r="R103" s="26" t="n">
        <v>41</v>
      </c>
      <c r="S103" s="29" t="n">
        <v>0</v>
      </c>
      <c r="T103" s="24" t="inlineStr">
        <is>
          <t>measured-edge-totals-v1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Totals: Trend Engine projected 4.49-4.55; raw selected-side p=0.5171, calibrated p=0.5011.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mlb-chc</t>
        </is>
      </c>
      <c r="AQ103" s="24" t="inlineStr">
        <is>
          <t>Chicago Cubs</t>
        </is>
      </c>
      <c r="AR103" s="24" t="inlineStr">
        <is>
          <t>Chicago Cubs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cbc2c9bf5a9569a49e1902c816d96556d704cf10819ca3a9e927721685757d0b</t>
        </is>
      </c>
      <c r="BB103" s="24" t="inlineStr">
        <is>
          <t>flat_probability_shrinkage_toward_half</t>
        </is>
      </c>
      <c r="BC103" s="24" t="inlineStr">
        <is>
          <t>measured-edge-totals-v1</t>
        </is>
      </c>
      <c r="BD103" s="24" t="inlineStr">
        <is>
          <t>cbc2c9bf5a9569a49e1902c816d96556d704cf10819ca3a9e927721685757d0b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2026-07-30T17:18:50.985439Z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113</v>
      </c>
      <c r="BL103" s="27" t="n">
        <v>2.13</v>
      </c>
      <c r="BM103" s="28" t="n">
        <v>0.469484</v>
      </c>
      <c r="BN103" s="28" t="n">
        <v>0.465347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669fab5c44624df9</t>
        </is>
      </c>
      <c r="B104" s="24" t="inlineStr">
        <is>
          <t>2026-07-30T17:18:50.985439Z</t>
        </is>
      </c>
      <c r="C104" s="24" t="inlineStr">
        <is>
          <t>2026-07-30T23:00Z</t>
        </is>
      </c>
      <c r="D104" s="24" t="inlineStr">
        <is>
          <t>401816325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Atlanta Braves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0.545381</v>
      </c>
      <c r="P104" s="28" t="n">
        <v>0.042131</v>
      </c>
      <c r="Q104" s="28" t="n">
        <v>-0.044783</v>
      </c>
      <c r="R104" s="26" t="n">
        <v>2</v>
      </c>
      <c r="S104" s="29" t="n">
        <v>0</v>
      </c>
      <c r="T104" s="24" t="inlineStr">
        <is>
          <t>measured-edge-margin-v1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Margin: Trend Engine projected 4.30-4.84; raw selected-side p=0.6198, calibrated p=0.5454.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mlb-atl</t>
        </is>
      </c>
      <c r="AT104" s="24" t="inlineStr">
        <is>
          <t>Atlanta Braves</t>
        </is>
      </c>
      <c r="AU104" s="24" t="inlineStr">
        <is>
          <t>Atlanta Braves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2bc2ce55b0d39a20103f724bbddbde5394909acd49297f52665b596a0ae3ae8b</t>
        </is>
      </c>
      <c r="BB104" s="24" t="inlineStr">
        <is>
          <t>flat_probability_shrinkage_toward_half</t>
        </is>
      </c>
      <c r="BC104" s="24" t="inlineStr">
        <is>
          <t>measured-edge-margin-v1</t>
        </is>
      </c>
      <c r="BD104" s="24" t="inlineStr">
        <is>
          <t>2bc2ce55b0d39a20103f724bbddbde5394909acd49297f52665b596a0ae3ae8b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2026-07-30T17:18:50.985439Z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-144</v>
      </c>
      <c r="BL104" s="27" t="n">
        <v>1.694444</v>
      </c>
      <c r="BM104" s="28" t="n">
        <v>0.590164</v>
      </c>
      <c r="BN104" s="28" t="n">
        <v>0.5870649999999999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07ca08b26f114d8a</t>
        </is>
      </c>
      <c r="B105" s="24" t="inlineStr">
        <is>
          <t>2026-07-30T17:18:50.985439Z</t>
        </is>
      </c>
      <c r="C105" s="24" t="inlineStr">
        <is>
          <t>2026-07-30T23:00Z</t>
        </is>
      </c>
      <c r="D105" s="24" t="inlineStr">
        <is>
          <t>401816325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0.571665</v>
      </c>
      <c r="P105" s="28" t="n">
        <v>0.042131</v>
      </c>
      <c r="Q105" s="28" t="n">
        <v>0.090896</v>
      </c>
      <c r="R105" s="26" t="n">
        <v>70</v>
      </c>
      <c r="S105" s="29" t="n">
        <v>0</v>
      </c>
      <c r="T105" s="24" t="inlineStr">
        <is>
          <t>measured-edge-totals-v1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Totals: Trend Engine projected 4.30-4.84; raw selected-side p=0.5898, calibrated p=0.5717.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cbc2c9bf5a9569a49e1902c816d96556d704cf10819ca3a9e927721685757d0b</t>
        </is>
      </c>
      <c r="BB105" s="24" t="inlineStr">
        <is>
          <t>flat_probability_shrinkage_toward_half</t>
        </is>
      </c>
      <c r="BC105" s="24" t="inlineStr">
        <is>
          <t>measured-edge-totals-v1</t>
        </is>
      </c>
      <c r="BD105" s="24" t="inlineStr">
        <is>
          <t>cbc2c9bf5a9569a49e1902c816d96556d704cf10819ca3a9e927721685757d0b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2026-07-30T17:18:50.985439Z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108</v>
      </c>
      <c r="BL105" s="27" t="n">
        <v>2.08</v>
      </c>
      <c r="BM105" s="28" t="n">
        <v>0.480769</v>
      </c>
      <c r="BN105" s="28" t="n">
        <v>0.477612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fbde174a130249fd</t>
        </is>
      </c>
      <c r="B106" s="24" t="inlineStr">
        <is>
          <t>2026-07-30T17:18:50.985439Z</t>
        </is>
      </c>
      <c r="C106" s="24" t="inlineStr">
        <is>
          <t>2026-07-30T23:10Z</t>
        </is>
      </c>
      <c r="D106" s="24" t="inlineStr">
        <is>
          <t>401816322</t>
        </is>
      </c>
      <c r="E106" s="24" t="inlineStr">
        <is>
          <t>MLB</t>
        </is>
      </c>
      <c r="F106" s="24" t="inlineStr">
        <is>
          <t>Miami Marlins</t>
        </is>
      </c>
      <c r="G106" s="24" t="inlineStr">
        <is>
          <t>New York Mets</t>
        </is>
      </c>
      <c r="H106" s="24" t="inlineStr">
        <is>
          <t>spread</t>
        </is>
      </c>
      <c r="I106" s="24" t="inlineStr">
        <is>
          <t>home</t>
        </is>
      </c>
      <c r="J106" s="25" t="n">
        <v>-1.5</v>
      </c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0.493426</v>
      </c>
      <c r="P106" s="28" t="n">
        <v>0.042131</v>
      </c>
      <c r="Q106" s="28" t="n">
        <v>0.143776</v>
      </c>
      <c r="R106" s="26" t="n">
        <v>97</v>
      </c>
      <c r="S106" s="29" t="n">
        <v>0</v>
      </c>
      <c r="T106" s="24" t="inlineStr">
        <is>
          <t>measured-edge-margin-v1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Margin: Trend Engine projected 4.06-4.35; raw selected-side p=0.3553, calibrated p=0.4934.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mlb-mia</t>
        </is>
      </c>
      <c r="AQ106" s="24" t="inlineStr">
        <is>
          <t>Miami Marlins</t>
        </is>
      </c>
      <c r="AR106" s="24" t="inlineStr">
        <is>
          <t>Miami Marlins</t>
        </is>
      </c>
      <c r="AS106" s="24" t="inlineStr">
        <is>
          <t>mlb-nym</t>
        </is>
      </c>
      <c r="AT106" s="24" t="inlineStr">
        <is>
          <t>New York Mets</t>
        </is>
      </c>
      <c r="AU106" s="24" t="inlineStr">
        <is>
          <t>New York Mets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2bc2ce55b0d39a20103f724bbddbde5394909acd49297f52665b596a0ae3ae8b</t>
        </is>
      </c>
      <c r="BB106" s="24" t="inlineStr">
        <is>
          <t>flat_probability_shrinkage_toward_half</t>
        </is>
      </c>
      <c r="BC106" s="24" t="inlineStr">
        <is>
          <t>measured-edge-margin-v1</t>
        </is>
      </c>
      <c r="BD106" s="24" t="inlineStr">
        <is>
          <t>2bc2ce55b0d39a20103f724bbddbde5394909acd49297f52665b596a0ae3ae8b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2026-07-30T17:18:50.985439Z</t>
        </is>
      </c>
      <c r="BI106" s="24" t="inlineStr">
        <is>
          <t>["same_event","same_team_same_day","same_league_same_day"]</t>
        </is>
      </c>
      <c r="BJ106" s="25" t="n">
        <v>-1.5</v>
      </c>
      <c r="BK106" s="26" t="n">
        <v>186</v>
      </c>
      <c r="BL106" s="27" t="n">
        <v>2.86</v>
      </c>
      <c r="BM106" s="28" t="n">
        <v>0.34965</v>
      </c>
      <c r="BN106" s="28" t="n">
        <v>0.348259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4b46515e5e434be0</t>
        </is>
      </c>
      <c r="B107" s="24" t="inlineStr">
        <is>
          <t>2026-07-30T17:18:50.985439Z</t>
        </is>
      </c>
      <c r="C107" s="24" t="inlineStr">
        <is>
          <t>2026-07-30T23:10Z</t>
        </is>
      </c>
      <c r="D107" s="24" t="inlineStr">
        <is>
          <t>401816322</t>
        </is>
      </c>
      <c r="E107" s="24" t="inlineStr">
        <is>
          <t>MLB</t>
        </is>
      </c>
      <c r="F107" s="24" t="inlineStr">
        <is>
          <t>Miami Marlins</t>
        </is>
      </c>
      <c r="G107" s="24" t="inlineStr">
        <is>
          <t>New York Mets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0.523111</v>
      </c>
      <c r="P107" s="28" t="n">
        <v>0.042131</v>
      </c>
      <c r="Q107" s="28" t="n">
        <v>0.072661</v>
      </c>
      <c r="R107" s="26" t="n">
        <v>61</v>
      </c>
      <c r="S107" s="29" t="n">
        <v>0</v>
      </c>
      <c r="T107" s="24" t="inlineStr">
        <is>
          <t>measured-edge-totals-v1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Totals: Trend Engine projected 4.06-4.35; raw selected-side p=0.5397, calibrated p=0.5231.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mlb-mia</t>
        </is>
      </c>
      <c r="AQ107" s="24" t="inlineStr">
        <is>
          <t>Miami Marlins</t>
        </is>
      </c>
      <c r="AR107" s="24" t="inlineStr">
        <is>
          <t>Miami Marlins</t>
        </is>
      </c>
      <c r="AS107" s="24" t="inlineStr">
        <is>
          <t>mlb-nym</t>
        </is>
      </c>
      <c r="AT107" s="24" t="inlineStr">
        <is>
          <t>New York Mets</t>
        </is>
      </c>
      <c r="AU107" s="24" t="inlineStr">
        <is>
          <t>New York Mets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cbc2c9bf5a9569a49e1902c816d96556d704cf10819ca3a9e927721685757d0b</t>
        </is>
      </c>
      <c r="BB107" s="24" t="inlineStr">
        <is>
          <t>flat_probability_shrinkage_toward_half</t>
        </is>
      </c>
      <c r="BC107" s="24" t="inlineStr">
        <is>
          <t>measured-edge-totals-v1</t>
        </is>
      </c>
      <c r="BD107" s="24" t="inlineStr">
        <is>
          <t>cbc2c9bf5a9569a49e1902c816d96556d704cf10819ca3a9e927721685757d0b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2026-07-30T17:18:50.985439Z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122</v>
      </c>
      <c r="BL107" s="27" t="n">
        <v>2.22</v>
      </c>
      <c r="BM107" s="28" t="n">
        <v>0.45045</v>
      </c>
      <c r="BN107" s="28" t="n">
        <v>0.447761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44c06d8e6f2e4571</t>
        </is>
      </c>
      <c r="B108" s="24" t="inlineStr">
        <is>
          <t>2026-07-30T17:18:50.985439Z</t>
        </is>
      </c>
      <c r="C108" s="24" t="inlineStr">
        <is>
          <t>2026-07-30T23:10Z</t>
        </is>
      </c>
      <c r="D108" s="24" t="inlineStr">
        <is>
          <t>401816323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0.548201</v>
      </c>
      <c r="P108" s="28" t="n">
        <v>0.042131</v>
      </c>
      <c r="Q108" s="28" t="n">
        <v>-0.041963</v>
      </c>
      <c r="R108" s="26" t="n">
        <v>4</v>
      </c>
      <c r="S108" s="29" t="n">
        <v>0</v>
      </c>
      <c r="T108" s="24" t="inlineStr">
        <is>
          <t>measured-edge-margin-v1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Margin: Trend Engine projected 4.87-4.53; raw selected-side p=0.6341, calibrated p=0.5482.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2bc2ce55b0d39a20103f724bbddbde5394909acd49297f52665b596a0ae3ae8b</t>
        </is>
      </c>
      <c r="BB108" s="24" t="inlineStr">
        <is>
          <t>flat_probability_shrinkage_toward_half</t>
        </is>
      </c>
      <c r="BC108" s="24" t="inlineStr">
        <is>
          <t>measured-edge-margin-v1</t>
        </is>
      </c>
      <c r="BD108" s="24" t="inlineStr">
        <is>
          <t>2bc2ce55b0d39a20103f724bbddbde5394909acd49297f52665b596a0ae3ae8b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2026-07-30T17:18:50.985439Z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-144</v>
      </c>
      <c r="BL108" s="27" t="n">
        <v>1.694444</v>
      </c>
      <c r="BM108" s="28" t="n">
        <v>0.590164</v>
      </c>
      <c r="BN108" s="28" t="n">
        <v>0.5870649999999999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3f4d266778b94a7a</t>
        </is>
      </c>
      <c r="B109" s="24" t="inlineStr">
        <is>
          <t>2026-07-30T17:18:50.985439Z</t>
        </is>
      </c>
      <c r="C109" s="24" t="inlineStr">
        <is>
          <t>2026-07-30T23:10Z</t>
        </is>
      </c>
      <c r="D109" s="24" t="inlineStr">
        <is>
          <t>401816323</t>
        </is>
      </c>
      <c r="E109" s="24" t="inlineStr">
        <is>
          <t>MLB</t>
        </is>
      </c>
      <c r="F109" s="24" t="inlineStr">
        <is>
          <t>Pittsburgh Pirates</t>
        </is>
      </c>
      <c r="G109" s="24" t="inlineStr">
        <is>
          <t>Cincinnati Reds</t>
        </is>
      </c>
      <c r="H109" s="24" t="inlineStr">
        <is>
          <t>total</t>
        </is>
      </c>
      <c r="I109" s="24" t="inlineStr">
        <is>
          <t>under</t>
        </is>
      </c>
      <c r="J109" s="25" t="n">
        <v>9.5</v>
      </c>
      <c r="K109" s="24" t="inlineStr">
        <is>
          <t>polymarket_us</t>
        </is>
      </c>
      <c r="L109" s="26" t="n">
        <v>104</v>
      </c>
      <c r="M109" s="27" t="n">
        <v>2.04</v>
      </c>
      <c r="N109" s="28" t="n">
        <v>0.490196</v>
      </c>
      <c r="O109" s="28" t="n">
        <v>0.544745</v>
      </c>
      <c r="P109" s="28" t="n">
        <v>0.042131</v>
      </c>
      <c r="Q109" s="28" t="n">
        <v>0.054549</v>
      </c>
      <c r="R109" s="26" t="n">
        <v>52</v>
      </c>
      <c r="S109" s="29" t="n">
        <v>0</v>
      </c>
      <c r="T109" s="24" t="inlineStr">
        <is>
          <t>measured-edge-totals-v1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Totals: Trend Engine projected 4.87-4.53; raw selected-side p=0.5621, calibrated p=0.5447.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mlb-pit</t>
        </is>
      </c>
      <c r="AQ109" s="24" t="inlineStr">
        <is>
          <t>Pittsburgh Pirates</t>
        </is>
      </c>
      <c r="AR109" s="24" t="inlineStr">
        <is>
          <t>Pittsburgh Pirates</t>
        </is>
      </c>
      <c r="AS109" s="24" t="inlineStr">
        <is>
          <t>mlb-cin</t>
        </is>
      </c>
      <c r="AT109" s="24" t="inlineStr">
        <is>
          <t>Cincinnati Reds</t>
        </is>
      </c>
      <c r="AU109" s="24" t="inlineStr">
        <is>
          <t>Cincinnati Reds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cbc2c9bf5a9569a49e1902c816d96556d704cf10819ca3a9e927721685757d0b</t>
        </is>
      </c>
      <c r="BB109" s="24" t="inlineStr">
        <is>
          <t>flat_probability_shrinkage_toward_half</t>
        </is>
      </c>
      <c r="BC109" s="24" t="inlineStr">
        <is>
          <t>measured-edge-totals-v1</t>
        </is>
      </c>
      <c r="BD109" s="24" t="inlineStr">
        <is>
          <t>cbc2c9bf5a9569a49e1902c816d96556d704cf10819ca3a9e927721685757d0b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2026-07-30T17:18:50.985439Z</t>
        </is>
      </c>
      <c r="BI109" s="24" t="inlineStr">
        <is>
          <t>["same_event","same_team_same_day","same_league_same_day"]</t>
        </is>
      </c>
      <c r="BJ109" s="25" t="n">
        <v>9.5</v>
      </c>
      <c r="BK109" s="26" t="n">
        <v>104</v>
      </c>
      <c r="BL109" s="27" t="n">
        <v>2.04</v>
      </c>
      <c r="BM109" s="28" t="n">
        <v>0.490196</v>
      </c>
      <c r="BN109" s="28" t="n">
        <v>0.487562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f1aaeac92c434837</t>
        </is>
      </c>
      <c r="B110" s="24" t="inlineStr">
        <is>
          <t>2026-07-30T17:18:50.985439Z</t>
        </is>
      </c>
      <c r="C110" s="24" t="inlineStr">
        <is>
          <t>2026-07-31T01:40Z</t>
        </is>
      </c>
      <c r="D110" s="24" t="inlineStr">
        <is>
          <t>401816329</t>
        </is>
      </c>
      <c r="E110" s="24" t="inlineStr">
        <is>
          <t>MLB</t>
        </is>
      </c>
      <c r="F110" s="24" t="inlineStr">
        <is>
          <t>Boston Red Sox</t>
        </is>
      </c>
      <c r="G110" s="24" t="inlineStr">
        <is>
          <t>Athletics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102</v>
      </c>
      <c r="M110" s="27" t="n">
        <v>2.02</v>
      </c>
      <c r="N110" s="28" t="n">
        <v>0.49505</v>
      </c>
      <c r="O110" s="28" t="n">
        <v>0.545273</v>
      </c>
      <c r="P110" s="28" t="n">
        <v>0.042131</v>
      </c>
      <c r="Q110" s="28" t="n">
        <v>0.050223</v>
      </c>
      <c r="R110" s="26" t="n">
        <v>50</v>
      </c>
      <c r="S110" s="29" t="n">
        <v>0</v>
      </c>
      <c r="T110" s="24" t="inlineStr">
        <is>
          <t>measured-edge-margin-v1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Margin: Trend Engine projected 5.03-4.48; raw selected-side p=0.6192, calibrated p=0.5453.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mlb-bos</t>
        </is>
      </c>
      <c r="AQ110" s="24" t="inlineStr">
        <is>
          <t>Boston Red Sox</t>
        </is>
      </c>
      <c r="AR110" s="24" t="inlineStr">
        <is>
          <t>Boston Red Sox</t>
        </is>
      </c>
      <c r="AS110" s="24" t="inlineStr">
        <is>
          <t>mlb-ath</t>
        </is>
      </c>
      <c r="AT110" s="24" t="inlineStr">
        <is>
          <t>Athletics</t>
        </is>
      </c>
      <c r="AU110" s="24" t="inlineStr">
        <is>
          <t>Athletics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2bc2ce55b0d39a20103f724bbddbde5394909acd49297f52665b596a0ae3ae8b</t>
        </is>
      </c>
      <c r="BB110" s="24" t="inlineStr">
        <is>
          <t>flat_probability_shrinkage_toward_half</t>
        </is>
      </c>
      <c r="BC110" s="24" t="inlineStr">
        <is>
          <t>measured-edge-margin-v1</t>
        </is>
      </c>
      <c r="BD110" s="24" t="inlineStr">
        <is>
          <t>2bc2ce55b0d39a20103f724bbddbde5394909acd49297f52665b596a0ae3ae8b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2026-07-30T17:18:50.985439Z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102</v>
      </c>
      <c r="BL110" s="27" t="n">
        <v>2.02</v>
      </c>
      <c r="BM110" s="28" t="n">
        <v>0.49505</v>
      </c>
      <c r="BN110" s="28" t="n">
        <v>0.492537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06fc768981f24774</t>
        </is>
      </c>
      <c r="B111" s="24" t="inlineStr">
        <is>
          <t>2026-07-30T17:18:50.985439Z</t>
        </is>
      </c>
      <c r="C111" s="24" t="inlineStr">
        <is>
          <t>2026-07-31T01:40Z</t>
        </is>
      </c>
      <c r="D111" s="24" t="inlineStr">
        <is>
          <t>401816329</t>
        </is>
      </c>
      <c r="E111" s="24" t="inlineStr">
        <is>
          <t>MLB</t>
        </is>
      </c>
      <c r="F111" s="24" t="inlineStr">
        <is>
          <t>Boston Red Sox</t>
        </is>
      </c>
      <c r="G111" s="24" t="inlineStr">
        <is>
          <t>Athletics</t>
        </is>
      </c>
      <c r="H111" s="24" t="inlineStr">
        <is>
          <t>total</t>
        </is>
      </c>
      <c r="I111" s="24" t="inlineStr">
        <is>
          <t>under</t>
        </is>
      </c>
      <c r="J111" s="25" t="n">
        <v>10.5</v>
      </c>
      <c r="K111" s="24" t="inlineStr">
        <is>
          <t>polymarket_us</t>
        </is>
      </c>
      <c r="L111" s="26" t="n">
        <v>-115</v>
      </c>
      <c r="M111" s="27" t="n">
        <v>1.869565</v>
      </c>
      <c r="N111" s="28" t="n">
        <v>0.534884</v>
      </c>
      <c r="O111" s="28" t="n">
        <v>0.606589</v>
      </c>
      <c r="P111" s="28" t="n">
        <v>0.042131</v>
      </c>
      <c r="Q111" s="28" t="n">
        <v>0.071705</v>
      </c>
      <c r="R111" s="26" t="n">
        <v>61</v>
      </c>
      <c r="S111" s="29" t="n">
        <v>0</v>
      </c>
      <c r="T111" s="24" t="inlineStr">
        <is>
          <t>measured-edge-totals-v1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Totals: Trend Engine projected 5.03-4.48; raw selected-side p=0.6258, calibrated p=0.6066.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mlb-bos</t>
        </is>
      </c>
      <c r="AQ111" s="24" t="inlineStr">
        <is>
          <t>Boston Red Sox</t>
        </is>
      </c>
      <c r="AR111" s="24" t="inlineStr">
        <is>
          <t>Boston Red Sox</t>
        </is>
      </c>
      <c r="AS111" s="24" t="inlineStr">
        <is>
          <t>mlb-ath</t>
        </is>
      </c>
      <c r="AT111" s="24" t="inlineStr">
        <is>
          <t>Athletics</t>
        </is>
      </c>
      <c r="AU111" s="24" t="inlineStr">
        <is>
          <t>Athletics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cbc2c9bf5a9569a49e1902c816d96556d704cf10819ca3a9e927721685757d0b</t>
        </is>
      </c>
      <c r="BB111" s="24" t="inlineStr">
        <is>
          <t>flat_probability_shrinkage_toward_half</t>
        </is>
      </c>
      <c r="BC111" s="24" t="inlineStr">
        <is>
          <t>measured-edge-totals-v1</t>
        </is>
      </c>
      <c r="BD111" s="24" t="inlineStr">
        <is>
          <t>cbc2c9bf5a9569a49e1902c816d96556d704cf10819ca3a9e927721685757d0b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2026-07-30T17:18:50.985439Z</t>
        </is>
      </c>
      <c r="BI111" s="24" t="inlineStr">
        <is>
          <t>["same_event","same_team_same_day","same_league_same_day"]</t>
        </is>
      </c>
      <c r="BJ111" s="25" t="n">
        <v>10.5</v>
      </c>
      <c r="BK111" s="26" t="n">
        <v>-115</v>
      </c>
      <c r="BL111" s="27" t="n">
        <v>1.869565</v>
      </c>
      <c r="BM111" s="28" t="n">
        <v>0.534884</v>
      </c>
      <c r="BN111" s="28" t="n">
        <v>0.532338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8fcdf7b8d2a84fb0</t>
        </is>
      </c>
      <c r="B112" s="24" t="inlineStr">
        <is>
          <t>2026-07-30T17:18:50.985439Z</t>
        </is>
      </c>
      <c r="C112" s="24" t="inlineStr">
        <is>
          <t>2026-07-31T01:40Z</t>
        </is>
      </c>
      <c r="D112" s="24" t="inlineStr">
        <is>
          <t>401816331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0.559057</v>
      </c>
      <c r="P112" s="28" t="n">
        <v>0.05172</v>
      </c>
      <c r="Q112" s="28" t="n">
        <v>-0.045686</v>
      </c>
      <c r="R112" s="26" t="n">
        <v>0</v>
      </c>
      <c r="S112" s="29" t="n">
        <v>0</v>
      </c>
      <c r="T112" s="24" t="inlineStr">
        <is>
          <t>measured-edge-margin-v1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Margin: Trend Engine projected 4.48-4.27; raw selected-side p=0.6894, calibrated p=0.5591.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2bc2ce55b0d39a20103f724bbddbde5394909acd49297f52665b596a0ae3ae8b</t>
        </is>
      </c>
      <c r="BB112" s="24" t="inlineStr">
        <is>
          <t>flat_probability_shrinkage_toward_half</t>
        </is>
      </c>
      <c r="BC112" s="24" t="inlineStr">
        <is>
          <t>measured-edge-margin-v1</t>
        </is>
      </c>
      <c r="BD112" s="24" t="inlineStr">
        <is>
          <t>2bc2ce55b0d39a20103f724bbddbde5394909acd49297f52665b596a0ae3ae8b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2026-07-30T17:18:50.985439Z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1fcd8188a5d744d5</t>
        </is>
      </c>
      <c r="B113" s="24" t="inlineStr">
        <is>
          <t>2026-07-30T17:18:50.985439Z</t>
        </is>
      </c>
      <c r="C113" s="24" t="inlineStr">
        <is>
          <t>2026-07-31T01:40Z</t>
        </is>
      </c>
      <c r="D113" s="24" t="inlineStr">
        <is>
          <t>401816331</t>
        </is>
      </c>
      <c r="E113" s="24" t="inlineStr">
        <is>
          <t>MLB</t>
        </is>
      </c>
      <c r="F113" s="24" t="inlineStr">
        <is>
          <t>San Francisco Giants</t>
        </is>
      </c>
      <c r="G113" s="24" t="inlineStr">
        <is>
          <t>San Diego Padres</t>
        </is>
      </c>
      <c r="H113" s="24" t="inlineStr">
        <is>
          <t>total</t>
        </is>
      </c>
      <c r="I113" s="24" t="inlineStr">
        <is>
          <t>over</t>
        </is>
      </c>
      <c r="J113" s="25" t="n">
        <v>8.5</v>
      </c>
      <c r="K113" s="24" t="inlineStr">
        <is>
          <t>polymarket_us</t>
        </is>
      </c>
      <c r="L113" s="26" t="n">
        <v>108</v>
      </c>
      <c r="M113" s="27" t="n">
        <v>2.08</v>
      </c>
      <c r="N113" s="28" t="n">
        <v>0.480769</v>
      </c>
      <c r="O113" s="28" t="n">
        <v>0.475868</v>
      </c>
      <c r="P113" s="28" t="n">
        <v>0.05172</v>
      </c>
      <c r="Q113" s="28" t="n">
        <v>-0.004901</v>
      </c>
      <c r="R113" s="26" t="n">
        <v>17</v>
      </c>
      <c r="S113" s="29" t="n">
        <v>0</v>
      </c>
      <c r="T113" s="24" t="inlineStr">
        <is>
          <t>measured-edge-totals-v1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Totals: Trend Engine projected 4.48-4.27; raw selected-side p=0.4910, calibrated p=0.4759.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mlb-sf</t>
        </is>
      </c>
      <c r="AQ113" s="24" t="inlineStr">
        <is>
          <t>San Francisco Giants</t>
        </is>
      </c>
      <c r="AR113" s="24" t="inlineStr">
        <is>
          <t>San Francisco Giants</t>
        </is>
      </c>
      <c r="AS113" s="24" t="inlineStr">
        <is>
          <t>mlb-sd</t>
        </is>
      </c>
      <c r="AT113" s="24" t="inlineStr">
        <is>
          <t>San Diego Padres</t>
        </is>
      </c>
      <c r="AU113" s="24" t="inlineStr">
        <is>
          <t>San Diego Padres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cbc2c9bf5a9569a49e1902c816d96556d704cf10819ca3a9e927721685757d0b</t>
        </is>
      </c>
      <c r="BB113" s="24" t="inlineStr">
        <is>
          <t>flat_probability_shrinkage_toward_half</t>
        </is>
      </c>
      <c r="BC113" s="24" t="inlineStr">
        <is>
          <t>measured-edge-totals-v1</t>
        </is>
      </c>
      <c r="BD113" s="24" t="inlineStr">
        <is>
          <t>cbc2c9bf5a9569a49e1902c816d96556d704cf10819ca3a9e927721685757d0b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2026-07-30T17:18:50.985439Z</t>
        </is>
      </c>
      <c r="BI113" s="24" t="inlineStr">
        <is>
          <t>["same_event","same_team_same_day","same_league_same_day"]</t>
        </is>
      </c>
      <c r="BJ113" s="25" t="n">
        <v>8.5</v>
      </c>
      <c r="BK113" s="26" t="n">
        <v>108</v>
      </c>
      <c r="BL113" s="27" t="n">
        <v>2.08</v>
      </c>
      <c r="BM113" s="28" t="n">
        <v>0.480769</v>
      </c>
      <c r="BN113" s="28" t="n">
        <v>0.477612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406ef34d5a2c4b99</t>
        </is>
      </c>
      <c r="B114" s="24" t="inlineStr">
        <is>
          <t>2026-07-30T17:18:50.985439Z</t>
        </is>
      </c>
      <c r="C114" s="24" t="inlineStr">
        <is>
          <t>2026-07-31T02:10Z</t>
        </is>
      </c>
      <c r="D114" s="24" t="inlineStr">
        <is>
          <t>401816330</t>
        </is>
      </c>
      <c r="E114" s="24" t="inlineStr">
        <is>
          <t>MLB</t>
        </is>
      </c>
      <c r="F114" s="24" t="inlineStr">
        <is>
          <t>Seattle Mariners</t>
        </is>
      </c>
      <c r="G114" s="24" t="inlineStr">
        <is>
          <t>Los Angeles Dodgers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-141</v>
      </c>
      <c r="M114" s="27" t="n">
        <v>1.70922</v>
      </c>
      <c r="N114" s="28" t="n">
        <v>0.585062</v>
      </c>
      <c r="O114" s="28" t="n">
        <v>0.549055</v>
      </c>
      <c r="P114" s="28" t="n">
        <v>0.042131</v>
      </c>
      <c r="Q114" s="28" t="n">
        <v>-0.036007</v>
      </c>
      <c r="R114" s="26" t="n">
        <v>7</v>
      </c>
      <c r="S114" s="29" t="n">
        <v>0</v>
      </c>
      <c r="T114" s="24" t="inlineStr">
        <is>
          <t>measured-edge-margin-v1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Margin: Trend Engine projected 4.65-4.92; raw selected-side p=0.6384, calibrated p=0.5491.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mlb-sea</t>
        </is>
      </c>
      <c r="AQ114" s="24" t="inlineStr">
        <is>
          <t>Seattle Mariners</t>
        </is>
      </c>
      <c r="AR114" s="24" t="inlineStr">
        <is>
          <t>Seattle Mariners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2bc2ce55b0d39a20103f724bbddbde5394909acd49297f52665b596a0ae3ae8b</t>
        </is>
      </c>
      <c r="BB114" s="24" t="inlineStr">
        <is>
          <t>flat_probability_shrinkage_toward_half</t>
        </is>
      </c>
      <c r="BC114" s="24" t="inlineStr">
        <is>
          <t>measured-edge-margin-v1</t>
        </is>
      </c>
      <c r="BD114" s="24" t="inlineStr">
        <is>
          <t>2bc2ce55b0d39a20103f724bbddbde5394909acd49297f52665b596a0ae3ae8b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2026-07-30T17:18:50.985439Z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-141</v>
      </c>
      <c r="BL114" s="27" t="n">
        <v>1.70922</v>
      </c>
      <c r="BM114" s="28" t="n">
        <v>0.585062</v>
      </c>
      <c r="BN114" s="28" t="n">
        <v>0.58209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40f8491d5a594177</t>
        </is>
      </c>
      <c r="B115" s="24" t="inlineStr">
        <is>
          <t>2026-07-30T17:18:50.985439Z</t>
        </is>
      </c>
      <c r="C115" s="24" t="inlineStr">
        <is>
          <t>2026-07-31T02:10Z</t>
        </is>
      </c>
      <c r="D115" s="24" t="inlineStr">
        <is>
          <t>401816330</t>
        </is>
      </c>
      <c r="E115" s="24" t="inlineStr">
        <is>
          <t>MLB</t>
        </is>
      </c>
      <c r="F115" s="24" t="inlineStr">
        <is>
          <t>Seattle Mariners</t>
        </is>
      </c>
      <c r="G115" s="24" t="inlineStr">
        <is>
          <t>Los Angeles Dodgers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-115</v>
      </c>
      <c r="M115" s="27" t="n">
        <v>1.869565</v>
      </c>
      <c r="N115" s="28" t="n">
        <v>0.534884</v>
      </c>
      <c r="O115" s="28" t="n">
        <v>0.548092</v>
      </c>
      <c r="P115" s="28" t="n">
        <v>0.042131</v>
      </c>
      <c r="Q115" s="28" t="n">
        <v>0.013208</v>
      </c>
      <c r="R115" s="26" t="n">
        <v>31</v>
      </c>
      <c r="S115" s="29" t="n">
        <v>0</v>
      </c>
      <c r="T115" s="24" t="inlineStr">
        <is>
          <t>measured-edge-totals-v1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Totals: Trend Engine projected 4.65-4.92; raw selected-side p=0.5655, calibrated p=0.5481.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mlb-sea</t>
        </is>
      </c>
      <c r="AQ115" s="24" t="inlineStr">
        <is>
          <t>Seattle Mariners</t>
        </is>
      </c>
      <c r="AR115" s="24" t="inlineStr">
        <is>
          <t>Seattle Mariners</t>
        </is>
      </c>
      <c r="AS115" s="24" t="inlineStr">
        <is>
          <t>mlb-lad</t>
        </is>
      </c>
      <c r="AT115" s="24" t="inlineStr">
        <is>
          <t>Los Angeles Dodgers</t>
        </is>
      </c>
      <c r="AU115" s="24" t="inlineStr">
        <is>
          <t>Los Angeles Dodgers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cbc2c9bf5a9569a49e1902c816d96556d704cf10819ca3a9e927721685757d0b</t>
        </is>
      </c>
      <c r="BB115" s="24" t="inlineStr">
        <is>
          <t>flat_probability_shrinkage_toward_half</t>
        </is>
      </c>
      <c r="BC115" s="24" t="inlineStr">
        <is>
          <t>measured-edge-totals-v1</t>
        </is>
      </c>
      <c r="BD115" s="24" t="inlineStr">
        <is>
          <t>cbc2c9bf5a9569a49e1902c816d96556d704cf10819ca3a9e927721685757d0b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2026-07-30T17:18:50.985439Z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-115</v>
      </c>
      <c r="BL115" s="27" t="n">
        <v>1.869565</v>
      </c>
      <c r="BM115" s="28" t="n">
        <v>0.534884</v>
      </c>
      <c r="BN115" s="28" t="n">
        <v>0.532338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2026-07-30T17:19:48Z</dcterms:created>
  <dcterms:modified xsi:type="dcterms:W3CDTF">2026-07-30T17:19:49Z</dcterms:modified>
</cp:coreProperties>
</file>