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90" headerRowCount="1">
  <autoFilter ref="A1:CA90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COUNTA('Picks'!$A$2:$A$90)</f>
        <v/>
      </c>
      <c r="C4" s="6">
        <f>COUNTIF('Picks'!$U$2:$U$90,"open")</f>
        <v/>
      </c>
      <c r="E4" s="6">
        <f>COUNTIF('Picks'!$U$2:$U$90,"settled")</f>
        <v/>
      </c>
      <c r="G4" s="6">
        <f>IF(COUNTIFS('Picks'!$U$2:$U$90,"settled",'Picks'!$V$2:$V$90,"win")+COUNTIFS('Picks'!$U$2:$U$90,"settled",'Picks'!$V$2:$V$90,"loss")&gt;=$L$2,"Ready","Insufficient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COUNTIF('Picks'!$BX$2:$BX$90,"&gt;0")</f>
        <v/>
      </c>
      <c r="C7" s="6">
        <f>COUNTIFS('Picks'!$BX$2:$BX$90,"&gt;0",'Picks'!$V$2:$V$90,"win")&amp;"-"&amp;COUNTIFS('Picks'!$BX$2:$BX$90,"&gt;0",'Picks'!$V$2:$V$90,"loss")</f>
        <v/>
      </c>
      <c r="E7" s="32">
        <f>IFERROR(COUNTIFS('Picks'!$BX$2:$BX$90,"&gt;0",'Picks'!$V$2:$V$90,"win")/(COUNTIFS('Picks'!$BX$2:$BX$90,"&gt;0",'Picks'!$V$2:$V$90,"win")+COUNTIFS('Picks'!$BX$2:$BX$90,"&gt;0",'Picks'!$V$2:$V$90,"loss")),0)</f>
        <v/>
      </c>
      <c r="G7" s="32">
        <f>IFERROR(SUM('Picks'!$BY$2:$BY$90)/SUM('Picks'!$BX$2:$BX$90),0)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SUM('Picks'!$BY$2:$BY$90)</f>
        <v/>
      </c>
      <c r="C10" s="9">
        <f>IFERROR(AVERAGEIF('Picks'!$AB$2:$AB$90,"&lt;&gt;",'Picks'!$AB$2:$AB$90),0)</f>
        <v/>
      </c>
      <c r="E10" s="6">
        <f>COUNTIFS('Picks'!$AM$2:$AM$90,"QUALIFIED_SHADOW_CALL",'Picks'!$U$2:$U$90,"settled")</f>
        <v/>
      </c>
      <c r="G10" s="33">
        <f>SUMIFS('Picks'!$AC$2:$AC$90,'Picks'!$AM$2:$AM$90,"QUALIFIED_SHADOW_CALL")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COUNTIFS('Picks'!$H$2:$H$90,$A14,'Picks'!$U$2:$U$90,"settled")</f>
        <v/>
      </c>
      <c r="C14" s="13">
        <f>COUNTIFS('Picks'!$H$2:$H$90,$A14,'Picks'!$U$2:$U$90,"settled",'Picks'!$V$2:$V$90,"win")</f>
        <v/>
      </c>
      <c r="D14" s="13">
        <f>COUNTIFS('Picks'!$H$2:$H$90,$A14,'Picks'!$U$2:$U$90,"settled",'Picks'!$V$2:$V$90,"loss")</f>
        <v/>
      </c>
      <c r="E14" s="34">
        <f>IFERROR(C14/(C14+D14),0)</f>
        <v/>
      </c>
      <c r="F14" s="35">
        <f>SUMIFS('Picks'!$BY$2:$BY$90,'Picks'!$H$2:$H$90,$A14)</f>
        <v/>
      </c>
      <c r="G14" s="16">
        <f>IFERROR(AVERAGEIFS('Picks'!$AB$2:$AB$90,'Picks'!$H$2:$H$90,$A14,'Picks'!$U$2:$U$90,"settled"),0)</f>
        <v/>
      </c>
    </row>
    <row r="15">
      <c r="A15" s="17" t="inlineStr">
        <is>
          <t>spread</t>
        </is>
      </c>
      <c r="B15" s="18">
        <f>COUNTIFS('Picks'!$H$2:$H$90,$A15,'Picks'!$U$2:$U$90,"settled")</f>
        <v/>
      </c>
      <c r="C15" s="18">
        <f>COUNTIFS('Picks'!$H$2:$H$90,$A15,'Picks'!$U$2:$U$90,"settled",'Picks'!$V$2:$V$90,"win")</f>
        <v/>
      </c>
      <c r="D15" s="18">
        <f>COUNTIFS('Picks'!$H$2:$H$90,$A15,'Picks'!$U$2:$U$90,"settled",'Picks'!$V$2:$V$90,"loss")</f>
        <v/>
      </c>
      <c r="E15" s="36">
        <f>IFERROR(C15/(C15+D15),0)</f>
        <v/>
      </c>
      <c r="F15" s="37">
        <f>SUMIFS('Picks'!$BY$2:$BY$90,'Picks'!$H$2:$H$90,$A15)</f>
        <v/>
      </c>
      <c r="G15" s="21">
        <f>IFERROR(AVERAGEIFS('Picks'!$AB$2:$AB$90,'Picks'!$H$2:$H$90,$A15,'Picks'!$U$2:$U$90,"settled"),0)</f>
        <v/>
      </c>
    </row>
    <row r="16">
      <c r="A16" s="12" t="inlineStr">
        <is>
          <t>total</t>
        </is>
      </c>
      <c r="B16" s="13">
        <f>COUNTIFS('Picks'!$H$2:$H$90,$A16,'Picks'!$U$2:$U$90,"settled")</f>
        <v/>
      </c>
      <c r="C16" s="13">
        <f>COUNTIFS('Picks'!$H$2:$H$90,$A16,'Picks'!$U$2:$U$90,"settled",'Picks'!$V$2:$V$90,"win")</f>
        <v/>
      </c>
      <c r="D16" s="13">
        <f>COUNTIFS('Picks'!$H$2:$H$90,$A16,'Picks'!$U$2:$U$90,"settled",'Picks'!$V$2:$V$90,"loss")</f>
        <v/>
      </c>
      <c r="E16" s="34">
        <f>IFERROR(C16/(C16+D16),0)</f>
        <v/>
      </c>
      <c r="F16" s="35">
        <f>SUMIFS('Picks'!$BY$2:$BY$90,'Picks'!$H$2:$H$90,$A16)</f>
        <v/>
      </c>
      <c r="G16" s="16">
        <f>IFERROR(AVERAGEIFS('Picks'!$AB$2:$AB$90,'Picks'!$H$2:$H$90,$A16,'Picks'!$U$2:$U$90,"settled"),0)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69</v>
      </c>
      <c r="S3" s="29" t="n">
        <v>1.5</v>
      </c>
      <c r="T3" s="24" t="inlineStr">
        <is>
          <t>mlb-elo-trend-lr-v3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117c03794b1d1031deec3bd4cce88c9158bebd0622c621defd0aab3eb37c0a6e</t>
        </is>
      </c>
      <c r="BB3" s="24" t="inlineStr">
        <is>
          <t>learned_lr</t>
        </is>
      </c>
      <c r="BC3" s="24" t="inlineStr">
        <is>
          <t>mlb-elo-trend-lr-v3</t>
        </is>
      </c>
      <c r="BD3" s="24" t="inlineStr">
        <is>
          <t>117c03794b1d1031deec3bd4cce88c9158bebd0622c621defd0aab3eb37c0a6e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75</v>
      </c>
      <c r="S4" s="29" t="n">
        <v>1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c97732889cfca1912f8d78791ff63f04ee3fe987951aced9e4fab541932597cd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c97732889cfca1912f8d78791ff63f04ee3fe987951aced9e4fab541932597cd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69</v>
      </c>
      <c r="S5" s="29" t="n">
        <v>1.5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c97732889cfca1912f8d78791ff63f04ee3fe987951aced9e4fab541932597cd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c97732889cfca1912f8d78791ff63f04ee3fe987951aced9e4fab541932597cd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83</v>
      </c>
      <c r="S6" s="29" t="n">
        <v>1.25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c97732889cfca1912f8d78791ff63f04ee3fe987951aced9e4fab541932597cd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c97732889cfca1912f8d78791ff63f04ee3fe987951aced9e4fab541932597cd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86</v>
      </c>
      <c r="S7" s="29" t="n">
        <v>1.25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c97732889cfca1912f8d78791ff63f04ee3fe987951aced9e4fab541932597cd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c97732889cfca1912f8d78791ff63f04ee3fe987951aced9e4fab541932597cd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68</v>
      </c>
      <c r="S8" s="29" t="n">
        <v>1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c97732889cfca1912f8d78791ff63f04ee3fe987951aced9e4fab541932597cd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c97732889cfca1912f8d78791ff63f04ee3fe987951aced9e4fab541932597cd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75</v>
      </c>
      <c r="S9" s="29" t="n">
        <v>1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c97732889cfca1912f8d78791ff63f04ee3fe987951aced9e4fab541932597cd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c97732889cfca1912f8d78791ff63f04ee3fe987951aced9e4fab541932597cd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74</v>
      </c>
      <c r="S10" s="29" t="n">
        <v>1.75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c97732889cfca1912f8d78791ff63f04ee3fe987951aced9e4fab541932597cd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c97732889cfca1912f8d78791ff63f04ee3fe987951aced9e4fab541932597cd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87</v>
      </c>
      <c r="S11" s="29" t="n">
        <v>1.25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c97732889cfca1912f8d78791ff63f04ee3fe987951aced9e4fab541932597cd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c97732889cfca1912f8d78791ff63f04ee3fe987951aced9e4fab541932597cd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70</v>
      </c>
      <c r="S12" s="29" t="n">
        <v>1</v>
      </c>
      <c r="T12" s="24" t="inlineStr">
        <is>
          <t>mlb-elo-trend-lr-v3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40e5d70a6fae1347ad85569354088d9df4f2d6970f7d7c2f9d4924d65efd0c19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40e5d70a6fae1347ad85569354088d9df4f2d6970f7d7c2f9d4924d65efd0c19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84</v>
      </c>
      <c r="S13" s="29" t="n">
        <v>1.25</v>
      </c>
      <c r="T13" s="24" t="inlineStr">
        <is>
          <t>mlb-elo-trend-lr-v3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21de40f664c548e677d8ffc04521004b3df55963718b1d039537d56f08b84fb1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21de40f664c548e677d8ffc04521004b3df55963718b1d039537d56f08b84fb1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60</v>
      </c>
      <c r="S14" s="29" t="n">
        <v>0.75</v>
      </c>
      <c r="T14" s="24" t="inlineStr">
        <is>
          <t>mlb-elo-trend-lr-v3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21de40f664c548e677d8ffc04521004b3df55963718b1d039537d56f08b84fb1</t>
        </is>
      </c>
      <c r="BB14" s="24" t="inlineStr">
        <is>
          <t>learned_lr</t>
        </is>
      </c>
      <c r="BC14" s="24" t="inlineStr">
        <is>
          <t>mlb-elo-trend-lr-v3</t>
        </is>
      </c>
      <c r="BD14" s="24" t="inlineStr">
        <is>
          <t>21de40f664c548e677d8ffc04521004b3df55963718b1d039537d56f08b84fb1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70</v>
      </c>
      <c r="S15" s="29" t="n">
        <v>1</v>
      </c>
      <c r="T15" s="24" t="inlineStr">
        <is>
          <t>mlb-elo-trend-lr-v3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38" t="n"/>
      <c r="Z15" s="26" t="n"/>
      <c r="AA15" s="28" t="n"/>
      <c r="AB15" s="28" t="n"/>
      <c r="AC15" s="4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21de40f664c548e677d8ffc04521004b3df55963718b1d039537d56f08b84fb1</t>
        </is>
      </c>
      <c r="BB15" s="24" t="inlineStr">
        <is>
          <t>learned_lr</t>
        </is>
      </c>
      <c r="BC15" s="24" t="inlineStr">
        <is>
          <t>mlb-elo-trend-lr-v3</t>
        </is>
      </c>
      <c r="BD15" s="24" t="inlineStr">
        <is>
          <t>21de40f664c548e677d8ffc04521004b3df55963718b1d039537d56f08b84fb1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90</v>
      </c>
      <c r="S16" s="29" t="n">
        <v>1.5</v>
      </c>
      <c r="T16" s="24" t="inlineStr">
        <is>
          <t>mlb-elo-trend-lr-v3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21de40f664c548e677d8ffc04521004b3df55963718b1d039537d56f08b84fb1</t>
        </is>
      </c>
      <c r="BB16" s="24" t="inlineStr">
        <is>
          <t>learned_lr</t>
        </is>
      </c>
      <c r="BC16" s="24" t="inlineStr">
        <is>
          <t>mlb-elo-trend-lr-v3</t>
        </is>
      </c>
      <c r="BD16" s="24" t="inlineStr">
        <is>
          <t>21de40f664c548e677d8ffc04521004b3df55963718b1d039537d56f08b84fb1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66</v>
      </c>
      <c r="S17" s="29" t="n">
        <v>1</v>
      </c>
      <c r="T17" s="24" t="inlineStr">
        <is>
          <t>mlb-elo-trend-lr-v3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38" t="n"/>
      <c r="Z17" s="26" t="n"/>
      <c r="AA17" s="28" t="n"/>
      <c r="AB17" s="28" t="n"/>
      <c r="AC17" s="4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21de40f664c548e677d8ffc04521004b3df55963718b1d039537d56f08b84fb1</t>
        </is>
      </c>
      <c r="BB17" s="24" t="inlineStr">
        <is>
          <t>learned_lr</t>
        </is>
      </c>
      <c r="BC17" s="24" t="inlineStr">
        <is>
          <t>mlb-elo-trend-lr-v3</t>
        </is>
      </c>
      <c r="BD17" s="24" t="inlineStr">
        <is>
          <t>21de40f664c548e677d8ffc04521004b3df55963718b1d039537d56f08b84fb1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95</v>
      </c>
      <c r="S18" s="29" t="n">
        <v>1.25</v>
      </c>
      <c r="T18" s="24" t="inlineStr">
        <is>
          <t>mlb-elo-trend-lr-v3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38" t="n"/>
      <c r="Z18" s="26" t="n"/>
      <c r="AA18" s="28" t="n"/>
      <c r="AB18" s="28" t="n"/>
      <c r="AC18" s="4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21de40f664c548e677d8ffc04521004b3df55963718b1d039537d56f08b84fb1</t>
        </is>
      </c>
      <c r="BB18" s="24" t="inlineStr">
        <is>
          <t>learned_lr</t>
        </is>
      </c>
      <c r="BC18" s="24" t="inlineStr">
        <is>
          <t>mlb-elo-trend-lr-v3</t>
        </is>
      </c>
      <c r="BD18" s="24" t="inlineStr">
        <is>
          <t>21de40f664c548e677d8ffc04521004b3df55963718b1d039537d56f08b84fb1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76</v>
      </c>
      <c r="S19" s="29" t="n">
        <v>1.5</v>
      </c>
      <c r="T19" s="24" t="inlineStr">
        <is>
          <t>mlb-elo-trend-lr-v3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38" t="n"/>
      <c r="Z19" s="26" t="n"/>
      <c r="AA19" s="28" t="n"/>
      <c r="AB19" s="28" t="n"/>
      <c r="AC19" s="4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21de40f664c548e677d8ffc04521004b3df55963718b1d039537d56f08b84fb1</t>
        </is>
      </c>
      <c r="BB19" s="24" t="inlineStr">
        <is>
          <t>learned_lr</t>
        </is>
      </c>
      <c r="BC19" s="24" t="inlineStr">
        <is>
          <t>mlb-elo-trend-lr-v3</t>
        </is>
      </c>
      <c r="BD19" s="24" t="inlineStr">
        <is>
          <t>21de40f664c548e677d8ffc04521004b3df55963718b1d039537d56f08b84fb1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68</v>
      </c>
      <c r="S20" s="29" t="n">
        <v>0.75</v>
      </c>
      <c r="T20" s="24" t="inlineStr">
        <is>
          <t>mlb-elo-trend-lr-v3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38" t="n"/>
      <c r="Z20" s="26" t="n"/>
      <c r="AA20" s="28" t="n"/>
      <c r="AB20" s="28" t="n"/>
      <c r="AC20" s="4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21de40f664c548e677d8ffc04521004b3df55963718b1d039537d56f08b84fb1</t>
        </is>
      </c>
      <c r="BB20" s="24" t="inlineStr">
        <is>
          <t>learned_lr</t>
        </is>
      </c>
      <c r="BC20" s="24" t="inlineStr">
        <is>
          <t>mlb-elo-trend-lr-v3</t>
        </is>
      </c>
      <c r="BD20" s="24" t="inlineStr">
        <is>
          <t>21de40f664c548e677d8ffc04521004b3df55963718b1d039537d56f08b84fb1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/>
      <c r="S21" s="29" t="n">
        <v>1</v>
      </c>
      <c r="T21" s="24" t="inlineStr">
        <is>
          <t>mlb-elo-trend-lr-v3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38" t="n"/>
      <c r="Z21" s="26" t="n"/>
      <c r="AA21" s="28" t="n"/>
      <c r="AB21" s="28" t="n"/>
      <c r="AC21" s="4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/>
      <c r="S22" s="29" t="n">
        <v>1</v>
      </c>
      <c r="T22" s="24" t="inlineStr">
        <is>
          <t>mlb-elo-trend-lr-v3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38" t="n"/>
      <c r="Z22" s="26" t="n"/>
      <c r="AA22" s="28" t="n"/>
      <c r="AB22" s="28" t="n"/>
      <c r="AC22" s="4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1.943396</v>
      </c>
      <c r="BM22" s="28" t="n">
        <v>0.514563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/>
      <c r="S23" s="29" t="n">
        <v>1.75</v>
      </c>
      <c r="T23" s="24" t="inlineStr">
        <is>
          <t>mlb-elo-trend-lr-v3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38" t="n"/>
      <c r="Z23" s="26" t="n"/>
      <c r="AA23" s="28" t="n"/>
      <c r="AB23" s="28" t="n"/>
      <c r="AC23" s="4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1.70922</v>
      </c>
      <c r="BM23" s="28" t="n">
        <v>0.585062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/>
      <c r="S24" s="29" t="n">
        <v>1.5</v>
      </c>
      <c r="T24" s="24" t="inlineStr">
        <is>
          <t>mlb-elo-trend-lr-v3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/>
      <c r="S25" s="29" t="n">
        <v>1.25</v>
      </c>
      <c r="T25" s="24" t="inlineStr">
        <is>
          <t>mlb-elo-trend-lr-v3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38" t="n"/>
      <c r="Z25" s="26" t="n"/>
      <c r="AA25" s="28" t="n"/>
      <c r="AB25" s="28" t="n"/>
      <c r="AC25" s="4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</v>
      </c>
      <c r="BM25" s="28" t="n">
        <v>0.490196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/>
      <c r="S26" s="29" t="n">
        <v>1</v>
      </c>
      <c r="T26" s="24" t="inlineStr">
        <is>
          <t>mlb-elo-trend-lr-v3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38" t="n"/>
      <c r="Z26" s="26" t="n"/>
      <c r="AA26" s="28" t="n"/>
      <c r="AB26" s="28" t="n"/>
      <c r="AC26" s="4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1.961538</v>
      </c>
      <c r="BM26" s="28" t="n">
        <v>0.509804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/>
      <c r="S27" s="29" t="n">
        <v>0.75</v>
      </c>
      <c r="T27" s="24" t="inlineStr">
        <is>
          <t>mlb-elo-trend-lr-v3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2.2</v>
      </c>
      <c r="BM27" s="28" t="n">
        <v>0.454545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/>
      <c r="S28" s="29" t="n">
        <v>0.75</v>
      </c>
      <c r="T28" s="24" t="inlineStr">
        <is>
          <t>mlb-elo-trend-lr-v3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93</v>
      </c>
      <c r="S29" s="29" t="n">
        <v>1.25</v>
      </c>
      <c r="T29" s="24" t="inlineStr">
        <is>
          <t>mlb-elo-trend-lr-v3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38" t="n"/>
      <c r="Z29" s="26" t="n"/>
      <c r="AA29" s="28" t="n"/>
      <c r="AB29" s="28" t="n"/>
      <c r="AC29" s="4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ebdb392c90fd9a9414a97c1b39024e1a4f2c894aee118b3b4598ecd7e5e96695</t>
        </is>
      </c>
      <c r="BB29" s="24" t="inlineStr">
        <is>
          <t>learned_lr</t>
        </is>
      </c>
      <c r="BC29" s="24" t="inlineStr">
        <is>
          <t>mlb-elo-trend-lr-v3</t>
        </is>
      </c>
      <c r="BD29" s="24" t="inlineStr">
        <is>
          <t>ebdb392c90fd9a9414a97c1b39024e1a4f2c894aee118b3b4598ecd7e5e96695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65</v>
      </c>
      <c r="S30" s="29" t="n">
        <v>1.5</v>
      </c>
      <c r="T30" s="24" t="inlineStr">
        <is>
          <t>mlb-elo-trend-lr-v3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38" t="n"/>
      <c r="Z30" s="26" t="n"/>
      <c r="AA30" s="28" t="n"/>
      <c r="AB30" s="28" t="n"/>
      <c r="AC30" s="4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ebdb392c90fd9a9414a97c1b39024e1a4f2c894aee118b3b4598ecd7e5e96695</t>
        </is>
      </c>
      <c r="BB30" s="24" t="inlineStr">
        <is>
          <t>learned_lr</t>
        </is>
      </c>
      <c r="BC30" s="24" t="inlineStr">
        <is>
          <t>mlb-elo-trend-lr-v3</t>
        </is>
      </c>
      <c r="BD30" s="24" t="inlineStr">
        <is>
          <t>ebdb392c90fd9a9414a97c1b39024e1a4f2c894aee118b3b4598ecd7e5e96695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mlb-elo-trend-lr-v3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38" t="n"/>
      <c r="Z31" s="26" t="n"/>
      <c r="AA31" s="28" t="n"/>
      <c r="AB31" s="28" t="n"/>
      <c r="AC31" s="4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ebdb392c90fd9a9414a97c1b39024e1a4f2c894aee118b3b4598ecd7e5e96695</t>
        </is>
      </c>
      <c r="BB31" s="24" t="inlineStr">
        <is>
          <t>learned_lr</t>
        </is>
      </c>
      <c r="BC31" s="24" t="inlineStr">
        <is>
          <t>mlb-elo-trend-lr-v3</t>
        </is>
      </c>
      <c r="BD31" s="24" t="inlineStr">
        <is>
          <t>ebdb392c90fd9a9414a97c1b39024e1a4f2c894aee118b3b4598ecd7e5e96695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f036fa1150dd4319</t>
        </is>
      </c>
      <c r="B32" s="24" t="inlineStr">
        <is>
          <t>2026-07-19T12:54:59.612626Z</t>
        </is>
      </c>
      <c r="C32" s="24" t="inlineStr">
        <is>
          <t>2026-07-19T16:15Z</t>
        </is>
      </c>
      <c r="D32" s="24" t="inlineStr">
        <is>
          <t>401816171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104</v>
      </c>
      <c r="M32" s="39" t="n">
        <v>2.04</v>
      </c>
      <c r="N32" s="28" t="n">
        <v>0.490196</v>
      </c>
      <c r="O32" s="28" t="n">
        <v>0.552013</v>
      </c>
      <c r="P32" s="28" t="n"/>
      <c r="Q32" s="28" t="n">
        <v>0.061817</v>
      </c>
      <c r="R32" s="26" t="n">
        <v>81</v>
      </c>
      <c r="S32" s="29" t="n">
        <v>1</v>
      </c>
      <c r="T32" s="24" t="inlineStr">
        <is>
          <t>mlb-elo-trend-lr-v3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0</v>
      </c>
      <c r="Y32" s="38" t="n"/>
      <c r="Z32" s="26" t="n"/>
      <c r="AA32" s="28" t="n"/>
      <c r="AB32" s="28" t="n"/>
      <c r="AC32" s="40" t="n">
        <v>-1</v>
      </c>
      <c r="AD32" s="24" t="inlineStr">
        <is>
          <t>2026-07-19T23:12:43.225807Z</t>
        </is>
      </c>
      <c r="AE32" s="31" t="inlineStr">
        <is>
          <t>Learned LR call at threshold 0.5150; executable ask 0.4900 (aec-mlb-cws-tor-2026-07-19).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mlb-cws</t>
        </is>
      </c>
      <c r="AQ32" s="24" t="inlineStr">
        <is>
          <t>Chicago White Sox</t>
        </is>
      </c>
      <c r="AR32" s="24" t="inlineStr">
        <is>
          <t>Chicago White Sox</t>
        </is>
      </c>
      <c r="AS32" s="24" t="inlineStr">
        <is>
          <t>mlb-tor</t>
        </is>
      </c>
      <c r="AT32" s="24" t="inlineStr">
        <is>
          <t>Toronto Blue Jays</t>
        </is>
      </c>
      <c r="AU32" s="24" t="inlineStr">
        <is>
          <t>Toronto Blue Jays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ebdb392c90fd9a9414a97c1b39024e1a4f2c894aee118b3b4598ecd7e5e96695</t>
        </is>
      </c>
      <c r="BB32" s="24" t="inlineStr">
        <is>
          <t>learned_lr</t>
        </is>
      </c>
      <c r="BC32" s="24" t="inlineStr">
        <is>
          <t>mlb-elo-trend-lr-v3</t>
        </is>
      </c>
      <c r="BD32" s="24" t="inlineStr">
        <is>
          <t>ebdb392c90fd9a9414a97c1b39024e1a4f2c894aee118b3b4598ecd7e5e96695</t>
        </is>
      </c>
      <c r="BE32" s="24" t="inlineStr">
        <is>
          <t>097339aadf4c669a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2026-07-19T12:20:33.531222Z</t>
        </is>
      </c>
      <c r="BI32" s="24" t="inlineStr">
        <is>
          <t>["same_event","same_team_same_day","same_league_same_day"]</t>
        </is>
      </c>
      <c r="BJ32" s="38" t="n"/>
      <c r="BK32" s="26" t="n">
        <v>104</v>
      </c>
      <c r="BL32" s="39" t="n">
        <v>2.04</v>
      </c>
      <c r="BM32" s="28" t="n">
        <v>0.490196</v>
      </c>
      <c r="BN32" s="28" t="n">
        <v>0.487562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  <row r="33" ht="36" customHeight="1">
      <c r="A33" s="24" t="inlineStr">
        <is>
          <t>7b496571632f4a03</t>
        </is>
      </c>
      <c r="B33" s="24" t="inlineStr">
        <is>
          <t>2026-07-19T12:54:59.612626Z</t>
        </is>
      </c>
      <c r="C33" s="24" t="inlineStr">
        <is>
          <t>2026-07-19T17:35Z</t>
        </is>
      </c>
      <c r="D33" s="24" t="inlineStr">
        <is>
          <t>401816173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117</v>
      </c>
      <c r="M33" s="39" t="n">
        <v>2.17</v>
      </c>
      <c r="N33" s="28" t="n">
        <v>0.460829</v>
      </c>
      <c r="O33" s="28" t="n">
        <v>0.6153690000000001</v>
      </c>
      <c r="P33" s="28" t="n"/>
      <c r="Q33" s="28" t="n">
        <v>0.15454</v>
      </c>
      <c r="R33" s="26" t="n">
        <v>100</v>
      </c>
      <c r="S33" s="29" t="n">
        <v>1.75</v>
      </c>
      <c r="T33" s="24" t="inlineStr">
        <is>
          <t>mlb-elo-trend-lr-v3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1</v>
      </c>
      <c r="Y33" s="38" t="n"/>
      <c r="Z33" s="26" t="n"/>
      <c r="AA33" s="28" t="n"/>
      <c r="AB33" s="28" t="n"/>
      <c r="AC33" s="40" t="n">
        <v>-1.75</v>
      </c>
      <c r="AD33" s="24" t="inlineStr">
        <is>
          <t>2026-07-19T23:12:43.477592Z</t>
        </is>
      </c>
      <c r="AE33" s="31" t="inlineStr">
        <is>
          <t>Learned LR call at threshold 0.5150; executable ask 0.4600 (aec-mlb-nym-phi-2026-07-19).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ebdb392c90fd9a9414a97c1b39024e1a4f2c894aee118b3b4598ecd7e5e96695</t>
        </is>
      </c>
      <c r="BB33" s="24" t="inlineStr">
        <is>
          <t>learned_lr</t>
        </is>
      </c>
      <c r="BC33" s="24" t="inlineStr">
        <is>
          <t>mlb-elo-trend-lr-v3</t>
        </is>
      </c>
      <c r="BD33" s="24" t="inlineStr">
        <is>
          <t>ebdb392c90fd9a9414a97c1b39024e1a4f2c894aee118b3b4598ecd7e5e96695</t>
        </is>
      </c>
      <c r="BE33" s="24" t="inlineStr">
        <is>
          <t>f5f93a0e01a0b4e1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2026-07-19T12:20:37.335421Z</t>
        </is>
      </c>
      <c r="BI33" s="24" t="inlineStr">
        <is>
          <t>["same_event","same_team_same_day","same_league_same_day"]</t>
        </is>
      </c>
      <c r="BJ33" s="38" t="n"/>
      <c r="BK33" s="26" t="n">
        <v>117</v>
      </c>
      <c r="BL33" s="39" t="n">
        <v>2.17</v>
      </c>
      <c r="BM33" s="28" t="n">
        <v>0.460829</v>
      </c>
      <c r="BN33" s="28" t="n">
        <v>0.457711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/>
      <c r="BY33" s="39" t="n"/>
      <c r="BZ33" s="24" t="n"/>
      <c r="CA33" s="31" t="n"/>
    </row>
    <row r="34" ht="36" customHeight="1">
      <c r="A34" s="24" t="inlineStr">
        <is>
          <t>661bb12e4b834336</t>
        </is>
      </c>
      <c r="B34" s="24" t="inlineStr">
        <is>
          <t>2026-07-19T12:54:59.612626Z</t>
        </is>
      </c>
      <c r="C34" s="24" t="inlineStr">
        <is>
          <t>2026-07-19T17:35Z</t>
        </is>
      </c>
      <c r="D34" s="24" t="inlineStr">
        <is>
          <t>401816175</t>
        </is>
      </c>
      <c r="E34" s="24" t="inlineStr">
        <is>
          <t>MLB</t>
        </is>
      </c>
      <c r="F34" s="24" t="inlineStr">
        <is>
          <t>Tampa Bay Rays</t>
        </is>
      </c>
      <c r="G34" s="24" t="inlineStr">
        <is>
          <t>Boston Red Sox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-117</v>
      </c>
      <c r="M34" s="39" t="n">
        <v>1.854701</v>
      </c>
      <c r="N34" s="28" t="n">
        <v>0.539171</v>
      </c>
      <c r="O34" s="28" t="n">
        <v>0.5530080000000001</v>
      </c>
      <c r="P34" s="28" t="n"/>
      <c r="Q34" s="28" t="n">
        <v>0.013837</v>
      </c>
      <c r="R34" s="26" t="n">
        <v>57</v>
      </c>
      <c r="S34" s="29" t="n">
        <v>1</v>
      </c>
      <c r="T34" s="24" t="inlineStr">
        <is>
          <t>mlb-elo-trend-lr-v3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6</v>
      </c>
      <c r="Y34" s="38" t="n"/>
      <c r="Z34" s="26" t="n"/>
      <c r="AA34" s="28" t="n"/>
      <c r="AB34" s="28" t="n"/>
      <c r="AC34" s="40" t="n">
        <v>0.8547</v>
      </c>
      <c r="AD34" s="24" t="inlineStr">
        <is>
          <t>2026-07-19T23:12:43.720828Z</t>
        </is>
      </c>
      <c r="AE34" s="31" t="inlineStr">
        <is>
          <t>Learned LR call at threshold 0.5150; executable ask 0.5400 (aec-mlb-tb-bos-2026-07-19).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mlb-tb</t>
        </is>
      </c>
      <c r="AQ34" s="24" t="inlineStr">
        <is>
          <t>Tampa Bay Rays</t>
        </is>
      </c>
      <c r="AR34" s="24" t="inlineStr">
        <is>
          <t>Tampa Bay Rays</t>
        </is>
      </c>
      <c r="AS34" s="24" t="inlineStr">
        <is>
          <t>mlb-bos</t>
        </is>
      </c>
      <c r="AT34" s="24" t="inlineStr">
        <is>
          <t>Boston Red Sox</t>
        </is>
      </c>
      <c r="AU34" s="24" t="inlineStr">
        <is>
          <t>Boston Red Sox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ebdb392c90fd9a9414a97c1b39024e1a4f2c894aee118b3b4598ecd7e5e96695</t>
        </is>
      </c>
      <c r="BB34" s="24" t="inlineStr">
        <is>
          <t>learned_lr</t>
        </is>
      </c>
      <c r="BC34" s="24" t="inlineStr">
        <is>
          <t>mlb-elo-trend-lr-v3</t>
        </is>
      </c>
      <c r="BD34" s="24" t="inlineStr">
        <is>
          <t>ebdb392c90fd9a9414a97c1b39024e1a4f2c894aee118b3b4598ecd7e5e96695</t>
        </is>
      </c>
      <c r="BE34" s="24" t="inlineStr">
        <is>
          <t>d975b9b26847e04d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2026-07-19T12:20:38.787831Z</t>
        </is>
      </c>
      <c r="BI34" s="24" t="inlineStr">
        <is>
          <t>["same_event","same_team_same_day","same_league_same_day"]</t>
        </is>
      </c>
      <c r="BJ34" s="38" t="n"/>
      <c r="BK34" s="26" t="n">
        <v>-117</v>
      </c>
      <c r="BL34" s="39" t="n">
        <v>1.854701</v>
      </c>
      <c r="BM34" s="28" t="n">
        <v>0.539171</v>
      </c>
      <c r="BN34" s="28" t="n">
        <v>0.537313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adbbe8982e7c4a22</t>
        </is>
      </c>
      <c r="B35" s="24" t="inlineStr">
        <is>
          <t>2026-07-19T12:54:59.612626Z</t>
        </is>
      </c>
      <c r="C35" s="24" t="inlineStr">
        <is>
          <t>2026-07-19T17:40Z</t>
        </is>
      </c>
      <c r="D35" s="24" t="inlineStr">
        <is>
          <t>401816174</t>
        </is>
      </c>
      <c r="E35" s="24" t="inlineStr">
        <is>
          <t>MLB</t>
        </is>
      </c>
      <c r="F35" s="24" t="inlineStr">
        <is>
          <t>Pittsburgh Pirates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117</v>
      </c>
      <c r="M35" s="39" t="n">
        <v>2.17</v>
      </c>
      <c r="N35" s="28" t="n">
        <v>0.460829</v>
      </c>
      <c r="O35" s="28" t="n">
        <v>0.560582</v>
      </c>
      <c r="P35" s="28" t="n"/>
      <c r="Q35" s="28" t="n">
        <v>0.09975299999999999</v>
      </c>
      <c r="R35" s="26" t="n">
        <v>100</v>
      </c>
      <c r="S35" s="29" t="n">
        <v>1</v>
      </c>
      <c r="T35" s="24" t="inlineStr">
        <is>
          <t>mlb-elo-trend-lr-v3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1</v>
      </c>
      <c r="Y35" s="38" t="n"/>
      <c r="Z35" s="26" t="n"/>
      <c r="AA35" s="28" t="n"/>
      <c r="AB35" s="28" t="n"/>
      <c r="AC35" s="40" t="n">
        <v>-1</v>
      </c>
      <c r="AD35" s="24" t="inlineStr">
        <is>
          <t>2026-07-19T23:12:43.966052Z</t>
        </is>
      </c>
      <c r="AE35" s="31" t="inlineStr">
        <is>
          <t>Learned LR call at threshold 0.5150; executable ask 0.4600 (aec-mlb-pit-cle-2026-07-19).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mlb-pit</t>
        </is>
      </c>
      <c r="AQ35" s="24" t="inlineStr">
        <is>
          <t>Pittsburgh Pirates</t>
        </is>
      </c>
      <c r="AR35" s="24" t="inlineStr">
        <is>
          <t>Pittsburgh Pirates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ebdb392c90fd9a9414a97c1b39024e1a4f2c894aee118b3b4598ecd7e5e96695</t>
        </is>
      </c>
      <c r="BB35" s="24" t="inlineStr">
        <is>
          <t>learned_lr</t>
        </is>
      </c>
      <c r="BC35" s="24" t="inlineStr">
        <is>
          <t>mlb-elo-trend-lr-v3</t>
        </is>
      </c>
      <c r="BD35" s="24" t="inlineStr">
        <is>
          <t>ebdb392c90fd9a9414a97c1b39024e1a4f2c894aee118b3b4598ecd7e5e96695</t>
        </is>
      </c>
      <c r="BE35" s="24" t="inlineStr">
        <is>
          <t>1ea7c40ec20aaa1c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2026-07-19T12:20:39.567439Z</t>
        </is>
      </c>
      <c r="BI35" s="24" t="inlineStr">
        <is>
          <t>["same_event","same_team_same_day","same_league_same_day"]</t>
        </is>
      </c>
      <c r="BJ35" s="38" t="n"/>
      <c r="BK35" s="26" t="n">
        <v>117</v>
      </c>
      <c r="BL35" s="39" t="n">
        <v>2.17</v>
      </c>
      <c r="BM35" s="28" t="n">
        <v>0.460829</v>
      </c>
      <c r="BN35" s="28" t="n">
        <v>0.457711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/>
      <c r="BY35" s="39" t="n"/>
      <c r="BZ35" s="24" t="n"/>
      <c r="CA35" s="31" t="n"/>
    </row>
    <row r="36" ht="36" customHeight="1">
      <c r="A36" s="24" t="inlineStr">
        <is>
          <t>244750b2034f4f13</t>
        </is>
      </c>
      <c r="B36" s="24" t="inlineStr">
        <is>
          <t>2026-07-19T12:54:59.612626Z</t>
        </is>
      </c>
      <c r="C36" s="24" t="inlineStr">
        <is>
          <t>2026-07-19T18:10Z</t>
        </is>
      </c>
      <c r="D36" s="24" t="inlineStr">
        <is>
          <t>401816177</t>
        </is>
      </c>
      <c r="E36" s="24" t="inlineStr">
        <is>
          <t>MLB</t>
        </is>
      </c>
      <c r="F36" s="24" t="inlineStr">
        <is>
          <t>Baltimore Orioles</t>
        </is>
      </c>
      <c r="G36" s="24" t="inlineStr">
        <is>
          <t>Houston Astros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-106</v>
      </c>
      <c r="M36" s="39" t="n">
        <v>1.943396</v>
      </c>
      <c r="N36" s="28" t="n">
        <v>0.514563</v>
      </c>
      <c r="O36" s="28" t="n">
        <v>0.518824</v>
      </c>
      <c r="P36" s="28" t="n"/>
      <c r="Q36" s="28" t="n">
        <v>0.004261</v>
      </c>
      <c r="R36" s="26" t="n">
        <v>52</v>
      </c>
      <c r="S36" s="29" t="n">
        <v>0.75</v>
      </c>
      <c r="T36" s="24" t="inlineStr">
        <is>
          <t>mlb-elo-trend-lr-v3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38" t="n"/>
      <c r="Z36" s="26" t="n"/>
      <c r="AA36" s="28" t="n"/>
      <c r="AB36" s="28" t="n"/>
      <c r="AC36" s="40" t="n">
        <v>-0.75</v>
      </c>
      <c r="AD36" s="24" t="inlineStr">
        <is>
          <t>2026-07-19T23:12:44.208798Z</t>
        </is>
      </c>
      <c r="AE36" s="31" t="inlineStr">
        <is>
          <t>Learned LR call at threshold 0.5150; executable ask 0.5150 (aec-mlb-bal-hou-2026-07-19).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mlb-bal</t>
        </is>
      </c>
      <c r="AQ36" s="24" t="inlineStr">
        <is>
          <t>Baltimore Orioles</t>
        </is>
      </c>
      <c r="AR36" s="24" t="inlineStr">
        <is>
          <t>Baltimore Orioles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ebdb392c90fd9a9414a97c1b39024e1a4f2c894aee118b3b4598ecd7e5e96695</t>
        </is>
      </c>
      <c r="BB36" s="24" t="inlineStr">
        <is>
          <t>learned_lr</t>
        </is>
      </c>
      <c r="BC36" s="24" t="inlineStr">
        <is>
          <t>mlb-elo-trend-lr-v3</t>
        </is>
      </c>
      <c r="BD36" s="24" t="inlineStr">
        <is>
          <t>ebdb392c90fd9a9414a97c1b39024e1a4f2c894aee118b3b4598ecd7e5e96695</t>
        </is>
      </c>
      <c r="BE36" s="24" t="inlineStr">
        <is>
          <t>fb65fbe93d283ddf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2026-07-19T12:20:40.690565Z</t>
        </is>
      </c>
      <c r="BI36" s="24" t="inlineStr">
        <is>
          <t>["same_event","same_team_same_day","same_league_same_day"]</t>
        </is>
      </c>
      <c r="BJ36" s="38" t="n"/>
      <c r="BK36" s="26" t="n">
        <v>-106</v>
      </c>
      <c r="BL36" s="39" t="n">
        <v>1.943396</v>
      </c>
      <c r="BM36" s="28" t="n">
        <v>0.514563</v>
      </c>
      <c r="BN36" s="28" t="n">
        <v>0.5124379999999999</v>
      </c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/>
      <c r="BY36" s="39" t="n"/>
      <c r="BZ36" s="24" t="n"/>
      <c r="CA36" s="31" t="n"/>
    </row>
    <row r="37" ht="36" customHeight="1">
      <c r="A37" s="24" t="inlineStr">
        <is>
          <t>24dc5460b71f4e79</t>
        </is>
      </c>
      <c r="B37" s="24" t="inlineStr">
        <is>
          <t>2026-07-19T12:54:59.612626Z</t>
        </is>
      </c>
      <c r="C37" s="24" t="inlineStr">
        <is>
          <t>2026-07-19T18:10Z</t>
        </is>
      </c>
      <c r="D37" s="24" t="inlineStr">
        <is>
          <t>401816178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Milwaukee Brewers</t>
        </is>
      </c>
      <c r="H37" s="24" t="inlineStr">
        <is>
          <t>moneyline</t>
        </is>
      </c>
      <c r="I37" s="24" t="inlineStr">
        <is>
          <t>home</t>
        </is>
      </c>
      <c r="J37" s="38" t="n"/>
      <c r="K37" s="24" t="inlineStr">
        <is>
          <t>polymarket_us</t>
        </is>
      </c>
      <c r="L37" s="26" t="n">
        <v>-122</v>
      </c>
      <c r="M37" s="39" t="n">
        <v>1.819672</v>
      </c>
      <c r="N37" s="28" t="n">
        <v>0.54955</v>
      </c>
      <c r="O37" s="28" t="n">
        <v>0.6307700000000001</v>
      </c>
      <c r="P37" s="28" t="n"/>
      <c r="Q37" s="28" t="n">
        <v>0.08122</v>
      </c>
      <c r="R37" s="26" t="n">
        <v>91</v>
      </c>
      <c r="S37" s="29" t="n">
        <v>1.75</v>
      </c>
      <c r="T37" s="24" t="inlineStr">
        <is>
          <t>mlb-elo-trend-lr-v3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3</v>
      </c>
      <c r="Y37" s="38" t="n"/>
      <c r="Z37" s="26" t="n"/>
      <c r="AA37" s="28" t="n"/>
      <c r="AB37" s="28" t="n"/>
      <c r="AC37" s="40" t="n">
        <v>1.4344</v>
      </c>
      <c r="AD37" s="24" t="inlineStr">
        <is>
          <t>2026-07-19T23:12:44.452287Z</t>
        </is>
      </c>
      <c r="AE37" s="31" t="inlineStr">
        <is>
          <t>Learned LR call at threshold 0.5150; executable ask 0.5500 (aec-mlb-mia-mil-2026-07-19).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mlb-mil</t>
        </is>
      </c>
      <c r="AT37" s="24" t="inlineStr">
        <is>
          <t>Milwaukee Brewers</t>
        </is>
      </c>
      <c r="AU37" s="24" t="inlineStr">
        <is>
          <t>Milwaukee Brewers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ebdb392c90fd9a9414a97c1b39024e1a4f2c894aee118b3b4598ecd7e5e96695</t>
        </is>
      </c>
      <c r="BB37" s="24" t="inlineStr">
        <is>
          <t>learned_lr</t>
        </is>
      </c>
      <c r="BC37" s="24" t="inlineStr">
        <is>
          <t>mlb-elo-trend-lr-v3</t>
        </is>
      </c>
      <c r="BD37" s="24" t="inlineStr">
        <is>
          <t>ebdb392c90fd9a9414a97c1b39024e1a4f2c894aee118b3b4598ecd7e5e96695</t>
        </is>
      </c>
      <c r="BE37" s="24" t="inlineStr">
        <is>
          <t>8fb0cba25307b5b8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2026-07-19T12:20:42.218493Z</t>
        </is>
      </c>
      <c r="BI37" s="24" t="inlineStr">
        <is>
          <t>["same_event","same_team_same_day","same_league_same_day"]</t>
        </is>
      </c>
      <c r="BJ37" s="38" t="n"/>
      <c r="BK37" s="26" t="n">
        <v>-122</v>
      </c>
      <c r="BL37" s="39" t="n">
        <v>1.819672</v>
      </c>
      <c r="BM37" s="28" t="n">
        <v>0.54955</v>
      </c>
      <c r="BN37" s="28" t="n">
        <v>0.547264</v>
      </c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/>
      <c r="BY37" s="39" t="n"/>
      <c r="BZ37" s="24" t="n"/>
      <c r="CA37" s="31" t="n"/>
    </row>
    <row r="38" ht="36" customHeight="1">
      <c r="A38" s="24" t="inlineStr">
        <is>
          <t>a41133c348d04e51</t>
        </is>
      </c>
      <c r="B38" s="24" t="inlineStr">
        <is>
          <t>2026-07-19T12:54:59.612626Z</t>
        </is>
      </c>
      <c r="C38" s="24" t="inlineStr">
        <is>
          <t>2026-07-19T18:10Z</t>
        </is>
      </c>
      <c r="D38" s="24" t="inlineStr">
        <is>
          <t>401816180</t>
        </is>
      </c>
      <c r="E38" s="24" t="inlineStr">
        <is>
          <t>MLB</t>
        </is>
      </c>
      <c r="F38" s="24" t="inlineStr">
        <is>
          <t>San Diego Padres</t>
        </is>
      </c>
      <c r="G38" s="24" t="inlineStr">
        <is>
          <t>Kansas City Royals</t>
        </is>
      </c>
      <c r="H38" s="24" t="inlineStr">
        <is>
          <t>moneyline</t>
        </is>
      </c>
      <c r="I38" s="24" t="inlineStr">
        <is>
          <t>away</t>
        </is>
      </c>
      <c r="J38" s="38" t="n"/>
      <c r="K38" s="24" t="inlineStr">
        <is>
          <t>polymarket_us</t>
        </is>
      </c>
      <c r="L38" s="26" t="n">
        <v>115</v>
      </c>
      <c r="M38" s="39" t="n">
        <v>2.15</v>
      </c>
      <c r="N38" s="28" t="n">
        <v>0.465116</v>
      </c>
      <c r="O38" s="28" t="n">
        <v>0.520718</v>
      </c>
      <c r="P38" s="28" t="n"/>
      <c r="Q38" s="28" t="n">
        <v>0.055602</v>
      </c>
      <c r="R38" s="26" t="n">
        <v>78</v>
      </c>
      <c r="S38" s="29" t="n">
        <v>0.75</v>
      </c>
      <c r="T38" s="24" t="inlineStr">
        <is>
          <t>mlb-elo-trend-lr-v3</t>
        </is>
      </c>
      <c r="U38" s="24" t="inlineStr">
        <is>
          <t>settled</t>
        </is>
      </c>
      <c r="V38" s="24" t="inlineStr">
        <is>
          <t>win</t>
        </is>
      </c>
      <c r="W38" s="26" t="n">
        <v>19</v>
      </c>
      <c r="X38" s="26" t="n">
        <v>2</v>
      </c>
      <c r="Y38" s="38" t="n"/>
      <c r="Z38" s="26" t="n"/>
      <c r="AA38" s="28" t="n"/>
      <c r="AB38" s="28" t="n"/>
      <c r="AC38" s="40" t="n">
        <v>0.8625</v>
      </c>
      <c r="AD38" s="24" t="inlineStr">
        <is>
          <t>2026-07-19T23:12:44.698613Z</t>
        </is>
      </c>
      <c r="AE38" s="31" t="inlineStr">
        <is>
          <t>Learned LR call at threshold 0.5150; executable ask 0.4650 (aec-mlb-sd-kc-2026-07-19).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mlb-sd</t>
        </is>
      </c>
      <c r="AQ38" s="24" t="inlineStr">
        <is>
          <t>San Diego Padres</t>
        </is>
      </c>
      <c r="AR38" s="24" t="inlineStr">
        <is>
          <t>San Diego Padres</t>
        </is>
      </c>
      <c r="AS38" s="24" t="inlineStr">
        <is>
          <t>mlb-kc</t>
        </is>
      </c>
      <c r="AT38" s="24" t="inlineStr">
        <is>
          <t>Kansas City Royals</t>
        </is>
      </c>
      <c r="AU38" s="24" t="inlineStr">
        <is>
          <t>Kansas City Royals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ebdb392c90fd9a9414a97c1b39024e1a4f2c894aee118b3b4598ecd7e5e96695</t>
        </is>
      </c>
      <c r="BB38" s="24" t="inlineStr">
        <is>
          <t>learned_lr</t>
        </is>
      </c>
      <c r="BC38" s="24" t="inlineStr">
        <is>
          <t>mlb-elo-trend-lr-v3</t>
        </is>
      </c>
      <c r="BD38" s="24" t="inlineStr">
        <is>
          <t>ebdb392c90fd9a9414a97c1b39024e1a4f2c894aee118b3b4598ecd7e5e96695</t>
        </is>
      </c>
      <c r="BE38" s="24" t="inlineStr">
        <is>
          <t>fce46e57be25f762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2026-07-19T12:20:43.564485Z</t>
        </is>
      </c>
      <c r="BI38" s="24" t="inlineStr">
        <is>
          <t>["same_event","same_team_same_day","same_league_same_day"]</t>
        </is>
      </c>
      <c r="BJ38" s="38" t="n"/>
      <c r="BK38" s="26" t="n">
        <v>115</v>
      </c>
      <c r="BL38" s="39" t="n">
        <v>2.15</v>
      </c>
      <c r="BM38" s="28" t="n">
        <v>0.465116</v>
      </c>
      <c r="BN38" s="28" t="n">
        <v>0.462687</v>
      </c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/>
      <c r="BY38" s="39" t="n"/>
      <c r="BZ38" s="24" t="n"/>
      <c r="CA38" s="31" t="n"/>
    </row>
    <row r="39" ht="36" customHeight="1">
      <c r="A39" s="24" t="inlineStr">
        <is>
          <t>381bf45d8dc64de8</t>
        </is>
      </c>
      <c r="B39" s="24" t="inlineStr">
        <is>
          <t>2026-07-19T12:54:59.612626Z</t>
        </is>
      </c>
      <c r="C39" s="24" t="inlineStr">
        <is>
          <t>2026-07-19T18:20Z</t>
        </is>
      </c>
      <c r="D39" s="24" t="inlineStr">
        <is>
          <t>401816179</t>
        </is>
      </c>
      <c r="E39" s="24" t="inlineStr">
        <is>
          <t>MLB</t>
        </is>
      </c>
      <c r="F39" s="24" t="inlineStr">
        <is>
          <t>Minnesota Twins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-150</v>
      </c>
      <c r="M39" s="39" t="n">
        <v>1.666667</v>
      </c>
      <c r="N39" s="28" t="n">
        <v>0.6</v>
      </c>
      <c r="O39" s="28" t="n">
        <v>0.599047</v>
      </c>
      <c r="P39" s="28" t="n"/>
      <c r="Q39" s="28" t="n">
        <v>-0.000953</v>
      </c>
      <c r="R39" s="26" t="n">
        <v>50</v>
      </c>
      <c r="S39" s="29" t="n">
        <v>1.5</v>
      </c>
      <c r="T39" s="24" t="inlineStr">
        <is>
          <t>mlb-elo-trend-lr-v3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10</v>
      </c>
      <c r="Y39" s="38" t="n"/>
      <c r="Z39" s="26" t="n"/>
      <c r="AA39" s="28" t="n"/>
      <c r="AB39" s="28" t="n"/>
      <c r="AC39" s="40" t="n">
        <v>1</v>
      </c>
      <c r="AD39" s="24" t="inlineStr">
        <is>
          <t>2026-07-19T23:12:44.944082Z</t>
        </is>
      </c>
      <c r="AE39" s="31" t="inlineStr">
        <is>
          <t>Learned LR call at threshold 0.5150; executable ask 0.6000 (aec-mlb-min-chc-2026-07-19).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mlb-min</t>
        </is>
      </c>
      <c r="AQ39" s="24" t="inlineStr">
        <is>
          <t>Minnesota Twins</t>
        </is>
      </c>
      <c r="AR39" s="24" t="inlineStr">
        <is>
          <t>Minnesota Twins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ebdb392c90fd9a9414a97c1b39024e1a4f2c894aee118b3b4598ecd7e5e96695</t>
        </is>
      </c>
      <c r="BB39" s="24" t="inlineStr">
        <is>
          <t>learned_lr</t>
        </is>
      </c>
      <c r="BC39" s="24" t="inlineStr">
        <is>
          <t>mlb-elo-trend-lr-v3</t>
        </is>
      </c>
      <c r="BD39" s="24" t="inlineStr">
        <is>
          <t>ebdb392c90fd9a9414a97c1b39024e1a4f2c894aee118b3b4598ecd7e5e96695</t>
        </is>
      </c>
      <c r="BE39" s="24" t="inlineStr">
        <is>
          <t>a5e44fbf125c8b8d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2026-07-19T12:20:44.784549Z</t>
        </is>
      </c>
      <c r="BI39" s="24" t="inlineStr">
        <is>
          <t>["same_event","same_team_same_day","same_league_same_day"]</t>
        </is>
      </c>
      <c r="BJ39" s="38" t="n"/>
      <c r="BK39" s="26" t="n">
        <v>-150</v>
      </c>
      <c r="BL39" s="39" t="n">
        <v>1.666667</v>
      </c>
      <c r="BM39" s="28" t="n">
        <v>0.6</v>
      </c>
      <c r="BN39" s="28" t="n">
        <v>0.597015</v>
      </c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/>
      <c r="BY39" s="39" t="n"/>
      <c r="BZ39" s="24" t="n"/>
      <c r="CA39" s="31" t="n"/>
    </row>
    <row r="40" ht="36" customHeight="1">
      <c r="A40" s="24" t="inlineStr">
        <is>
          <t>4efa6372827f49d2</t>
        </is>
      </c>
      <c r="B40" s="24" t="inlineStr">
        <is>
          <t>2026-07-19T12:54:59.612626Z</t>
        </is>
      </c>
      <c r="C40" s="24" t="inlineStr">
        <is>
          <t>2026-07-19T20:07Z</t>
        </is>
      </c>
      <c r="D40" s="24" t="inlineStr">
        <is>
          <t>401816182</t>
        </is>
      </c>
      <c r="E40" s="24" t="inlineStr">
        <is>
          <t>MLB</t>
        </is>
      </c>
      <c r="F40" s="24" t="inlineStr">
        <is>
          <t>Detroit Tigers</t>
        </is>
      </c>
      <c r="G40" s="24" t="inlineStr">
        <is>
          <t>Los Angeles Angels</t>
        </is>
      </c>
      <c r="H40" s="24" t="inlineStr">
        <is>
          <t>moneyline</t>
        </is>
      </c>
      <c r="I40" s="24" t="inlineStr">
        <is>
          <t>away</t>
        </is>
      </c>
      <c r="J40" s="38" t="n"/>
      <c r="K40" s="24" t="inlineStr">
        <is>
          <t>polymarket_us</t>
        </is>
      </c>
      <c r="L40" s="26" t="n">
        <v>-141</v>
      </c>
      <c r="M40" s="39" t="n">
        <v>1.70922</v>
      </c>
      <c r="N40" s="28" t="n">
        <v>0.585062</v>
      </c>
      <c r="O40" s="28" t="n">
        <v>0.526852</v>
      </c>
      <c r="P40" s="28" t="n"/>
      <c r="Q40" s="28" t="n">
        <v>-0.05821</v>
      </c>
      <c r="R40" s="26" t="n">
        <v>21</v>
      </c>
      <c r="S40" s="29" t="n">
        <v>0.75</v>
      </c>
      <c r="T40" s="24" t="inlineStr">
        <is>
          <t>mlb-elo-trend-lr-v3</t>
        </is>
      </c>
      <c r="U40" s="24" t="inlineStr">
        <is>
          <t>settled</t>
        </is>
      </c>
      <c r="V40" s="24" t="inlineStr">
        <is>
          <t>loss</t>
        </is>
      </c>
      <c r="W40" s="26" t="n">
        <v>2</v>
      </c>
      <c r="X40" s="26" t="n">
        <v>3</v>
      </c>
      <c r="Y40" s="38" t="n"/>
      <c r="Z40" s="26" t="n"/>
      <c r="AA40" s="28" t="n"/>
      <c r="AB40" s="28" t="n"/>
      <c r="AC40" s="40" t="n">
        <v>-0.75</v>
      </c>
      <c r="AD40" s="24" t="inlineStr">
        <is>
          <t>2026-07-19T23:12:45.192018Z</t>
        </is>
      </c>
      <c r="AE40" s="31" t="inlineStr">
        <is>
          <t>Learned LR call at threshold 0.5150; executable ask 0.5850 (aec-mlb-det-laa-2026-07-19).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mlb-det</t>
        </is>
      </c>
      <c r="AQ40" s="24" t="inlineStr">
        <is>
          <t>Detroit Tigers</t>
        </is>
      </c>
      <c r="AR40" s="24" t="inlineStr">
        <is>
          <t>Detroit Tigers</t>
        </is>
      </c>
      <c r="AS40" s="24" t="inlineStr">
        <is>
          <t>mlb-laa</t>
        </is>
      </c>
      <c r="AT40" s="24" t="inlineStr">
        <is>
          <t>Los Angeles Angels</t>
        </is>
      </c>
      <c r="AU40" s="24" t="inlineStr">
        <is>
          <t>Los Angeles Angels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ebdb392c90fd9a9414a97c1b39024e1a4f2c894aee118b3b4598ecd7e5e96695</t>
        </is>
      </c>
      <c r="BB40" s="24" t="inlineStr">
        <is>
          <t>learned_lr</t>
        </is>
      </c>
      <c r="BC40" s="24" t="inlineStr">
        <is>
          <t>mlb-elo-trend-lr-v3</t>
        </is>
      </c>
      <c r="BD40" s="24" t="inlineStr">
        <is>
          <t>ebdb392c90fd9a9414a97c1b39024e1a4f2c894aee118b3b4598ecd7e5e96695</t>
        </is>
      </c>
      <c r="BE40" s="24" t="inlineStr">
        <is>
          <t>116e26539f29a0c8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2026-07-19T12:20:47.368573Z</t>
        </is>
      </c>
      <c r="BI40" s="24" t="inlineStr">
        <is>
          <t>["same_event","same_team_same_day","same_league_same_day"]</t>
        </is>
      </c>
      <c r="BJ40" s="38" t="n"/>
      <c r="BK40" s="26" t="n">
        <v>-141</v>
      </c>
      <c r="BL40" s="39" t="n">
        <v>1.70922</v>
      </c>
      <c r="BM40" s="28" t="n">
        <v>0.585062</v>
      </c>
      <c r="BN40" s="28" t="n">
        <v>0.58209</v>
      </c>
      <c r="BO40" s="28" t="n"/>
      <c r="BP40" s="38" t="n"/>
      <c r="BQ40" s="39" t="n"/>
      <c r="BR40" s="28" t="n"/>
      <c r="BS40" s="28" t="n"/>
      <c r="BT40" s="28" t="n"/>
      <c r="BU40" s="38" t="n"/>
      <c r="BV40" s="29" t="n"/>
      <c r="BW40" s="24" t="n"/>
      <c r="BX40" s="40" t="n"/>
      <c r="BY40" s="39" t="n"/>
      <c r="BZ40" s="24" t="n"/>
      <c r="CA40" s="31" t="n"/>
    </row>
    <row r="41" ht="36" customHeight="1">
      <c r="A41" s="24" t="inlineStr">
        <is>
          <t>8a8510fe3d5e43d4</t>
        </is>
      </c>
      <c r="B41" s="24" t="inlineStr">
        <is>
          <t>2026-07-19T12:54:59.612626Z</t>
        </is>
      </c>
      <c r="C41" s="24" t="inlineStr">
        <is>
          <t>2026-07-19T20:10Z</t>
        </is>
      </c>
      <c r="D41" s="24" t="inlineStr">
        <is>
          <t>401816183</t>
        </is>
      </c>
      <c r="E41" s="24" t="inlineStr">
        <is>
          <t>MLB</t>
        </is>
      </c>
      <c r="F41" s="24" t="inlineStr">
        <is>
          <t>San Francisco Giants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38" t="n"/>
      <c r="K41" s="24" t="inlineStr">
        <is>
          <t>polymarket_us</t>
        </is>
      </c>
      <c r="L41" s="26" t="n">
        <v>-163</v>
      </c>
      <c r="M41" s="39" t="n">
        <v>1.613497</v>
      </c>
      <c r="N41" s="28" t="n">
        <v>0.619772</v>
      </c>
      <c r="O41" s="28" t="n">
        <v>0.595469</v>
      </c>
      <c r="P41" s="28" t="n"/>
      <c r="Q41" s="28" t="n">
        <v>-0.024303</v>
      </c>
      <c r="R41" s="26" t="n">
        <v>38</v>
      </c>
      <c r="S41" s="29" t="n">
        <v>1.5</v>
      </c>
      <c r="T41" s="24" t="inlineStr">
        <is>
          <t>mlb-elo-trend-lr-v3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6</v>
      </c>
      <c r="Y41" s="38" t="n"/>
      <c r="Z41" s="26" t="n"/>
      <c r="AA41" s="28" t="n"/>
      <c r="AB41" s="28" t="n"/>
      <c r="AC41" s="40" t="n">
        <v>0.9202</v>
      </c>
      <c r="AD41" s="24" t="inlineStr">
        <is>
          <t>2026-07-19T23:12:45.440735Z</t>
        </is>
      </c>
      <c r="AE41" s="31" t="inlineStr">
        <is>
          <t>Learned LR call at threshold 0.5150; executable ask 0.6200 (aec-mlb-sf-sea-2026-07-19).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mlb-sf</t>
        </is>
      </c>
      <c r="AQ41" s="24" t="inlineStr">
        <is>
          <t>San Francisco Giants</t>
        </is>
      </c>
      <c r="AR41" s="24" t="inlineStr">
        <is>
          <t>San Francisco Giants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ebdb392c90fd9a9414a97c1b39024e1a4f2c894aee118b3b4598ecd7e5e96695</t>
        </is>
      </c>
      <c r="BB41" s="24" t="inlineStr">
        <is>
          <t>learned_lr</t>
        </is>
      </c>
      <c r="BC41" s="24" t="inlineStr">
        <is>
          <t>mlb-elo-trend-lr-v3</t>
        </is>
      </c>
      <c r="BD41" s="24" t="inlineStr">
        <is>
          <t>ebdb392c90fd9a9414a97c1b39024e1a4f2c894aee118b3b4598ecd7e5e96695</t>
        </is>
      </c>
      <c r="BE41" s="24" t="inlineStr">
        <is>
          <t>56bcde9b031bb310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2026-07-19T12:20:48.978861Z</t>
        </is>
      </c>
      <c r="BI41" s="24" t="inlineStr">
        <is>
          <t>["same_event","same_team_same_day","same_league_same_day"]</t>
        </is>
      </c>
      <c r="BJ41" s="38" t="n"/>
      <c r="BK41" s="26" t="n">
        <v>-163</v>
      </c>
      <c r="BL41" s="39" t="n">
        <v>1.613497</v>
      </c>
      <c r="BM41" s="28" t="n">
        <v>0.619772</v>
      </c>
      <c r="BN41" s="28" t="n">
        <v>0.616915</v>
      </c>
      <c r="BO41" s="28" t="n"/>
      <c r="BP41" s="38" t="n"/>
      <c r="BQ41" s="39" t="n"/>
      <c r="BR41" s="28" t="n"/>
      <c r="BS41" s="28" t="n"/>
      <c r="BT41" s="28" t="n"/>
      <c r="BU41" s="38" t="n"/>
      <c r="BV41" s="29" t="n"/>
      <c r="BW41" s="24" t="n"/>
      <c r="BX41" s="40" t="n"/>
      <c r="BY41" s="39" t="n"/>
      <c r="BZ41" s="24" t="n"/>
      <c r="CA41" s="31" t="n"/>
    </row>
    <row r="42" ht="36" customHeight="1">
      <c r="A42" s="24" t="inlineStr">
        <is>
          <t>437e59320f8e4a43</t>
        </is>
      </c>
      <c r="B42" s="24" t="inlineStr">
        <is>
          <t>2026-07-19T12:54:59.612626Z</t>
        </is>
      </c>
      <c r="C42" s="24" t="inlineStr">
        <is>
          <t>2026-07-19T20:10Z</t>
        </is>
      </c>
      <c r="D42" s="24" t="inlineStr">
        <is>
          <t>401816184</t>
        </is>
      </c>
      <c r="E42" s="24" t="inlineStr">
        <is>
          <t>MLB</t>
        </is>
      </c>
      <c r="F42" s="24" t="inlineStr">
        <is>
          <t>St. Louis Cardinals</t>
        </is>
      </c>
      <c r="G42" s="24" t="inlineStr">
        <is>
          <t>Arizona Diamondbacks</t>
        </is>
      </c>
      <c r="H42" s="24" t="inlineStr">
        <is>
          <t>moneyline</t>
        </is>
      </c>
      <c r="I42" s="24" t="inlineStr">
        <is>
          <t>home</t>
        </is>
      </c>
      <c r="J42" s="38" t="n"/>
      <c r="K42" s="24" t="inlineStr">
        <is>
          <t>polymarket_us</t>
        </is>
      </c>
      <c r="L42" s="26" t="n">
        <v>-111</v>
      </c>
      <c r="M42" s="39" t="n">
        <v>1.900901</v>
      </c>
      <c r="N42" s="28" t="n">
        <v>0.526066</v>
      </c>
      <c r="O42" s="28" t="n">
        <v>0.518517</v>
      </c>
      <c r="P42" s="28" t="n"/>
      <c r="Q42" s="28" t="n">
        <v>-0.007549</v>
      </c>
      <c r="R42" s="26" t="n">
        <v>46</v>
      </c>
      <c r="S42" s="29" t="n">
        <v>0.75</v>
      </c>
      <c r="T42" s="24" t="inlineStr">
        <is>
          <t>mlb-elo-trend-lr-v3</t>
        </is>
      </c>
      <c r="U42" s="24" t="inlineStr">
        <is>
          <t>settled</t>
        </is>
      </c>
      <c r="V42" s="24" t="inlineStr">
        <is>
          <t>win</t>
        </is>
      </c>
      <c r="W42" s="26" t="n">
        <v>7</v>
      </c>
      <c r="X42" s="26" t="n">
        <v>8</v>
      </c>
      <c r="Y42" s="38" t="n"/>
      <c r="Z42" s="26" t="n"/>
      <c r="AA42" s="28" t="n"/>
      <c r="AB42" s="28" t="n"/>
      <c r="AC42" s="40" t="n">
        <v>0.6757</v>
      </c>
      <c r="AD42" s="24" t="inlineStr">
        <is>
          <t>2026-07-19T23:51:12.968396Z</t>
        </is>
      </c>
      <c r="AE42" s="31" t="inlineStr">
        <is>
          <t>Learned LR call at threshold 0.5150; executable ask 0.5250 (aec-mlb-stl-az-2026-07-19).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mlb-stl</t>
        </is>
      </c>
      <c r="AQ42" s="24" t="inlineStr">
        <is>
          <t>St. Louis Cardinals</t>
        </is>
      </c>
      <c r="AR42" s="24" t="inlineStr">
        <is>
          <t>St. Louis Cardinals</t>
        </is>
      </c>
      <c r="AS42" s="24" t="inlineStr">
        <is>
          <t>mlb-ari</t>
        </is>
      </c>
      <c r="AT42" s="24" t="inlineStr">
        <is>
          <t>Arizona Diamondbacks</t>
        </is>
      </c>
      <c r="AU42" s="24" t="inlineStr">
        <is>
          <t>Arizona Diamondbacks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ebdb392c90fd9a9414a97c1b39024e1a4f2c894aee118b3b4598ecd7e5e96695</t>
        </is>
      </c>
      <c r="BB42" s="24" t="inlineStr">
        <is>
          <t>learned_lr</t>
        </is>
      </c>
      <c r="BC42" s="24" t="inlineStr">
        <is>
          <t>mlb-elo-trend-lr-v3</t>
        </is>
      </c>
      <c r="BD42" s="24" t="inlineStr">
        <is>
          <t>ebdb392c90fd9a9414a97c1b39024e1a4f2c894aee118b3b4598ecd7e5e96695</t>
        </is>
      </c>
      <c r="BE42" s="24" t="inlineStr">
        <is>
          <t>c892d911f3a93b8b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2026-07-19T12:20:49.926170Z</t>
        </is>
      </c>
      <c r="BI42" s="24" t="inlineStr">
        <is>
          <t>["same_event","same_team_same_day","same_league_same_day"]</t>
        </is>
      </c>
      <c r="BJ42" s="38" t="n"/>
      <c r="BK42" s="26" t="n">
        <v>-111</v>
      </c>
      <c r="BL42" s="39" t="n">
        <v>1.900901</v>
      </c>
      <c r="BM42" s="28" t="n">
        <v>0.526066</v>
      </c>
      <c r="BN42" s="28" t="n">
        <v>0.522388</v>
      </c>
      <c r="BO42" s="28" t="n"/>
      <c r="BP42" s="38" t="n"/>
      <c r="BQ42" s="39" t="n"/>
      <c r="BR42" s="28" t="n"/>
      <c r="BS42" s="28" t="n"/>
      <c r="BT42" s="28" t="n"/>
      <c r="BU42" s="38" t="n"/>
      <c r="BV42" s="29" t="n"/>
      <c r="BW42" s="24" t="n"/>
      <c r="BX42" s="40" t="n"/>
      <c r="BY42" s="39" t="n"/>
      <c r="BZ42" s="24" t="n"/>
      <c r="CA42" s="31" t="n"/>
    </row>
    <row r="43" ht="36" customHeight="1">
      <c r="A43" s="24" t="inlineStr">
        <is>
          <t>4c364c0842444748</t>
        </is>
      </c>
      <c r="B43" s="24" t="inlineStr">
        <is>
          <t>2026-07-19T12:54:59.612626Z</t>
        </is>
      </c>
      <c r="C43" s="24" t="inlineStr">
        <is>
          <t>2026-07-19T23:20Z</t>
        </is>
      </c>
      <c r="D43" s="24" t="inlineStr">
        <is>
          <t>401816172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New York Yankees</t>
        </is>
      </c>
      <c r="H43" s="24" t="inlineStr">
        <is>
          <t>moneyline</t>
        </is>
      </c>
      <c r="I43" s="24" t="inlineStr">
        <is>
          <t>away</t>
        </is>
      </c>
      <c r="J43" s="38" t="n"/>
      <c r="K43" s="24" t="inlineStr">
        <is>
          <t>polymarket_us</t>
        </is>
      </c>
      <c r="L43" s="26" t="n">
        <v>-108</v>
      </c>
      <c r="M43" s="39" t="n">
        <v>1.925926</v>
      </c>
      <c r="N43" s="28" t="n">
        <v>0.519231</v>
      </c>
      <c r="O43" s="28" t="n">
        <v>0.518236</v>
      </c>
      <c r="P43" s="28" t="n"/>
      <c r="Q43" s="28" t="n">
        <v>-0.000995</v>
      </c>
      <c r="R43" s="26" t="n">
        <v>50</v>
      </c>
      <c r="S43" s="29" t="n">
        <v>0.75</v>
      </c>
      <c r="T43" s="24" t="inlineStr">
        <is>
          <t>mlb-elo-trend-lr-v3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2</v>
      </c>
      <c r="Y43" s="38" t="n"/>
      <c r="Z43" s="26" t="n"/>
      <c r="AA43" s="28" t="n"/>
      <c r="AB43" s="28" t="n"/>
      <c r="AC43" s="40" t="n">
        <v>-0.75</v>
      </c>
      <c r="AD43" s="24" t="inlineStr">
        <is>
          <t>2026-07-20T07:27:21.588181Z</t>
        </is>
      </c>
      <c r="AE43" s="31" t="inlineStr">
        <is>
          <t>Learned LR call at threshold 0.5150; executable ask 0.5200 (aec-mlb-lad-nyy-2026-07-19).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mlb-lad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mlb-nyy</t>
        </is>
      </c>
      <c r="AT43" s="24" t="inlineStr">
        <is>
          <t>New York Yankees</t>
        </is>
      </c>
      <c r="AU43" s="24" t="inlineStr">
        <is>
          <t>New York Yankees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ebdb392c90fd9a9414a97c1b39024e1a4f2c894aee118b3b4598ecd7e5e96695</t>
        </is>
      </c>
      <c r="BB43" s="24" t="inlineStr">
        <is>
          <t>learned_lr</t>
        </is>
      </c>
      <c r="BC43" s="24" t="inlineStr">
        <is>
          <t>mlb-elo-trend-lr-v3</t>
        </is>
      </c>
      <c r="BD43" s="24" t="inlineStr">
        <is>
          <t>ebdb392c90fd9a9414a97c1b39024e1a4f2c894aee118b3b4598ecd7e5e96695</t>
        </is>
      </c>
      <c r="BE43" s="24" t="inlineStr">
        <is>
          <t>3d0e5a17bc5bf87f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2026-07-19T12:20:50.977544Z</t>
        </is>
      </c>
      <c r="BI43" s="24" t="inlineStr">
        <is>
          <t>["same_event","same_team_same_day","same_league_same_day"]</t>
        </is>
      </c>
      <c r="BJ43" s="38" t="n"/>
      <c r="BK43" s="26" t="n">
        <v>-108</v>
      </c>
      <c r="BL43" s="39" t="n">
        <v>1.925926</v>
      </c>
      <c r="BM43" s="28" t="n">
        <v>0.519231</v>
      </c>
      <c r="BN43" s="28" t="n">
        <v>0.517413</v>
      </c>
      <c r="BO43" s="28" t="n"/>
      <c r="BP43" s="38" t="n"/>
      <c r="BQ43" s="39" t="n"/>
      <c r="BR43" s="28" t="n"/>
      <c r="BS43" s="28" t="n"/>
      <c r="BT43" s="28" t="n"/>
      <c r="BU43" s="38" t="n"/>
      <c r="BV43" s="29" t="n"/>
      <c r="BW43" s="24" t="n"/>
      <c r="BX43" s="40" t="n"/>
      <c r="BY43" s="39" t="n"/>
      <c r="BZ43" s="24" t="n"/>
      <c r="CA43" s="31" t="n"/>
    </row>
    <row r="44" ht="36" customHeight="1">
      <c r="A44" s="24" t="inlineStr">
        <is>
          <t>660d896695654e99</t>
        </is>
      </c>
      <c r="B44" s="24" t="inlineStr">
        <is>
          <t>2026-07-19T12:55:04.872783Z</t>
        </is>
      </c>
      <c r="C44" s="24" t="inlineStr">
        <is>
          <t>2026-07-19T17:00Z</t>
        </is>
      </c>
      <c r="D44" s="24" t="inlineStr">
        <is>
          <t>401857080</t>
        </is>
      </c>
      <c r="E44" s="24" t="inlineStr">
        <is>
          <t>WNBA</t>
        </is>
      </c>
      <c r="F44" s="24" t="inlineStr">
        <is>
          <t>Los Angeles Sparks</t>
        </is>
      </c>
      <c r="G44" s="24" t="inlineStr">
        <is>
          <t>Dallas Wings</t>
        </is>
      </c>
      <c r="H44" s="24" t="inlineStr">
        <is>
          <t>moneyline</t>
        </is>
      </c>
      <c r="I44" s="24" t="inlineStr">
        <is>
          <t>home</t>
        </is>
      </c>
      <c r="J44" s="38" t="n"/>
      <c r="K44" s="24" t="inlineStr">
        <is>
          <t>polymarket_us</t>
        </is>
      </c>
      <c r="L44" s="26" t="n">
        <v>-400</v>
      </c>
      <c r="M44" s="39" t="n">
        <v>1.25</v>
      </c>
      <c r="N44" s="28" t="n">
        <v>0.8</v>
      </c>
      <c r="O44" s="28" t="n">
        <v>0.7509749999999999</v>
      </c>
      <c r="P44" s="28" t="n"/>
      <c r="Q44" s="28" t="n">
        <v>-0.049025</v>
      </c>
      <c r="R44" s="26" t="n">
        <v>25</v>
      </c>
      <c r="S44" s="29" t="n">
        <v>2</v>
      </c>
      <c r="T44" s="24" t="inlineStr">
        <is>
          <t>wnba-elo-trend-lr-v3</t>
        </is>
      </c>
      <c r="U44" s="24" t="inlineStr">
        <is>
          <t>settled</t>
        </is>
      </c>
      <c r="V44" s="24" t="inlineStr">
        <is>
          <t>win</t>
        </is>
      </c>
      <c r="W44" s="26" t="n">
        <v>82</v>
      </c>
      <c r="X44" s="26" t="n">
        <v>90</v>
      </c>
      <c r="Y44" s="38" t="n"/>
      <c r="Z44" s="26" t="n"/>
      <c r="AA44" s="28" t="n"/>
      <c r="AB44" s="28" t="n"/>
      <c r="AC44" s="40" t="n">
        <v>0.5</v>
      </c>
      <c r="AD44" s="24" t="inlineStr">
        <is>
          <t>2026-07-19T23:12:45.958826Z</t>
        </is>
      </c>
      <c r="AE44" s="31" t="inlineStr">
        <is>
          <t>Learned LR call at threshold 0.5000; executable ask 0.8000 (aec-wnba-la-dal-2026-07-19).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wnba-las</t>
        </is>
      </c>
      <c r="AQ44" s="24" t="inlineStr">
        <is>
          <t>Los Angeles Sparks</t>
        </is>
      </c>
      <c r="AR44" s="24" t="inlineStr">
        <is>
          <t>Los Angeles Sparks</t>
        </is>
      </c>
      <c r="AS44" s="24" t="inlineStr">
        <is>
          <t>wnba-dal</t>
        </is>
      </c>
      <c r="AT44" s="24" t="inlineStr">
        <is>
          <t>Dallas Wings</t>
        </is>
      </c>
      <c r="AU44" s="24" t="inlineStr">
        <is>
          <t>Dallas Wings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d339198b196cb3fcd02950ed5efbdd4cefbeb95b2cd63cd756e77f99dc483719</t>
        </is>
      </c>
      <c r="BB44" s="24" t="inlineStr">
        <is>
          <t>learned_lr</t>
        </is>
      </c>
      <c r="BC44" s="24" t="inlineStr">
        <is>
          <t>wnba-elo-trend-lr-v3</t>
        </is>
      </c>
      <c r="BD44" s="24" t="inlineStr">
        <is>
          <t>d339198b196cb3fcd02950ed5efbdd4cefbeb95b2cd63cd756e77f99dc483719</t>
        </is>
      </c>
      <c r="BE44" s="24" t="inlineStr">
        <is>
          <t>1105570c96caae80</t>
        </is>
      </c>
      <c r="BF44" s="24" t="inlineStr">
        <is>
          <t>1</t>
        </is>
      </c>
      <c r="BG44" s="24" t="inlineStr">
        <is>
          <t>wnba-elo-trend-lr-v3</t>
        </is>
      </c>
      <c r="BH44" s="24" t="inlineStr">
        <is>
          <t>2026-07-19T12:20:54.245538Z</t>
        </is>
      </c>
      <c r="BI44" s="24" t="inlineStr">
        <is>
          <t>["same_event","same_team_same_day","same_league_same_day"]</t>
        </is>
      </c>
      <c r="BJ44" s="38" t="n"/>
      <c r="BK44" s="26" t="n">
        <v>-400</v>
      </c>
      <c r="BL44" s="39" t="n">
        <v>1.25</v>
      </c>
      <c r="BM44" s="28" t="n">
        <v>0.8</v>
      </c>
      <c r="BN44" s="28" t="n">
        <v>0.792079</v>
      </c>
      <c r="BO44" s="28" t="n"/>
      <c r="BP44" s="38" t="n"/>
      <c r="BQ44" s="39" t="n"/>
      <c r="BR44" s="28" t="n"/>
      <c r="BS44" s="28" t="n"/>
      <c r="BT44" s="28" t="n"/>
      <c r="BU44" s="38" t="n"/>
      <c r="BV44" s="29" t="n"/>
      <c r="BW44" s="24" t="n"/>
      <c r="BX44" s="40" t="n"/>
      <c r="BY44" s="39" t="n"/>
      <c r="BZ44" s="24" t="n"/>
      <c r="CA44" s="31" t="n"/>
    </row>
    <row r="45" ht="36" customHeight="1">
      <c r="A45" s="24" t="inlineStr">
        <is>
          <t>9f52810e7f374e1c</t>
        </is>
      </c>
      <c r="B45" s="24" t="inlineStr">
        <is>
          <t>2026-07-19T12:55:04.872783Z</t>
        </is>
      </c>
      <c r="C45" s="24" t="inlineStr">
        <is>
          <t>2026-07-19T20:00Z</t>
        </is>
      </c>
      <c r="D45" s="24" t="inlineStr">
        <is>
          <t>401857081</t>
        </is>
      </c>
      <c r="E45" s="24" t="inlineStr">
        <is>
          <t>WNBA</t>
        </is>
      </c>
      <c r="F45" s="24" t="inlineStr">
        <is>
          <t>Chicago Sky</t>
        </is>
      </c>
      <c r="G45" s="24" t="inlineStr">
        <is>
          <t>Atlanta Dream</t>
        </is>
      </c>
      <c r="H45" s="24" t="inlineStr">
        <is>
          <t>moneyline</t>
        </is>
      </c>
      <c r="I45" s="24" t="inlineStr">
        <is>
          <t>home</t>
        </is>
      </c>
      <c r="J45" s="38" t="n"/>
      <c r="K45" s="24" t="inlineStr">
        <is>
          <t>polymarket_us</t>
        </is>
      </c>
      <c r="L45" s="26" t="n">
        <v>-426</v>
      </c>
      <c r="M45" s="39" t="n">
        <v>1.234742</v>
      </c>
      <c r="N45" s="28" t="n">
        <v>0.809886</v>
      </c>
      <c r="O45" s="28" t="n">
        <v>0.675714</v>
      </c>
      <c r="P45" s="28" t="n"/>
      <c r="Q45" s="28" t="n">
        <v>-0.134172</v>
      </c>
      <c r="R45" s="26" t="n">
        <v>0</v>
      </c>
      <c r="S45" s="29" t="n">
        <v>2</v>
      </c>
      <c r="T45" s="24" t="inlineStr">
        <is>
          <t>wnba-elo-trend-lr-v3</t>
        </is>
      </c>
      <c r="U45" s="24" t="inlineStr">
        <is>
          <t>settled</t>
        </is>
      </c>
      <c r="V45" s="24" t="inlineStr">
        <is>
          <t>win</t>
        </is>
      </c>
      <c r="W45" s="26" t="n">
        <v>91</v>
      </c>
      <c r="X45" s="26" t="n">
        <v>93</v>
      </c>
      <c r="Y45" s="38" t="n"/>
      <c r="Z45" s="26" t="n"/>
      <c r="AA45" s="28" t="n"/>
      <c r="AB45" s="28" t="n"/>
      <c r="AC45" s="40" t="n">
        <v>0.4695</v>
      </c>
      <c r="AD45" s="24" t="inlineStr">
        <is>
          <t>2026-07-19T23:12:46.205387Z</t>
        </is>
      </c>
      <c r="AE45" s="31" t="inlineStr">
        <is>
          <t>Learned LR call at threshold 0.5000; executable ask 0.8100 (aec-wnba-chi-atl-2026-07-19).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wnba-chi</t>
        </is>
      </c>
      <c r="AQ45" s="24" t="inlineStr">
        <is>
          <t>Chicago Sky</t>
        </is>
      </c>
      <c r="AR45" s="24" t="inlineStr">
        <is>
          <t>Chicago Sky</t>
        </is>
      </c>
      <c r="AS45" s="24" t="inlineStr">
        <is>
          <t>wnba-atl</t>
        </is>
      </c>
      <c r="AT45" s="24" t="inlineStr">
        <is>
          <t>Atlanta Dream</t>
        </is>
      </c>
      <c r="AU45" s="24" t="inlineStr">
        <is>
          <t>Atlanta Dream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d339198b196cb3fcd02950ed5efbdd4cefbeb95b2cd63cd756e77f99dc483719</t>
        </is>
      </c>
      <c r="BB45" s="24" t="inlineStr">
        <is>
          <t>learned_lr</t>
        </is>
      </c>
      <c r="BC45" s="24" t="inlineStr">
        <is>
          <t>wnba-elo-trend-lr-v3</t>
        </is>
      </c>
      <c r="BD45" s="24" t="inlineStr">
        <is>
          <t>d339198b196cb3fcd02950ed5efbdd4cefbeb95b2cd63cd756e77f99dc483719</t>
        </is>
      </c>
      <c r="BE45" s="24" t="inlineStr">
        <is>
          <t>6a68fc6e2a5a0b4a</t>
        </is>
      </c>
      <c r="BF45" s="24" t="inlineStr">
        <is>
          <t>1</t>
        </is>
      </c>
      <c r="BG45" s="24" t="inlineStr">
        <is>
          <t>wnba-elo-trend-lr-v3</t>
        </is>
      </c>
      <c r="BH45" s="24" t="inlineStr">
        <is>
          <t>2026-07-19T12:20:55.900740Z</t>
        </is>
      </c>
      <c r="BI45" s="24" t="inlineStr">
        <is>
          <t>["same_event","same_team_same_day","same_league_same_day"]</t>
        </is>
      </c>
      <c r="BJ45" s="38" t="n"/>
      <c r="BK45" s="26" t="n">
        <v>-426</v>
      </c>
      <c r="BL45" s="39" t="n">
        <v>1.234742</v>
      </c>
      <c r="BM45" s="28" t="n">
        <v>0.809886</v>
      </c>
      <c r="BN45" s="28" t="n">
        <v>0.80198</v>
      </c>
      <c r="BO45" s="28" t="n"/>
      <c r="BP45" s="38" t="n"/>
      <c r="BQ45" s="39" t="n"/>
      <c r="BR45" s="28" t="n"/>
      <c r="BS45" s="28" t="n"/>
      <c r="BT45" s="28" t="n"/>
      <c r="BU45" s="38" t="n"/>
      <c r="BV45" s="29" t="n"/>
      <c r="BW45" s="24" t="n"/>
      <c r="BX45" s="40" t="n"/>
      <c r="BY45" s="39" t="n"/>
      <c r="BZ45" s="24" t="n"/>
      <c r="CA45" s="31" t="n"/>
    </row>
    <row r="46" ht="36" customHeight="1">
      <c r="A46" s="24" t="inlineStr">
        <is>
          <t>44eda71121684cc1</t>
        </is>
      </c>
      <c r="B46" s="24" t="inlineStr">
        <is>
          <t>2026-07-19T12:55:04.872783Z</t>
        </is>
      </c>
      <c r="C46" s="24" t="inlineStr">
        <is>
          <t>2026-07-19T23:00Z</t>
        </is>
      </c>
      <c r="D46" s="24" t="inlineStr">
        <is>
          <t>401857082</t>
        </is>
      </c>
      <c r="E46" s="24" t="inlineStr">
        <is>
          <t>WNBA</t>
        </is>
      </c>
      <c r="F46" s="24" t="inlineStr">
        <is>
          <t>Connecticut Sun</t>
        </is>
      </c>
      <c r="G46" s="24" t="inlineStr">
        <is>
          <t>Phoenix Mercury</t>
        </is>
      </c>
      <c r="H46" s="24" t="inlineStr">
        <is>
          <t>moneyline</t>
        </is>
      </c>
      <c r="I46" s="24" t="inlineStr">
        <is>
          <t>home</t>
        </is>
      </c>
      <c r="J46" s="38" t="n"/>
      <c r="K46" s="24" t="inlineStr">
        <is>
          <t>polymarket_us</t>
        </is>
      </c>
      <c r="L46" s="26" t="n">
        <v>-156</v>
      </c>
      <c r="M46" s="39" t="n">
        <v>1.641026</v>
      </c>
      <c r="N46" s="28" t="n">
        <v>0.609375</v>
      </c>
      <c r="O46" s="28" t="n">
        <v>0.565769</v>
      </c>
      <c r="P46" s="28" t="n"/>
      <c r="Q46" s="28" t="n">
        <v>-0.043606</v>
      </c>
      <c r="R46" s="26" t="n">
        <v>28</v>
      </c>
      <c r="S46" s="29" t="n">
        <v>1.25</v>
      </c>
      <c r="T46" s="24" t="inlineStr">
        <is>
          <t>wnba-elo-trend-lr-v3</t>
        </is>
      </c>
      <c r="U46" s="24" t="inlineStr">
        <is>
          <t>settled</t>
        </is>
      </c>
      <c r="V46" s="24" t="inlineStr">
        <is>
          <t>win</t>
        </is>
      </c>
      <c r="W46" s="26" t="n">
        <v>63</v>
      </c>
      <c r="X46" s="26" t="n">
        <v>72</v>
      </c>
      <c r="Y46" s="38" t="n"/>
      <c r="Z46" s="26" t="n"/>
      <c r="AA46" s="28" t="n"/>
      <c r="AB46" s="28" t="n"/>
      <c r="AC46" s="40" t="n">
        <v>0.8013</v>
      </c>
      <c r="AD46" s="24" t="inlineStr">
        <is>
          <t>2026-07-20T07:27:22.185310Z</t>
        </is>
      </c>
      <c r="AE46" s="31" t="inlineStr">
        <is>
          <t>Learned LR call at threshold 0.5000; executable ask 0.6100 (aec-wnba-conn-phx-2026-07-19).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wnba-con</t>
        </is>
      </c>
      <c r="AQ46" s="24" t="inlineStr">
        <is>
          <t>Connecticut Sun</t>
        </is>
      </c>
      <c r="AR46" s="24" t="inlineStr">
        <is>
          <t>Connecticut Sun</t>
        </is>
      </c>
      <c r="AS46" s="24" t="inlineStr">
        <is>
          <t>wnba-phx</t>
        </is>
      </c>
      <c r="AT46" s="24" t="inlineStr">
        <is>
          <t>Phoenix Mercury</t>
        </is>
      </c>
      <c r="AU46" s="24" t="inlineStr">
        <is>
          <t>Phoenix Mercury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d339198b196cb3fcd02950ed5efbdd4cefbeb95b2cd63cd756e77f99dc483719</t>
        </is>
      </c>
      <c r="BB46" s="24" t="inlineStr">
        <is>
          <t>learned_lr</t>
        </is>
      </c>
      <c r="BC46" s="24" t="inlineStr">
        <is>
          <t>wnba-elo-trend-lr-v3</t>
        </is>
      </c>
      <c r="BD46" s="24" t="inlineStr">
        <is>
          <t>d339198b196cb3fcd02950ed5efbdd4cefbeb95b2cd63cd756e77f99dc483719</t>
        </is>
      </c>
      <c r="BE46" s="24" t="inlineStr">
        <is>
          <t>25b3f96c5c4591d1</t>
        </is>
      </c>
      <c r="BF46" s="24" t="inlineStr">
        <is>
          <t>1</t>
        </is>
      </c>
      <c r="BG46" s="24" t="inlineStr">
        <is>
          <t>wnba-elo-trend-lr-v3</t>
        </is>
      </c>
      <c r="BH46" s="24" t="inlineStr">
        <is>
          <t>2026-07-19T12:20:56.954791Z</t>
        </is>
      </c>
      <c r="BI46" s="24" t="inlineStr">
        <is>
          <t>["same_event","same_team_same_day","same_league_same_day"]</t>
        </is>
      </c>
      <c r="BJ46" s="38" t="n"/>
      <c r="BK46" s="26" t="n">
        <v>-156</v>
      </c>
      <c r="BL46" s="39" t="n">
        <v>1.641026</v>
      </c>
      <c r="BM46" s="28" t="n">
        <v>0.609375</v>
      </c>
      <c r="BN46" s="28" t="n">
        <v>0.6039600000000001</v>
      </c>
      <c r="BO46" s="28" t="n"/>
      <c r="BP46" s="38" t="n"/>
      <c r="BQ46" s="39" t="n"/>
      <c r="BR46" s="28" t="n"/>
      <c r="BS46" s="28" t="n"/>
      <c r="BT46" s="28" t="n"/>
      <c r="BU46" s="38" t="n"/>
      <c r="BV46" s="29" t="n"/>
      <c r="BW46" s="24" t="n"/>
      <c r="BX46" s="40" t="n"/>
      <c r="BY46" s="39" t="n"/>
      <c r="BZ46" s="24" t="n"/>
      <c r="CA46" s="31" t="n"/>
    </row>
    <row r="47" ht="18" customHeight="1">
      <c r="A47" s="24" t="inlineStr">
        <is>
          <t>607e61329ed3424c</t>
        </is>
      </c>
      <c r="B47" s="24" t="inlineStr">
        <is>
          <t>2026-07-17T14:02:17Z</t>
        </is>
      </c>
      <c r="C47" s="24" t="inlineStr">
        <is>
          <t>2026-07-18T19:30:00-0400</t>
        </is>
      </c>
      <c r="D47" s="24" t="inlineStr">
        <is>
          <t>401857073</t>
        </is>
      </c>
      <c r="E47" s="24" t="inlineStr">
        <is>
          <t>WNBA</t>
        </is>
      </c>
      <c r="F47" s="24" t="inlineStr">
        <is>
          <t>Seattle Storm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38" t="n"/>
      <c r="K47" s="24" t="inlineStr">
        <is>
          <t>polymarket_us</t>
        </is>
      </c>
      <c r="L47" s="26" t="n">
        <v>-354</v>
      </c>
      <c r="M47" s="39" t="n">
        <v>1.282486</v>
      </c>
      <c r="N47" s="28" t="n">
        <v>0.779736</v>
      </c>
      <c r="O47" s="28" t="n">
        <v>0.6207</v>
      </c>
      <c r="P47" s="28" t="n"/>
      <c r="Q47" s="28" t="n">
        <v>-0.159036</v>
      </c>
      <c r="R47" s="26" t="n"/>
      <c r="S47" s="29" t="n">
        <v>1.75</v>
      </c>
      <c r="T47" s="24" t="inlineStr">
        <is>
          <t>wnba-elo-trend-lr-v3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107</v>
      </c>
      <c r="X47" s="26" t="n">
        <v>110</v>
      </c>
      <c r="Y47" s="38" t="n"/>
      <c r="Z47" s="26" t="n"/>
      <c r="AA47" s="28" t="n"/>
      <c r="AB47" s="28" t="n"/>
      <c r="AC47" s="40" t="n">
        <v>0.4944</v>
      </c>
      <c r="AD47" s="24" t="inlineStr">
        <is>
          <t>2026-07-18T14:36:00Z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QUALIFIED_SHADOW_CALL</t>
        </is>
      </c>
      <c r="AL47" s="26" t="n">
        <v>1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CALL_LEARNED_CONFIDENCE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learned</t>
        </is>
      </c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38" t="n"/>
      <c r="BK47" s="26" t="n">
        <v>-354</v>
      </c>
      <c r="BL47" s="39" t="n">
        <v>1.282486</v>
      </c>
      <c r="BM47" s="28" t="n">
        <v>0.779736</v>
      </c>
      <c r="BN47" s="28" t="n">
        <v>0.779736</v>
      </c>
      <c r="BO47" s="28" t="n"/>
      <c r="BP47" s="38" t="n"/>
      <c r="BQ47" s="39" t="n"/>
      <c r="BR47" s="28" t="n"/>
      <c r="BS47" s="28" t="n"/>
      <c r="BT47" s="28" t="n"/>
      <c r="BU47" s="38" t="n"/>
      <c r="BV47" s="29" t="n"/>
      <c r="BW47" s="24" t="n"/>
      <c r="BX47" s="40" t="n"/>
      <c r="BY47" s="39" t="n"/>
      <c r="BZ47" s="24" t="n"/>
      <c r="CA47" s="31" t="n"/>
    </row>
    <row r="48" ht="36" customHeight="1">
      <c r="A48" s="24" t="inlineStr">
        <is>
          <t>ba6d8918b5e04b6c</t>
        </is>
      </c>
      <c r="B48" s="24" t="inlineStr">
        <is>
          <t>2026-07-19T10:49:38.448695+00:00</t>
        </is>
      </c>
      <c r="C48" s="24" t="inlineStr">
        <is>
          <t>2026-07-17T14:00:00-0400</t>
        </is>
      </c>
      <c r="D48" s="24" t="inlineStr">
        <is>
          <t>Texa-Atla-2026-07-17</t>
        </is>
      </c>
      <c r="E48" s="24" t="inlineStr">
        <is>
          <t>MLB</t>
        </is>
      </c>
      <c r="F48" s="24" t="inlineStr">
        <is>
          <t>Texas Rangers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38" t="n"/>
      <c r="K48" s="24" t="inlineStr">
        <is>
          <t>polymarket</t>
        </is>
      </c>
      <c r="L48" s="26" t="n">
        <v>-194</v>
      </c>
      <c r="M48" s="39" t="n">
        <v>1.515464</v>
      </c>
      <c r="N48" s="28" t="n">
        <v>0.659864</v>
      </c>
      <c r="O48" s="28" t="n">
        <v>0.577396</v>
      </c>
      <c r="P48" s="28" t="n">
        <v>0.05</v>
      </c>
      <c r="Q48" s="28" t="n">
        <v>-0.082468</v>
      </c>
      <c r="R48" s="26" t="n"/>
      <c r="S48" s="29" t="n">
        <v>1.25</v>
      </c>
      <c r="T48" s="24" t="inlineStr">
        <is>
          <t>mlb-elo-trend-lr-v3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15</v>
      </c>
      <c r="Y48" s="38" t="n"/>
      <c r="Z48" s="26" t="n"/>
      <c r="AA48" s="28" t="n"/>
      <c r="AB48" s="28" t="n"/>
      <c r="AC48" s="40" t="n">
        <v>0.6443</v>
      </c>
      <c r="AD48" s="24" t="inlineStr">
        <is>
          <t>2026-07-19T12:18:56.424168+00:00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inlineStr">
        <is>
          <t>2026-07-17T16:26:07.030893Z</t>
        </is>
      </c>
      <c r="BI48" s="24" t="n"/>
      <c r="BJ48" s="38" t="n"/>
      <c r="BK48" s="26" t="n">
        <v>-194</v>
      </c>
      <c r="BL48" s="39" t="n">
        <v>1.515464</v>
      </c>
      <c r="BM48" s="28" t="n">
        <v>0.659864</v>
      </c>
      <c r="BN48" s="28" t="n">
        <v>0.656716</v>
      </c>
      <c r="BO48" s="28" t="n"/>
      <c r="BP48" s="38" t="n"/>
      <c r="BQ48" s="39" t="n"/>
      <c r="BR48" s="28" t="n"/>
      <c r="BS48" s="28" t="n"/>
      <c r="BT48" s="28" t="n"/>
      <c r="BU48" s="38" t="n"/>
      <c r="BV48" s="29" t="n"/>
      <c r="BW48" s="24" t="n"/>
      <c r="BX48" s="40" t="n"/>
      <c r="BY48" s="39" t="n"/>
      <c r="BZ48" s="24" t="n"/>
      <c r="CA48" s="31" t="n"/>
    </row>
    <row r="49" ht="36" customHeight="1">
      <c r="A49" s="24" t="inlineStr">
        <is>
          <t>713f57aaeede4418</t>
        </is>
      </c>
      <c r="B49" s="24" t="inlineStr">
        <is>
          <t>2026-07-19T10:49:38.448695+00:00</t>
        </is>
      </c>
      <c r="C49" s="24" t="inlineStr">
        <is>
          <t>2026-07-17T14:00:00-0400</t>
        </is>
      </c>
      <c r="D49" s="24" t="inlineStr">
        <is>
          <t>Chic-Toro-2026-07-17</t>
        </is>
      </c>
      <c r="E49" s="24" t="inlineStr">
        <is>
          <t>MLB</t>
        </is>
      </c>
      <c r="F49" s="24" t="inlineStr">
        <is>
          <t>Chicago White Sox</t>
        </is>
      </c>
      <c r="G49" s="24" t="inlineStr">
        <is>
          <t>Toronto Blue Jays</t>
        </is>
      </c>
      <c r="H49" s="24" t="inlineStr">
        <is>
          <t>moneyline</t>
        </is>
      </c>
      <c r="I49" s="24" t="inlineStr">
        <is>
          <t>home</t>
        </is>
      </c>
      <c r="J49" s="38" t="n"/>
      <c r="K49" s="24" t="inlineStr">
        <is>
          <t>polymarket</t>
        </is>
      </c>
      <c r="L49" s="26" t="n">
        <v>-122</v>
      </c>
      <c r="M49" s="39" t="n">
        <v>1.819672</v>
      </c>
      <c r="N49" s="28" t="n">
        <v>0.54955</v>
      </c>
      <c r="O49" s="28" t="n">
        <v>0.551581</v>
      </c>
      <c r="P49" s="28" t="n">
        <v>0.05</v>
      </c>
      <c r="Q49" s="28" t="n">
        <v>0.002031</v>
      </c>
      <c r="R49" s="26" t="n"/>
      <c r="S49" s="29" t="n">
        <v>1</v>
      </c>
      <c r="T49" s="24" t="inlineStr">
        <is>
          <t>mlb-elo-trend-lr-v3</t>
        </is>
      </c>
      <c r="U49" s="24" t="inlineStr">
        <is>
          <t>settled</t>
        </is>
      </c>
      <c r="V49" s="24" t="inlineStr">
        <is>
          <t>loss</t>
        </is>
      </c>
      <c r="W49" s="26" t="n">
        <v>12</v>
      </c>
      <c r="X49" s="26" t="n">
        <v>4</v>
      </c>
      <c r="Y49" s="38" t="n"/>
      <c r="Z49" s="26" t="n"/>
      <c r="AA49" s="28" t="n"/>
      <c r="AB49" s="28" t="n"/>
      <c r="AC49" s="40" t="n">
        <v>-1</v>
      </c>
      <c r="AD49" s="24" t="inlineStr">
        <is>
          <t>2026-07-19T12:18:56.424376+00:00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inlineStr">
        <is>
          <t>2026-07-17T16:26:05.906965Z</t>
        </is>
      </c>
      <c r="BI49" s="24" t="n"/>
      <c r="BJ49" s="38" t="n"/>
      <c r="BK49" s="26" t="n">
        <v>-122</v>
      </c>
      <c r="BL49" s="39" t="n">
        <v>1.819672</v>
      </c>
      <c r="BM49" s="28" t="n">
        <v>0.54955</v>
      </c>
      <c r="BN49" s="28" t="n">
        <v>0.547264</v>
      </c>
      <c r="BO49" s="28" t="n"/>
      <c r="BP49" s="38" t="n"/>
      <c r="BQ49" s="39" t="n"/>
      <c r="BR49" s="28" t="n"/>
      <c r="BS49" s="28" t="n"/>
      <c r="BT49" s="28" t="n"/>
      <c r="BU49" s="38" t="n"/>
      <c r="BV49" s="29" t="n"/>
      <c r="BW49" s="24" t="n"/>
      <c r="BX49" s="40" t="n"/>
      <c r="BY49" s="39" t="n"/>
      <c r="BZ49" s="24" t="n"/>
      <c r="CA49" s="31" t="n"/>
    </row>
    <row r="50" ht="36" customHeight="1">
      <c r="A50" s="24" t="inlineStr">
        <is>
          <t>4224d3689d5b44ed</t>
        </is>
      </c>
      <c r="B50" s="24" t="inlineStr">
        <is>
          <t>2026-07-19T10:49:38.448695+00:00</t>
        </is>
      </c>
      <c r="C50" s="24" t="inlineStr">
        <is>
          <t>2026-07-17T14:00:00-0400</t>
        </is>
      </c>
      <c r="D50" s="24" t="inlineStr">
        <is>
          <t>SanD-Kans-2026-07-17</t>
        </is>
      </c>
      <c r="E50" s="24" t="inlineStr">
        <is>
          <t>MLB</t>
        </is>
      </c>
      <c r="F50" s="24" t="inlineStr">
        <is>
          <t>San Diego Padres</t>
        </is>
      </c>
      <c r="G50" s="24" t="inlineStr">
        <is>
          <t>Kansas City Royals</t>
        </is>
      </c>
      <c r="H50" s="24" t="inlineStr">
        <is>
          <t>moneyline</t>
        </is>
      </c>
      <c r="I50" s="24" t="inlineStr">
        <is>
          <t>away</t>
        </is>
      </c>
      <c r="J50" s="38" t="n"/>
      <c r="K50" s="24" t="inlineStr">
        <is>
          <t>polymarket</t>
        </is>
      </c>
      <c r="L50" s="26" t="n">
        <v>-113</v>
      </c>
      <c r="M50" s="39" t="n">
        <v>1.884956</v>
      </c>
      <c r="N50" s="28" t="n">
        <v>0.530516</v>
      </c>
      <c r="O50" s="28" t="n">
        <v>0.521172</v>
      </c>
      <c r="P50" s="28" t="n">
        <v>0.05</v>
      </c>
      <c r="Q50" s="28" t="n">
        <v>-0.009344</v>
      </c>
      <c r="R50" s="26" t="n"/>
      <c r="S50" s="29" t="n">
        <v>0.75</v>
      </c>
      <c r="T50" s="24" t="inlineStr">
        <is>
          <t>mlb-elo-trend-lr-v3</t>
        </is>
      </c>
      <c r="U50" s="24" t="inlineStr">
        <is>
          <t>settled</t>
        </is>
      </c>
      <c r="V50" s="24" t="inlineStr">
        <is>
          <t>loss</t>
        </is>
      </c>
      <c r="W50" s="26" t="n">
        <v>6</v>
      </c>
      <c r="X50" s="26" t="n">
        <v>7</v>
      </c>
      <c r="Y50" s="38" t="n"/>
      <c r="Z50" s="26" t="n"/>
      <c r="AA50" s="28" t="n"/>
      <c r="AB50" s="28" t="n"/>
      <c r="AC50" s="40" t="n">
        <v>-0.75</v>
      </c>
      <c r="AD50" s="24" t="inlineStr">
        <is>
          <t>2026-07-19T12:18:56.424980+00:00</t>
        </is>
      </c>
      <c r="AE50" s="31" t="inlineStr">
        <is>
          <t>backtest</t>
        </is>
      </c>
      <c r="AF50" s="31" t="n"/>
      <c r="AG50" s="24" t="n"/>
      <c r="AH50" s="24" t="n"/>
      <c r="AI50" s="31" t="n"/>
      <c r="AJ50" s="31" t="n"/>
      <c r="AK50" s="24" t="n"/>
      <c r="AL50" s="26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inlineStr">
        <is>
          <t>2026-07-17T16:26:09.836107Z</t>
        </is>
      </c>
      <c r="BI50" s="24" t="n"/>
      <c r="BJ50" s="38" t="n"/>
      <c r="BK50" s="26" t="n">
        <v>-113</v>
      </c>
      <c r="BL50" s="39" t="n">
        <v>1.884956</v>
      </c>
      <c r="BM50" s="28" t="n">
        <v>0.530516</v>
      </c>
      <c r="BN50" s="28" t="n">
        <v>0.527363</v>
      </c>
      <c r="BO50" s="28" t="n"/>
      <c r="BP50" s="38" t="n"/>
      <c r="BQ50" s="39" t="n"/>
      <c r="BR50" s="28" t="n"/>
      <c r="BS50" s="28" t="n"/>
      <c r="BT50" s="28" t="n"/>
      <c r="BU50" s="38" t="n"/>
      <c r="BV50" s="29" t="n"/>
      <c r="BW50" s="24" t="n"/>
      <c r="BX50" s="40" t="n"/>
      <c r="BY50" s="39" t="n"/>
      <c r="BZ50" s="24" t="n"/>
      <c r="CA50" s="31" t="n"/>
    </row>
    <row r="51" ht="36" customHeight="1">
      <c r="A51" s="24" t="inlineStr">
        <is>
          <t>caa582b839304286</t>
        </is>
      </c>
      <c r="B51" s="24" t="inlineStr">
        <is>
          <t>2026-07-19T10:49:38.448695+00:00</t>
        </is>
      </c>
      <c r="C51" s="24" t="inlineStr">
        <is>
          <t>2026-07-17T14:00:00-0400</t>
        </is>
      </c>
      <c r="D51" s="24" t="inlineStr">
        <is>
          <t>Balt-Hous-2026-07-17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Houston Astros</t>
        </is>
      </c>
      <c r="H51" s="24" t="inlineStr">
        <is>
          <t>moneyline</t>
        </is>
      </c>
      <c r="I51" s="24" t="inlineStr">
        <is>
          <t>home</t>
        </is>
      </c>
      <c r="J51" s="38" t="n"/>
      <c r="K51" s="24" t="inlineStr">
        <is>
          <t>polymarket</t>
        </is>
      </c>
      <c r="L51" s="26" t="n">
        <v>-106</v>
      </c>
      <c r="M51" s="39" t="n">
        <v>1.943396</v>
      </c>
      <c r="N51" s="28" t="n">
        <v>0.514563</v>
      </c>
      <c r="O51" s="28" t="n">
        <v>0.524624</v>
      </c>
      <c r="P51" s="28" t="n">
        <v>0.05</v>
      </c>
      <c r="Q51" s="28" t="n">
        <v>0.010061</v>
      </c>
      <c r="R51" s="26" t="n"/>
      <c r="S51" s="29" t="n">
        <v>0.75</v>
      </c>
      <c r="T51" s="24" t="inlineStr">
        <is>
          <t>mlb-elo-trend-lr-v3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2</v>
      </c>
      <c r="Y51" s="38" t="n"/>
      <c r="Z51" s="26" t="n"/>
      <c r="AA51" s="28" t="n"/>
      <c r="AB51" s="28" t="n"/>
      <c r="AC51" s="40" t="n">
        <v>-0.75</v>
      </c>
      <c r="AD51" s="24" t="inlineStr">
        <is>
          <t>2026-07-19T12:18:56.425183+00:00</t>
        </is>
      </c>
      <c r="AE51" s="31" t="inlineStr">
        <is>
          <t>backtest</t>
        </is>
      </c>
      <c r="AF51" s="31" t="n"/>
      <c r="AG51" s="24" t="n"/>
      <c r="AH51" s="24" t="n"/>
      <c r="AI51" s="31" t="n"/>
      <c r="AJ51" s="31" t="n"/>
      <c r="AK51" s="24" t="n"/>
      <c r="AL51" s="26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inlineStr">
        <is>
          <t>2026-07-17T16:26:10.857493Z</t>
        </is>
      </c>
      <c r="BI51" s="24" t="n"/>
      <c r="BJ51" s="38" t="n"/>
      <c r="BK51" s="26" t="n">
        <v>-106</v>
      </c>
      <c r="BL51" s="39" t="n">
        <v>1.943396</v>
      </c>
      <c r="BM51" s="28" t="n">
        <v>0.514563</v>
      </c>
      <c r="BN51" s="28" t="n">
        <v>0.5124379999999999</v>
      </c>
      <c r="BO51" s="28" t="n"/>
      <c r="BP51" s="38" t="n"/>
      <c r="BQ51" s="39" t="n"/>
      <c r="BR51" s="28" t="n"/>
      <c r="BS51" s="28" t="n"/>
      <c r="BT51" s="28" t="n"/>
      <c r="BU51" s="38" t="n"/>
      <c r="BV51" s="29" t="n"/>
      <c r="BW51" s="24" t="n"/>
      <c r="BX51" s="40" t="n"/>
      <c r="BY51" s="39" t="n"/>
      <c r="BZ51" s="24" t="n"/>
      <c r="CA51" s="31" t="n"/>
    </row>
    <row r="52" ht="36" customHeight="1">
      <c r="A52" s="24" t="inlineStr">
        <is>
          <t>cebdc679239c4a7e</t>
        </is>
      </c>
      <c r="B52" s="24" t="inlineStr">
        <is>
          <t>2026-07-19T10:49:38.448695+00:00</t>
        </is>
      </c>
      <c r="C52" s="24" t="inlineStr">
        <is>
          <t>2026-07-17T14:00:00-0400</t>
        </is>
      </c>
      <c r="D52" s="24" t="inlineStr">
        <is>
          <t>SanF-Seat-2026-07-17</t>
        </is>
      </c>
      <c r="E52" s="24" t="inlineStr">
        <is>
          <t>MLB</t>
        </is>
      </c>
      <c r="F52" s="24" t="inlineStr">
        <is>
          <t>San Francisco Giants</t>
        </is>
      </c>
      <c r="G52" s="24" t="inlineStr">
        <is>
          <t>Seattle Mariners</t>
        </is>
      </c>
      <c r="H52" s="24" t="inlineStr">
        <is>
          <t>moneyline</t>
        </is>
      </c>
      <c r="I52" s="24" t="inlineStr">
        <is>
          <t>home</t>
        </is>
      </c>
      <c r="J52" s="38" t="n"/>
      <c r="K52" s="24" t="inlineStr">
        <is>
          <t>polymarket</t>
        </is>
      </c>
      <c r="L52" s="26" t="n">
        <v>-174</v>
      </c>
      <c r="M52" s="39" t="n">
        <v>1.574713</v>
      </c>
      <c r="N52" s="28" t="n">
        <v>0.635036</v>
      </c>
      <c r="O52" s="28" t="n">
        <v>0.597575</v>
      </c>
      <c r="P52" s="28" t="n">
        <v>0.05</v>
      </c>
      <c r="Q52" s="28" t="n">
        <v>-0.037461</v>
      </c>
      <c r="R52" s="26" t="n"/>
      <c r="S52" s="29" t="n">
        <v>1.5</v>
      </c>
      <c r="T52" s="24" t="inlineStr">
        <is>
          <t>mlb-elo-trend-lr-v3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0</v>
      </c>
      <c r="Y52" s="38" t="n"/>
      <c r="Z52" s="26" t="n"/>
      <c r="AA52" s="28" t="n"/>
      <c r="AB52" s="28" t="n"/>
      <c r="AC52" s="40" t="n">
        <v>-1.5</v>
      </c>
      <c r="AD52" s="24" t="inlineStr">
        <is>
          <t>2026-07-19T12:18:56.426191+00:00</t>
        </is>
      </c>
      <c r="AE52" s="31" t="inlineStr">
        <is>
          <t>backtest</t>
        </is>
      </c>
      <c r="AF52" s="31" t="n"/>
      <c r="AG52" s="24" t="n"/>
      <c r="AH52" s="24" t="n"/>
      <c r="AI52" s="31" t="n"/>
      <c r="AJ52" s="31" t="n"/>
      <c r="AK52" s="24" t="n"/>
      <c r="AL52" s="26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inlineStr">
        <is>
          <t>2026-07-17T16:26:16.071100Z</t>
        </is>
      </c>
      <c r="BI52" s="24" t="n"/>
      <c r="BJ52" s="38" t="n"/>
      <c r="BK52" s="26" t="n">
        <v>-174</v>
      </c>
      <c r="BL52" s="39" t="n">
        <v>1.574713</v>
      </c>
      <c r="BM52" s="28" t="n">
        <v>0.635036</v>
      </c>
      <c r="BN52" s="28" t="n">
        <v>0.631841</v>
      </c>
      <c r="BO52" s="28" t="n"/>
      <c r="BP52" s="38" t="n"/>
      <c r="BQ52" s="39" t="n"/>
      <c r="BR52" s="28" t="n"/>
      <c r="BS52" s="28" t="n"/>
      <c r="BT52" s="28" t="n"/>
      <c r="BU52" s="38" t="n"/>
      <c r="BV52" s="29" t="n"/>
      <c r="BW52" s="24" t="n"/>
      <c r="BX52" s="40" t="n"/>
      <c r="BY52" s="39" t="n"/>
      <c r="BZ52" s="24" t="n"/>
      <c r="CA52" s="31" t="n"/>
    </row>
    <row r="53" ht="36" customHeight="1">
      <c r="A53" s="24" t="inlineStr">
        <is>
          <t>deb68aa7d25042de</t>
        </is>
      </c>
      <c r="B53" s="24" t="inlineStr">
        <is>
          <t>2026-07-19T10:49:38.448695+00:00</t>
        </is>
      </c>
      <c r="C53" s="24" t="inlineStr">
        <is>
          <t>2026-07-17T14:00:00-0400</t>
        </is>
      </c>
      <c r="D53" s="24" t="inlineStr">
        <is>
          <t>Atla-Toro-2026-07-17</t>
        </is>
      </c>
      <c r="E53" s="24" t="inlineStr">
        <is>
          <t>WNBA</t>
        </is>
      </c>
      <c r="F53" s="24" t="inlineStr">
        <is>
          <t>Atlanta Dream</t>
        </is>
      </c>
      <c r="G53" s="24" t="inlineStr">
        <is>
          <t>Toronto Tempo</t>
        </is>
      </c>
      <c r="H53" s="24" t="inlineStr">
        <is>
          <t>moneyline</t>
        </is>
      </c>
      <c r="I53" s="24" t="inlineStr">
        <is>
          <t>away</t>
        </is>
      </c>
      <c r="J53" s="38" t="n"/>
      <c r="K53" s="24" t="inlineStr">
        <is>
          <t>polymarket</t>
        </is>
      </c>
      <c r="L53" s="26" t="n">
        <v>-376</v>
      </c>
      <c r="M53" s="39" t="n">
        <v>1.265957</v>
      </c>
      <c r="N53" s="28" t="n">
        <v>0.789916</v>
      </c>
      <c r="O53" s="28" t="n">
        <v>0.534506</v>
      </c>
      <c r="P53" s="28" t="n">
        <v>0.05</v>
      </c>
      <c r="Q53" s="28" t="n">
        <v>-0.25541</v>
      </c>
      <c r="R53" s="26" t="n"/>
      <c r="S53" s="29" t="n">
        <v>0.75</v>
      </c>
      <c r="T53" s="24" t="inlineStr">
        <is>
          <t>wnba-elo-trend-lr-v3</t>
        </is>
      </c>
      <c r="U53" s="24" t="inlineStr">
        <is>
          <t>settled</t>
        </is>
      </c>
      <c r="V53" s="24" t="inlineStr">
        <is>
          <t>win</t>
        </is>
      </c>
      <c r="W53" s="26" t="n">
        <v>111</v>
      </c>
      <c r="X53" s="26" t="n">
        <v>92</v>
      </c>
      <c r="Y53" s="38" t="n"/>
      <c r="Z53" s="26" t="n"/>
      <c r="AA53" s="28" t="n"/>
      <c r="AB53" s="28" t="n"/>
      <c r="AC53" s="40" t="n">
        <v>0.1995</v>
      </c>
      <c r="AD53" s="24" t="inlineStr">
        <is>
          <t>2026-07-19T12:18:56.426270+00:00</t>
        </is>
      </c>
      <c r="AE53" s="31" t="inlineStr">
        <is>
          <t>backtest</t>
        </is>
      </c>
      <c r="AF53" s="31" t="n"/>
      <c r="AG53" s="24" t="n"/>
      <c r="AH53" s="24" t="n"/>
      <c r="AI53" s="31" t="n"/>
      <c r="AJ53" s="31" t="n"/>
      <c r="AK53" s="24" t="n"/>
      <c r="AL53" s="26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inlineStr">
        <is>
          <t>2026-07-17T16:26:18.670439Z</t>
        </is>
      </c>
      <c r="BI53" s="24" t="n"/>
      <c r="BJ53" s="38" t="n"/>
      <c r="BK53" s="26" t="n">
        <v>-376</v>
      </c>
      <c r="BL53" s="39" t="n">
        <v>1.265957</v>
      </c>
      <c r="BM53" s="28" t="n">
        <v>0.789916</v>
      </c>
      <c r="BN53" s="28" t="n">
        <v>0.782178</v>
      </c>
      <c r="BO53" s="28" t="n"/>
      <c r="BP53" s="38" t="n"/>
      <c r="BQ53" s="39" t="n"/>
      <c r="BR53" s="28" t="n"/>
      <c r="BS53" s="28" t="n"/>
      <c r="BT53" s="28" t="n"/>
      <c r="BU53" s="38" t="n"/>
      <c r="BV53" s="29" t="n"/>
      <c r="BW53" s="24" t="n"/>
      <c r="BX53" s="40" t="n"/>
      <c r="BY53" s="39" t="n"/>
      <c r="BZ53" s="24" t="n"/>
      <c r="CA53" s="31" t="n"/>
    </row>
    <row r="54" ht="36" customHeight="1">
      <c r="A54" s="24" t="inlineStr">
        <is>
          <t>9d42b77cda3d44a7</t>
        </is>
      </c>
      <c r="B54" s="24" t="inlineStr">
        <is>
          <t>2026-07-19T10:49:38.448695+00:00</t>
        </is>
      </c>
      <c r="C54" s="24" t="inlineStr">
        <is>
          <t>2026-07-17T14:00:00-0400</t>
        </is>
      </c>
      <c r="D54" s="24" t="inlineStr">
        <is>
          <t>LosA-Chic-2026-07-17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Chicago Sky</t>
        </is>
      </c>
      <c r="H54" s="24" t="inlineStr">
        <is>
          <t>moneyline</t>
        </is>
      </c>
      <c r="I54" s="24" t="inlineStr">
        <is>
          <t>home</t>
        </is>
      </c>
      <c r="J54" s="38" t="n"/>
      <c r="K54" s="24" t="inlineStr">
        <is>
          <t>polymarket</t>
        </is>
      </c>
      <c r="L54" s="26" t="n">
        <v>-113</v>
      </c>
      <c r="M54" s="39" t="n">
        <v>1.884956</v>
      </c>
      <c r="N54" s="28" t="n">
        <v>0.530516</v>
      </c>
      <c r="O54" s="28" t="n">
        <v>0.505358</v>
      </c>
      <c r="P54" s="28" t="n">
        <v>0.05</v>
      </c>
      <c r="Q54" s="28" t="n">
        <v>-0.025158</v>
      </c>
      <c r="R54" s="26" t="n"/>
      <c r="S54" s="29" t="n">
        <v>0.5</v>
      </c>
      <c r="T54" s="24" t="inlineStr">
        <is>
          <t>wnba-elo-trend-lr-v3</t>
        </is>
      </c>
      <c r="U54" s="24" t="inlineStr">
        <is>
          <t>settled</t>
        </is>
      </c>
      <c r="V54" s="24" t="inlineStr">
        <is>
          <t>win</t>
        </is>
      </c>
      <c r="W54" s="26" t="n">
        <v>82</v>
      </c>
      <c r="X54" s="26" t="n">
        <v>96</v>
      </c>
      <c r="Y54" s="38" t="n"/>
      <c r="Z54" s="26" t="n"/>
      <c r="AA54" s="28" t="n"/>
      <c r="AB54" s="28" t="n"/>
      <c r="AC54" s="40" t="n">
        <v>0.4425</v>
      </c>
      <c r="AD54" s="24" t="inlineStr">
        <is>
          <t>2026-07-19T12:18:56.426343+00:00</t>
        </is>
      </c>
      <c r="AE54" s="31" t="inlineStr">
        <is>
          <t>backtest</t>
        </is>
      </c>
      <c r="AF54" s="31" t="n"/>
      <c r="AG54" s="24" t="n"/>
      <c r="AH54" s="24" t="n"/>
      <c r="AI54" s="31" t="n"/>
      <c r="AJ54" s="31" t="n"/>
      <c r="AK54" s="24" t="n"/>
      <c r="AL54" s="26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inlineStr">
        <is>
          <t>2026-07-17T17:12:46.881853Z</t>
        </is>
      </c>
      <c r="BI54" s="24" t="n"/>
      <c r="BJ54" s="38" t="n"/>
      <c r="BK54" s="26" t="n">
        <v>-113</v>
      </c>
      <c r="BL54" s="39" t="n">
        <v>1.884956</v>
      </c>
      <c r="BM54" s="28" t="n">
        <v>0.530516</v>
      </c>
      <c r="BN54" s="28" t="n">
        <v>0.524752</v>
      </c>
      <c r="BO54" s="28" t="n"/>
      <c r="BP54" s="38" t="n"/>
      <c r="BQ54" s="39" t="n"/>
      <c r="BR54" s="28" t="n"/>
      <c r="BS54" s="28" t="n"/>
      <c r="BT54" s="28" t="n"/>
      <c r="BU54" s="38" t="n"/>
      <c r="BV54" s="29" t="n"/>
      <c r="BW54" s="24" t="n"/>
      <c r="BX54" s="40" t="n"/>
      <c r="BY54" s="39" t="n"/>
      <c r="BZ54" s="24" t="n"/>
      <c r="CA54" s="31" t="n"/>
    </row>
    <row r="55" ht="36" customHeight="1">
      <c r="A55" s="24" t="inlineStr">
        <is>
          <t>33934bb67697420b</t>
        </is>
      </c>
      <c r="B55" s="24" t="inlineStr">
        <is>
          <t>2026-07-19T10:49:38.448695+00:00</t>
        </is>
      </c>
      <c r="C55" s="24" t="inlineStr">
        <is>
          <t>2026-07-17T14:00:00-0400</t>
        </is>
      </c>
      <c r="D55" s="24" t="inlineStr">
        <is>
          <t>Conn-Phoe-2026-07-17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Phoenix Mercury</t>
        </is>
      </c>
      <c r="H55" s="24" t="inlineStr">
        <is>
          <t>moneyline</t>
        </is>
      </c>
      <c r="I55" s="24" t="inlineStr">
        <is>
          <t>home</t>
        </is>
      </c>
      <c r="J55" s="38" t="n"/>
      <c r="K55" s="24" t="inlineStr">
        <is>
          <t>polymarket</t>
        </is>
      </c>
      <c r="L55" s="26" t="n">
        <v>-178</v>
      </c>
      <c r="M55" s="39" t="n">
        <v>1.561798</v>
      </c>
      <c r="N55" s="28" t="n">
        <v>0.640288</v>
      </c>
      <c r="O55" s="28" t="n">
        <v>0.637935</v>
      </c>
      <c r="P55" s="28" t="n">
        <v>0.05</v>
      </c>
      <c r="Q55" s="28" t="n">
        <v>-0.002353</v>
      </c>
      <c r="R55" s="26" t="n"/>
      <c r="S55" s="29" t="n">
        <v>2</v>
      </c>
      <c r="T55" s="24" t="inlineStr">
        <is>
          <t>wnba-elo-trend-lr-v3</t>
        </is>
      </c>
      <c r="U55" s="24" t="inlineStr">
        <is>
          <t>settled</t>
        </is>
      </c>
      <c r="V55" s="24" t="inlineStr">
        <is>
          <t>loss</t>
        </is>
      </c>
      <c r="W55" s="26" t="n">
        <v>96</v>
      </c>
      <c r="X55" s="26" t="n">
        <v>83</v>
      </c>
      <c r="Y55" s="38" t="n"/>
      <c r="Z55" s="26" t="n"/>
      <c r="AA55" s="28" t="n"/>
      <c r="AB55" s="28" t="n"/>
      <c r="AC55" s="40" t="n">
        <v>-2</v>
      </c>
      <c r="AD55" s="24" t="inlineStr">
        <is>
          <t>2026-07-19T12:18:56.426414+00:00</t>
        </is>
      </c>
      <c r="AE55" s="31" t="inlineStr">
        <is>
          <t>backtest</t>
        </is>
      </c>
      <c r="AF55" s="31" t="n"/>
      <c r="AG55" s="24" t="n"/>
      <c r="AH55" s="24" t="n"/>
      <c r="AI55" s="31" t="n"/>
      <c r="AJ55" s="31" t="n"/>
      <c r="AK55" s="24" t="n"/>
      <c r="AL55" s="26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inlineStr">
        <is>
          <t>2026-07-17T17:12:46.282679Z</t>
        </is>
      </c>
      <c r="BI55" s="24" t="n"/>
      <c r="BJ55" s="38" t="n"/>
      <c r="BK55" s="26" t="n">
        <v>-178</v>
      </c>
      <c r="BL55" s="39" t="n">
        <v>1.561798</v>
      </c>
      <c r="BM55" s="28" t="n">
        <v>0.640288</v>
      </c>
      <c r="BN55" s="28" t="n">
        <v>0.633663</v>
      </c>
      <c r="BO55" s="28" t="n"/>
      <c r="BP55" s="38" t="n"/>
      <c r="BQ55" s="39" t="n"/>
      <c r="BR55" s="28" t="n"/>
      <c r="BS55" s="28" t="n"/>
      <c r="BT55" s="28" t="n"/>
      <c r="BU55" s="38" t="n"/>
      <c r="BV55" s="29" t="n"/>
      <c r="BW55" s="24" t="n"/>
      <c r="BX55" s="40" t="n"/>
      <c r="BY55" s="39" t="n"/>
      <c r="BZ55" s="24" t="n"/>
      <c r="CA55" s="31" t="n"/>
    </row>
    <row r="56" ht="36" customHeight="1">
      <c r="A56" s="24" t="inlineStr">
        <is>
          <t>9e5a3c9d33b2497b</t>
        </is>
      </c>
      <c r="B56" s="24" t="inlineStr">
        <is>
          <t>2026-07-19T10:49:38.448695+00:00</t>
        </is>
      </c>
      <c r="C56" s="24" t="inlineStr">
        <is>
          <t>2026-07-18T14:00:00-0400</t>
        </is>
      </c>
      <c r="D56" s="24" t="inlineStr">
        <is>
          <t>NewY-Phil-2026-07-18</t>
        </is>
      </c>
      <c r="E56" s="24" t="inlineStr">
        <is>
          <t>MLB</t>
        </is>
      </c>
      <c r="F56" s="24" t="inlineStr">
        <is>
          <t>New York Mets</t>
        </is>
      </c>
      <c r="G56" s="24" t="inlineStr">
        <is>
          <t>Philadelphia Phillies</t>
        </is>
      </c>
      <c r="H56" s="24" t="inlineStr">
        <is>
          <t>moneyline</t>
        </is>
      </c>
      <c r="I56" s="24" t="inlineStr">
        <is>
          <t>home</t>
        </is>
      </c>
      <c r="J56" s="38" t="n"/>
      <c r="K56" s="24" t="inlineStr">
        <is>
          <t>polymarket</t>
        </is>
      </c>
      <c r="L56" s="26" t="n">
        <v>-163</v>
      </c>
      <c r="M56" s="39" t="n">
        <v>1.613497</v>
      </c>
      <c r="N56" s="28" t="n">
        <v>0.619772</v>
      </c>
      <c r="O56" s="28" t="n">
        <v>0.611768</v>
      </c>
      <c r="P56" s="28" t="n">
        <v>0.05</v>
      </c>
      <c r="Q56" s="28" t="n">
        <v>-0.008004000000000001</v>
      </c>
      <c r="R56" s="26" t="n"/>
      <c r="S56" s="29" t="n">
        <v>1.5</v>
      </c>
      <c r="T56" s="24" t="inlineStr">
        <is>
          <t>mlb-elo-trend-lr-v3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38" t="n"/>
      <c r="Z56" s="26" t="n"/>
      <c r="AA56" s="28" t="n"/>
      <c r="AB56" s="28" t="n"/>
      <c r="AC56" s="40" t="n">
        <v>0.9202</v>
      </c>
      <c r="AD56" s="24" t="inlineStr">
        <is>
          <t>2026-07-19T12:18:56.426817+00:00</t>
        </is>
      </c>
      <c r="AE56" s="31" t="inlineStr">
        <is>
          <t>backtest</t>
        </is>
      </c>
      <c r="AF56" s="31" t="n"/>
      <c r="AG56" s="24" t="n"/>
      <c r="AH56" s="24" t="n"/>
      <c r="AI56" s="31" t="n"/>
      <c r="AJ56" s="31" t="n"/>
      <c r="AK56" s="24" t="n"/>
      <c r="AL56" s="26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inlineStr">
        <is>
          <t>2026-07-18T17:33:12.199724Z</t>
        </is>
      </c>
      <c r="BI56" s="24" t="n"/>
      <c r="BJ56" s="38" t="n"/>
      <c r="BK56" s="26" t="n">
        <v>-163</v>
      </c>
      <c r="BL56" s="39" t="n">
        <v>1.613497</v>
      </c>
      <c r="BM56" s="28" t="n">
        <v>0.619772</v>
      </c>
      <c r="BN56" s="28" t="n">
        <v>0.616915</v>
      </c>
      <c r="BO56" s="28" t="n"/>
      <c r="BP56" s="38" t="n"/>
      <c r="BQ56" s="39" t="n"/>
      <c r="BR56" s="28" t="n"/>
      <c r="BS56" s="28" t="n"/>
      <c r="BT56" s="28" t="n"/>
      <c r="BU56" s="38" t="n"/>
      <c r="BV56" s="29" t="n"/>
      <c r="BW56" s="24" t="n"/>
      <c r="BX56" s="40" t="n"/>
      <c r="BY56" s="39" t="n"/>
      <c r="BZ56" s="24" t="n"/>
      <c r="CA56" s="31" t="n"/>
    </row>
    <row r="57" ht="36" customHeight="1">
      <c r="A57" s="24" t="inlineStr">
        <is>
          <t>f8293c8d16d748f5</t>
        </is>
      </c>
      <c r="B57" s="24" t="inlineStr">
        <is>
          <t>2026-07-19T10:49:38.448695+00:00</t>
        </is>
      </c>
      <c r="C57" s="24" t="inlineStr">
        <is>
          <t>2026-07-18T14:00:00-0400</t>
        </is>
      </c>
      <c r="D57" s="24" t="inlineStr">
        <is>
          <t>St.L-Ariz-2026-07-18</t>
        </is>
      </c>
      <c r="E57" s="24" t="inlineStr">
        <is>
          <t>MLB</t>
        </is>
      </c>
      <c r="F57" s="24" t="inlineStr">
        <is>
          <t>St. Louis Cardinals</t>
        </is>
      </c>
      <c r="G57" s="24" t="inlineStr">
        <is>
          <t>Arizona Diamondbacks</t>
        </is>
      </c>
      <c r="H57" s="24" t="inlineStr">
        <is>
          <t>moneyline</t>
        </is>
      </c>
      <c r="I57" s="24" t="inlineStr">
        <is>
          <t>home</t>
        </is>
      </c>
      <c r="J57" s="38" t="n"/>
      <c r="K57" s="24" t="inlineStr">
        <is>
          <t>polymarket</t>
        </is>
      </c>
      <c r="L57" s="26" t="n">
        <v>-111</v>
      </c>
      <c r="M57" s="39" t="n">
        <v>1.900901</v>
      </c>
      <c r="N57" s="28" t="n">
        <v>0.526066</v>
      </c>
      <c r="O57" s="28" t="n">
        <v>0.525388</v>
      </c>
      <c r="P57" s="28" t="n">
        <v>0.05</v>
      </c>
      <c r="Q57" s="28" t="n">
        <v>-0.000678</v>
      </c>
      <c r="R57" s="26" t="n"/>
      <c r="S57" s="29" t="n">
        <v>0.75</v>
      </c>
      <c r="T57" s="24" t="inlineStr">
        <is>
          <t>mlb-elo-trend-lr-v3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5</v>
      </c>
      <c r="Y57" s="38" t="n"/>
      <c r="Z57" s="26" t="n"/>
      <c r="AA57" s="28" t="n"/>
      <c r="AB57" s="28" t="n"/>
      <c r="AC57" s="40" t="n">
        <v>0.6757</v>
      </c>
      <c r="AD57" s="24" t="inlineStr">
        <is>
          <t>2026-07-19T12:18:56.427204+00:00</t>
        </is>
      </c>
      <c r="AE57" s="31" t="inlineStr">
        <is>
          <t>backtest</t>
        </is>
      </c>
      <c r="AF57" s="31" t="n"/>
      <c r="AG57" s="24" t="n"/>
      <c r="AH57" s="24" t="n"/>
      <c r="AI57" s="31" t="n"/>
      <c r="AJ57" s="31" t="n"/>
      <c r="AK57" s="24" t="n"/>
      <c r="AL57" s="26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inlineStr">
        <is>
          <t>2026-07-18T17:33:15.460034Z</t>
        </is>
      </c>
      <c r="BI57" s="24" t="n"/>
      <c r="BJ57" s="38" t="n"/>
      <c r="BK57" s="26" t="n">
        <v>-111</v>
      </c>
      <c r="BL57" s="39" t="n">
        <v>1.900901</v>
      </c>
      <c r="BM57" s="28" t="n">
        <v>0.526066</v>
      </c>
      <c r="BN57" s="28" t="n">
        <v>0.522388</v>
      </c>
      <c r="BO57" s="28" t="n"/>
      <c r="BP57" s="38" t="n"/>
      <c r="BQ57" s="39" t="n"/>
      <c r="BR57" s="28" t="n"/>
      <c r="BS57" s="28" t="n"/>
      <c r="BT57" s="28" t="n"/>
      <c r="BU57" s="38" t="n"/>
      <c r="BV57" s="29" t="n"/>
      <c r="BW57" s="24" t="n"/>
      <c r="BX57" s="40" t="n"/>
      <c r="BY57" s="39" t="n"/>
      <c r="BZ57" s="24" t="n"/>
      <c r="CA57" s="31" t="n"/>
    </row>
    <row r="58" ht="36" customHeight="1">
      <c r="A58" s="24" t="inlineStr">
        <is>
          <t>f1019aa0671049ee</t>
        </is>
      </c>
      <c r="B58" s="24" t="inlineStr">
        <is>
          <t>2026-07-19T10:49:38.448695+00:00</t>
        </is>
      </c>
      <c r="C58" s="24" t="inlineStr">
        <is>
          <t>2026-07-18T14:00:00-0400</t>
        </is>
      </c>
      <c r="D58" s="24" t="inlineStr">
        <is>
          <t>SanF-Seat-2026-07-18</t>
        </is>
      </c>
      <c r="E58" s="24" t="inlineStr">
        <is>
          <t>MLB</t>
        </is>
      </c>
      <c r="F58" s="24" t="inlineStr">
        <is>
          <t>San Francisco Giants</t>
        </is>
      </c>
      <c r="G58" s="24" t="inlineStr">
        <is>
          <t>Seattle Mariners</t>
        </is>
      </c>
      <c r="H58" s="24" t="inlineStr">
        <is>
          <t>moneyline</t>
        </is>
      </c>
      <c r="I58" s="24" t="inlineStr">
        <is>
          <t>home</t>
        </is>
      </c>
      <c r="J58" s="38" t="n"/>
      <c r="K58" s="24" t="inlineStr">
        <is>
          <t>polymarket</t>
        </is>
      </c>
      <c r="L58" s="26" t="n">
        <v>-138</v>
      </c>
      <c r="M58" s="39" t="n">
        <v>1.724638</v>
      </c>
      <c r="N58" s="28" t="n">
        <v>0.579832</v>
      </c>
      <c r="O58" s="28" t="n">
        <v>0.597575</v>
      </c>
      <c r="P58" s="28" t="n">
        <v>0.05</v>
      </c>
      <c r="Q58" s="28" t="n">
        <v>0.017743</v>
      </c>
      <c r="R58" s="26" t="n"/>
      <c r="S58" s="29" t="n">
        <v>1.5</v>
      </c>
      <c r="T58" s="24" t="inlineStr">
        <is>
          <t>mlb-elo-trend-lr-v3</t>
        </is>
      </c>
      <c r="U58" s="24" t="inlineStr">
        <is>
          <t>settled</t>
        </is>
      </c>
      <c r="V58" s="24" t="inlineStr">
        <is>
          <t>win</t>
        </is>
      </c>
      <c r="W58" s="26" t="n">
        <v>3</v>
      </c>
      <c r="X58" s="26" t="n">
        <v>4</v>
      </c>
      <c r="Y58" s="38" t="n"/>
      <c r="Z58" s="26" t="n"/>
      <c r="AA58" s="28" t="n"/>
      <c r="AB58" s="28" t="n"/>
      <c r="AC58" s="40" t="n">
        <v>1.087</v>
      </c>
      <c r="AD58" s="24" t="inlineStr">
        <is>
          <t>2026-07-19T12:18:56.427590+00:00</t>
        </is>
      </c>
      <c r="AE58" s="31" t="inlineStr">
        <is>
          <t>backtest</t>
        </is>
      </c>
      <c r="AF58" s="31" t="n"/>
      <c r="AG58" s="24" t="n"/>
      <c r="AH58" s="24" t="n"/>
      <c r="AI58" s="31" t="n"/>
      <c r="AJ58" s="31" t="n"/>
      <c r="AK58" s="24" t="n"/>
      <c r="AL58" s="26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inlineStr">
        <is>
          <t>2026-07-18T17:35:05.699206Z</t>
        </is>
      </c>
      <c r="BI58" s="24" t="n"/>
      <c r="BJ58" s="38" t="n"/>
      <c r="BK58" s="26" t="n">
        <v>-138</v>
      </c>
      <c r="BL58" s="39" t="n">
        <v>1.724638</v>
      </c>
      <c r="BM58" s="28" t="n">
        <v>0.579832</v>
      </c>
      <c r="BN58" s="28" t="n">
        <v>0.577114</v>
      </c>
      <c r="BO58" s="28" t="n"/>
      <c r="BP58" s="38" t="n"/>
      <c r="BQ58" s="39" t="n"/>
      <c r="BR58" s="28" t="n"/>
      <c r="BS58" s="28" t="n"/>
      <c r="BT58" s="28" t="n"/>
      <c r="BU58" s="38" t="n"/>
      <c r="BV58" s="29" t="n"/>
      <c r="BW58" s="24" t="n"/>
      <c r="BX58" s="40" t="n"/>
      <c r="BY58" s="39" t="n"/>
      <c r="BZ58" s="24" t="n"/>
      <c r="CA58" s="31" t="n"/>
    </row>
    <row r="59" ht="36" customHeight="1">
      <c r="A59" s="24" t="inlineStr">
        <is>
          <t>7e8754f391d2475e</t>
        </is>
      </c>
      <c r="B59" s="24" t="inlineStr">
        <is>
          <t>2026-07-19T10:49:38.448695+00:00</t>
        </is>
      </c>
      <c r="C59" s="24" t="inlineStr">
        <is>
          <t>2026-07-18T14:00:00-0400</t>
        </is>
      </c>
      <c r="D59" s="24" t="inlineStr">
        <is>
          <t>Detr-LosA-2026-07-18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Los Angeles Angels</t>
        </is>
      </c>
      <c r="H59" s="24" t="inlineStr">
        <is>
          <t>moneyline</t>
        </is>
      </c>
      <c r="I59" s="24" t="inlineStr">
        <is>
          <t>away</t>
        </is>
      </c>
      <c r="J59" s="38" t="n"/>
      <c r="K59" s="24" t="inlineStr">
        <is>
          <t>polymarket</t>
        </is>
      </c>
      <c r="L59" s="26" t="n">
        <v>-178</v>
      </c>
      <c r="M59" s="39" t="n">
        <v>1.561798</v>
      </c>
      <c r="N59" s="28" t="n">
        <v>0.640288</v>
      </c>
      <c r="O59" s="28" t="n">
        <v>0.550233</v>
      </c>
      <c r="P59" s="28" t="n">
        <v>0.05</v>
      </c>
      <c r="Q59" s="28" t="n">
        <v>-0.090055</v>
      </c>
      <c r="R59" s="26" t="n"/>
      <c r="S59" s="29" t="n">
        <v>1</v>
      </c>
      <c r="T59" s="24" t="inlineStr">
        <is>
          <t>mlb-elo-trend-lr-v3</t>
        </is>
      </c>
      <c r="U59" s="24" t="inlineStr">
        <is>
          <t>settled</t>
        </is>
      </c>
      <c r="V59" s="24" t="inlineStr">
        <is>
          <t>win</t>
        </is>
      </c>
      <c r="W59" s="26" t="n">
        <v>7</v>
      </c>
      <c r="X59" s="26" t="n">
        <v>0</v>
      </c>
      <c r="Y59" s="38" t="n"/>
      <c r="Z59" s="26" t="n"/>
      <c r="AA59" s="28" t="n"/>
      <c r="AB59" s="28" t="n"/>
      <c r="AC59" s="40" t="n">
        <v>0.5618</v>
      </c>
      <c r="AD59" s="24" t="inlineStr">
        <is>
          <t>2026-07-19T12:18:56.428327+00:00</t>
        </is>
      </c>
      <c r="AE59" s="31" t="inlineStr">
        <is>
          <t>backtest</t>
        </is>
      </c>
      <c r="AF59" s="31" t="n"/>
      <c r="AG59" s="24" t="n"/>
      <c r="AH59" s="24" t="n"/>
      <c r="AI59" s="31" t="n"/>
      <c r="AJ59" s="31" t="n"/>
      <c r="AK59" s="24" t="n"/>
      <c r="AL59" s="26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inlineStr">
        <is>
          <t>2026-07-18T17:33:26.013189Z</t>
        </is>
      </c>
      <c r="BI59" s="24" t="n"/>
      <c r="BJ59" s="38" t="n"/>
      <c r="BK59" s="26" t="n">
        <v>-178</v>
      </c>
      <c r="BL59" s="39" t="n">
        <v>1.561798</v>
      </c>
      <c r="BM59" s="28" t="n">
        <v>0.640288</v>
      </c>
      <c r="BN59" s="28" t="n">
        <v>0.636816</v>
      </c>
      <c r="BO59" s="28" t="n"/>
      <c r="BP59" s="38" t="n"/>
      <c r="BQ59" s="39" t="n"/>
      <c r="BR59" s="28" t="n"/>
      <c r="BS59" s="28" t="n"/>
      <c r="BT59" s="28" t="n"/>
      <c r="BU59" s="38" t="n"/>
      <c r="BV59" s="29" t="n"/>
      <c r="BW59" s="24" t="n"/>
      <c r="BX59" s="40" t="n"/>
      <c r="BY59" s="39" t="n"/>
      <c r="BZ59" s="24" t="n"/>
      <c r="CA59" s="31" t="n"/>
    </row>
    <row r="60" ht="36" customHeight="1">
      <c r="A60" s="24" t="inlineStr">
        <is>
          <t>5c32fca0897f4465</t>
        </is>
      </c>
      <c r="B60" s="24" t="inlineStr">
        <is>
          <t>2026-07-19T10:49:38.448695+00:00</t>
        </is>
      </c>
      <c r="C60" s="24" t="inlineStr">
        <is>
          <t>2026-07-18T14:00:00-0400</t>
        </is>
      </c>
      <c r="D60" s="24" t="inlineStr">
        <is>
          <t>Port-Minn-2026-07-18</t>
        </is>
      </c>
      <c r="E60" s="24" t="inlineStr">
        <is>
          <t>WNBA</t>
        </is>
      </c>
      <c r="F60" s="24" t="inlineStr">
        <is>
          <t>Portland Fire</t>
        </is>
      </c>
      <c r="G60" s="24" t="inlineStr">
        <is>
          <t>Minnesota Lynx</t>
        </is>
      </c>
      <c r="H60" s="24" t="inlineStr">
        <is>
          <t>moneyline</t>
        </is>
      </c>
      <c r="I60" s="24" t="inlineStr">
        <is>
          <t>home</t>
        </is>
      </c>
      <c r="J60" s="38" t="n"/>
      <c r="K60" s="24" t="inlineStr">
        <is>
          <t>polymarket</t>
        </is>
      </c>
      <c r="L60" s="26" t="n">
        <v>-669</v>
      </c>
      <c r="M60" s="39" t="n">
        <v>1.149477</v>
      </c>
      <c r="N60" s="28" t="n">
        <v>0.869961</v>
      </c>
      <c r="O60" s="28" t="n">
        <v>0.741703</v>
      </c>
      <c r="P60" s="28" t="n">
        <v>0.05</v>
      </c>
      <c r="Q60" s="28" t="n">
        <v>-0.128258</v>
      </c>
      <c r="R60" s="26" t="n"/>
      <c r="S60" s="29" t="n">
        <v>2</v>
      </c>
      <c r="T60" s="24" t="inlineStr">
        <is>
          <t>wnba-elo-trend-lr-v3</t>
        </is>
      </c>
      <c r="U60" s="24" t="inlineStr">
        <is>
          <t>settled</t>
        </is>
      </c>
      <c r="V60" s="24" t="inlineStr">
        <is>
          <t>win</t>
        </is>
      </c>
      <c r="W60" s="26" t="n">
        <v>93</v>
      </c>
      <c r="X60" s="26" t="n">
        <v>101</v>
      </c>
      <c r="Y60" s="38" t="n"/>
      <c r="Z60" s="26" t="n"/>
      <c r="AA60" s="28" t="n"/>
      <c r="AB60" s="28" t="n"/>
      <c r="AC60" s="40" t="n">
        <v>0.299</v>
      </c>
      <c r="AD60" s="24" t="inlineStr">
        <is>
          <t>2026-07-19T12:18:56.428398+00:00</t>
        </is>
      </c>
      <c r="AE60" s="31" t="inlineStr">
        <is>
          <t>backtest</t>
        </is>
      </c>
      <c r="AF60" s="31" t="n"/>
      <c r="AG60" s="24" t="n"/>
      <c r="AH60" s="24" t="n"/>
      <c r="AI60" s="31" t="n"/>
      <c r="AJ60" s="31" t="n"/>
      <c r="AK60" s="24" t="n"/>
      <c r="AL60" s="26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inlineStr">
        <is>
          <t>2026-07-18T17:33:30.250960Z</t>
        </is>
      </c>
      <c r="BI60" s="24" t="n"/>
      <c r="BJ60" s="38" t="n"/>
      <c r="BK60" s="26" t="n">
        <v>-669</v>
      </c>
      <c r="BL60" s="39" t="n">
        <v>1.149477</v>
      </c>
      <c r="BM60" s="28" t="n">
        <v>0.869961</v>
      </c>
      <c r="BN60" s="28" t="n">
        <v>0.861386</v>
      </c>
      <c r="BO60" s="28" t="n"/>
      <c r="BP60" s="38" t="n"/>
      <c r="BQ60" s="39" t="n"/>
      <c r="BR60" s="28" t="n"/>
      <c r="BS60" s="28" t="n"/>
      <c r="BT60" s="28" t="n"/>
      <c r="BU60" s="38" t="n"/>
      <c r="BV60" s="29" t="n"/>
      <c r="BW60" s="24" t="n"/>
      <c r="BX60" s="40" t="n"/>
      <c r="BY60" s="39" t="n"/>
      <c r="BZ60" s="24" t="n"/>
      <c r="CA60" s="31" t="n"/>
    </row>
    <row r="61" ht="36" customHeight="1">
      <c r="A61" s="24" t="inlineStr">
        <is>
          <t>413a2bc86aab48de</t>
        </is>
      </c>
      <c r="B61" s="24" t="inlineStr">
        <is>
          <t>2026-07-19T10:49:38.448695+00:00</t>
        </is>
      </c>
      <c r="C61" s="24" t="inlineStr">
        <is>
          <t>2026-07-18T14:00:00-0400</t>
        </is>
      </c>
      <c r="D61" s="24" t="inlineStr">
        <is>
          <t>Wash-Gold-2026-07-18</t>
        </is>
      </c>
      <c r="E61" s="24" t="inlineStr">
        <is>
          <t>WNBA</t>
        </is>
      </c>
      <c r="F61" s="24" t="inlineStr">
        <is>
          <t>Washington Mystics</t>
        </is>
      </c>
      <c r="G61" s="24" t="inlineStr">
        <is>
          <t>Golden State Valkyries</t>
        </is>
      </c>
      <c r="H61" s="24" t="inlineStr">
        <is>
          <t>moneyline</t>
        </is>
      </c>
      <c r="I61" s="24" t="inlineStr">
        <is>
          <t>home</t>
        </is>
      </c>
      <c r="J61" s="38" t="n"/>
      <c r="K61" s="24" t="inlineStr">
        <is>
          <t>polymarket</t>
        </is>
      </c>
      <c r="L61" s="26" t="n">
        <v>-355</v>
      </c>
      <c r="M61" s="39" t="n">
        <v>1.28169</v>
      </c>
      <c r="N61" s="28" t="n">
        <v>0.78022</v>
      </c>
      <c r="O61" s="28" t="n">
        <v>0.743891</v>
      </c>
      <c r="P61" s="28" t="n">
        <v>0.05</v>
      </c>
      <c r="Q61" s="28" t="n">
        <v>-0.036329</v>
      </c>
      <c r="R61" s="26" t="n"/>
      <c r="S61" s="29" t="n">
        <v>2</v>
      </c>
      <c r="T61" s="24" t="inlineStr">
        <is>
          <t>wnba-elo-trend-lr-v3</t>
        </is>
      </c>
      <c r="U61" s="24" t="inlineStr">
        <is>
          <t>settled</t>
        </is>
      </c>
      <c r="V61" s="24" t="inlineStr">
        <is>
          <t>win</t>
        </is>
      </c>
      <c r="W61" s="26" t="n">
        <v>69</v>
      </c>
      <c r="X61" s="26" t="n">
        <v>74</v>
      </c>
      <c r="Y61" s="38" t="n"/>
      <c r="Z61" s="26" t="n"/>
      <c r="AA61" s="28" t="n"/>
      <c r="AB61" s="28" t="n"/>
      <c r="AC61" s="40" t="n">
        <v>0.5634</v>
      </c>
      <c r="AD61" s="24" t="inlineStr">
        <is>
          <t>2026-07-19T12:18:56.428540+00:00</t>
        </is>
      </c>
      <c r="AE61" s="31" t="inlineStr">
        <is>
          <t>backtest</t>
        </is>
      </c>
      <c r="AF61" s="31" t="n"/>
      <c r="AG61" s="24" t="n"/>
      <c r="AH61" s="24" t="n"/>
      <c r="AI61" s="31" t="n"/>
      <c r="AJ61" s="31" t="n"/>
      <c r="AK61" s="24" t="n"/>
      <c r="AL61" s="26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inlineStr">
        <is>
          <t>2026-07-18T17:33:31.640957Z</t>
        </is>
      </c>
      <c r="BI61" s="24" t="n"/>
      <c r="BJ61" s="38" t="n"/>
      <c r="BK61" s="26" t="n">
        <v>-355</v>
      </c>
      <c r="BL61" s="39" t="n">
        <v>1.28169</v>
      </c>
      <c r="BM61" s="28" t="n">
        <v>0.78022</v>
      </c>
      <c r="BN61" s="28" t="n">
        <v>0.772277</v>
      </c>
      <c r="BO61" s="28" t="n"/>
      <c r="BP61" s="38" t="n"/>
      <c r="BQ61" s="39" t="n"/>
      <c r="BR61" s="28" t="n"/>
      <c r="BS61" s="28" t="n"/>
      <c r="BT61" s="28" t="n"/>
      <c r="BU61" s="38" t="n"/>
      <c r="BV61" s="29" t="n"/>
      <c r="BW61" s="24" t="n"/>
      <c r="BX61" s="40" t="n"/>
      <c r="BY61" s="39" t="n"/>
      <c r="BZ61" s="24" t="n"/>
      <c r="CA61" s="31" t="n"/>
    </row>
    <row r="62" ht="36" customHeight="1">
      <c r="A62" s="24" t="inlineStr">
        <is>
          <t>39f07dbdee044f92</t>
        </is>
      </c>
      <c r="B62" s="24" t="inlineStr">
        <is>
          <t>2026-07-20T07:27:09.837629Z</t>
        </is>
      </c>
      <c r="C62" s="24" t="inlineStr">
        <is>
          <t>2026-07-20T18:40:00-0400</t>
        </is>
      </c>
      <c r="D62" s="24" t="inlineStr">
        <is>
          <t>401816188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Cleveland Guardians</t>
        </is>
      </c>
      <c r="H62" s="24" t="inlineStr">
        <is>
          <t>moneyline</t>
        </is>
      </c>
      <c r="I62" s="24" t="inlineStr">
        <is>
          <t>home</t>
        </is>
      </c>
      <c r="J62" s="38" t="n"/>
      <c r="K62" s="24" t="inlineStr">
        <is>
          <t>polymarket_us</t>
        </is>
      </c>
      <c r="L62" s="26" t="n">
        <v>108</v>
      </c>
      <c r="M62" s="39" t="n">
        <v>2.08</v>
      </c>
      <c r="N62" s="28" t="n">
        <v>0.480769</v>
      </c>
      <c r="O62" s="28" t="n">
        <v>0.585152</v>
      </c>
      <c r="P62" s="28" t="n"/>
      <c r="Q62" s="28" t="n">
        <v>0.104383</v>
      </c>
      <c r="R62" s="26" t="n">
        <v>100</v>
      </c>
      <c r="S62" s="29" t="n">
        <v>1.25</v>
      </c>
      <c r="T62" s="24" t="inlineStr">
        <is>
          <t>mlb-elo-trend-lr-v3</t>
        </is>
      </c>
      <c r="U62" s="24" t="inlineStr">
        <is>
          <t>open</t>
        </is>
      </c>
      <c r="V62" s="24" t="n"/>
      <c r="W62" s="26" t="n"/>
      <c r="X62" s="26" t="n"/>
      <c r="Y62" s="38" t="n"/>
      <c r="Z62" s="26" t="n"/>
      <c r="AA62" s="28" t="n"/>
      <c r="AB62" s="28" t="n"/>
      <c r="AC62" s="40" t="n"/>
      <c r="AD62" s="24" t="n"/>
      <c r="AE62" s="31" t="inlineStr">
        <is>
          <t>Learned LR call at threshold 0.5150; executable ask 0.4800 (aec-mlb-min-cle-2026-07-20).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mlb-cle</t>
        </is>
      </c>
      <c r="AT62" s="24" t="inlineStr">
        <is>
          <t>Cleveland Guardians</t>
        </is>
      </c>
      <c r="AU62" s="24" t="inlineStr">
        <is>
          <t>Cleveland Guardians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ebdb392c90fd9a9414a97c1b39024e1a4f2c894aee118b3b4598ecd7e5e96695</t>
        </is>
      </c>
      <c r="BB62" s="24" t="inlineStr">
        <is>
          <t>learned_lr</t>
        </is>
      </c>
      <c r="BC62" s="24" t="inlineStr">
        <is>
          <t>mlb-elo-trend-lr-v3</t>
        </is>
      </c>
      <c r="BD62" s="24" t="inlineStr">
        <is>
          <t>ebdb392c90fd9a9414a97c1b39024e1a4f2c894aee118b3b4598ecd7e5e96695</t>
        </is>
      </c>
      <c r="BE62" s="24" t="inlineStr">
        <is>
          <t>bcb6462455cdfab4</t>
        </is>
      </c>
      <c r="BF62" s="24" t="inlineStr">
        <is>
          <t>1</t>
        </is>
      </c>
      <c r="BG62" s="24" t="inlineStr">
        <is>
          <t>mlb-elo-trend-lr-v3</t>
        </is>
      </c>
      <c r="BH62" s="24" t="inlineStr">
        <is>
          <t>2026-07-20T07:25:43.922504Z</t>
        </is>
      </c>
      <c r="BI62" s="24" t="inlineStr">
        <is>
          <t>["same_event","same_team_same_day","same_league_same_day"]</t>
        </is>
      </c>
      <c r="BJ62" s="38" t="n"/>
      <c r="BK62" s="26" t="n">
        <v>108</v>
      </c>
      <c r="BL62" s="39" t="n">
        <v>2.08</v>
      </c>
      <c r="BM62" s="28" t="n">
        <v>0.480769</v>
      </c>
      <c r="BN62" s="28" t="n">
        <v>0.477612</v>
      </c>
      <c r="BO62" s="28" t="n"/>
      <c r="BP62" s="38" t="n"/>
      <c r="BQ62" s="39" t="n"/>
      <c r="BR62" s="28" t="n"/>
      <c r="BS62" s="28" t="n"/>
      <c r="BT62" s="28" t="n"/>
      <c r="BU62" s="38" t="n"/>
      <c r="BV62" s="29" t="n"/>
      <c r="BW62" s="24" t="n"/>
      <c r="BX62" s="40" t="n"/>
      <c r="BY62" s="39" t="n"/>
      <c r="BZ62" s="24" t="n"/>
      <c r="CA62" s="31" t="n"/>
    </row>
    <row r="63" ht="36" customHeight="1">
      <c r="A63" s="24" t="inlineStr">
        <is>
          <t>25fe08e3be954adb</t>
        </is>
      </c>
      <c r="B63" s="24" t="inlineStr">
        <is>
          <t>2026-07-20T07:27:09.837629Z</t>
        </is>
      </c>
      <c r="C63" s="24" t="inlineStr">
        <is>
          <t>2026-07-20T19:00:00-0400</t>
        </is>
      </c>
      <c r="D63" s="24" t="inlineStr">
        <is>
          <t>401816187</t>
        </is>
      </c>
      <c r="E63" s="24" t="inlineStr">
        <is>
          <t>MLB</t>
        </is>
      </c>
      <c r="F63" s="24" t="inlineStr">
        <is>
          <t>Los Angeles Dodgers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away</t>
        </is>
      </c>
      <c r="J63" s="38" t="n"/>
      <c r="K63" s="24" t="inlineStr">
        <is>
          <t>polymarket_us</t>
        </is>
      </c>
      <c r="L63" s="26" t="n">
        <v>125</v>
      </c>
      <c r="M63" s="39" t="n">
        <v>2.25</v>
      </c>
      <c r="N63" s="28" t="n">
        <v>0.444444</v>
      </c>
      <c r="O63" s="28" t="n">
        <v>0.534274</v>
      </c>
      <c r="P63" s="28" t="n"/>
      <c r="Q63" s="28" t="n">
        <v>0.08982999999999999</v>
      </c>
      <c r="R63" s="26" t="n">
        <v>65</v>
      </c>
      <c r="S63" s="29" t="n">
        <v>0.75</v>
      </c>
      <c r="T63" s="24" t="inlineStr">
        <is>
          <t>mlb-elo-trend-lr-v3</t>
        </is>
      </c>
      <c r="U63" s="24" t="inlineStr">
        <is>
          <t>open</t>
        </is>
      </c>
      <c r="V63" s="24" t="n"/>
      <c r="W63" s="26" t="n"/>
      <c r="X63" s="26" t="n"/>
      <c r="Y63" s="38" t="n"/>
      <c r="Z63" s="26" t="n"/>
      <c r="AA63" s="28" t="n"/>
      <c r="AB63" s="28" t="n"/>
      <c r="AC63" s="40" t="n"/>
      <c r="AD63" s="24" t="n"/>
      <c r="AE63" s="31" t="inlineStr">
        <is>
          <t>Learned LR call at threshold 0.5150; executable ask 0.4450 (aec-mlb-lad-phi-2026-07-20).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mlb-lad</t>
        </is>
      </c>
      <c r="AQ63" s="24" t="inlineStr">
        <is>
          <t>Los Angeles Dodgers</t>
        </is>
      </c>
      <c r="AR63" s="24" t="inlineStr">
        <is>
          <t>Los Angeles Dodgers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ebdb392c90fd9a9414a97c1b39024e1a4f2c894aee118b3b4598ecd7e5e96695</t>
        </is>
      </c>
      <c r="BB63" s="24" t="inlineStr">
        <is>
          <t>learned_lr</t>
        </is>
      </c>
      <c r="BC63" s="24" t="inlineStr">
        <is>
          <t>mlb-elo-trend-lr-v3</t>
        </is>
      </c>
      <c r="BD63" s="24" t="inlineStr">
        <is>
          <t>ebdb392c90fd9a9414a97c1b39024e1a4f2c894aee118b3b4598ecd7e5e96695</t>
        </is>
      </c>
      <c r="BE63" s="24" t="inlineStr">
        <is>
          <t>f54ac71be1a765d8</t>
        </is>
      </c>
      <c r="BF63" s="24" t="inlineStr">
        <is>
          <t>1</t>
        </is>
      </c>
      <c r="BG63" s="24" t="inlineStr">
        <is>
          <t>mlb-elo-trend-lr-v3</t>
        </is>
      </c>
      <c r="BH63" s="24" t="inlineStr">
        <is>
          <t>2026-07-20T07:25:49.234179Z</t>
        </is>
      </c>
      <c r="BI63" s="24" t="inlineStr">
        <is>
          <t>["same_event","same_team_same_day","same_league_same_day"]</t>
        </is>
      </c>
      <c r="BJ63" s="38" t="n"/>
      <c r="BK63" s="26" t="n">
        <v>125</v>
      </c>
      <c r="BL63" s="39" t="n">
        <v>2.25</v>
      </c>
      <c r="BM63" s="28" t="n">
        <v>0.444444</v>
      </c>
      <c r="BN63" s="28" t="n">
        <v>0.442786</v>
      </c>
      <c r="BO63" s="28" t="n"/>
      <c r="BP63" s="38" t="n"/>
      <c r="BQ63" s="39" t="n"/>
      <c r="BR63" s="28" t="n"/>
      <c r="BS63" s="28" t="n"/>
      <c r="BT63" s="28" t="n"/>
      <c r="BU63" s="38" t="n"/>
      <c r="BV63" s="29" t="n"/>
      <c r="BW63" s="24" t="n"/>
      <c r="BX63" s="40" t="n"/>
      <c r="BY63" s="39" t="n"/>
      <c r="BZ63" s="24" t="n"/>
      <c r="CA63" s="31" t="n"/>
    </row>
    <row r="64" ht="36" customHeight="1">
      <c r="A64" s="24" t="inlineStr">
        <is>
          <t>043f9b9799c44ad4</t>
        </is>
      </c>
      <c r="B64" s="24" t="inlineStr">
        <is>
          <t>2026-07-20T07:27:09.837629Z</t>
        </is>
      </c>
      <c r="C64" s="24" t="inlineStr">
        <is>
          <t>2026-07-20T19:05:00-0400</t>
        </is>
      </c>
      <c r="D64" s="24" t="inlineStr">
        <is>
          <t>401816189</t>
        </is>
      </c>
      <c r="E64" s="24" t="inlineStr">
        <is>
          <t>MLB</t>
        </is>
      </c>
      <c r="F64" s="24" t="inlineStr">
        <is>
          <t>Pittsburgh Pirates</t>
        </is>
      </c>
      <c r="G64" s="24" t="inlineStr">
        <is>
          <t>New York Yankees</t>
        </is>
      </c>
      <c r="H64" s="24" t="inlineStr">
        <is>
          <t>moneyline</t>
        </is>
      </c>
      <c r="I64" s="24" t="inlineStr">
        <is>
          <t>home</t>
        </is>
      </c>
      <c r="J64" s="38" t="n"/>
      <c r="K64" s="24" t="inlineStr">
        <is>
          <t>polymarket_us</t>
        </is>
      </c>
      <c r="L64" s="26" t="n">
        <v>-111</v>
      </c>
      <c r="M64" s="39" t="n">
        <v>1.900901</v>
      </c>
      <c r="N64" s="28" t="n">
        <v>0.526066</v>
      </c>
      <c r="O64" s="28" t="n">
        <v>0.588959</v>
      </c>
      <c r="P64" s="28" t="n"/>
      <c r="Q64" s="28" t="n">
        <v>0.062893</v>
      </c>
      <c r="R64" s="26" t="n">
        <v>51</v>
      </c>
      <c r="S64" s="29" t="n">
        <v>1.5</v>
      </c>
      <c r="T64" s="24" t="inlineStr">
        <is>
          <t>mlb-elo-trend-lr-v3</t>
        </is>
      </c>
      <c r="U64" s="24" t="inlineStr">
        <is>
          <t>open</t>
        </is>
      </c>
      <c r="V64" s="24" t="n"/>
      <c r="W64" s="26" t="n"/>
      <c r="X64" s="26" t="n"/>
      <c r="Y64" s="38" t="n"/>
      <c r="Z64" s="26" t="n"/>
      <c r="AA64" s="28" t="n"/>
      <c r="AB64" s="28" t="n"/>
      <c r="AC64" s="40" t="n"/>
      <c r="AD64" s="24" t="n"/>
      <c r="AE64" s="31" t="inlineStr">
        <is>
          <t>Learned LR call at threshold 0.5150; executable ask 0.5250 (aec-mlb-pit-nyy-2026-07-20).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mlb-pit</t>
        </is>
      </c>
      <c r="AQ64" s="24" t="inlineStr">
        <is>
          <t>Pittsburgh Pirates</t>
        </is>
      </c>
      <c r="AR64" s="24" t="inlineStr">
        <is>
          <t>Pittsburgh Pirates</t>
        </is>
      </c>
      <c r="AS64" s="24" t="inlineStr">
        <is>
          <t>mlb-nyy</t>
        </is>
      </c>
      <c r="AT64" s="24" t="inlineStr">
        <is>
          <t>New York Yankees</t>
        </is>
      </c>
      <c r="AU64" s="24" t="inlineStr">
        <is>
          <t>New York Yankees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ebdb392c90fd9a9414a97c1b39024e1a4f2c894aee118b3b4598ecd7e5e96695</t>
        </is>
      </c>
      <c r="BB64" s="24" t="inlineStr">
        <is>
          <t>learned_lr</t>
        </is>
      </c>
      <c r="BC64" s="24" t="inlineStr">
        <is>
          <t>mlb-elo-trend-lr-v3</t>
        </is>
      </c>
      <c r="BD64" s="24" t="inlineStr">
        <is>
          <t>ebdb392c90fd9a9414a97c1b39024e1a4f2c894aee118b3b4598ecd7e5e96695</t>
        </is>
      </c>
      <c r="BE64" s="24" t="inlineStr">
        <is>
          <t>847c7c728fdb87de</t>
        </is>
      </c>
      <c r="BF64" s="24" t="inlineStr">
        <is>
          <t>1</t>
        </is>
      </c>
      <c r="BG64" s="24" t="inlineStr">
        <is>
          <t>mlb-elo-trend-lr-v3</t>
        </is>
      </c>
      <c r="BH64" s="24" t="inlineStr">
        <is>
          <t>2026-07-20T07:25:45.280685Z</t>
        </is>
      </c>
      <c r="BI64" s="24" t="inlineStr">
        <is>
          <t>["same_event","same_team_same_day","same_league_same_day"]</t>
        </is>
      </c>
      <c r="BJ64" s="38" t="n"/>
      <c r="BK64" s="26" t="n">
        <v>-111</v>
      </c>
      <c r="BL64" s="39" t="n">
        <v>1.900901</v>
      </c>
      <c r="BM64" s="28" t="n">
        <v>0.526066</v>
      </c>
      <c r="BN64" s="28" t="n">
        <v>0.522388</v>
      </c>
      <c r="BO64" s="28" t="n"/>
      <c r="BP64" s="38" t="n"/>
      <c r="BQ64" s="39" t="n"/>
      <c r="BR64" s="28" t="n"/>
      <c r="BS64" s="28" t="n"/>
      <c r="BT64" s="28" t="n"/>
      <c r="BU64" s="38" t="n"/>
      <c r="BV64" s="29" t="n"/>
      <c r="BW64" s="24" t="n"/>
      <c r="BX64" s="40" t="n"/>
      <c r="BY64" s="39" t="n"/>
      <c r="BZ64" s="24" t="n"/>
      <c r="CA64" s="31" t="n"/>
    </row>
    <row r="65" ht="36" customHeight="1">
      <c r="A65" s="24" t="inlineStr">
        <is>
          <t>75cf9949602a4c17</t>
        </is>
      </c>
      <c r="B65" s="24" t="inlineStr">
        <is>
          <t>2026-07-20T07:27:09.837629Z</t>
        </is>
      </c>
      <c r="C65" s="24" t="inlineStr">
        <is>
          <t>2026-07-20T19:07:00-0400</t>
        </is>
      </c>
      <c r="D65" s="24" t="inlineStr">
        <is>
          <t>401816191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Toronto Blue Jays</t>
        </is>
      </c>
      <c r="H65" s="24" t="inlineStr">
        <is>
          <t>moneyline</t>
        </is>
      </c>
      <c r="I65" s="24" t="inlineStr">
        <is>
          <t>home</t>
        </is>
      </c>
      <c r="J65" s="38" t="n"/>
      <c r="K65" s="24" t="inlineStr">
        <is>
          <t>polymarket_us</t>
        </is>
      </c>
      <c r="L65" s="26" t="n">
        <v>-138</v>
      </c>
      <c r="M65" s="39" t="n">
        <v>1.724638</v>
      </c>
      <c r="N65" s="28" t="n">
        <v>0.579832</v>
      </c>
      <c r="O65" s="28" t="n">
        <v>0.528636</v>
      </c>
      <c r="P65" s="28" t="n"/>
      <c r="Q65" s="28" t="n">
        <v>-0.051196</v>
      </c>
      <c r="R65" s="26" t="n">
        <v>0</v>
      </c>
      <c r="S65" s="29" t="n">
        <v>0.75</v>
      </c>
      <c r="T65" s="24" t="inlineStr">
        <is>
          <t>mlb-elo-trend-lr-v3</t>
        </is>
      </c>
      <c r="U65" s="24" t="inlineStr">
        <is>
          <t>open</t>
        </is>
      </c>
      <c r="V65" s="24" t="n"/>
      <c r="W65" s="26" t="n"/>
      <c r="X65" s="26" t="n"/>
      <c r="Y65" s="38" t="n"/>
      <c r="Z65" s="26" t="n"/>
      <c r="AA65" s="28" t="n"/>
      <c r="AB65" s="28" t="n"/>
      <c r="AC65" s="40" t="n"/>
      <c r="AD65" s="24" t="n"/>
      <c r="AE65" s="31" t="inlineStr">
        <is>
          <t>Learned LR call at threshold 0.5150; executable ask 0.5800 (aec-mlb-tb-tor-2026-07-20).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mlb-tor</t>
        </is>
      </c>
      <c r="AT65" s="24" t="inlineStr">
        <is>
          <t>Toronto Blue Jays</t>
        </is>
      </c>
      <c r="AU65" s="24" t="inlineStr">
        <is>
          <t>Toronto Blue Jays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ebdb392c90fd9a9414a97c1b39024e1a4f2c894aee118b3b4598ecd7e5e96695</t>
        </is>
      </c>
      <c r="BB65" s="24" t="inlineStr">
        <is>
          <t>learned_lr</t>
        </is>
      </c>
      <c r="BC65" s="24" t="inlineStr">
        <is>
          <t>mlb-elo-trend-lr-v3</t>
        </is>
      </c>
      <c r="BD65" s="24" t="inlineStr">
        <is>
          <t>ebdb392c90fd9a9414a97c1b39024e1a4f2c894aee118b3b4598ecd7e5e96695</t>
        </is>
      </c>
      <c r="BE65" s="24" t="inlineStr">
        <is>
          <t>83a50acec79889d1</t>
        </is>
      </c>
      <c r="BF65" s="24" t="inlineStr">
        <is>
          <t>1</t>
        </is>
      </c>
      <c r="BG65" s="24" t="inlineStr">
        <is>
          <t>mlb-elo-trend-lr-v3</t>
        </is>
      </c>
      <c r="BH65" s="24" t="inlineStr">
        <is>
          <t>2026-07-20T07:25:46.631829Z</t>
        </is>
      </c>
      <c r="BI65" s="24" t="inlineStr">
        <is>
          <t>["same_event","same_team_same_day","same_league_same_day"]</t>
        </is>
      </c>
      <c r="BJ65" s="38" t="n"/>
      <c r="BK65" s="26" t="n">
        <v>-138</v>
      </c>
      <c r="BL65" s="39" t="n">
        <v>1.724638</v>
      </c>
      <c r="BM65" s="28" t="n">
        <v>0.579832</v>
      </c>
      <c r="BN65" s="28" t="n">
        <v>0.577114</v>
      </c>
      <c r="BO65" s="28" t="n"/>
      <c r="BP65" s="38" t="n"/>
      <c r="BQ65" s="39" t="n"/>
      <c r="BR65" s="28" t="n"/>
      <c r="BS65" s="28" t="n"/>
      <c r="BT65" s="28" t="n"/>
      <c r="BU65" s="38" t="n"/>
      <c r="BV65" s="29" t="n"/>
      <c r="BW65" s="24" t="n"/>
      <c r="BX65" s="40" t="n"/>
      <c r="BY65" s="39" t="n"/>
      <c r="BZ65" s="24" t="n"/>
      <c r="CA65" s="31" t="n"/>
    </row>
    <row r="66" ht="36" customHeight="1">
      <c r="A66" s="24" t="inlineStr">
        <is>
          <t>bd769f5d72db48bb</t>
        </is>
      </c>
      <c r="B66" s="24" t="inlineStr">
        <is>
          <t>2026-07-20T07:27:09.837629Z</t>
        </is>
      </c>
      <c r="C66" s="24" t="inlineStr">
        <is>
          <t>2026-07-20T19:10:00-0400</t>
        </is>
      </c>
      <c r="D66" s="24" t="inlineStr">
        <is>
          <t>401816186</t>
        </is>
      </c>
      <c r="E66" s="24" t="inlineStr">
        <is>
          <t>MLB</t>
        </is>
      </c>
      <c r="F66" s="24" t="inlineStr">
        <is>
          <t>Baltimore Orioles</t>
        </is>
      </c>
      <c r="G66" s="24" t="inlineStr">
        <is>
          <t>Boston Red Sox</t>
        </is>
      </c>
      <c r="H66" s="24" t="inlineStr">
        <is>
          <t>moneyline</t>
        </is>
      </c>
      <c r="I66" s="24" t="inlineStr">
        <is>
          <t>home</t>
        </is>
      </c>
      <c r="J66" s="38" t="n"/>
      <c r="K66" s="24" t="inlineStr">
        <is>
          <t>polymarket_us</t>
        </is>
      </c>
      <c r="L66" s="26" t="n">
        <v>-135</v>
      </c>
      <c r="M66" s="39" t="n">
        <v>1.740741</v>
      </c>
      <c r="N66" s="28" t="n">
        <v>0.574468</v>
      </c>
      <c r="O66" s="28" t="n">
        <v>0.565634</v>
      </c>
      <c r="P66" s="28" t="n"/>
      <c r="Q66" s="28" t="n">
        <v>-0.008834</v>
      </c>
      <c r="R66" s="26" t="n">
        <v>16</v>
      </c>
      <c r="S66" s="29" t="n">
        <v>1.25</v>
      </c>
      <c r="T66" s="24" t="inlineStr">
        <is>
          <t>mlb-elo-trend-lr-v3</t>
        </is>
      </c>
      <c r="U66" s="24" t="inlineStr">
        <is>
          <t>open</t>
        </is>
      </c>
      <c r="V66" s="24" t="n"/>
      <c r="W66" s="26" t="n"/>
      <c r="X66" s="26" t="n"/>
      <c r="Y66" s="38" t="n"/>
      <c r="Z66" s="26" t="n"/>
      <c r="AA66" s="28" t="n"/>
      <c r="AB66" s="28" t="n"/>
      <c r="AC66" s="40" t="n"/>
      <c r="AD66" s="24" t="n"/>
      <c r="AE66" s="31" t="inlineStr">
        <is>
          <t>Learned LR call at threshold 0.5150; executable ask 0.5750 (aec-mlb-bal-bos-2026-07-20).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mlb-bal</t>
        </is>
      </c>
      <c r="AQ66" s="24" t="inlineStr">
        <is>
          <t>Baltimore Orioles</t>
        </is>
      </c>
      <c r="AR66" s="24" t="inlineStr">
        <is>
          <t>Baltimore Orioles</t>
        </is>
      </c>
      <c r="AS66" s="24" t="inlineStr">
        <is>
          <t>mlb-bos</t>
        </is>
      </c>
      <c r="AT66" s="24" t="inlineStr">
        <is>
          <t>Boston Red Sox</t>
        </is>
      </c>
      <c r="AU66" s="24" t="inlineStr">
        <is>
          <t>Boston Red Sox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ebdb392c90fd9a9414a97c1b39024e1a4f2c894aee118b3b4598ecd7e5e96695</t>
        </is>
      </c>
      <c r="BB66" s="24" t="inlineStr">
        <is>
          <t>learned_lr</t>
        </is>
      </c>
      <c r="BC66" s="24" t="inlineStr">
        <is>
          <t>mlb-elo-trend-lr-v3</t>
        </is>
      </c>
      <c r="BD66" s="24" t="inlineStr">
        <is>
          <t>ebdb392c90fd9a9414a97c1b39024e1a4f2c894aee118b3b4598ecd7e5e96695</t>
        </is>
      </c>
      <c r="BE66" s="24" t="inlineStr">
        <is>
          <t>f90d77bcf90af7a6</t>
        </is>
      </c>
      <c r="BF66" s="24" t="inlineStr">
        <is>
          <t>1</t>
        </is>
      </c>
      <c r="BG66" s="24" t="inlineStr">
        <is>
          <t>mlb-elo-trend-lr-v3</t>
        </is>
      </c>
      <c r="BH66" s="24" t="inlineStr">
        <is>
          <t>2026-07-20T07:25:48.021174Z</t>
        </is>
      </c>
      <c r="BI66" s="24" t="inlineStr">
        <is>
          <t>["same_event","same_team_same_day","same_league_same_day"]</t>
        </is>
      </c>
      <c r="BJ66" s="38" t="n"/>
      <c r="BK66" s="26" t="n">
        <v>-135</v>
      </c>
      <c r="BL66" s="39" t="n">
        <v>1.740741</v>
      </c>
      <c r="BM66" s="28" t="n">
        <v>0.574468</v>
      </c>
      <c r="BN66" s="28" t="n">
        <v>0.572139</v>
      </c>
      <c r="BO66" s="28" t="n"/>
      <c r="BP66" s="38" t="n"/>
      <c r="BQ66" s="39" t="n"/>
      <c r="BR66" s="28" t="n"/>
      <c r="BS66" s="28" t="n"/>
      <c r="BT66" s="28" t="n"/>
      <c r="BU66" s="38" t="n"/>
      <c r="BV66" s="29" t="n"/>
      <c r="BW66" s="24" t="n"/>
      <c r="BX66" s="40" t="n"/>
      <c r="BY66" s="39" t="n"/>
      <c r="BZ66" s="24" t="n"/>
      <c r="CA66" s="31" t="n"/>
    </row>
    <row r="67" ht="36" customHeight="1">
      <c r="A67" s="24" t="inlineStr">
        <is>
          <t>6f908cfbb4fb4660</t>
        </is>
      </c>
      <c r="B67" s="24" t="inlineStr">
        <is>
          <t>2026-07-20T07:27:09.837629Z</t>
        </is>
      </c>
      <c r="C67" s="24" t="inlineStr">
        <is>
          <t>2026-07-20T19:15:00-0400</t>
        </is>
      </c>
      <c r="D67" s="24" t="inlineStr">
        <is>
          <t>401816190</t>
        </is>
      </c>
      <c r="E67" s="24" t="inlineStr">
        <is>
          <t>MLB</t>
        </is>
      </c>
      <c r="F67" s="24" t="inlineStr">
        <is>
          <t>San Diego Padres</t>
        </is>
      </c>
      <c r="G67" s="24" t="inlineStr">
        <is>
          <t>Atlanta Braves</t>
        </is>
      </c>
      <c r="H67" s="24" t="inlineStr">
        <is>
          <t>moneyline</t>
        </is>
      </c>
      <c r="I67" s="24" t="inlineStr">
        <is>
          <t>home</t>
        </is>
      </c>
      <c r="J67" s="38" t="n"/>
      <c r="K67" s="24" t="inlineStr">
        <is>
          <t>polymarket_us</t>
        </is>
      </c>
      <c r="L67" s="26" t="n">
        <v>-135</v>
      </c>
      <c r="M67" s="39" t="n">
        <v>1.740741</v>
      </c>
      <c r="N67" s="28" t="n">
        <v>0.574468</v>
      </c>
      <c r="O67" s="28" t="n">
        <v>0.5478730000000001</v>
      </c>
      <c r="P67" s="28" t="n"/>
      <c r="Q67" s="28" t="n">
        <v>-0.026595</v>
      </c>
      <c r="R67" s="26" t="n">
        <v>7</v>
      </c>
      <c r="S67" s="29" t="n">
        <v>1</v>
      </c>
      <c r="T67" s="24" t="inlineStr">
        <is>
          <t>mlb-elo-trend-lr-v3</t>
        </is>
      </c>
      <c r="U67" s="24" t="inlineStr">
        <is>
          <t>open</t>
        </is>
      </c>
      <c r="V67" s="24" t="n"/>
      <c r="W67" s="26" t="n"/>
      <c r="X67" s="26" t="n"/>
      <c r="Y67" s="38" t="n"/>
      <c r="Z67" s="26" t="n"/>
      <c r="AA67" s="28" t="n"/>
      <c r="AB67" s="28" t="n"/>
      <c r="AC67" s="40" t="n"/>
      <c r="AD67" s="24" t="n"/>
      <c r="AE67" s="31" t="inlineStr">
        <is>
          <t>Learned LR call at threshold 0.5150; executable ask 0.5750 (aec-mlb-sd-atl-2026-07-20).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mlb-sd</t>
        </is>
      </c>
      <c r="AQ67" s="24" t="inlineStr">
        <is>
          <t>San Diego Padres</t>
        </is>
      </c>
      <c r="AR67" s="24" t="inlineStr">
        <is>
          <t>San Diego Padres</t>
        </is>
      </c>
      <c r="AS67" s="24" t="inlineStr">
        <is>
          <t>mlb-atl</t>
        </is>
      </c>
      <c r="AT67" s="24" t="inlineStr">
        <is>
          <t>Atlanta Braves</t>
        </is>
      </c>
      <c r="AU67" s="24" t="inlineStr">
        <is>
          <t>Atlanta Braves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ebdb392c90fd9a9414a97c1b39024e1a4f2c894aee118b3b4598ecd7e5e96695</t>
        </is>
      </c>
      <c r="BB67" s="24" t="inlineStr">
        <is>
          <t>learned_lr</t>
        </is>
      </c>
      <c r="BC67" s="24" t="inlineStr">
        <is>
          <t>mlb-elo-trend-lr-v3</t>
        </is>
      </c>
      <c r="BD67" s="24" t="inlineStr">
        <is>
          <t>ebdb392c90fd9a9414a97c1b39024e1a4f2c894aee118b3b4598ecd7e5e96695</t>
        </is>
      </c>
      <c r="BE67" s="24" t="inlineStr">
        <is>
          <t>dcaf75f7da769912</t>
        </is>
      </c>
      <c r="BF67" s="24" t="inlineStr">
        <is>
          <t>1</t>
        </is>
      </c>
      <c r="BG67" s="24" t="inlineStr">
        <is>
          <t>mlb-elo-trend-lr-v3</t>
        </is>
      </c>
      <c r="BH67" s="24" t="inlineStr">
        <is>
          <t>2026-07-20T07:25:50.370060Z</t>
        </is>
      </c>
      <c r="BI67" s="24" t="inlineStr">
        <is>
          <t>["same_event","same_team_same_day","same_league_same_day"]</t>
        </is>
      </c>
      <c r="BJ67" s="38" t="n"/>
      <c r="BK67" s="26" t="n">
        <v>-135</v>
      </c>
      <c r="BL67" s="39" t="n">
        <v>1.740741</v>
      </c>
      <c r="BM67" s="28" t="n">
        <v>0.574468</v>
      </c>
      <c r="BN67" s="28" t="n">
        <v>0.572139</v>
      </c>
      <c r="BO67" s="28" t="n"/>
      <c r="BP67" s="38" t="n"/>
      <c r="BQ67" s="39" t="n"/>
      <c r="BR67" s="28" t="n"/>
      <c r="BS67" s="28" t="n"/>
      <c r="BT67" s="28" t="n"/>
      <c r="BU67" s="38" t="n"/>
      <c r="BV67" s="29" t="n"/>
      <c r="BW67" s="24" t="n"/>
      <c r="BX67" s="40" t="n"/>
      <c r="BY67" s="39" t="n"/>
      <c r="BZ67" s="24" t="n"/>
      <c r="CA67" s="31" t="n"/>
    </row>
    <row r="68" ht="36" customHeight="1">
      <c r="A68" s="24" t="inlineStr">
        <is>
          <t>b3d04af2bb2445ec</t>
        </is>
      </c>
      <c r="B68" s="24" t="inlineStr">
        <is>
          <t>2026-07-20T07:27:09.837629Z</t>
        </is>
      </c>
      <c r="C68" s="24" t="inlineStr">
        <is>
          <t>2026-07-20T19:40:00-0400</t>
        </is>
      </c>
      <c r="D68" s="24" t="inlineStr">
        <is>
          <t>401816195</t>
        </is>
      </c>
      <c r="E68" s="24" t="inlineStr">
        <is>
          <t>MLB</t>
        </is>
      </c>
      <c r="F68" s="24" t="inlineStr">
        <is>
          <t>New York Mets</t>
        </is>
      </c>
      <c r="G68" s="24" t="inlineStr">
        <is>
          <t>Milwaukee Brewers</t>
        </is>
      </c>
      <c r="H68" s="24" t="inlineStr">
        <is>
          <t>moneyline</t>
        </is>
      </c>
      <c r="I68" s="24" t="inlineStr">
        <is>
          <t>home</t>
        </is>
      </c>
      <c r="J68" s="38" t="n"/>
      <c r="K68" s="24" t="inlineStr">
        <is>
          <t>polymarket_us</t>
        </is>
      </c>
      <c r="L68" s="26" t="n">
        <v>-190</v>
      </c>
      <c r="M68" s="39" t="n">
        <v>1.526316</v>
      </c>
      <c r="N68" s="28" t="n">
        <v>0.655172</v>
      </c>
      <c r="O68" s="28" t="n">
        <v>0.6384</v>
      </c>
      <c r="P68" s="28" t="n"/>
      <c r="Q68" s="28" t="n">
        <v>-0.016772</v>
      </c>
      <c r="R68" s="26" t="n">
        <v>12</v>
      </c>
      <c r="S68" s="29" t="n">
        <v>2</v>
      </c>
      <c r="T68" s="24" t="inlineStr">
        <is>
          <t>mlb-elo-trend-lr-v3</t>
        </is>
      </c>
      <c r="U68" s="24" t="inlineStr">
        <is>
          <t>open</t>
        </is>
      </c>
      <c r="V68" s="24" t="n"/>
      <c r="W68" s="26" t="n"/>
      <c r="X68" s="26" t="n"/>
      <c r="Y68" s="38" t="n"/>
      <c r="Z68" s="26" t="n"/>
      <c r="AA68" s="28" t="n"/>
      <c r="AB68" s="28" t="n"/>
      <c r="AC68" s="40" t="n"/>
      <c r="AD68" s="24" t="n"/>
      <c r="AE68" s="31" t="inlineStr">
        <is>
          <t>Learned LR call at threshold 0.5150; executable ask 0.6550 (aec-mlb-nym-mil-2026-07-20).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mlb-nym</t>
        </is>
      </c>
      <c r="AQ68" s="24" t="inlineStr">
        <is>
          <t>New York Mets</t>
        </is>
      </c>
      <c r="AR68" s="24" t="inlineStr">
        <is>
          <t>New York Mets</t>
        </is>
      </c>
      <c r="AS68" s="24" t="inlineStr">
        <is>
          <t>mlb-mil</t>
        </is>
      </c>
      <c r="AT68" s="24" t="inlineStr">
        <is>
          <t>Milwaukee Brewers</t>
        </is>
      </c>
      <c r="AU68" s="24" t="inlineStr">
        <is>
          <t>Milwaukee Brewers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ebdb392c90fd9a9414a97c1b39024e1a4f2c894aee118b3b4598ecd7e5e96695</t>
        </is>
      </c>
      <c r="BB68" s="24" t="inlineStr">
        <is>
          <t>learned_lr</t>
        </is>
      </c>
      <c r="BC68" s="24" t="inlineStr">
        <is>
          <t>mlb-elo-trend-lr-v3</t>
        </is>
      </c>
      <c r="BD68" s="24" t="inlineStr">
        <is>
          <t>ebdb392c90fd9a9414a97c1b39024e1a4f2c894aee118b3b4598ecd7e5e96695</t>
        </is>
      </c>
      <c r="BE68" s="24" t="inlineStr">
        <is>
          <t>08844b1e52756e6a</t>
        </is>
      </c>
      <c r="BF68" s="24" t="inlineStr">
        <is>
          <t>1</t>
        </is>
      </c>
      <c r="BG68" s="24" t="inlineStr">
        <is>
          <t>mlb-elo-trend-lr-v3</t>
        </is>
      </c>
      <c r="BH68" s="24" t="inlineStr">
        <is>
          <t>2026-07-20T07:25:51.762171Z</t>
        </is>
      </c>
      <c r="BI68" s="24" t="inlineStr">
        <is>
          <t>["same_event","same_team_same_day","same_league_same_day"]</t>
        </is>
      </c>
      <c r="BJ68" s="38" t="n"/>
      <c r="BK68" s="26" t="n">
        <v>-190</v>
      </c>
      <c r="BL68" s="39" t="n">
        <v>1.526316</v>
      </c>
      <c r="BM68" s="28" t="n">
        <v>0.655172</v>
      </c>
      <c r="BN68" s="28" t="n">
        <v>0.651741</v>
      </c>
      <c r="BO68" s="28" t="n"/>
      <c r="BP68" s="38" t="n"/>
      <c r="BQ68" s="39" t="n"/>
      <c r="BR68" s="28" t="n"/>
      <c r="BS68" s="28" t="n"/>
      <c r="BT68" s="28" t="n"/>
      <c r="BU68" s="38" t="n"/>
      <c r="BV68" s="29" t="n"/>
      <c r="BW68" s="24" t="n"/>
      <c r="BX68" s="40" t="n"/>
      <c r="BY68" s="39" t="n"/>
      <c r="BZ68" s="24" t="n"/>
      <c r="CA68" s="31" t="n"/>
    </row>
    <row r="69" ht="36" customHeight="1">
      <c r="A69" s="24" t="inlineStr">
        <is>
          <t>07c094e50e3443bc</t>
        </is>
      </c>
      <c r="B69" s="24" t="inlineStr">
        <is>
          <t>2026-07-20T07:27:09.837629Z</t>
        </is>
      </c>
      <c r="C69" s="24" t="inlineStr">
        <is>
          <t>2026-07-20T20:05:00-0400</t>
        </is>
      </c>
      <c r="D69" s="24" t="inlineStr">
        <is>
          <t>401816192</t>
        </is>
      </c>
      <c r="E69" s="24" t="inlineStr">
        <is>
          <t>MLB</t>
        </is>
      </c>
      <c r="F69" s="24" t="inlineStr">
        <is>
          <t>Chicago White Sox</t>
        </is>
      </c>
      <c r="G69" s="24" t="inlineStr">
        <is>
          <t>Texas Rangers</t>
        </is>
      </c>
      <c r="H69" s="24" t="inlineStr">
        <is>
          <t>moneyline</t>
        </is>
      </c>
      <c r="I69" s="24" t="inlineStr">
        <is>
          <t>home</t>
        </is>
      </c>
      <c r="J69" s="38" t="n"/>
      <c r="K69" s="24" t="inlineStr">
        <is>
          <t>polymarket_us</t>
        </is>
      </c>
      <c r="L69" s="26" t="n">
        <v>-156</v>
      </c>
      <c r="M69" s="39" t="n">
        <v>1.641026</v>
      </c>
      <c r="N69" s="28" t="n">
        <v>0.609375</v>
      </c>
      <c r="O69" s="28" t="n">
        <v>0.518942</v>
      </c>
      <c r="P69" s="28" t="n"/>
      <c r="Q69" s="28" t="n">
        <v>-0.090433</v>
      </c>
      <c r="R69" s="26" t="n">
        <v>0</v>
      </c>
      <c r="S69" s="29" t="n">
        <v>0.75</v>
      </c>
      <c r="T69" s="24" t="inlineStr">
        <is>
          <t>mlb-elo-trend-lr-v3</t>
        </is>
      </c>
      <c r="U69" s="24" t="inlineStr">
        <is>
          <t>open</t>
        </is>
      </c>
      <c r="V69" s="24" t="n"/>
      <c r="W69" s="26" t="n"/>
      <c r="X69" s="26" t="n"/>
      <c r="Y69" s="38" t="n"/>
      <c r="Z69" s="26" t="n"/>
      <c r="AA69" s="28" t="n"/>
      <c r="AB69" s="28" t="n"/>
      <c r="AC69" s="40" t="n"/>
      <c r="AD69" s="24" t="n"/>
      <c r="AE69" s="31" t="inlineStr">
        <is>
          <t>Learned LR call at threshold 0.5150; executable ask 0.6100 (aec-mlb-cws-tex-2026-07-20).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mlb-cws</t>
        </is>
      </c>
      <c r="AQ69" s="24" t="inlineStr">
        <is>
          <t>Chicago White Sox</t>
        </is>
      </c>
      <c r="AR69" s="24" t="inlineStr">
        <is>
          <t>Chicago White Sox</t>
        </is>
      </c>
      <c r="AS69" s="24" t="inlineStr">
        <is>
          <t>mlb-tex</t>
        </is>
      </c>
      <c r="AT69" s="24" t="inlineStr">
        <is>
          <t>Texas Rangers</t>
        </is>
      </c>
      <c r="AU69" s="24" t="inlineStr">
        <is>
          <t>Texas Rangers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ebdb392c90fd9a9414a97c1b39024e1a4f2c894aee118b3b4598ecd7e5e96695</t>
        </is>
      </c>
      <c r="BB69" s="24" t="inlineStr">
        <is>
          <t>learned_lr</t>
        </is>
      </c>
      <c r="BC69" s="24" t="inlineStr">
        <is>
          <t>mlb-elo-trend-lr-v3</t>
        </is>
      </c>
      <c r="BD69" s="24" t="inlineStr">
        <is>
          <t>ebdb392c90fd9a9414a97c1b39024e1a4f2c894aee118b3b4598ecd7e5e96695</t>
        </is>
      </c>
      <c r="BE69" s="24" t="inlineStr">
        <is>
          <t>99c414db5594aff2</t>
        </is>
      </c>
      <c r="BF69" s="24" t="inlineStr">
        <is>
          <t>1</t>
        </is>
      </c>
      <c r="BG69" s="24" t="inlineStr">
        <is>
          <t>mlb-elo-trend-lr-v3</t>
        </is>
      </c>
      <c r="BH69" s="24" t="inlineStr">
        <is>
          <t>2026-07-20T07:25:54.352994Z</t>
        </is>
      </c>
      <c r="BI69" s="24" t="inlineStr">
        <is>
          <t>["same_event","same_team_same_day","same_league_same_day"]</t>
        </is>
      </c>
      <c r="BJ69" s="38" t="n"/>
      <c r="BK69" s="26" t="n">
        <v>-156</v>
      </c>
      <c r="BL69" s="39" t="n">
        <v>1.641026</v>
      </c>
      <c r="BM69" s="28" t="n">
        <v>0.609375</v>
      </c>
      <c r="BN69" s="28" t="n">
        <v>0.606965</v>
      </c>
      <c r="BO69" s="28" t="n"/>
      <c r="BP69" s="38" t="n"/>
      <c r="BQ69" s="39" t="n"/>
      <c r="BR69" s="28" t="n"/>
      <c r="BS69" s="28" t="n"/>
      <c r="BT69" s="28" t="n"/>
      <c r="BU69" s="38" t="n"/>
      <c r="BV69" s="29" t="n"/>
      <c r="BW69" s="24" t="n"/>
      <c r="BX69" s="40" t="n"/>
      <c r="BY69" s="39" t="n"/>
      <c r="BZ69" s="24" t="n"/>
      <c r="CA69" s="31" t="n"/>
    </row>
    <row r="70" ht="36" customHeight="1">
      <c r="A70" s="24" t="inlineStr">
        <is>
          <t>fe1acb3bd59e41b3</t>
        </is>
      </c>
      <c r="B70" s="24" t="inlineStr">
        <is>
          <t>2026-07-20T07:27:09.837629Z</t>
        </is>
      </c>
      <c r="C70" s="24" t="inlineStr">
        <is>
          <t>2026-07-20T20:05:00-0400</t>
        </is>
      </c>
      <c r="D70" s="24" t="inlineStr">
        <is>
          <t>401816193</t>
        </is>
      </c>
      <c r="E70" s="24" t="inlineStr">
        <is>
          <t>MLB</t>
        </is>
      </c>
      <c r="F70" s="24" t="inlineStr">
        <is>
          <t>Detroit Tigers</t>
        </is>
      </c>
      <c r="G70" s="24" t="inlineStr">
        <is>
          <t>Chicago Cubs</t>
        </is>
      </c>
      <c r="H70" s="24" t="inlineStr">
        <is>
          <t>moneyline</t>
        </is>
      </c>
      <c r="I70" s="24" t="inlineStr">
        <is>
          <t>home</t>
        </is>
      </c>
      <c r="J70" s="38" t="n"/>
      <c r="K70" s="24" t="inlineStr">
        <is>
          <t>polymarket_us</t>
        </is>
      </c>
      <c r="L70" s="26" t="n">
        <v>-108</v>
      </c>
      <c r="M70" s="39" t="n">
        <v>1.925926</v>
      </c>
      <c r="N70" s="28" t="n">
        <v>0.519231</v>
      </c>
      <c r="O70" s="28" t="n">
        <v>0.576624</v>
      </c>
      <c r="P70" s="28" t="n"/>
      <c r="Q70" s="28" t="n">
        <v>0.057393</v>
      </c>
      <c r="R70" s="26" t="n">
        <v>49</v>
      </c>
      <c r="S70" s="29" t="n">
        <v>1.25</v>
      </c>
      <c r="T70" s="24" t="inlineStr">
        <is>
          <t>mlb-elo-trend-lr-v3</t>
        </is>
      </c>
      <c r="U70" s="24" t="inlineStr">
        <is>
          <t>open</t>
        </is>
      </c>
      <c r="V70" s="24" t="n"/>
      <c r="W70" s="26" t="n"/>
      <c r="X70" s="26" t="n"/>
      <c r="Y70" s="38" t="n"/>
      <c r="Z70" s="26" t="n"/>
      <c r="AA70" s="28" t="n"/>
      <c r="AB70" s="28" t="n"/>
      <c r="AC70" s="40" t="n"/>
      <c r="AD70" s="24" t="n"/>
      <c r="AE70" s="31" t="inlineStr">
        <is>
          <t>Learned LR call at threshold 0.5150; executable ask 0.5200 (aec-mlb-det-chc-2026-07-20).</t>
        </is>
      </c>
      <c r="AF70" s="31" t="inlineStr">
        <is>
          <t>Learned model; promotion gate not yet open; zero-unit research until review.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mlb-det</t>
        </is>
      </c>
      <c r="AQ70" s="24" t="inlineStr">
        <is>
          <t>Detroit Tigers</t>
        </is>
      </c>
      <c r="AR70" s="24" t="inlineStr">
        <is>
          <t>Detroit Tigers</t>
        </is>
      </c>
      <c r="AS70" s="24" t="inlineStr">
        <is>
          <t>mlb-chc</t>
        </is>
      </c>
      <c r="AT70" s="24" t="inlineStr">
        <is>
          <t>Chicago Cubs</t>
        </is>
      </c>
      <c r="AU70" s="24" t="inlineStr">
        <is>
          <t>Chicago Cubs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ebdb392c90fd9a9414a97c1b39024e1a4f2c894aee118b3b4598ecd7e5e96695</t>
        </is>
      </c>
      <c r="BB70" s="24" t="inlineStr">
        <is>
          <t>learned_lr</t>
        </is>
      </c>
      <c r="BC70" s="24" t="inlineStr">
        <is>
          <t>mlb-elo-trend-lr-v3</t>
        </is>
      </c>
      <c r="BD70" s="24" t="inlineStr">
        <is>
          <t>ebdb392c90fd9a9414a97c1b39024e1a4f2c894aee118b3b4598ecd7e5e96695</t>
        </is>
      </c>
      <c r="BE70" s="24" t="inlineStr">
        <is>
          <t>cc155e3ebbdaf924</t>
        </is>
      </c>
      <c r="BF70" s="24" t="inlineStr">
        <is>
          <t>1</t>
        </is>
      </c>
      <c r="BG70" s="24" t="inlineStr">
        <is>
          <t>mlb-elo-trend-lr-v3</t>
        </is>
      </c>
      <c r="BH70" s="24" t="inlineStr">
        <is>
          <t>2026-07-20T07:25:55.980853Z</t>
        </is>
      </c>
      <c r="BI70" s="24" t="inlineStr">
        <is>
          <t>["same_event","same_team_same_day","same_league_same_day"]</t>
        </is>
      </c>
      <c r="BJ70" s="38" t="n"/>
      <c r="BK70" s="26" t="n">
        <v>-108</v>
      </c>
      <c r="BL70" s="39" t="n">
        <v>1.925926</v>
      </c>
      <c r="BM70" s="28" t="n">
        <v>0.519231</v>
      </c>
      <c r="BN70" s="28" t="n">
        <v>0.517413</v>
      </c>
      <c r="BO70" s="28" t="n"/>
      <c r="BP70" s="38" t="n"/>
      <c r="BQ70" s="39" t="n"/>
      <c r="BR70" s="28" t="n"/>
      <c r="BS70" s="28" t="n"/>
      <c r="BT70" s="28" t="n"/>
      <c r="BU70" s="38" t="n"/>
      <c r="BV70" s="29" t="n"/>
      <c r="BW70" s="24" t="n"/>
      <c r="BX70" s="40" t="n"/>
      <c r="BY70" s="39" t="n"/>
      <c r="BZ70" s="24" t="n"/>
      <c r="CA70" s="31" t="n"/>
    </row>
    <row r="71" ht="36" customHeight="1">
      <c r="A71" s="24" t="inlineStr">
        <is>
          <t>41914e723f8545e3</t>
        </is>
      </c>
      <c r="B71" s="24" t="inlineStr">
        <is>
          <t>2026-07-20T07:27:09.837629Z</t>
        </is>
      </c>
      <c r="C71" s="24" t="inlineStr">
        <is>
          <t>2026-07-20T20:40:00-0400</t>
        </is>
      </c>
      <c r="D71" s="24" t="inlineStr">
        <is>
          <t>401816197</t>
        </is>
      </c>
      <c r="E71" s="24" t="inlineStr">
        <is>
          <t>MLB</t>
        </is>
      </c>
      <c r="F71" s="24" t="inlineStr">
        <is>
          <t>Washington Nationals</t>
        </is>
      </c>
      <c r="G71" s="24" t="inlineStr">
        <is>
          <t>Colorado Rockies</t>
        </is>
      </c>
      <c r="H71" s="24" t="inlineStr">
        <is>
          <t>moneyline</t>
        </is>
      </c>
      <c r="I71" s="24" t="inlineStr">
        <is>
          <t>away</t>
        </is>
      </c>
      <c r="J71" s="38" t="n"/>
      <c r="K71" s="24" t="inlineStr">
        <is>
          <t>polymarket_us</t>
        </is>
      </c>
      <c r="L71" s="26" t="n">
        <v>-115</v>
      </c>
      <c r="M71" s="39" t="n">
        <v>1.869565</v>
      </c>
      <c r="N71" s="28" t="n">
        <v>0.534884</v>
      </c>
      <c r="O71" s="28" t="n">
        <v>0.547691</v>
      </c>
      <c r="P71" s="28" t="n"/>
      <c r="Q71" s="28" t="n">
        <v>0.012807</v>
      </c>
      <c r="R71" s="26" t="n">
        <v>26</v>
      </c>
      <c r="S71" s="29" t="n">
        <v>1</v>
      </c>
      <c r="T71" s="24" t="inlineStr">
        <is>
          <t>mlb-elo-trend-lr-v3</t>
        </is>
      </c>
      <c r="U71" s="24" t="inlineStr">
        <is>
          <t>open</t>
        </is>
      </c>
      <c r="V71" s="24" t="n"/>
      <c r="W71" s="26" t="n"/>
      <c r="X71" s="26" t="n"/>
      <c r="Y71" s="38" t="n"/>
      <c r="Z71" s="26" t="n"/>
      <c r="AA71" s="28" t="n"/>
      <c r="AB71" s="28" t="n"/>
      <c r="AC71" s="40" t="n"/>
      <c r="AD71" s="24" t="n"/>
      <c r="AE71" s="31" t="inlineStr">
        <is>
          <t>Learned LR call at threshold 0.5150; executable ask 0.5350 (aec-mlb-wsh-col-2026-07-20).</t>
        </is>
      </c>
      <c r="AF71" s="31" t="inlineStr">
        <is>
          <t>Learned model; promotion gate not yet open; zero-unit research until review.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mlb-wsh</t>
        </is>
      </c>
      <c r="AQ71" s="24" t="inlineStr">
        <is>
          <t>Washington Nationals</t>
        </is>
      </c>
      <c r="AR71" s="24" t="inlineStr">
        <is>
          <t>Washington Nationals</t>
        </is>
      </c>
      <c r="AS71" s="24" t="inlineStr">
        <is>
          <t>mlb-col</t>
        </is>
      </c>
      <c r="AT71" s="24" t="inlineStr">
        <is>
          <t>Colorado Rockies</t>
        </is>
      </c>
      <c r="AU71" s="24" t="inlineStr">
        <is>
          <t>Colorado Rockies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ebdb392c90fd9a9414a97c1b39024e1a4f2c894aee118b3b4598ecd7e5e96695</t>
        </is>
      </c>
      <c r="BB71" s="24" t="inlineStr">
        <is>
          <t>learned_lr</t>
        </is>
      </c>
      <c r="BC71" s="24" t="inlineStr">
        <is>
          <t>mlb-elo-trend-lr-v3</t>
        </is>
      </c>
      <c r="BD71" s="24" t="inlineStr">
        <is>
          <t>ebdb392c90fd9a9414a97c1b39024e1a4f2c894aee118b3b4598ecd7e5e96695</t>
        </is>
      </c>
      <c r="BE71" s="24" t="inlineStr">
        <is>
          <t>c4e9d6e5adabb27c</t>
        </is>
      </c>
      <c r="BF71" s="24" t="inlineStr">
        <is>
          <t>1</t>
        </is>
      </c>
      <c r="BG71" s="24" t="inlineStr">
        <is>
          <t>mlb-elo-trend-lr-v3</t>
        </is>
      </c>
      <c r="BH71" s="24" t="inlineStr">
        <is>
          <t>2026-07-20T07:25:57.709954Z</t>
        </is>
      </c>
      <c r="BI71" s="24" t="inlineStr">
        <is>
          <t>["same_event","same_team_same_day","same_league_same_day"]</t>
        </is>
      </c>
      <c r="BJ71" s="38" t="n"/>
      <c r="BK71" s="26" t="n">
        <v>-115</v>
      </c>
      <c r="BL71" s="39" t="n">
        <v>1.869565</v>
      </c>
      <c r="BM71" s="28" t="n">
        <v>0.534884</v>
      </c>
      <c r="BN71" s="28" t="n">
        <v>0.532338</v>
      </c>
      <c r="BO71" s="28" t="n"/>
      <c r="BP71" s="38" t="n"/>
      <c r="BQ71" s="39" t="n"/>
      <c r="BR71" s="28" t="n"/>
      <c r="BS71" s="28" t="n"/>
      <c r="BT71" s="28" t="n"/>
      <c r="BU71" s="38" t="n"/>
      <c r="BV71" s="29" t="n"/>
      <c r="BW71" s="24" t="n"/>
      <c r="BX71" s="40" t="n"/>
      <c r="BY71" s="39" t="n"/>
      <c r="BZ71" s="24" t="n"/>
      <c r="CA71" s="31" t="n"/>
    </row>
    <row r="72" ht="36" customHeight="1">
      <c r="A72" s="24" t="inlineStr">
        <is>
          <t>226f56cb020a4d72</t>
        </is>
      </c>
      <c r="B72" s="24" t="inlineStr">
        <is>
          <t>2026-07-20T07:27:09.837629Z</t>
        </is>
      </c>
      <c r="C72" s="24" t="inlineStr">
        <is>
          <t>2026-07-20T21:40:00-0400</t>
        </is>
      </c>
      <c r="D72" s="24" t="inlineStr">
        <is>
          <t>401816198</t>
        </is>
      </c>
      <c r="E72" s="24" t="inlineStr">
        <is>
          <t>MLB</t>
        </is>
      </c>
      <c r="F72" s="24" t="inlineStr">
        <is>
          <t>Athletics</t>
        </is>
      </c>
      <c r="G72" s="24" t="inlineStr">
        <is>
          <t>Arizona Diamondbacks</t>
        </is>
      </c>
      <c r="H72" s="24" t="inlineStr">
        <is>
          <t>moneyline</t>
        </is>
      </c>
      <c r="I72" s="24" t="inlineStr">
        <is>
          <t>home</t>
        </is>
      </c>
      <c r="J72" s="38" t="n"/>
      <c r="K72" s="24" t="inlineStr">
        <is>
          <t>polymarket_us</t>
        </is>
      </c>
      <c r="L72" s="26" t="n">
        <v>-147</v>
      </c>
      <c r="M72" s="39" t="n">
        <v>1.680272</v>
      </c>
      <c r="N72" s="28" t="n">
        <v>0.5951419999999999</v>
      </c>
      <c r="O72" s="28" t="n">
        <v>0.589249</v>
      </c>
      <c r="P72" s="28" t="n"/>
      <c r="Q72" s="28" t="n">
        <v>-0.005893</v>
      </c>
      <c r="R72" s="26" t="n">
        <v>17</v>
      </c>
      <c r="S72" s="29" t="n">
        <v>1.5</v>
      </c>
      <c r="T72" s="24" t="inlineStr">
        <is>
          <t>mlb-elo-trend-lr-v3</t>
        </is>
      </c>
      <c r="U72" s="24" t="inlineStr">
        <is>
          <t>open</t>
        </is>
      </c>
      <c r="V72" s="24" t="n"/>
      <c r="W72" s="26" t="n"/>
      <c r="X72" s="26" t="n"/>
      <c r="Y72" s="38" t="n"/>
      <c r="Z72" s="26" t="n"/>
      <c r="AA72" s="28" t="n"/>
      <c r="AB72" s="28" t="n"/>
      <c r="AC72" s="40" t="n"/>
      <c r="AD72" s="24" t="n"/>
      <c r="AE72" s="31" t="inlineStr">
        <is>
          <t>Learned LR call at threshold 0.5150; executable ask 0.5950 (aec-mlb-ath-az-2026-07-20).</t>
        </is>
      </c>
      <c r="AF72" s="31" t="inlineStr">
        <is>
          <t>Learned model; promotion gate not yet open; zero-unit research until review.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mlb-ath</t>
        </is>
      </c>
      <c r="AQ72" s="24" t="inlineStr">
        <is>
          <t>Athletics</t>
        </is>
      </c>
      <c r="AR72" s="24" t="inlineStr">
        <is>
          <t>Athletics</t>
        </is>
      </c>
      <c r="AS72" s="24" t="inlineStr">
        <is>
          <t>mlb-ari</t>
        </is>
      </c>
      <c r="AT72" s="24" t="inlineStr">
        <is>
          <t>Arizona Diamondbacks</t>
        </is>
      </c>
      <c r="AU72" s="24" t="inlineStr">
        <is>
          <t>Arizona Diamondbacks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ebdb392c90fd9a9414a97c1b39024e1a4f2c894aee118b3b4598ecd7e5e96695</t>
        </is>
      </c>
      <c r="BB72" s="24" t="inlineStr">
        <is>
          <t>learned_lr</t>
        </is>
      </c>
      <c r="BC72" s="24" t="inlineStr">
        <is>
          <t>mlb-elo-trend-lr-v3</t>
        </is>
      </c>
      <c r="BD72" s="24" t="inlineStr">
        <is>
          <t>ebdb392c90fd9a9414a97c1b39024e1a4f2c894aee118b3b4598ecd7e5e96695</t>
        </is>
      </c>
      <c r="BE72" s="24" t="inlineStr">
        <is>
          <t>202c6fbc367f9e59</t>
        </is>
      </c>
      <c r="BF72" s="24" t="inlineStr">
        <is>
          <t>1</t>
        </is>
      </c>
      <c r="BG72" s="24" t="inlineStr">
        <is>
          <t>mlb-elo-trend-lr-v3</t>
        </is>
      </c>
      <c r="BH72" s="24" t="inlineStr">
        <is>
          <t>2026-07-20T07:25:58.909244Z</t>
        </is>
      </c>
      <c r="BI72" s="24" t="inlineStr">
        <is>
          <t>["same_event","same_team_same_day","same_league_same_day"]</t>
        </is>
      </c>
      <c r="BJ72" s="38" t="n"/>
      <c r="BK72" s="26" t="n">
        <v>-147</v>
      </c>
      <c r="BL72" s="39" t="n">
        <v>1.680272</v>
      </c>
      <c r="BM72" s="28" t="n">
        <v>0.5951419999999999</v>
      </c>
      <c r="BN72" s="28" t="n">
        <v>0.59204</v>
      </c>
      <c r="BO72" s="28" t="n"/>
      <c r="BP72" s="38" t="n"/>
      <c r="BQ72" s="39" t="n"/>
      <c r="BR72" s="28" t="n"/>
      <c r="BS72" s="28" t="n"/>
      <c r="BT72" s="28" t="n"/>
      <c r="BU72" s="38" t="n"/>
      <c r="BV72" s="29" t="n"/>
      <c r="BW72" s="24" t="n"/>
      <c r="BX72" s="40" t="n"/>
      <c r="BY72" s="39" t="n"/>
      <c r="BZ72" s="24" t="n"/>
      <c r="CA72" s="31" t="n"/>
    </row>
    <row r="73" ht="36" customHeight="1">
      <c r="A73" s="24" t="inlineStr">
        <is>
          <t>a9cd87c83dca4e08</t>
        </is>
      </c>
      <c r="B73" s="24" t="inlineStr">
        <is>
          <t>2026-07-20T07:27:09.837629Z</t>
        </is>
      </c>
      <c r="C73" s="24" t="inlineStr">
        <is>
          <t>2026-07-20T21:40:00-0400</t>
        </is>
      </c>
      <c r="D73" s="24" t="inlineStr">
        <is>
          <t>401816199</t>
        </is>
      </c>
      <c r="E73" s="24" t="inlineStr">
        <is>
          <t>MLB</t>
        </is>
      </c>
      <c r="F73" s="24" t="inlineStr">
        <is>
          <t>Cincinnati Reds</t>
        </is>
      </c>
      <c r="G73" s="24" t="inlineStr">
        <is>
          <t>Seattle Mariners</t>
        </is>
      </c>
      <c r="H73" s="24" t="inlineStr">
        <is>
          <t>moneyline</t>
        </is>
      </c>
      <c r="I73" s="24" t="inlineStr">
        <is>
          <t>home</t>
        </is>
      </c>
      <c r="J73" s="38" t="n"/>
      <c r="K73" s="24" t="inlineStr">
        <is>
          <t>polymarket_us</t>
        </is>
      </c>
      <c r="L73" s="26" t="n">
        <v>-144</v>
      </c>
      <c r="M73" s="39" t="n">
        <v>1.694444</v>
      </c>
      <c r="N73" s="28" t="n">
        <v>0.590164</v>
      </c>
      <c r="O73" s="28" t="n">
        <v>0.597509</v>
      </c>
      <c r="P73" s="28" t="n"/>
      <c r="Q73" s="28" t="n">
        <v>0.007345</v>
      </c>
      <c r="R73" s="26" t="n">
        <v>24</v>
      </c>
      <c r="S73" s="29" t="n">
        <v>1.5</v>
      </c>
      <c r="T73" s="24" t="inlineStr">
        <is>
          <t>mlb-elo-trend-lr-v3</t>
        </is>
      </c>
      <c r="U73" s="24" t="inlineStr">
        <is>
          <t>open</t>
        </is>
      </c>
      <c r="V73" s="24" t="n"/>
      <c r="W73" s="26" t="n"/>
      <c r="X73" s="26" t="n"/>
      <c r="Y73" s="38" t="n"/>
      <c r="Z73" s="26" t="n"/>
      <c r="AA73" s="28" t="n"/>
      <c r="AB73" s="28" t="n"/>
      <c r="AC73" s="40" t="n"/>
      <c r="AD73" s="24" t="n"/>
      <c r="AE73" s="31" t="inlineStr">
        <is>
          <t>Learned LR call at threshold 0.5150; executable ask 0.5900 (aec-mlb-cin-sea-2026-07-20).</t>
        </is>
      </c>
      <c r="AF73" s="31" t="inlineStr">
        <is>
          <t>Learned model; promotion gate not yet open; zero-unit research until review.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mlb-cin</t>
        </is>
      </c>
      <c r="AQ73" s="24" t="inlineStr">
        <is>
          <t>Cincinnati Reds</t>
        </is>
      </c>
      <c r="AR73" s="24" t="inlineStr">
        <is>
          <t>Cincinnati Reds</t>
        </is>
      </c>
      <c r="AS73" s="24" t="inlineStr">
        <is>
          <t>mlb-sea</t>
        </is>
      </c>
      <c r="AT73" s="24" t="inlineStr">
        <is>
          <t>Seattle Mariners</t>
        </is>
      </c>
      <c r="AU73" s="24" t="inlineStr">
        <is>
          <t>Seattle Mariners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ebdb392c90fd9a9414a97c1b39024e1a4f2c894aee118b3b4598ecd7e5e96695</t>
        </is>
      </c>
      <c r="BB73" s="24" t="inlineStr">
        <is>
          <t>learned_lr</t>
        </is>
      </c>
      <c r="BC73" s="24" t="inlineStr">
        <is>
          <t>mlb-elo-trend-lr-v3</t>
        </is>
      </c>
      <c r="BD73" s="24" t="inlineStr">
        <is>
          <t>ebdb392c90fd9a9414a97c1b39024e1a4f2c894aee118b3b4598ecd7e5e96695</t>
        </is>
      </c>
      <c r="BE73" s="24" t="inlineStr">
        <is>
          <t>982d73638d70c45b</t>
        </is>
      </c>
      <c r="BF73" s="24" t="inlineStr">
        <is>
          <t>1</t>
        </is>
      </c>
      <c r="BG73" s="24" t="inlineStr">
        <is>
          <t>mlb-elo-trend-lr-v3</t>
        </is>
      </c>
      <c r="BH73" s="24" t="inlineStr">
        <is>
          <t>2026-07-20T07:26:01.154096Z</t>
        </is>
      </c>
      <c r="BI73" s="24" t="inlineStr">
        <is>
          <t>["same_event","same_team_same_day","same_league_same_day"]</t>
        </is>
      </c>
      <c r="BJ73" s="38" t="n"/>
      <c r="BK73" s="26" t="n">
        <v>-144</v>
      </c>
      <c r="BL73" s="39" t="n">
        <v>1.694444</v>
      </c>
      <c r="BM73" s="28" t="n">
        <v>0.590164</v>
      </c>
      <c r="BN73" s="28" t="n">
        <v>0.5870649999999999</v>
      </c>
      <c r="BO73" s="28" t="n"/>
      <c r="BP73" s="38" t="n"/>
      <c r="BQ73" s="39" t="n"/>
      <c r="BR73" s="28" t="n"/>
      <c r="BS73" s="28" t="n"/>
      <c r="BT73" s="28" t="n"/>
      <c r="BU73" s="38" t="n"/>
      <c r="BV73" s="29" t="n"/>
      <c r="BW73" s="24" t="n"/>
      <c r="BX73" s="40" t="n"/>
      <c r="BY73" s="39" t="n"/>
      <c r="BZ73" s="24" t="n"/>
      <c r="CA73" s="31" t="n"/>
    </row>
    <row r="74" ht="36" customHeight="1">
      <c r="A74" s="24" t="inlineStr">
        <is>
          <t>8e420714a95e4d9c</t>
        </is>
      </c>
      <c r="B74" s="24" t="inlineStr">
        <is>
          <t>2026-07-20T07:27:09.837629Z</t>
        </is>
      </c>
      <c r="C74" s="24" t="inlineStr">
        <is>
          <t>2026-07-20T22:00:00-0400</t>
        </is>
      </c>
      <c r="D74" s="24" t="inlineStr">
        <is>
          <t>401816200</t>
        </is>
      </c>
      <c r="E74" s="24" t="inlineStr">
        <is>
          <t>MLB</t>
        </is>
      </c>
      <c r="F74" s="24" t="inlineStr">
        <is>
          <t>St. Louis Cardinals</t>
        </is>
      </c>
      <c r="G74" s="24" t="inlineStr">
        <is>
          <t>Los Angeles Angels</t>
        </is>
      </c>
      <c r="H74" s="24" t="inlineStr">
        <is>
          <t>moneyline</t>
        </is>
      </c>
      <c r="I74" s="24" t="inlineStr">
        <is>
          <t>away</t>
        </is>
      </c>
      <c r="J74" s="38" t="n"/>
      <c r="K74" s="24" t="inlineStr">
        <is>
          <t>polymarket_us</t>
        </is>
      </c>
      <c r="L74" s="26" t="n">
        <v>104</v>
      </c>
      <c r="M74" s="39" t="n">
        <v>2.04</v>
      </c>
      <c r="N74" s="28" t="n">
        <v>0.490196</v>
      </c>
      <c r="O74" s="28" t="n">
        <v>0.5411280000000001</v>
      </c>
      <c r="P74" s="28" t="n"/>
      <c r="Q74" s="28" t="n">
        <v>0.050932</v>
      </c>
      <c r="R74" s="26" t="n">
        <v>45</v>
      </c>
      <c r="S74" s="29" t="n">
        <v>1</v>
      </c>
      <c r="T74" s="24" t="inlineStr">
        <is>
          <t>mlb-elo-trend-lr-v3</t>
        </is>
      </c>
      <c r="U74" s="24" t="inlineStr">
        <is>
          <t>open</t>
        </is>
      </c>
      <c r="V74" s="24" t="n"/>
      <c r="W74" s="26" t="n"/>
      <c r="X74" s="26" t="n"/>
      <c r="Y74" s="38" t="n"/>
      <c r="Z74" s="26" t="n"/>
      <c r="AA74" s="28" t="n"/>
      <c r="AB74" s="28" t="n"/>
      <c r="AC74" s="40" t="n"/>
      <c r="AD74" s="24" t="n"/>
      <c r="AE74" s="31" t="inlineStr">
        <is>
          <t>Learned LR call at threshold 0.5150; executable ask 0.4900 (aec-mlb-stl-laa-2026-07-20).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mlb-stl</t>
        </is>
      </c>
      <c r="AQ74" s="24" t="inlineStr">
        <is>
          <t>St. Louis Cardinals</t>
        </is>
      </c>
      <c r="AR74" s="24" t="inlineStr">
        <is>
          <t>St. Louis Cardinals</t>
        </is>
      </c>
      <c r="AS74" s="24" t="inlineStr">
        <is>
          <t>mlb-laa</t>
        </is>
      </c>
      <c r="AT74" s="24" t="inlineStr">
        <is>
          <t>Los Angeles Angels</t>
        </is>
      </c>
      <c r="AU74" s="24" t="inlineStr">
        <is>
          <t>Los Angeles Angels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ebdb392c90fd9a9414a97c1b39024e1a4f2c894aee118b3b4598ecd7e5e96695</t>
        </is>
      </c>
      <c r="BB74" s="24" t="inlineStr">
        <is>
          <t>learned_lr</t>
        </is>
      </c>
      <c r="BC74" s="24" t="inlineStr">
        <is>
          <t>mlb-elo-trend-lr-v3</t>
        </is>
      </c>
      <c r="BD74" s="24" t="inlineStr">
        <is>
          <t>ebdb392c90fd9a9414a97c1b39024e1a4f2c894aee118b3b4598ecd7e5e96695</t>
        </is>
      </c>
      <c r="BE74" s="24" t="inlineStr">
        <is>
          <t>84a60e91d728d400</t>
        </is>
      </c>
      <c r="BF74" s="24" t="inlineStr">
        <is>
          <t>1</t>
        </is>
      </c>
      <c r="BG74" s="24" t="inlineStr">
        <is>
          <t>mlb-elo-trend-lr-v3</t>
        </is>
      </c>
      <c r="BH74" s="24" t="inlineStr">
        <is>
          <t>2026-07-20T07:26:01.325929Z</t>
        </is>
      </c>
      <c r="BI74" s="24" t="inlineStr">
        <is>
          <t>["same_event","same_team_same_day","same_league_same_day"]</t>
        </is>
      </c>
      <c r="BJ74" s="38" t="n"/>
      <c r="BK74" s="26" t="n">
        <v>104</v>
      </c>
      <c r="BL74" s="39" t="n">
        <v>2.04</v>
      </c>
      <c r="BM74" s="28" t="n">
        <v>0.490196</v>
      </c>
      <c r="BN74" s="28" t="n">
        <v>0.487562</v>
      </c>
      <c r="BO74" s="28" t="n"/>
      <c r="BP74" s="38" t="n"/>
      <c r="BQ74" s="39" t="n"/>
      <c r="BR74" s="28" t="n"/>
      <c r="BS74" s="28" t="n"/>
      <c r="BT74" s="28" t="n"/>
      <c r="BU74" s="38" t="n"/>
      <c r="BV74" s="29" t="n"/>
      <c r="BW74" s="24" t="n"/>
      <c r="BX74" s="40" t="n"/>
      <c r="BY74" s="39" t="n"/>
      <c r="BZ74" s="24" t="n"/>
      <c r="CA74" s="31" t="n"/>
    </row>
    <row r="75" ht="36" customHeight="1">
      <c r="A75" s="24" t="inlineStr">
        <is>
          <t>e35a217d64aa4265</t>
        </is>
      </c>
      <c r="B75" s="24" t="inlineStr">
        <is>
          <t>2026-07-20T07:27:15.488547Z</t>
        </is>
      </c>
      <c r="C75" s="24" t="inlineStr">
        <is>
          <t>2026-07-20T20:00:00-0400</t>
        </is>
      </c>
      <c r="D75" s="24" t="inlineStr">
        <is>
          <t>401857083</t>
        </is>
      </c>
      <c r="E75" s="24" t="inlineStr">
        <is>
          <t>WNBA</t>
        </is>
      </c>
      <c r="F75" s="24" t="inlineStr">
        <is>
          <t>Las Vegas Aces</t>
        </is>
      </c>
      <c r="G75" s="24" t="inlineStr">
        <is>
          <t>Toronto Tempo</t>
        </is>
      </c>
      <c r="H75" s="24" t="inlineStr">
        <is>
          <t>moneyline</t>
        </is>
      </c>
      <c r="I75" s="24" t="inlineStr">
        <is>
          <t>away</t>
        </is>
      </c>
      <c r="J75" s="38" t="n"/>
      <c r="K75" s="24" t="inlineStr">
        <is>
          <t>polymarket_us</t>
        </is>
      </c>
      <c r="L75" s="26" t="n">
        <v>-488</v>
      </c>
      <c r="M75" s="39" t="n">
        <v>1.204918</v>
      </c>
      <c r="N75" s="28" t="n">
        <v>0.829932</v>
      </c>
      <c r="O75" s="28" t="n">
        <v>0.657294</v>
      </c>
      <c r="P75" s="28" t="n"/>
      <c r="Q75" s="28" t="n">
        <v>-0.172638</v>
      </c>
      <c r="R75" s="26" t="n">
        <v>0</v>
      </c>
      <c r="S75" s="29" t="n">
        <v>2</v>
      </c>
      <c r="T75" s="24" t="inlineStr">
        <is>
          <t>wnba-elo-trend-lr-v3</t>
        </is>
      </c>
      <c r="U75" s="24" t="inlineStr">
        <is>
          <t>open</t>
        </is>
      </c>
      <c r="V75" s="24" t="n"/>
      <c r="W75" s="26" t="n"/>
      <c r="X75" s="26" t="n"/>
      <c r="Y75" s="38" t="n"/>
      <c r="Z75" s="26" t="n"/>
      <c r="AA75" s="28" t="n"/>
      <c r="AB75" s="28" t="n"/>
      <c r="AC75" s="40" t="n"/>
      <c r="AD75" s="24" t="n"/>
      <c r="AE75" s="31" t="inlineStr">
        <is>
          <t>Learned LR call at threshold 0.5000; executable ask 0.8300 (aec-wnba-lv-tor-2026-07-20).</t>
        </is>
      </c>
      <c r="AF75" s="31" t="inlineStr">
        <is>
          <t>Learned model; promotion gate not yet open; zero-unit research until review.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NO_CALL_LARGE_DISAGREEMENT_REVIEW</t>
        </is>
      </c>
      <c r="AP75" s="24" t="inlineStr">
        <is>
          <t>wnba-lva</t>
        </is>
      </c>
      <c r="AQ75" s="24" t="inlineStr">
        <is>
          <t>Las Vegas Aces</t>
        </is>
      </c>
      <c r="AR75" s="24" t="inlineStr">
        <is>
          <t>Las Vegas Aces</t>
        </is>
      </c>
      <c r="AS75" s="24" t="inlineStr">
        <is>
          <t>wnba-tor</t>
        </is>
      </c>
      <c r="AT75" s="24" t="inlineStr">
        <is>
          <t>Toronto Tempo</t>
        </is>
      </c>
      <c r="AU75" s="24" t="inlineStr">
        <is>
          <t>Toronto Tempo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d339198b196cb3fcd02950ed5efbdd4cefbeb95b2cd63cd756e77f99dc483719</t>
        </is>
      </c>
      <c r="BB75" s="24" t="inlineStr">
        <is>
          <t>learned_lr</t>
        </is>
      </c>
      <c r="BC75" s="24" t="inlineStr">
        <is>
          <t>wnba-elo-trend-lr-v3</t>
        </is>
      </c>
      <c r="BD75" s="24" t="inlineStr">
        <is>
          <t>d339198b196cb3fcd02950ed5efbdd4cefbeb95b2cd63cd756e77f99dc483719</t>
        </is>
      </c>
      <c r="BE75" s="24" t="inlineStr">
        <is>
          <t>b239d28861d5b74d</t>
        </is>
      </c>
      <c r="BF75" s="24" t="inlineStr">
        <is>
          <t>1</t>
        </is>
      </c>
      <c r="BG75" s="24" t="inlineStr">
        <is>
          <t>wnba-elo-trend-lr-v3</t>
        </is>
      </c>
      <c r="BH75" s="24" t="inlineStr">
        <is>
          <t>2026-07-20T07:26:02.605954Z</t>
        </is>
      </c>
      <c r="BI75" s="24" t="inlineStr">
        <is>
          <t>["same_event","same_team_same_day","same_league_same_day"]</t>
        </is>
      </c>
      <c r="BJ75" s="38" t="n"/>
      <c r="BK75" s="26" t="n">
        <v>-488</v>
      </c>
      <c r="BL75" s="39" t="n">
        <v>1.204918</v>
      </c>
      <c r="BM75" s="28" t="n">
        <v>0.829932</v>
      </c>
      <c r="BN75" s="28" t="n">
        <v>0.821782</v>
      </c>
      <c r="BO75" s="28" t="n"/>
      <c r="BP75" s="38" t="n"/>
      <c r="BQ75" s="39" t="n"/>
      <c r="BR75" s="28" t="n"/>
      <c r="BS75" s="28" t="n"/>
      <c r="BT75" s="28" t="n"/>
      <c r="BU75" s="38" t="n"/>
      <c r="BV75" s="29" t="n"/>
      <c r="BW75" s="24" t="n"/>
      <c r="BX75" s="40" t="n"/>
      <c r="BY75" s="39" t="n"/>
      <c r="BZ75" s="24" t="n"/>
      <c r="CA75" s="31" t="n"/>
    </row>
    <row r="76" ht="36" customHeight="1">
      <c r="A76" s="24" t="inlineStr">
        <is>
          <t>6c42d2d2436849c1</t>
        </is>
      </c>
      <c r="B76" s="24" t="inlineStr">
        <is>
          <t>2026-07-20T07:27:15.488547Z</t>
        </is>
      </c>
      <c r="C76" s="24" t="inlineStr">
        <is>
          <t>2026-07-20T20:00:00-0400</t>
        </is>
      </c>
      <c r="D76" s="24" t="inlineStr">
        <is>
          <t>401892393</t>
        </is>
      </c>
      <c r="E76" s="24" t="inlineStr">
        <is>
          <t>WNBA</t>
        </is>
      </c>
      <c r="F76" s="24" t="inlineStr">
        <is>
          <t>New York Liberty</t>
        </is>
      </c>
      <c r="G76" s="24" t="inlineStr">
        <is>
          <t>Dallas Wings</t>
        </is>
      </c>
      <c r="H76" s="24" t="inlineStr">
        <is>
          <t>moneyline</t>
        </is>
      </c>
      <c r="I76" s="24" t="inlineStr">
        <is>
          <t>home</t>
        </is>
      </c>
      <c r="J76" s="38" t="n"/>
      <c r="K76" s="24" t="inlineStr">
        <is>
          <t>polymarket_us</t>
        </is>
      </c>
      <c r="L76" s="26" t="n">
        <v>150</v>
      </c>
      <c r="M76" s="39" t="n">
        <v>2.5</v>
      </c>
      <c r="N76" s="28" t="n">
        <v>0.4</v>
      </c>
      <c r="O76" s="28" t="n">
        <v>0.6787840000000001</v>
      </c>
      <c r="P76" s="28" t="n"/>
      <c r="Q76" s="28" t="n">
        <v>0.278784</v>
      </c>
      <c r="R76" s="26" t="n">
        <v>100</v>
      </c>
      <c r="S76" s="29" t="n">
        <v>2</v>
      </c>
      <c r="T76" s="24" t="inlineStr">
        <is>
          <t>wnba-elo-trend-lr-v3</t>
        </is>
      </c>
      <c r="U76" s="24" t="inlineStr">
        <is>
          <t>open</t>
        </is>
      </c>
      <c r="V76" s="24" t="n"/>
      <c r="W76" s="26" t="n"/>
      <c r="X76" s="26" t="n"/>
      <c r="Y76" s="38" t="n"/>
      <c r="Z76" s="26" t="n"/>
      <c r="AA76" s="28" t="n"/>
      <c r="AB76" s="28" t="n"/>
      <c r="AC76" s="40" t="n"/>
      <c r="AD76" s="24" t="n"/>
      <c r="AE76" s="31" t="inlineStr">
        <is>
          <t>Learned LR call at threshold 0.5000; executable ask 0.4000 (aec-wnba-ny-dal-2026-07-20).</t>
        </is>
      </c>
      <c r="AF76" s="31" t="inlineStr">
        <is>
          <t>Learned model; promotion gate not yet open; zero-unit research until review.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NO_CALL_LARGE_DISAGREEMENT_REVIEW</t>
        </is>
      </c>
      <c r="AP76" s="24" t="inlineStr">
        <is>
          <t>wnba-nyl</t>
        </is>
      </c>
      <c r="AQ76" s="24" t="inlineStr">
        <is>
          <t>New York Liberty</t>
        </is>
      </c>
      <c r="AR76" s="24" t="inlineStr">
        <is>
          <t>New York Liberty</t>
        </is>
      </c>
      <c r="AS76" s="24" t="inlineStr">
        <is>
          <t>wnba-dal</t>
        </is>
      </c>
      <c r="AT76" s="24" t="inlineStr">
        <is>
          <t>Dallas Wings</t>
        </is>
      </c>
      <c r="AU76" s="24" t="inlineStr">
        <is>
          <t>Dallas Wings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d339198b196cb3fcd02950ed5efbdd4cefbeb95b2cd63cd756e77f99dc483719</t>
        </is>
      </c>
      <c r="BB76" s="24" t="inlineStr">
        <is>
          <t>learned_lr</t>
        </is>
      </c>
      <c r="BC76" s="24" t="inlineStr">
        <is>
          <t>wnba-elo-trend-lr-v3</t>
        </is>
      </c>
      <c r="BD76" s="24" t="inlineStr">
        <is>
          <t>d339198b196cb3fcd02950ed5efbdd4cefbeb95b2cd63cd756e77f99dc483719</t>
        </is>
      </c>
      <c r="BE76" s="24" t="inlineStr">
        <is>
          <t>1c6f45e72b2d1f80</t>
        </is>
      </c>
      <c r="BF76" s="24" t="inlineStr">
        <is>
          <t>1</t>
        </is>
      </c>
      <c r="BG76" s="24" t="inlineStr">
        <is>
          <t>wnba-elo-trend-lr-v3</t>
        </is>
      </c>
      <c r="BH76" s="24" t="inlineStr">
        <is>
          <t>2026-07-20T07:26:04.731909Z</t>
        </is>
      </c>
      <c r="BI76" s="24" t="inlineStr">
        <is>
          <t>["same_event","same_team_same_day","same_league_same_day"]</t>
        </is>
      </c>
      <c r="BJ76" s="38" t="n"/>
      <c r="BK76" s="26" t="n">
        <v>150</v>
      </c>
      <c r="BL76" s="39" t="n">
        <v>2.5</v>
      </c>
      <c r="BM76" s="28" t="n">
        <v>0.4</v>
      </c>
      <c r="BN76" s="28" t="n">
        <v>0.39604</v>
      </c>
      <c r="BO76" s="28" t="n"/>
      <c r="BP76" s="38" t="n"/>
      <c r="BQ76" s="39" t="n"/>
      <c r="BR76" s="28" t="n"/>
      <c r="BS76" s="28" t="n"/>
      <c r="BT76" s="28" t="n"/>
      <c r="BU76" s="38" t="n"/>
      <c r="BV76" s="29" t="n"/>
      <c r="BW76" s="24" t="n"/>
      <c r="BX76" s="40" t="n"/>
      <c r="BY76" s="39" t="n"/>
      <c r="BZ76" s="24" t="n"/>
      <c r="CA76" s="31" t="n"/>
    </row>
    <row r="77" ht="36" customHeight="1">
      <c r="A77" s="24" t="inlineStr">
        <is>
          <t>0da50dc88c9649b8</t>
        </is>
      </c>
      <c r="B77" s="24" t="inlineStr">
        <is>
          <t>2026-07-20T07:27:15.488547Z</t>
        </is>
      </c>
      <c r="C77" s="24" t="inlineStr">
        <is>
          <t>2026-07-20T22:00:00-0400</t>
        </is>
      </c>
      <c r="D77" s="24" t="inlineStr">
        <is>
          <t>401857084</t>
        </is>
      </c>
      <c r="E77" s="24" t="inlineStr">
        <is>
          <t>WNBA</t>
        </is>
      </c>
      <c r="F77" s="24" t="inlineStr">
        <is>
          <t>Washington Mystics</t>
        </is>
      </c>
      <c r="G77" s="24" t="inlineStr">
        <is>
          <t>Golden State Valkyries</t>
        </is>
      </c>
      <c r="H77" s="24" t="inlineStr">
        <is>
          <t>moneyline</t>
        </is>
      </c>
      <c r="I77" s="24" t="inlineStr">
        <is>
          <t>home</t>
        </is>
      </c>
      <c r="J77" s="38" t="n"/>
      <c r="K77" s="24" t="inlineStr">
        <is>
          <t>polymarket_us</t>
        </is>
      </c>
      <c r="L77" s="26" t="n">
        <v>-317</v>
      </c>
      <c r="M77" s="39" t="n">
        <v>1.315457</v>
      </c>
      <c r="N77" s="28" t="n">
        <v>0.760192</v>
      </c>
      <c r="O77" s="28" t="n">
        <v>0.750444</v>
      </c>
      <c r="P77" s="28" t="n"/>
      <c r="Q77" s="28" t="n">
        <v>-0.009748</v>
      </c>
      <c r="R77" s="26" t="n">
        <v>15</v>
      </c>
      <c r="S77" s="29" t="n">
        <v>2</v>
      </c>
      <c r="T77" s="24" t="inlineStr">
        <is>
          <t>wnba-elo-trend-lr-v3</t>
        </is>
      </c>
      <c r="U77" s="24" t="inlineStr">
        <is>
          <t>open</t>
        </is>
      </c>
      <c r="V77" s="24" t="n"/>
      <c r="W77" s="26" t="n"/>
      <c r="X77" s="26" t="n"/>
      <c r="Y77" s="38" t="n"/>
      <c r="Z77" s="26" t="n"/>
      <c r="AA77" s="28" t="n"/>
      <c r="AB77" s="28" t="n"/>
      <c r="AC77" s="40" t="n"/>
      <c r="AD77" s="24" t="n"/>
      <c r="AE77" s="31" t="inlineStr">
        <is>
          <t>Learned LR call at threshold 0.5000; executable ask 0.7600 (aec-wnba-wsh-gsv-2026-07-20).</t>
        </is>
      </c>
      <c r="AF77" s="31" t="inlineStr">
        <is>
          <t>Learned model; promotion gate not yet open; zero-unit research until review.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wnba-was</t>
        </is>
      </c>
      <c r="AQ77" s="24" t="inlineStr">
        <is>
          <t>Washington Mystics</t>
        </is>
      </c>
      <c r="AR77" s="24" t="inlineStr">
        <is>
          <t>Washington Mystics</t>
        </is>
      </c>
      <c r="AS77" s="24" t="inlineStr">
        <is>
          <t>wnba-gsv</t>
        </is>
      </c>
      <c r="AT77" s="24" t="inlineStr">
        <is>
          <t>Golden State Valkyries</t>
        </is>
      </c>
      <c r="AU77" s="24" t="inlineStr">
        <is>
          <t>Golden State Valkyries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d339198b196cb3fcd02950ed5efbdd4cefbeb95b2cd63cd756e77f99dc483719</t>
        </is>
      </c>
      <c r="BB77" s="24" t="inlineStr">
        <is>
          <t>learned_lr</t>
        </is>
      </c>
      <c r="BC77" s="24" t="inlineStr">
        <is>
          <t>wnba-elo-trend-lr-v3</t>
        </is>
      </c>
      <c r="BD77" s="24" t="inlineStr">
        <is>
          <t>d339198b196cb3fcd02950ed5efbdd4cefbeb95b2cd63cd756e77f99dc483719</t>
        </is>
      </c>
      <c r="BE77" s="24" t="inlineStr">
        <is>
          <t>46de7d71a35c9491</t>
        </is>
      </c>
      <c r="BF77" s="24" t="inlineStr">
        <is>
          <t>1</t>
        </is>
      </c>
      <c r="BG77" s="24" t="inlineStr">
        <is>
          <t>wnba-elo-trend-lr-v3</t>
        </is>
      </c>
      <c r="BH77" s="24" t="inlineStr">
        <is>
          <t>2026-07-20T07:26:06.455979Z</t>
        </is>
      </c>
      <c r="BI77" s="24" t="inlineStr">
        <is>
          <t>["same_event","same_team_same_day","same_league_same_day"]</t>
        </is>
      </c>
      <c r="BJ77" s="38" t="n"/>
      <c r="BK77" s="26" t="n">
        <v>-317</v>
      </c>
      <c r="BL77" s="39" t="n">
        <v>1.315457</v>
      </c>
      <c r="BM77" s="28" t="n">
        <v>0.760192</v>
      </c>
      <c r="BN77" s="28" t="n">
        <v>0.752475</v>
      </c>
      <c r="BO77" s="28" t="n"/>
      <c r="BP77" s="38" t="n"/>
      <c r="BQ77" s="39" t="n"/>
      <c r="BR77" s="28" t="n"/>
      <c r="BS77" s="28" t="n"/>
      <c r="BT77" s="28" t="n"/>
      <c r="BU77" s="38" t="n"/>
      <c r="BV77" s="29" t="n"/>
      <c r="BW77" s="24" t="n"/>
      <c r="BX77" s="40" t="n"/>
      <c r="BY77" s="39" t="n"/>
      <c r="BZ77" s="24" t="n"/>
      <c r="CA77" s="31" t="n"/>
    </row>
    <row r="78" ht="36" customHeight="1">
      <c r="A78" s="24" t="inlineStr">
        <is>
          <t>2d184773492d4263</t>
        </is>
      </c>
      <c r="B78" s="24" t="inlineStr">
        <is>
          <t>2026-07-20T07:27:15.488547Z</t>
        </is>
      </c>
      <c r="C78" s="24" t="inlineStr">
        <is>
          <t>2026-07-20T22:00:00-0400</t>
        </is>
      </c>
      <c r="D78" s="24" t="inlineStr">
        <is>
          <t>401857085</t>
        </is>
      </c>
      <c r="E78" s="24" t="inlineStr">
        <is>
          <t>WNBA</t>
        </is>
      </c>
      <c r="F78" s="24" t="inlineStr">
        <is>
          <t>Minnesota Lynx</t>
        </is>
      </c>
      <c r="G78" s="24" t="inlineStr">
        <is>
          <t>Seattle Storm</t>
        </is>
      </c>
      <c r="H78" s="24" t="inlineStr">
        <is>
          <t>moneyline</t>
        </is>
      </c>
      <c r="I78" s="24" t="inlineStr">
        <is>
          <t>away</t>
        </is>
      </c>
      <c r="J78" s="38" t="n"/>
      <c r="K78" s="24" t="inlineStr">
        <is>
          <t>polymarket_us</t>
        </is>
      </c>
      <c r="L78" s="26" t="n">
        <v>-488</v>
      </c>
      <c r="M78" s="39" t="n">
        <v>1.204918</v>
      </c>
      <c r="N78" s="28" t="n">
        <v>0.829932</v>
      </c>
      <c r="O78" s="28" t="n">
        <v>0.739042</v>
      </c>
      <c r="P78" s="28" t="n"/>
      <c r="Q78" s="28" t="n">
        <v>-0.09089</v>
      </c>
      <c r="R78" s="26" t="n">
        <v>0</v>
      </c>
      <c r="S78" s="29" t="n">
        <v>2</v>
      </c>
      <c r="T78" s="24" t="inlineStr">
        <is>
          <t>wnba-elo-trend-lr-v3</t>
        </is>
      </c>
      <c r="U78" s="24" t="inlineStr">
        <is>
          <t>open</t>
        </is>
      </c>
      <c r="V78" s="24" t="n"/>
      <c r="W78" s="26" t="n"/>
      <c r="X78" s="26" t="n"/>
      <c r="Y78" s="38" t="n"/>
      <c r="Z78" s="26" t="n"/>
      <c r="AA78" s="28" t="n"/>
      <c r="AB78" s="28" t="n"/>
      <c r="AC78" s="40" t="n"/>
      <c r="AD78" s="24" t="n"/>
      <c r="AE78" s="31" t="inlineStr">
        <is>
          <t>Learned LR call at threshold 0.5000; executable ask 0.8300 (aec-wnba-min-sea-2026-07-20).</t>
        </is>
      </c>
      <c r="AF78" s="31" t="inlineStr">
        <is>
          <t>Learned model; promotion gate not yet open; zero-unit research until review.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wnba-min</t>
        </is>
      </c>
      <c r="AQ78" s="24" t="inlineStr">
        <is>
          <t>Minnesota Lynx</t>
        </is>
      </c>
      <c r="AR78" s="24" t="inlineStr">
        <is>
          <t>Minnesota Lynx</t>
        </is>
      </c>
      <c r="AS78" s="24" t="inlineStr">
        <is>
          <t>wnba-sea</t>
        </is>
      </c>
      <c r="AT78" s="24" t="inlineStr">
        <is>
          <t>Seattle Storm</t>
        </is>
      </c>
      <c r="AU78" s="24" t="inlineStr">
        <is>
          <t>Seattle Storm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d339198b196cb3fcd02950ed5efbdd4cefbeb95b2cd63cd756e77f99dc483719</t>
        </is>
      </c>
      <c r="BB78" s="24" t="inlineStr">
        <is>
          <t>learned_lr</t>
        </is>
      </c>
      <c r="BC78" s="24" t="inlineStr">
        <is>
          <t>wnba-elo-trend-lr-v3</t>
        </is>
      </c>
      <c r="BD78" s="24" t="inlineStr">
        <is>
          <t>d339198b196cb3fcd02950ed5efbdd4cefbeb95b2cd63cd756e77f99dc483719</t>
        </is>
      </c>
      <c r="BE78" s="24" t="inlineStr">
        <is>
          <t>9e3cecf68c87303d</t>
        </is>
      </c>
      <c r="BF78" s="24" t="inlineStr">
        <is>
          <t>1</t>
        </is>
      </c>
      <c r="BG78" s="24" t="inlineStr">
        <is>
          <t>wnba-elo-trend-lr-v3</t>
        </is>
      </c>
      <c r="BH78" s="24" t="inlineStr">
        <is>
          <t>2026-07-20T07:26:06.846002Z</t>
        </is>
      </c>
      <c r="BI78" s="24" t="inlineStr">
        <is>
          <t>["same_event","same_team_same_day","same_league_same_day"]</t>
        </is>
      </c>
      <c r="BJ78" s="38" t="n"/>
      <c r="BK78" s="26" t="n">
        <v>-488</v>
      </c>
      <c r="BL78" s="39" t="n">
        <v>1.204918</v>
      </c>
      <c r="BM78" s="28" t="n">
        <v>0.829932</v>
      </c>
      <c r="BN78" s="28" t="n">
        <v>0.821782</v>
      </c>
      <c r="BO78" s="28" t="n"/>
      <c r="BP78" s="38" t="n"/>
      <c r="BQ78" s="39" t="n"/>
      <c r="BR78" s="28" t="n"/>
      <c r="BS78" s="28" t="n"/>
      <c r="BT78" s="28" t="n"/>
      <c r="BU78" s="38" t="n"/>
      <c r="BV78" s="29" t="n"/>
      <c r="BW78" s="24" t="n"/>
      <c r="BX78" s="40" t="n"/>
      <c r="BY78" s="39" t="n"/>
      <c r="BZ78" s="24" t="n"/>
      <c r="CA78" s="31" t="n"/>
    </row>
    <row r="79" ht="36" customHeight="1">
      <c r="A79" s="24" t="inlineStr">
        <is>
          <t>369b925b172f4b6a</t>
        </is>
      </c>
      <c r="B79" s="24" t="inlineStr">
        <is>
          <t>2026-07-19T17:18:24.670965Z</t>
        </is>
      </c>
      <c r="C79" s="24" t="inlineStr">
        <is>
          <t>2026-07-21T01:40Z</t>
        </is>
      </c>
      <c r="D79" s="24" t="inlineStr">
        <is>
          <t>401816199</t>
        </is>
      </c>
      <c r="E79" s="24" t="inlineStr">
        <is>
          <t>MLB</t>
        </is>
      </c>
      <c r="F79" s="24" t="inlineStr">
        <is>
          <t>Cincinnati Reds</t>
        </is>
      </c>
      <c r="G79" s="24" t="inlineStr">
        <is>
          <t>Seattle Mariners</t>
        </is>
      </c>
      <c r="H79" s="24" t="inlineStr">
        <is>
          <t>moneyline</t>
        </is>
      </c>
      <c r="I79" s="24" t="inlineStr">
        <is>
          <t>home</t>
        </is>
      </c>
      <c r="J79" s="38" t="n"/>
      <c r="K79" s="24" t="inlineStr">
        <is>
          <t>polymarket_us</t>
        </is>
      </c>
      <c r="L79" s="26" t="n">
        <v>-125</v>
      </c>
      <c r="M79" s="39" t="n">
        <v>1.8</v>
      </c>
      <c r="N79" s="28" t="n">
        <v>0.555556</v>
      </c>
      <c r="O79" s="28" t="n">
        <v>0.597509</v>
      </c>
      <c r="P79" s="28" t="n"/>
      <c r="Q79" s="28" t="n">
        <v>0.041953</v>
      </c>
      <c r="R79" s="26" t="n">
        <v>41</v>
      </c>
      <c r="S79" s="29" t="n">
        <v>1.5</v>
      </c>
      <c r="T79" s="24" t="inlineStr">
        <is>
          <t>mlb-elo-trend-lr-v3</t>
        </is>
      </c>
      <c r="U79" s="24" t="inlineStr">
        <is>
          <t>open</t>
        </is>
      </c>
      <c r="V79" s="24" t="n"/>
      <c r="W79" s="26" t="n"/>
      <c r="X79" s="26" t="n"/>
      <c r="Y79" s="38" t="n"/>
      <c r="Z79" s="26" t="n"/>
      <c r="AA79" s="28" t="n"/>
      <c r="AB79" s="28" t="n"/>
      <c r="AC79" s="40" t="n"/>
      <c r="AD79" s="24" t="n"/>
      <c r="AE79" s="31" t="inlineStr">
        <is>
          <t>Learned LR call at threshold 0.5150; executable ask 0.5550 (aec-mlb-cin-sea-2026-07-20).</t>
        </is>
      </c>
      <c r="AF79" s="31" t="inlineStr">
        <is>
          <t>Learned model; promotion gate not yet open; zero-unit research until review.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mlb-cin</t>
        </is>
      </c>
      <c r="AQ79" s="24" t="inlineStr">
        <is>
          <t>Cincinnati Reds</t>
        </is>
      </c>
      <c r="AR79" s="24" t="inlineStr">
        <is>
          <t>Cincinnati Reds</t>
        </is>
      </c>
      <c r="AS79" s="24" t="inlineStr">
        <is>
          <t>mlb-sea</t>
        </is>
      </c>
      <c r="AT79" s="24" t="inlineStr">
        <is>
          <t>Seattle Mariners</t>
        </is>
      </c>
      <c r="AU79" s="24" t="inlineStr">
        <is>
          <t>Seattle Mariners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ebdb392c90fd9a9414a97c1b39024e1a4f2c894aee118b3b4598ecd7e5e96695</t>
        </is>
      </c>
      <c r="BB79" s="24" t="inlineStr">
        <is>
          <t>learned_lr</t>
        </is>
      </c>
      <c r="BC79" s="24" t="inlineStr">
        <is>
          <t>mlb-elo-trend-lr-v3</t>
        </is>
      </c>
      <c r="BD79" s="24" t="inlineStr">
        <is>
          <t>ebdb392c90fd9a9414a97c1b39024e1a4f2c894aee118b3b4598ecd7e5e96695</t>
        </is>
      </c>
      <c r="BE79" s="24" t="inlineStr">
        <is>
          <t>982d73638d70c45b</t>
        </is>
      </c>
      <c r="BF79" s="24" t="inlineStr">
        <is>
          <t>1</t>
        </is>
      </c>
      <c r="BG79" s="24" t="inlineStr">
        <is>
          <t>mlb-elo-trend-lr-v3</t>
        </is>
      </c>
      <c r="BH79" s="24" t="inlineStr">
        <is>
          <t>2026-07-19T17:17:46.849555Z</t>
        </is>
      </c>
      <c r="BI79" s="24" t="inlineStr">
        <is>
          <t>["same_event","same_team_same_day","same_league_same_day"]</t>
        </is>
      </c>
      <c r="BJ79" s="38" t="n"/>
      <c r="BK79" s="26" t="n">
        <v>-125</v>
      </c>
      <c r="BL79" s="39" t="n">
        <v>1.8</v>
      </c>
      <c r="BM79" s="28" t="n">
        <v>0.555556</v>
      </c>
      <c r="BN79" s="28" t="n">
        <v>0.552239</v>
      </c>
      <c r="BO79" s="28" t="n"/>
      <c r="BP79" s="38" t="n"/>
      <c r="BQ79" s="39" t="n"/>
      <c r="BR79" s="28" t="n"/>
      <c r="BS79" s="28" t="n"/>
      <c r="BT79" s="28" t="n"/>
      <c r="BU79" s="38" t="n"/>
      <c r="BV79" s="29" t="n"/>
      <c r="BW79" s="24" t="n"/>
      <c r="BX79" s="40" t="n"/>
      <c r="BY79" s="39" t="n"/>
      <c r="BZ79" s="24" t="n"/>
      <c r="CA79" s="31" t="n"/>
    </row>
    <row r="80" ht="36" customHeight="1">
      <c r="A80" s="24" t="inlineStr">
        <is>
          <t>c7a1577522fb4d37</t>
        </is>
      </c>
      <c r="B80" s="24" t="inlineStr">
        <is>
          <t>2026-07-19T17:18:24.670965Z</t>
        </is>
      </c>
      <c r="C80" s="24" t="inlineStr">
        <is>
          <t>2026-07-21T02:00Z</t>
        </is>
      </c>
      <c r="D80" s="24" t="inlineStr">
        <is>
          <t>401816200</t>
        </is>
      </c>
      <c r="E80" s="24" t="inlineStr">
        <is>
          <t>MLB</t>
        </is>
      </c>
      <c r="F80" s="24" t="inlineStr">
        <is>
          <t>St. Louis Cardinals</t>
        </is>
      </c>
      <c r="G80" s="24" t="inlineStr">
        <is>
          <t>Los Angeles Angels</t>
        </is>
      </c>
      <c r="H80" s="24" t="inlineStr">
        <is>
          <t>moneyline</t>
        </is>
      </c>
      <c r="I80" s="24" t="inlineStr">
        <is>
          <t>away</t>
        </is>
      </c>
      <c r="J80" s="38" t="n"/>
      <c r="K80" s="24" t="inlineStr">
        <is>
          <t>polymarket_us</t>
        </is>
      </c>
      <c r="L80" s="26" t="n">
        <v>-102</v>
      </c>
      <c r="M80" s="39" t="n">
        <v>1.980392</v>
      </c>
      <c r="N80" s="28" t="n">
        <v>0.50495</v>
      </c>
      <c r="O80" s="28" t="n">
        <v>0.541942</v>
      </c>
      <c r="P80" s="28" t="n"/>
      <c r="Q80" s="28" t="n">
        <v>0.036992</v>
      </c>
      <c r="R80" s="26" t="n">
        <v>38</v>
      </c>
      <c r="S80" s="29" t="n">
        <v>1</v>
      </c>
      <c r="T80" s="24" t="inlineStr">
        <is>
          <t>mlb-elo-trend-lr-v3</t>
        </is>
      </c>
      <c r="U80" s="24" t="inlineStr">
        <is>
          <t>open</t>
        </is>
      </c>
      <c r="V80" s="24" t="n"/>
      <c r="W80" s="26" t="n"/>
      <c r="X80" s="26" t="n"/>
      <c r="Y80" s="38" t="n"/>
      <c r="Z80" s="26" t="n"/>
      <c r="AA80" s="28" t="n"/>
      <c r="AB80" s="28" t="n"/>
      <c r="AC80" s="40" t="n"/>
      <c r="AD80" s="24" t="n"/>
      <c r="AE80" s="31" t="inlineStr">
        <is>
          <t>Learned LR call at threshold 0.5150; executable ask 0.5050 (aec-mlb-stl-laa-2026-07-20).</t>
        </is>
      </c>
      <c r="AF80" s="31" t="inlineStr">
        <is>
          <t>Learned model; promotion gate not yet open; zero-unit research until review.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mlb-stl</t>
        </is>
      </c>
      <c r="AQ80" s="24" t="inlineStr">
        <is>
          <t>St. Louis Cardinals</t>
        </is>
      </c>
      <c r="AR80" s="24" t="inlineStr">
        <is>
          <t>St. Louis Cardinals</t>
        </is>
      </c>
      <c r="AS80" s="24" t="inlineStr">
        <is>
          <t>mlb-laa</t>
        </is>
      </c>
      <c r="AT80" s="24" t="inlineStr">
        <is>
          <t>Los Angeles Angels</t>
        </is>
      </c>
      <c r="AU80" s="24" t="inlineStr">
        <is>
          <t>Los Angeles Angels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ebdb392c90fd9a9414a97c1b39024e1a4f2c894aee118b3b4598ecd7e5e96695</t>
        </is>
      </c>
      <c r="BB80" s="24" t="inlineStr">
        <is>
          <t>learned_lr</t>
        </is>
      </c>
      <c r="BC80" s="24" t="inlineStr">
        <is>
          <t>mlb-elo-trend-lr-v3</t>
        </is>
      </c>
      <c r="BD80" s="24" t="inlineStr">
        <is>
          <t>ebdb392c90fd9a9414a97c1b39024e1a4f2c894aee118b3b4598ecd7e5e96695</t>
        </is>
      </c>
      <c r="BE80" s="24" t="inlineStr">
        <is>
          <t>83613a19346b831e</t>
        </is>
      </c>
      <c r="BF80" s="24" t="inlineStr">
        <is>
          <t>1</t>
        </is>
      </c>
      <c r="BG80" s="24" t="inlineStr">
        <is>
          <t>mlb-elo-trend-lr-v3</t>
        </is>
      </c>
      <c r="BH80" s="24" t="inlineStr">
        <is>
          <t>2026-07-19T17:17:47.727344Z</t>
        </is>
      </c>
      <c r="BI80" s="24" t="inlineStr">
        <is>
          <t>["same_event","same_team_same_day","same_league_same_day"]</t>
        </is>
      </c>
      <c r="BJ80" s="38" t="n"/>
      <c r="BK80" s="26" t="n">
        <v>-102</v>
      </c>
      <c r="BL80" s="39" t="n">
        <v>1.980392</v>
      </c>
      <c r="BM80" s="28" t="n">
        <v>0.50495</v>
      </c>
      <c r="BN80" s="28" t="n">
        <v>0.502488</v>
      </c>
      <c r="BO80" s="28" t="n"/>
      <c r="BP80" s="38" t="n"/>
      <c r="BQ80" s="39" t="n"/>
      <c r="BR80" s="28" t="n"/>
      <c r="BS80" s="28" t="n"/>
      <c r="BT80" s="28" t="n"/>
      <c r="BU80" s="38" t="n"/>
      <c r="BV80" s="29" t="n"/>
      <c r="BW80" s="24" t="n"/>
      <c r="BX80" s="40" t="n"/>
      <c r="BY80" s="39" t="n"/>
      <c r="BZ80" s="24" t="n"/>
      <c r="CA80" s="31" t="n"/>
    </row>
    <row r="81" ht="36" customHeight="1">
      <c r="A81" s="24" t="inlineStr">
        <is>
          <t>5ddbae8d805944cb</t>
        </is>
      </c>
      <c r="B81" s="24" t="inlineStr">
        <is>
          <t>2026-07-19T17:18:29.371620Z</t>
        </is>
      </c>
      <c r="C81" s="24" t="inlineStr">
        <is>
          <t>2026-07-21T00:00Z</t>
        </is>
      </c>
      <c r="D81" s="24" t="inlineStr">
        <is>
          <t>401892393</t>
        </is>
      </c>
      <c r="E81" s="24" t="inlineStr">
        <is>
          <t>WNBA</t>
        </is>
      </c>
      <c r="F81" s="24" t="inlineStr">
        <is>
          <t>New York Liberty</t>
        </is>
      </c>
      <c r="G81" s="24" t="inlineStr">
        <is>
          <t>Dallas Wings</t>
        </is>
      </c>
      <c r="H81" s="24" t="inlineStr">
        <is>
          <t>moneyline</t>
        </is>
      </c>
      <c r="I81" s="24" t="inlineStr">
        <is>
          <t>home</t>
        </is>
      </c>
      <c r="J81" s="38" t="n"/>
      <c r="K81" s="24" t="inlineStr">
        <is>
          <t>polymarket_us</t>
        </is>
      </c>
      <c r="L81" s="26" t="n">
        <v>108</v>
      </c>
      <c r="M81" s="39" t="n">
        <v>2.08</v>
      </c>
      <c r="N81" s="28" t="n">
        <v>0.480769</v>
      </c>
      <c r="O81" s="28" t="n">
        <v>0.6787840000000001</v>
      </c>
      <c r="P81" s="28" t="n"/>
      <c r="Q81" s="28" t="n">
        <v>0.198015</v>
      </c>
      <c r="R81" s="26" t="n">
        <v>100</v>
      </c>
      <c r="S81" s="29" t="n">
        <v>0.5</v>
      </c>
      <c r="T81" s="24" t="inlineStr">
        <is>
          <t>wnba-elo-trend-lr-v3</t>
        </is>
      </c>
      <c r="U81" s="24" t="inlineStr">
        <is>
          <t>open</t>
        </is>
      </c>
      <c r="V81" s="24" t="n"/>
      <c r="W81" s="26" t="n"/>
      <c r="X81" s="26" t="n"/>
      <c r="Y81" s="38" t="n"/>
      <c r="Z81" s="26" t="n"/>
      <c r="AA81" s="28" t="n"/>
      <c r="AB81" s="28" t="n"/>
      <c r="AC81" s="40" t="n"/>
      <c r="AD81" s="24" t="n"/>
      <c r="AE81" s="31" t="inlineStr">
        <is>
          <t>Learned LR call at threshold 0.5000; executable ask 0.4800 (aec-wnba-ny-dal-2026-07-20).</t>
        </is>
      </c>
      <c r="AF81" s="31" t="inlineStr">
        <is>
          <t>Learned model; promotion gate not yet open; zero-unit research until review.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NO_CALL_LARGE_DISAGREEMENT_REVIEW</t>
        </is>
      </c>
      <c r="AP81" s="24" t="inlineStr">
        <is>
          <t>wnba-nyl</t>
        </is>
      </c>
      <c r="AQ81" s="24" t="inlineStr">
        <is>
          <t>New York Liberty</t>
        </is>
      </c>
      <c r="AR81" s="24" t="inlineStr">
        <is>
          <t>New York Liberty</t>
        </is>
      </c>
      <c r="AS81" s="24" t="inlineStr">
        <is>
          <t>wnba-dal</t>
        </is>
      </c>
      <c r="AT81" s="24" t="inlineStr">
        <is>
          <t>Dallas Wings</t>
        </is>
      </c>
      <c r="AU81" s="24" t="inlineStr">
        <is>
          <t>Dallas Wings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d339198b196cb3fcd02950ed5efbdd4cefbeb95b2cd63cd756e77f99dc483719</t>
        </is>
      </c>
      <c r="BB81" s="24" t="inlineStr">
        <is>
          <t>learned_lr</t>
        </is>
      </c>
      <c r="BC81" s="24" t="inlineStr">
        <is>
          <t>wnba-elo-trend-lr-v3</t>
        </is>
      </c>
      <c r="BD81" s="24" t="inlineStr">
        <is>
          <t>d339198b196cb3fcd02950ed5efbdd4cefbeb95b2cd63cd756e77f99dc483719</t>
        </is>
      </c>
      <c r="BE81" s="24" t="inlineStr">
        <is>
          <t>1c6f45e72b2d1f80</t>
        </is>
      </c>
      <c r="BF81" s="24" t="inlineStr">
        <is>
          <t>1</t>
        </is>
      </c>
      <c r="BG81" s="24" t="inlineStr">
        <is>
          <t>wnba-elo-trend-lr-v3</t>
        </is>
      </c>
      <c r="BH81" s="24" t="inlineStr">
        <is>
          <t>2026-07-19T17:17:49.472621Z</t>
        </is>
      </c>
      <c r="BI81" s="24" t="inlineStr">
        <is>
          <t>["same_event","same_team_same_day","same_league_same_day"]</t>
        </is>
      </c>
      <c r="BJ81" s="38" t="n"/>
      <c r="BK81" s="26" t="n">
        <v>108</v>
      </c>
      <c r="BL81" s="39" t="n">
        <v>2.08</v>
      </c>
      <c r="BM81" s="28" t="n">
        <v>0.480769</v>
      </c>
      <c r="BN81" s="28" t="n">
        <v>0.475248</v>
      </c>
      <c r="BO81" s="28" t="n"/>
      <c r="BP81" s="38" t="n"/>
      <c r="BQ81" s="39" t="n"/>
      <c r="BR81" s="28" t="n"/>
      <c r="BS81" s="28" t="n"/>
      <c r="BT81" s="28" t="n"/>
      <c r="BU81" s="38" t="n"/>
      <c r="BV81" s="29" t="n"/>
      <c r="BW81" s="24" t="n"/>
      <c r="BX81" s="40" t="n"/>
      <c r="BY81" s="39" t="n"/>
      <c r="BZ81" s="24" t="n"/>
      <c r="CA81" s="31" t="n"/>
    </row>
    <row r="82" ht="36" customHeight="1">
      <c r="A82" s="24" t="inlineStr">
        <is>
          <t>aaf1b4b6ac094ac8</t>
        </is>
      </c>
      <c r="B82" s="24" t="inlineStr">
        <is>
          <t>2026-07-20T14:58:34.322674Z</t>
        </is>
      </c>
      <c r="C82" s="24" t="inlineStr">
        <is>
          <t>2026-07-20T18:40:00-0400</t>
        </is>
      </c>
      <c r="D82" s="24" t="inlineStr">
        <is>
          <t>401816188</t>
        </is>
      </c>
      <c r="E82" s="24" t="inlineStr">
        <is>
          <t>MLB</t>
        </is>
      </c>
      <c r="F82" s="24" t="inlineStr">
        <is>
          <t>Minnesota Twins</t>
        </is>
      </c>
      <c r="G82" s="24" t="inlineStr">
        <is>
          <t>Cleveland Guardians</t>
        </is>
      </c>
      <c r="H82" s="24" t="inlineStr">
        <is>
          <t>moneyline</t>
        </is>
      </c>
      <c r="I82" s="24" t="inlineStr">
        <is>
          <t>home</t>
        </is>
      </c>
      <c r="J82" s="38" t="n"/>
      <c r="K82" s="24" t="inlineStr">
        <is>
          <t>polymarket_us</t>
        </is>
      </c>
      <c r="L82" s="26" t="n">
        <v>111</v>
      </c>
      <c r="M82" s="39" t="n">
        <v>2.11</v>
      </c>
      <c r="N82" s="28" t="n">
        <v>0.473934</v>
      </c>
      <c r="O82" s="28" t="n">
        <v>0.5726869999999999</v>
      </c>
      <c r="P82" s="28" t="n"/>
      <c r="Q82" s="28" t="n">
        <v>0.09875299999999999</v>
      </c>
      <c r="R82" s="26" t="n">
        <v>99</v>
      </c>
      <c r="S82" s="29" t="n">
        <v>1.25</v>
      </c>
      <c r="T82" s="24" t="inlineStr">
        <is>
          <t>mlb-elo-trend-lr-v4</t>
        </is>
      </c>
      <c r="U82" s="24" t="inlineStr">
        <is>
          <t>open</t>
        </is>
      </c>
      <c r="V82" s="24" t="n"/>
      <c r="W82" s="26" t="n"/>
      <c r="X82" s="26" t="n"/>
      <c r="Y82" s="38" t="n"/>
      <c r="Z82" s="26" t="n"/>
      <c r="AA82" s="28" t="n"/>
      <c r="AB82" s="28" t="n"/>
      <c r="AC82" s="40" t="n"/>
      <c r="AD82" s="24" t="n"/>
      <c r="AE82" s="31" t="inlineStr">
        <is>
          <t>Learned LR call at threshold 0.5500; executable ask 0.4750 (aec-mlb-min-cle-2026-07-20).</t>
        </is>
      </c>
      <c r="AF82" s="31" t="inlineStr">
        <is>
          <t>Learned model; promotion gate not yet open; zero-unit research until review.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NO_CALL_LARGE_DISAGREEMENT_REVIEW</t>
        </is>
      </c>
      <c r="AP82" s="24" t="inlineStr">
        <is>
          <t>mlb-min</t>
        </is>
      </c>
      <c r="AQ82" s="24" t="inlineStr">
        <is>
          <t>Minnesota Twins</t>
        </is>
      </c>
      <c r="AR82" s="24" t="inlineStr">
        <is>
          <t>Minnesota Twins</t>
        </is>
      </c>
      <c r="AS82" s="24" t="inlineStr">
        <is>
          <t>mlb-cle</t>
        </is>
      </c>
      <c r="AT82" s="24" t="inlineStr">
        <is>
          <t>Cleveland Guardians</t>
        </is>
      </c>
      <c r="AU82" s="24" t="inlineStr">
        <is>
          <t>Cleveland Guardians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5224fb6ffbc9ddf8fa517627b830ac851192da94d241963d556945393a42bb9d</t>
        </is>
      </c>
      <c r="BB82" s="24" t="inlineStr">
        <is>
          <t>learned_lr</t>
        </is>
      </c>
      <c r="BC82" s="24" t="inlineStr">
        <is>
          <t>mlb-elo-trend-lr-v4</t>
        </is>
      </c>
      <c r="BD82" s="24" t="inlineStr">
        <is>
          <t>5224fb6ffbc9ddf8fa517627b830ac851192da94d241963d556945393a42bb9d</t>
        </is>
      </c>
      <c r="BE82" s="24" t="inlineStr">
        <is>
          <t>2170ac399ced5417</t>
        </is>
      </c>
      <c r="BF82" s="24" t="inlineStr">
        <is>
          <t>1</t>
        </is>
      </c>
      <c r="BG82" s="24" t="inlineStr">
        <is>
          <t>mlb-elo-trend-lr-v4</t>
        </is>
      </c>
      <c r="BH82" s="24" t="inlineStr">
        <is>
          <t>2026-07-20T14:57:32.219947Z</t>
        </is>
      </c>
      <c r="BI82" s="24" t="inlineStr">
        <is>
          <t>["same_event","same_team_same_day","same_league_same_day"]</t>
        </is>
      </c>
      <c r="BJ82" s="38" t="n"/>
      <c r="BK82" s="26" t="n">
        <v>111</v>
      </c>
      <c r="BL82" s="39" t="n">
        <v>2.11</v>
      </c>
      <c r="BM82" s="28" t="n">
        <v>0.473934</v>
      </c>
      <c r="BN82" s="28" t="n">
        <v>0.472637</v>
      </c>
      <c r="BO82" s="28" t="n"/>
      <c r="BP82" s="38" t="n"/>
      <c r="BQ82" s="39" t="n"/>
      <c r="BR82" s="28" t="n"/>
      <c r="BS82" s="28" t="n"/>
      <c r="BT82" s="28" t="n"/>
      <c r="BU82" s="38" t="n"/>
      <c r="BV82" s="29" t="n"/>
      <c r="BW82" s="24" t="n"/>
      <c r="BX82" s="40" t="n"/>
      <c r="BY82" s="39" t="n"/>
      <c r="BZ82" s="24" t="n"/>
      <c r="CA82" s="31" t="n"/>
    </row>
    <row r="83" ht="36" customHeight="1">
      <c r="A83" s="24" t="inlineStr">
        <is>
          <t>14a96af3a7654557</t>
        </is>
      </c>
      <c r="B83" s="24" t="inlineStr">
        <is>
          <t>2026-07-20T14:58:34.322674Z</t>
        </is>
      </c>
      <c r="C83" s="24" t="inlineStr">
        <is>
          <t>2026-07-20T19:05:00-0400</t>
        </is>
      </c>
      <c r="D83" s="24" t="inlineStr">
        <is>
          <t>401816189</t>
        </is>
      </c>
      <c r="E83" s="24" t="inlineStr">
        <is>
          <t>MLB</t>
        </is>
      </c>
      <c r="F83" s="24" t="inlineStr">
        <is>
          <t>Pittsburgh Pirates</t>
        </is>
      </c>
      <c r="G83" s="24" t="inlineStr">
        <is>
          <t>New York Yankees</t>
        </is>
      </c>
      <c r="H83" s="24" t="inlineStr">
        <is>
          <t>moneyline</t>
        </is>
      </c>
      <c r="I83" s="24" t="inlineStr">
        <is>
          <t>home</t>
        </is>
      </c>
      <c r="J83" s="38" t="n"/>
      <c r="K83" s="24" t="inlineStr">
        <is>
          <t>polymarket_us</t>
        </is>
      </c>
      <c r="L83" s="26" t="n">
        <v>-108</v>
      </c>
      <c r="M83" s="39" t="n">
        <v>1.925926</v>
      </c>
      <c r="N83" s="28" t="n">
        <v>0.519231</v>
      </c>
      <c r="O83" s="28" t="n">
        <v>0.578558</v>
      </c>
      <c r="P83" s="28" t="n"/>
      <c r="Q83" s="28" t="n">
        <v>0.059327</v>
      </c>
      <c r="R83" s="26" t="n">
        <v>50</v>
      </c>
      <c r="S83" s="29" t="n">
        <v>1.25</v>
      </c>
      <c r="T83" s="24" t="inlineStr">
        <is>
          <t>mlb-elo-trend-lr-v4</t>
        </is>
      </c>
      <c r="U83" s="24" t="inlineStr">
        <is>
          <t>open</t>
        </is>
      </c>
      <c r="V83" s="24" t="n"/>
      <c r="W83" s="26" t="n"/>
      <c r="X83" s="26" t="n"/>
      <c r="Y83" s="38" t="n"/>
      <c r="Z83" s="26" t="n"/>
      <c r="AA83" s="28" t="n"/>
      <c r="AB83" s="28" t="n"/>
      <c r="AC83" s="40" t="n"/>
      <c r="AD83" s="24" t="n"/>
      <c r="AE83" s="31" t="inlineStr">
        <is>
          <t>Learned LR call at threshold 0.5500; executable ask 0.5200 (aec-mlb-pit-nyy-2026-07-20).</t>
        </is>
      </c>
      <c r="AF83" s="31" t="inlineStr">
        <is>
          <t>Learned model; promotion gate not yet open; zero-unit research until review.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NO_CALL_LOW_EDGE</t>
        </is>
      </c>
      <c r="AP83" s="24" t="inlineStr">
        <is>
          <t>mlb-pit</t>
        </is>
      </c>
      <c r="AQ83" s="24" t="inlineStr">
        <is>
          <t>Pittsburgh Pirates</t>
        </is>
      </c>
      <c r="AR83" s="24" t="inlineStr">
        <is>
          <t>Pittsburgh Pirates</t>
        </is>
      </c>
      <c r="AS83" s="24" t="inlineStr">
        <is>
          <t>mlb-nyy</t>
        </is>
      </c>
      <c r="AT83" s="24" t="inlineStr">
        <is>
          <t>New York Yankees</t>
        </is>
      </c>
      <c r="AU83" s="24" t="inlineStr">
        <is>
          <t>New York Yankees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5224fb6ffbc9ddf8fa517627b830ac851192da94d241963d556945393a42bb9d</t>
        </is>
      </c>
      <c r="BB83" s="24" t="inlineStr">
        <is>
          <t>learned_lr</t>
        </is>
      </c>
      <c r="BC83" s="24" t="inlineStr">
        <is>
          <t>mlb-elo-trend-lr-v4</t>
        </is>
      </c>
      <c r="BD83" s="24" t="inlineStr">
        <is>
          <t>5224fb6ffbc9ddf8fa517627b830ac851192da94d241963d556945393a42bb9d</t>
        </is>
      </c>
      <c r="BE83" s="24" t="inlineStr">
        <is>
          <t>38ab7db5a3798f0c</t>
        </is>
      </c>
      <c r="BF83" s="24" t="inlineStr">
        <is>
          <t>1</t>
        </is>
      </c>
      <c r="BG83" s="24" t="inlineStr">
        <is>
          <t>mlb-elo-trend-lr-v4</t>
        </is>
      </c>
      <c r="BH83" s="24" t="inlineStr">
        <is>
          <t>2026-07-20T14:57:35.056972Z</t>
        </is>
      </c>
      <c r="BI83" s="24" t="inlineStr">
        <is>
          <t>["same_event","same_team_same_day","same_league_same_day"]</t>
        </is>
      </c>
      <c r="BJ83" s="38" t="n"/>
      <c r="BK83" s="26" t="n">
        <v>-108</v>
      </c>
      <c r="BL83" s="39" t="n">
        <v>1.925926</v>
      </c>
      <c r="BM83" s="28" t="n">
        <v>0.519231</v>
      </c>
      <c r="BN83" s="28" t="n">
        <v>0.517413</v>
      </c>
      <c r="BO83" s="28" t="n"/>
      <c r="BP83" s="38" t="n"/>
      <c r="BQ83" s="39" t="n"/>
      <c r="BR83" s="28" t="n"/>
      <c r="BS83" s="28" t="n"/>
      <c r="BT83" s="28" t="n"/>
      <c r="BU83" s="38" t="n"/>
      <c r="BV83" s="29" t="n"/>
      <c r="BW83" s="24" t="n"/>
      <c r="BX83" s="40" t="n"/>
      <c r="BY83" s="39" t="n"/>
      <c r="BZ83" s="24" t="n"/>
      <c r="CA83" s="31" t="n"/>
    </row>
    <row r="84" ht="36" customHeight="1">
      <c r="A84" s="24" t="inlineStr">
        <is>
          <t>4859b2be84c249d7</t>
        </is>
      </c>
      <c r="B84" s="24" t="inlineStr">
        <is>
          <t>2026-07-20T14:58:34.322674Z</t>
        </is>
      </c>
      <c r="C84" s="24" t="inlineStr">
        <is>
          <t>2026-07-20T19:10:00-0400</t>
        </is>
      </c>
      <c r="D84" s="24" t="inlineStr">
        <is>
          <t>401816186</t>
        </is>
      </c>
      <c r="E84" s="24" t="inlineStr">
        <is>
          <t>MLB</t>
        </is>
      </c>
      <c r="F84" s="24" t="inlineStr">
        <is>
          <t>Baltimore Orioles</t>
        </is>
      </c>
      <c r="G84" s="24" t="inlineStr">
        <is>
          <t>Boston Red Sox</t>
        </is>
      </c>
      <c r="H84" s="24" t="inlineStr">
        <is>
          <t>moneyline</t>
        </is>
      </c>
      <c r="I84" s="24" t="inlineStr">
        <is>
          <t>home</t>
        </is>
      </c>
      <c r="J84" s="38" t="n"/>
      <c r="K84" s="24" t="inlineStr">
        <is>
          <t>polymarket_us</t>
        </is>
      </c>
      <c r="L84" s="26" t="n">
        <v>-138</v>
      </c>
      <c r="M84" s="39" t="n">
        <v>1.724638</v>
      </c>
      <c r="N84" s="28" t="n">
        <v>0.579832</v>
      </c>
      <c r="O84" s="28" t="n">
        <v>0.565797</v>
      </c>
      <c r="P84" s="28" t="n"/>
      <c r="Q84" s="28" t="n">
        <v>-0.014035</v>
      </c>
      <c r="R84" s="26" t="n">
        <v>13</v>
      </c>
      <c r="S84" s="29" t="n">
        <v>1.25</v>
      </c>
      <c r="T84" s="24" t="inlineStr">
        <is>
          <t>mlb-elo-trend-lr-v4</t>
        </is>
      </c>
      <c r="U84" s="24" t="inlineStr">
        <is>
          <t>open</t>
        </is>
      </c>
      <c r="V84" s="24" t="n"/>
      <c r="W84" s="26" t="n"/>
      <c r="X84" s="26" t="n"/>
      <c r="Y84" s="38" t="n"/>
      <c r="Z84" s="26" t="n"/>
      <c r="AA84" s="28" t="n"/>
      <c r="AB84" s="28" t="n"/>
      <c r="AC84" s="40" t="n"/>
      <c r="AD84" s="24" t="n"/>
      <c r="AE84" s="31" t="inlineStr">
        <is>
          <t>Learned LR call at threshold 0.5500; executable ask 0.5800 (aec-mlb-bal-bos-2026-07-20).</t>
        </is>
      </c>
      <c r="AF84" s="31" t="inlineStr">
        <is>
          <t>Learned model; promotion gate not yet open; zero-unit research until review.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mlb-bal</t>
        </is>
      </c>
      <c r="AQ84" s="24" t="inlineStr">
        <is>
          <t>Baltimore Orioles</t>
        </is>
      </c>
      <c r="AR84" s="24" t="inlineStr">
        <is>
          <t>Baltimore Orioles</t>
        </is>
      </c>
      <c r="AS84" s="24" t="inlineStr">
        <is>
          <t>mlb-bos</t>
        </is>
      </c>
      <c r="AT84" s="24" t="inlineStr">
        <is>
          <t>Boston Red Sox</t>
        </is>
      </c>
      <c r="AU84" s="24" t="inlineStr">
        <is>
          <t>Boston Red Sox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5224fb6ffbc9ddf8fa517627b830ac851192da94d241963d556945393a42bb9d</t>
        </is>
      </c>
      <c r="BB84" s="24" t="inlineStr">
        <is>
          <t>learned_lr</t>
        </is>
      </c>
      <c r="BC84" s="24" t="inlineStr">
        <is>
          <t>mlb-elo-trend-lr-v4</t>
        </is>
      </c>
      <c r="BD84" s="24" t="inlineStr">
        <is>
          <t>5224fb6ffbc9ddf8fa517627b830ac851192da94d241963d556945393a42bb9d</t>
        </is>
      </c>
      <c r="BE84" s="24" t="inlineStr">
        <is>
          <t>9fe2d27778a72dfe</t>
        </is>
      </c>
      <c r="BF84" s="24" t="inlineStr">
        <is>
          <t>1</t>
        </is>
      </c>
      <c r="BG84" s="24" t="inlineStr">
        <is>
          <t>mlb-elo-trend-lr-v4</t>
        </is>
      </c>
      <c r="BH84" s="24" t="inlineStr">
        <is>
          <t>2026-07-20T14:57:37.354484Z</t>
        </is>
      </c>
      <c r="BI84" s="24" t="inlineStr">
        <is>
          <t>["same_event","same_team_same_day","same_league_same_day"]</t>
        </is>
      </c>
      <c r="BJ84" s="38" t="n"/>
      <c r="BK84" s="26" t="n">
        <v>-138</v>
      </c>
      <c r="BL84" s="39" t="n">
        <v>1.724638</v>
      </c>
      <c r="BM84" s="28" t="n">
        <v>0.579832</v>
      </c>
      <c r="BN84" s="28" t="n">
        <v>0.577114</v>
      </c>
      <c r="BO84" s="28" t="n"/>
      <c r="BP84" s="38" t="n"/>
      <c r="BQ84" s="39" t="n"/>
      <c r="BR84" s="28" t="n"/>
      <c r="BS84" s="28" t="n"/>
      <c r="BT84" s="28" t="n"/>
      <c r="BU84" s="38" t="n"/>
      <c r="BV84" s="29" t="n"/>
      <c r="BW84" s="24" t="n"/>
      <c r="BX84" s="40" t="n"/>
      <c r="BY84" s="39" t="n"/>
      <c r="BZ84" s="24" t="n"/>
      <c r="CA84" s="31" t="n"/>
    </row>
    <row r="85" ht="36" customHeight="1">
      <c r="A85" s="24" t="inlineStr">
        <is>
          <t>41f811ccac474792</t>
        </is>
      </c>
      <c r="B85" s="24" t="inlineStr">
        <is>
          <t>2026-07-20T14:58:34.322674Z</t>
        </is>
      </c>
      <c r="C85" s="24" t="inlineStr">
        <is>
          <t>2026-07-20T19:15:00-0400</t>
        </is>
      </c>
      <c r="D85" s="24" t="inlineStr">
        <is>
          <t>401816190</t>
        </is>
      </c>
      <c r="E85" s="24" t="inlineStr">
        <is>
          <t>MLB</t>
        </is>
      </c>
      <c r="F85" s="24" t="inlineStr">
        <is>
          <t>San Diego Padres</t>
        </is>
      </c>
      <c r="G85" s="24" t="inlineStr">
        <is>
          <t>Atlanta Braves</t>
        </is>
      </c>
      <c r="H85" s="24" t="inlineStr">
        <is>
          <t>moneyline</t>
        </is>
      </c>
      <c r="I85" s="24" t="inlineStr">
        <is>
          <t>home</t>
        </is>
      </c>
      <c r="J85" s="38" t="n"/>
      <c r="K85" s="24" t="inlineStr">
        <is>
          <t>polymarket_us</t>
        </is>
      </c>
      <c r="L85" s="26" t="n">
        <v>-133</v>
      </c>
      <c r="M85" s="39" t="n">
        <v>1.75188</v>
      </c>
      <c r="N85" s="28" t="n">
        <v>0.570815</v>
      </c>
      <c r="O85" s="28" t="n">
        <v>0.550915</v>
      </c>
      <c r="P85" s="28" t="n"/>
      <c r="Q85" s="28" t="n">
        <v>-0.0199</v>
      </c>
      <c r="R85" s="26" t="n">
        <v>10</v>
      </c>
      <c r="S85" s="29" t="n">
        <v>1</v>
      </c>
      <c r="T85" s="24" t="inlineStr">
        <is>
          <t>mlb-elo-trend-lr-v4</t>
        </is>
      </c>
      <c r="U85" s="24" t="inlineStr">
        <is>
          <t>open</t>
        </is>
      </c>
      <c r="V85" s="24" t="n"/>
      <c r="W85" s="26" t="n"/>
      <c r="X85" s="26" t="n"/>
      <c r="Y85" s="38" t="n"/>
      <c r="Z85" s="26" t="n"/>
      <c r="AA85" s="28" t="n"/>
      <c r="AB85" s="28" t="n"/>
      <c r="AC85" s="40" t="n"/>
      <c r="AD85" s="24" t="n"/>
      <c r="AE85" s="31" t="inlineStr">
        <is>
          <t>Learned LR call at threshold 0.5500; executable ask 0.5700 (aec-mlb-sd-atl-2026-07-20).</t>
        </is>
      </c>
      <c r="AF85" s="31" t="inlineStr">
        <is>
          <t>Learned model; promotion gate not yet open; zero-unit research until review.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NO_CALL_LOW_EDGE</t>
        </is>
      </c>
      <c r="AP85" s="24" t="inlineStr">
        <is>
          <t>mlb-sd</t>
        </is>
      </c>
      <c r="AQ85" s="24" t="inlineStr">
        <is>
          <t>San Diego Padres</t>
        </is>
      </c>
      <c r="AR85" s="24" t="inlineStr">
        <is>
          <t>San Diego Padres</t>
        </is>
      </c>
      <c r="AS85" s="24" t="inlineStr">
        <is>
          <t>mlb-atl</t>
        </is>
      </c>
      <c r="AT85" s="24" t="inlineStr">
        <is>
          <t>Atlanta Braves</t>
        </is>
      </c>
      <c r="AU85" s="24" t="inlineStr">
        <is>
          <t>Atlanta Braves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5224fb6ffbc9ddf8fa517627b830ac851192da94d241963d556945393a42bb9d</t>
        </is>
      </c>
      <c r="BB85" s="24" t="inlineStr">
        <is>
          <t>learned_lr</t>
        </is>
      </c>
      <c r="BC85" s="24" t="inlineStr">
        <is>
          <t>mlb-elo-trend-lr-v4</t>
        </is>
      </c>
      <c r="BD85" s="24" t="inlineStr">
        <is>
          <t>5224fb6ffbc9ddf8fa517627b830ac851192da94d241963d556945393a42bb9d</t>
        </is>
      </c>
      <c r="BE85" s="24" t="inlineStr">
        <is>
          <t>f0b5eac7c97d1146</t>
        </is>
      </c>
      <c r="BF85" s="24" t="inlineStr">
        <is>
          <t>1</t>
        </is>
      </c>
      <c r="BG85" s="24" t="inlineStr">
        <is>
          <t>mlb-elo-trend-lr-v4</t>
        </is>
      </c>
      <c r="BH85" s="24" t="inlineStr">
        <is>
          <t>2026-07-20T14:57:40.909749Z</t>
        </is>
      </c>
      <c r="BI85" s="24" t="inlineStr">
        <is>
          <t>["same_event","same_team_same_day","same_league_same_day"]</t>
        </is>
      </c>
      <c r="BJ85" s="38" t="n"/>
      <c r="BK85" s="26" t="n">
        <v>-133</v>
      </c>
      <c r="BL85" s="39" t="n">
        <v>1.75188</v>
      </c>
      <c r="BM85" s="28" t="n">
        <v>0.570815</v>
      </c>
      <c r="BN85" s="28" t="n">
        <v>0.567164</v>
      </c>
      <c r="BO85" s="28" t="n"/>
      <c r="BP85" s="38" t="n"/>
      <c r="BQ85" s="39" t="n"/>
      <c r="BR85" s="28" t="n"/>
      <c r="BS85" s="28" t="n"/>
      <c r="BT85" s="28" t="n"/>
      <c r="BU85" s="38" t="n"/>
      <c r="BV85" s="29" t="n"/>
      <c r="BW85" s="24" t="n"/>
      <c r="BX85" s="40" t="n"/>
      <c r="BY85" s="39" t="n"/>
      <c r="BZ85" s="24" t="n"/>
      <c r="CA85" s="31" t="n"/>
    </row>
    <row r="86" ht="36" customHeight="1">
      <c r="A86" s="24" t="inlineStr">
        <is>
          <t>e68eefc9610e4621</t>
        </is>
      </c>
      <c r="B86" s="24" t="inlineStr">
        <is>
          <t>2026-07-20T14:58:34.322674Z</t>
        </is>
      </c>
      <c r="C86" s="24" t="inlineStr">
        <is>
          <t>2026-07-20T19:40:00-0400</t>
        </is>
      </c>
      <c r="D86" s="24" t="inlineStr">
        <is>
          <t>401816195</t>
        </is>
      </c>
      <c r="E86" s="24" t="inlineStr">
        <is>
          <t>MLB</t>
        </is>
      </c>
      <c r="F86" s="24" t="inlineStr">
        <is>
          <t>New York Mets</t>
        </is>
      </c>
      <c r="G86" s="24" t="inlineStr">
        <is>
          <t>Milwaukee Brewers</t>
        </is>
      </c>
      <c r="H86" s="24" t="inlineStr">
        <is>
          <t>moneyline</t>
        </is>
      </c>
      <c r="I86" s="24" t="inlineStr">
        <is>
          <t>home</t>
        </is>
      </c>
      <c r="J86" s="38" t="n"/>
      <c r="K86" s="24" t="inlineStr">
        <is>
          <t>polymarket_us</t>
        </is>
      </c>
      <c r="L86" s="26" t="n">
        <v>-199</v>
      </c>
      <c r="M86" s="39" t="n">
        <v>1.502513</v>
      </c>
      <c r="N86" s="28" t="n">
        <v>0.665552</v>
      </c>
      <c r="O86" s="28" t="n">
        <v>0.640995</v>
      </c>
      <c r="P86" s="28" t="n"/>
      <c r="Q86" s="28" t="n">
        <v>-0.024557</v>
      </c>
      <c r="R86" s="26" t="n">
        <v>8</v>
      </c>
      <c r="S86" s="29" t="n">
        <v>2</v>
      </c>
      <c r="T86" s="24" t="inlineStr">
        <is>
          <t>mlb-elo-trend-lr-v4</t>
        </is>
      </c>
      <c r="U86" s="24" t="inlineStr">
        <is>
          <t>open</t>
        </is>
      </c>
      <c r="V86" s="24" t="n"/>
      <c r="W86" s="26" t="n"/>
      <c r="X86" s="26" t="n"/>
      <c r="Y86" s="38" t="n"/>
      <c r="Z86" s="26" t="n"/>
      <c r="AA86" s="28" t="n"/>
      <c r="AB86" s="28" t="n"/>
      <c r="AC86" s="40" t="n"/>
      <c r="AD86" s="24" t="n"/>
      <c r="AE86" s="31" t="inlineStr">
        <is>
          <t>Learned LR call at threshold 0.5500; executable ask 0.6650 (aec-mlb-nym-mil-2026-07-20).</t>
        </is>
      </c>
      <c r="AF86" s="31" t="inlineStr">
        <is>
          <t>Learned model; promotion gate not yet open; zero-unit research until review.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NO_CALL_LOW_EDGE</t>
        </is>
      </c>
      <c r="AP86" s="24" t="inlineStr">
        <is>
          <t>mlb-nym</t>
        </is>
      </c>
      <c r="AQ86" s="24" t="inlineStr">
        <is>
          <t>New York Mets</t>
        </is>
      </c>
      <c r="AR86" s="24" t="inlineStr">
        <is>
          <t>New York Mets</t>
        </is>
      </c>
      <c r="AS86" s="24" t="inlineStr">
        <is>
          <t>mlb-mil</t>
        </is>
      </c>
      <c r="AT86" s="24" t="inlineStr">
        <is>
          <t>Milwaukee Brewers</t>
        </is>
      </c>
      <c r="AU86" s="24" t="inlineStr">
        <is>
          <t>Milwaukee Brewers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5224fb6ffbc9ddf8fa517627b830ac851192da94d241963d556945393a42bb9d</t>
        </is>
      </c>
      <c r="BB86" s="24" t="inlineStr">
        <is>
          <t>learned_lr</t>
        </is>
      </c>
      <c r="BC86" s="24" t="inlineStr">
        <is>
          <t>mlb-elo-trend-lr-v4</t>
        </is>
      </c>
      <c r="BD86" s="24" t="inlineStr">
        <is>
          <t>5224fb6ffbc9ddf8fa517627b830ac851192da94d241963d556945393a42bb9d</t>
        </is>
      </c>
      <c r="BE86" s="24" t="inlineStr">
        <is>
          <t>6d5f3f5e8f75cb2b</t>
        </is>
      </c>
      <c r="BF86" s="24" t="inlineStr">
        <is>
          <t>1</t>
        </is>
      </c>
      <c r="BG86" s="24" t="inlineStr">
        <is>
          <t>mlb-elo-trend-lr-v4</t>
        </is>
      </c>
      <c r="BH86" s="24" t="inlineStr">
        <is>
          <t>2026-07-20T14:57:42.879792Z</t>
        </is>
      </c>
      <c r="BI86" s="24" t="inlineStr">
        <is>
          <t>["same_event","same_team_same_day","same_league_same_day"]</t>
        </is>
      </c>
      <c r="BJ86" s="38" t="n"/>
      <c r="BK86" s="26" t="n">
        <v>-199</v>
      </c>
      <c r="BL86" s="39" t="n">
        <v>1.502513</v>
      </c>
      <c r="BM86" s="28" t="n">
        <v>0.665552</v>
      </c>
      <c r="BN86" s="28" t="n">
        <v>0.6616919999999999</v>
      </c>
      <c r="BO86" s="28" t="n"/>
      <c r="BP86" s="38" t="n"/>
      <c r="BQ86" s="39" t="n"/>
      <c r="BR86" s="28" t="n"/>
      <c r="BS86" s="28" t="n"/>
      <c r="BT86" s="28" t="n"/>
      <c r="BU86" s="38" t="n"/>
      <c r="BV86" s="29" t="n"/>
      <c r="BW86" s="24" t="n"/>
      <c r="BX86" s="40" t="n"/>
      <c r="BY86" s="39" t="n"/>
      <c r="BZ86" s="24" t="n"/>
      <c r="CA86" s="31" t="n"/>
    </row>
    <row r="87" ht="36" customHeight="1">
      <c r="A87" s="24" t="inlineStr">
        <is>
          <t>8db3a8d8a90f4145</t>
        </is>
      </c>
      <c r="B87" s="24" t="inlineStr">
        <is>
          <t>2026-07-20T14:58:34.322674Z</t>
        </is>
      </c>
      <c r="C87" s="24" t="inlineStr">
        <is>
          <t>2026-07-20T20:05:00-0400</t>
        </is>
      </c>
      <c r="D87" s="24" t="inlineStr">
        <is>
          <t>401816193</t>
        </is>
      </c>
      <c r="E87" s="24" t="inlineStr">
        <is>
          <t>MLB</t>
        </is>
      </c>
      <c r="F87" s="24" t="inlineStr">
        <is>
          <t>Detroit Tigers</t>
        </is>
      </c>
      <c r="G87" s="24" t="inlineStr">
        <is>
          <t>Chicago Cubs</t>
        </is>
      </c>
      <c r="H87" s="24" t="inlineStr">
        <is>
          <t>moneyline</t>
        </is>
      </c>
      <c r="I87" s="24" t="inlineStr">
        <is>
          <t>home</t>
        </is>
      </c>
      <c r="J87" s="38" t="n"/>
      <c r="K87" s="24" t="inlineStr">
        <is>
          <t>polymarket_us</t>
        </is>
      </c>
      <c r="L87" s="26" t="n">
        <v>-108</v>
      </c>
      <c r="M87" s="39" t="n">
        <v>1.925926</v>
      </c>
      <c r="N87" s="28" t="n">
        <v>0.519231</v>
      </c>
      <c r="O87" s="28" t="n">
        <v>0.566967</v>
      </c>
      <c r="P87" s="28" t="n"/>
      <c r="Q87" s="28" t="n">
        <v>0.047736</v>
      </c>
      <c r="R87" s="26" t="n">
        <v>44</v>
      </c>
      <c r="S87" s="29" t="n">
        <v>1.25</v>
      </c>
      <c r="T87" s="24" t="inlineStr">
        <is>
          <t>mlb-elo-trend-lr-v4</t>
        </is>
      </c>
      <c r="U87" s="24" t="inlineStr">
        <is>
          <t>open</t>
        </is>
      </c>
      <c r="V87" s="24" t="n"/>
      <c r="W87" s="26" t="n"/>
      <c r="X87" s="26" t="n"/>
      <c r="Y87" s="38" t="n"/>
      <c r="Z87" s="26" t="n"/>
      <c r="AA87" s="28" t="n"/>
      <c r="AB87" s="28" t="n"/>
      <c r="AC87" s="40" t="n"/>
      <c r="AD87" s="24" t="n"/>
      <c r="AE87" s="31" t="inlineStr">
        <is>
          <t>Learned LR call at threshold 0.5500; executable ask 0.5200 (aec-mlb-det-chc-2026-07-20).</t>
        </is>
      </c>
      <c r="AF87" s="31" t="inlineStr">
        <is>
          <t>Learned model; promotion gate not yet open; zero-unit research until review.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mlb-det</t>
        </is>
      </c>
      <c r="AQ87" s="24" t="inlineStr">
        <is>
          <t>Detroit Tigers</t>
        </is>
      </c>
      <c r="AR87" s="24" t="inlineStr">
        <is>
          <t>Detroit Tigers</t>
        </is>
      </c>
      <c r="AS87" s="24" t="inlineStr">
        <is>
          <t>mlb-chc</t>
        </is>
      </c>
      <c r="AT87" s="24" t="inlineStr">
        <is>
          <t>Chicago Cubs</t>
        </is>
      </c>
      <c r="AU87" s="24" t="inlineStr">
        <is>
          <t>Chicago Cubs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5224fb6ffbc9ddf8fa517627b830ac851192da94d241963d556945393a42bb9d</t>
        </is>
      </c>
      <c r="BB87" s="24" t="inlineStr">
        <is>
          <t>learned_lr</t>
        </is>
      </c>
      <c r="BC87" s="24" t="inlineStr">
        <is>
          <t>mlb-elo-trend-lr-v4</t>
        </is>
      </c>
      <c r="BD87" s="24" t="inlineStr">
        <is>
          <t>5224fb6ffbc9ddf8fa517627b830ac851192da94d241963d556945393a42bb9d</t>
        </is>
      </c>
      <c r="BE87" s="24" t="inlineStr">
        <is>
          <t>b84afb2c70e14d93</t>
        </is>
      </c>
      <c r="BF87" s="24" t="inlineStr">
        <is>
          <t>1</t>
        </is>
      </c>
      <c r="BG87" s="24" t="inlineStr">
        <is>
          <t>mlb-elo-trend-lr-v4</t>
        </is>
      </c>
      <c r="BH87" s="24" t="inlineStr">
        <is>
          <t>2026-07-20T14:57:46.871986Z</t>
        </is>
      </c>
      <c r="BI87" s="24" t="inlineStr">
        <is>
          <t>["same_event","same_team_same_day","same_league_same_day"]</t>
        </is>
      </c>
      <c r="BJ87" s="38" t="n"/>
      <c r="BK87" s="26" t="n">
        <v>-108</v>
      </c>
      <c r="BL87" s="39" t="n">
        <v>1.925926</v>
      </c>
      <c r="BM87" s="28" t="n">
        <v>0.519231</v>
      </c>
      <c r="BN87" s="28" t="n">
        <v>0.517413</v>
      </c>
      <c r="BO87" s="28" t="n"/>
      <c r="BP87" s="38" t="n"/>
      <c r="BQ87" s="39" t="n"/>
      <c r="BR87" s="28" t="n"/>
      <c r="BS87" s="28" t="n"/>
      <c r="BT87" s="28" t="n"/>
      <c r="BU87" s="38" t="n"/>
      <c r="BV87" s="29" t="n"/>
      <c r="BW87" s="24" t="n"/>
      <c r="BX87" s="40" t="n"/>
      <c r="BY87" s="39" t="n"/>
      <c r="BZ87" s="24" t="n"/>
      <c r="CA87" s="31" t="n"/>
    </row>
    <row r="88" ht="36" customHeight="1">
      <c r="A88" s="24" t="inlineStr">
        <is>
          <t>63c8de42843a46c9</t>
        </is>
      </c>
      <c r="B88" s="24" t="inlineStr">
        <is>
          <t>2026-07-20T14:58:34.322674Z</t>
        </is>
      </c>
      <c r="C88" s="24" t="inlineStr">
        <is>
          <t>2026-07-20T20:40:00-0400</t>
        </is>
      </c>
      <c r="D88" s="24" t="inlineStr">
        <is>
          <t>401816197</t>
        </is>
      </c>
      <c r="E88" s="24" t="inlineStr">
        <is>
          <t>MLB</t>
        </is>
      </c>
      <c r="F88" s="24" t="inlineStr">
        <is>
          <t>Washington Nationals</t>
        </is>
      </c>
      <c r="G88" s="24" t="inlineStr">
        <is>
          <t>Colorado Rockies</t>
        </is>
      </c>
      <c r="H88" s="24" t="inlineStr">
        <is>
          <t>moneyline</t>
        </is>
      </c>
      <c r="I88" s="24" t="inlineStr">
        <is>
          <t>away</t>
        </is>
      </c>
      <c r="J88" s="38" t="n"/>
      <c r="K88" s="24" t="inlineStr">
        <is>
          <t>polymarket_us</t>
        </is>
      </c>
      <c r="L88" s="26" t="n">
        <v>-117</v>
      </c>
      <c r="M88" s="39" t="n">
        <v>1.854701</v>
      </c>
      <c r="N88" s="28" t="n">
        <v>0.539171</v>
      </c>
      <c r="O88" s="28" t="n">
        <v>0.5563709999999999</v>
      </c>
      <c r="P88" s="28" t="n"/>
      <c r="Q88" s="28" t="n">
        <v>0.0172</v>
      </c>
      <c r="R88" s="26" t="n">
        <v>29</v>
      </c>
      <c r="S88" s="29" t="n">
        <v>1</v>
      </c>
      <c r="T88" s="24" t="inlineStr">
        <is>
          <t>mlb-elo-trend-lr-v4</t>
        </is>
      </c>
      <c r="U88" s="24" t="inlineStr">
        <is>
          <t>open</t>
        </is>
      </c>
      <c r="V88" s="24" t="n"/>
      <c r="W88" s="26" t="n"/>
      <c r="X88" s="26" t="n"/>
      <c r="Y88" s="38" t="n"/>
      <c r="Z88" s="26" t="n"/>
      <c r="AA88" s="28" t="n"/>
      <c r="AB88" s="28" t="n"/>
      <c r="AC88" s="40" t="n"/>
      <c r="AD88" s="24" t="n"/>
      <c r="AE88" s="31" t="inlineStr">
        <is>
          <t>Learned LR call at threshold 0.5500; executable ask 0.5400 (aec-mlb-wsh-col-2026-07-20).</t>
        </is>
      </c>
      <c r="AF88" s="31" t="inlineStr">
        <is>
          <t>Learned model; promotion gate not yet open; zero-unit research until review.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mlb-wsh</t>
        </is>
      </c>
      <c r="AQ88" s="24" t="inlineStr">
        <is>
          <t>Washington Nationals</t>
        </is>
      </c>
      <c r="AR88" s="24" t="inlineStr">
        <is>
          <t>Washington Nationals</t>
        </is>
      </c>
      <c r="AS88" s="24" t="inlineStr">
        <is>
          <t>mlb-col</t>
        </is>
      </c>
      <c r="AT88" s="24" t="inlineStr">
        <is>
          <t>Colorado Rockies</t>
        </is>
      </c>
      <c r="AU88" s="24" t="inlineStr">
        <is>
          <t>Colorado Rockies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5224fb6ffbc9ddf8fa517627b830ac851192da94d241963d556945393a42bb9d</t>
        </is>
      </c>
      <c r="BB88" s="24" t="inlineStr">
        <is>
          <t>learned_lr</t>
        </is>
      </c>
      <c r="BC88" s="24" t="inlineStr">
        <is>
          <t>mlb-elo-trend-lr-v4</t>
        </is>
      </c>
      <c r="BD88" s="24" t="inlineStr">
        <is>
          <t>5224fb6ffbc9ddf8fa517627b830ac851192da94d241963d556945393a42bb9d</t>
        </is>
      </c>
      <c r="BE88" s="24" t="inlineStr">
        <is>
          <t>a2f336c1cee8c92e</t>
        </is>
      </c>
      <c r="BF88" s="24" t="inlineStr">
        <is>
          <t>1</t>
        </is>
      </c>
      <c r="BG88" s="24" t="inlineStr">
        <is>
          <t>mlb-elo-trend-lr-v4</t>
        </is>
      </c>
      <c r="BH88" s="24" t="inlineStr">
        <is>
          <t>2026-07-20T14:57:49.897394Z</t>
        </is>
      </c>
      <c r="BI88" s="24" t="inlineStr">
        <is>
          <t>["same_event","same_team_same_day","same_league_same_day"]</t>
        </is>
      </c>
      <c r="BJ88" s="38" t="n"/>
      <c r="BK88" s="26" t="n">
        <v>-117</v>
      </c>
      <c r="BL88" s="39" t="n">
        <v>1.854701</v>
      </c>
      <c r="BM88" s="28" t="n">
        <v>0.539171</v>
      </c>
      <c r="BN88" s="28" t="n">
        <v>0.537313</v>
      </c>
      <c r="BO88" s="28" t="n"/>
      <c r="BP88" s="38" t="n"/>
      <c r="BQ88" s="39" t="n"/>
      <c r="BR88" s="28" t="n"/>
      <c r="BS88" s="28" t="n"/>
      <c r="BT88" s="28" t="n"/>
      <c r="BU88" s="38" t="n"/>
      <c r="BV88" s="29" t="n"/>
      <c r="BW88" s="24" t="n"/>
      <c r="BX88" s="40" t="n"/>
      <c r="BY88" s="39" t="n"/>
      <c r="BZ88" s="24" t="n"/>
      <c r="CA88" s="31" t="n"/>
    </row>
    <row r="89" ht="36" customHeight="1">
      <c r="A89" s="24" t="inlineStr">
        <is>
          <t>21876b0ffe164cd7</t>
        </is>
      </c>
      <c r="B89" s="24" t="inlineStr">
        <is>
          <t>2026-07-20T14:58:34.322674Z</t>
        </is>
      </c>
      <c r="C89" s="24" t="inlineStr">
        <is>
          <t>2026-07-20T21:40:00-0400</t>
        </is>
      </c>
      <c r="D89" s="24" t="inlineStr">
        <is>
          <t>401816198</t>
        </is>
      </c>
      <c r="E89" s="24" t="inlineStr">
        <is>
          <t>MLB</t>
        </is>
      </c>
      <c r="F89" s="24" t="inlineStr">
        <is>
          <t>Athletics</t>
        </is>
      </c>
      <c r="G89" s="24" t="inlineStr">
        <is>
          <t>Arizona Diamondbacks</t>
        </is>
      </c>
      <c r="H89" s="24" t="inlineStr">
        <is>
          <t>moneyline</t>
        </is>
      </c>
      <c r="I89" s="24" t="inlineStr">
        <is>
          <t>home</t>
        </is>
      </c>
      <c r="J89" s="38" t="n"/>
      <c r="K89" s="24" t="inlineStr">
        <is>
          <t>polymarket_us</t>
        </is>
      </c>
      <c r="L89" s="26" t="n">
        <v>-147</v>
      </c>
      <c r="M89" s="39" t="n">
        <v>1.680272</v>
      </c>
      <c r="N89" s="28" t="n">
        <v>0.5951419999999999</v>
      </c>
      <c r="O89" s="28" t="n">
        <v>0.58189</v>
      </c>
      <c r="P89" s="28" t="n"/>
      <c r="Q89" s="28" t="n">
        <v>-0.013252</v>
      </c>
      <c r="R89" s="26" t="n">
        <v>13</v>
      </c>
      <c r="S89" s="29" t="n">
        <v>1.25</v>
      </c>
      <c r="T89" s="24" t="inlineStr">
        <is>
          <t>mlb-elo-trend-lr-v4</t>
        </is>
      </c>
      <c r="U89" s="24" t="inlineStr">
        <is>
          <t>open</t>
        </is>
      </c>
      <c r="V89" s="24" t="n"/>
      <c r="W89" s="26" t="n"/>
      <c r="X89" s="26" t="n"/>
      <c r="Y89" s="38" t="n"/>
      <c r="Z89" s="26" t="n"/>
      <c r="AA89" s="28" t="n"/>
      <c r="AB89" s="28" t="n"/>
      <c r="AC89" s="40" t="n"/>
      <c r="AD89" s="24" t="n"/>
      <c r="AE89" s="31" t="inlineStr">
        <is>
          <t>Learned LR call at threshold 0.5500; executable ask 0.5950 (aec-mlb-ath-az-2026-07-20).</t>
        </is>
      </c>
      <c r="AF89" s="31" t="inlineStr">
        <is>
          <t>Learned model; promotion gate not yet open; zero-unit research until review.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NO_CALL_LOW_EDGE</t>
        </is>
      </c>
      <c r="AP89" s="24" t="inlineStr">
        <is>
          <t>mlb-ath</t>
        </is>
      </c>
      <c r="AQ89" s="24" t="inlineStr">
        <is>
          <t>Athletics</t>
        </is>
      </c>
      <c r="AR89" s="24" t="inlineStr">
        <is>
          <t>Athletics</t>
        </is>
      </c>
      <c r="AS89" s="24" t="inlineStr">
        <is>
          <t>mlb-ari</t>
        </is>
      </c>
      <c r="AT89" s="24" t="inlineStr">
        <is>
          <t>Arizona Diamondbacks</t>
        </is>
      </c>
      <c r="AU89" s="24" t="inlineStr">
        <is>
          <t>Arizona Diamondbacks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5224fb6ffbc9ddf8fa517627b830ac851192da94d241963d556945393a42bb9d</t>
        </is>
      </c>
      <c r="BB89" s="24" t="inlineStr">
        <is>
          <t>learned_lr</t>
        </is>
      </c>
      <c r="BC89" s="24" t="inlineStr">
        <is>
          <t>mlb-elo-trend-lr-v4</t>
        </is>
      </c>
      <c r="BD89" s="24" t="inlineStr">
        <is>
          <t>5224fb6ffbc9ddf8fa517627b830ac851192da94d241963d556945393a42bb9d</t>
        </is>
      </c>
      <c r="BE89" s="24" t="inlineStr">
        <is>
          <t>7b682aa5da86e2a4</t>
        </is>
      </c>
      <c r="BF89" s="24" t="inlineStr">
        <is>
          <t>1</t>
        </is>
      </c>
      <c r="BG89" s="24" t="inlineStr">
        <is>
          <t>mlb-elo-trend-lr-v4</t>
        </is>
      </c>
      <c r="BH89" s="24" t="inlineStr">
        <is>
          <t>2026-07-20T14:57:51.339273Z</t>
        </is>
      </c>
      <c r="BI89" s="24" t="inlineStr">
        <is>
          <t>["same_event","same_team_same_day","same_league_same_day"]</t>
        </is>
      </c>
      <c r="BJ89" s="38" t="n"/>
      <c r="BK89" s="26" t="n">
        <v>-147</v>
      </c>
      <c r="BL89" s="39" t="n">
        <v>1.680272</v>
      </c>
      <c r="BM89" s="28" t="n">
        <v>0.5951419999999999</v>
      </c>
      <c r="BN89" s="28" t="n">
        <v>0.59204</v>
      </c>
      <c r="BO89" s="28" t="n"/>
      <c r="BP89" s="38" t="n"/>
      <c r="BQ89" s="39" t="n"/>
      <c r="BR89" s="28" t="n"/>
      <c r="BS89" s="28" t="n"/>
      <c r="BT89" s="28" t="n"/>
      <c r="BU89" s="38" t="n"/>
      <c r="BV89" s="29" t="n"/>
      <c r="BW89" s="24" t="n"/>
      <c r="BX89" s="40" t="n"/>
      <c r="BY89" s="39" t="n"/>
      <c r="BZ89" s="24" t="n"/>
      <c r="CA89" s="31" t="n"/>
    </row>
    <row r="90" ht="36" customHeight="1">
      <c r="A90" s="24" t="inlineStr">
        <is>
          <t>7df4ed647cfb43ef</t>
        </is>
      </c>
      <c r="B90" s="24" t="inlineStr">
        <is>
          <t>2026-07-20T14:58:34.322674Z</t>
        </is>
      </c>
      <c r="C90" s="24" t="inlineStr">
        <is>
          <t>2026-07-20T21:40:00-0400</t>
        </is>
      </c>
      <c r="D90" s="24" t="inlineStr">
        <is>
          <t>401816199</t>
        </is>
      </c>
      <c r="E90" s="24" t="inlineStr">
        <is>
          <t>MLB</t>
        </is>
      </c>
      <c r="F90" s="24" t="inlineStr">
        <is>
          <t>Cincinnati Reds</t>
        </is>
      </c>
      <c r="G90" s="24" t="inlineStr">
        <is>
          <t>Seattle Mariners</t>
        </is>
      </c>
      <c r="H90" s="24" t="inlineStr">
        <is>
          <t>moneyline</t>
        </is>
      </c>
      <c r="I90" s="24" t="inlineStr">
        <is>
          <t>home</t>
        </is>
      </c>
      <c r="J90" s="38" t="n"/>
      <c r="K90" s="24" t="inlineStr">
        <is>
          <t>polymarket_us</t>
        </is>
      </c>
      <c r="L90" s="26" t="n">
        <v>-141</v>
      </c>
      <c r="M90" s="39" t="n">
        <v>1.70922</v>
      </c>
      <c r="N90" s="28" t="n">
        <v>0.585062</v>
      </c>
      <c r="O90" s="28" t="n">
        <v>0.592852</v>
      </c>
      <c r="P90" s="28" t="n"/>
      <c r="Q90" s="28" t="n">
        <v>0.00779</v>
      </c>
      <c r="R90" s="26" t="n">
        <v>24</v>
      </c>
      <c r="S90" s="29" t="n">
        <v>1.5</v>
      </c>
      <c r="T90" s="24" t="inlineStr">
        <is>
          <t>mlb-elo-trend-lr-v4</t>
        </is>
      </c>
      <c r="U90" s="24" t="inlineStr">
        <is>
          <t>open</t>
        </is>
      </c>
      <c r="V90" s="24" t="n"/>
      <c r="W90" s="26" t="n"/>
      <c r="X90" s="26" t="n"/>
      <c r="Y90" s="38" t="n"/>
      <c r="Z90" s="26" t="n"/>
      <c r="AA90" s="28" t="n"/>
      <c r="AB90" s="28" t="n"/>
      <c r="AC90" s="40" t="n"/>
      <c r="AD90" s="24" t="n"/>
      <c r="AE90" s="31" t="inlineStr">
        <is>
          <t>Learned LR call at threshold 0.5500; executable ask 0.5850 (aec-mlb-cin-sea-2026-07-20).</t>
        </is>
      </c>
      <c r="AF90" s="31" t="inlineStr">
        <is>
          <t>Learned model; promotion gate not yet open; zero-unit research until review.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NO_CALL_LOW_EDGE</t>
        </is>
      </c>
      <c r="AP90" s="24" t="inlineStr">
        <is>
          <t>mlb-cin</t>
        </is>
      </c>
      <c r="AQ90" s="24" t="inlineStr">
        <is>
          <t>Cincinnati Reds</t>
        </is>
      </c>
      <c r="AR90" s="24" t="inlineStr">
        <is>
          <t>Cincinnati Reds</t>
        </is>
      </c>
      <c r="AS90" s="24" t="inlineStr">
        <is>
          <t>mlb-sea</t>
        </is>
      </c>
      <c r="AT90" s="24" t="inlineStr">
        <is>
          <t>Seattle Mariners</t>
        </is>
      </c>
      <c r="AU90" s="24" t="inlineStr">
        <is>
          <t>Seattle Mariners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5224fb6ffbc9ddf8fa517627b830ac851192da94d241963d556945393a42bb9d</t>
        </is>
      </c>
      <c r="BB90" s="24" t="inlineStr">
        <is>
          <t>learned_lr</t>
        </is>
      </c>
      <c r="BC90" s="24" t="inlineStr">
        <is>
          <t>mlb-elo-trend-lr-v4</t>
        </is>
      </c>
      <c r="BD90" s="24" t="inlineStr">
        <is>
          <t>5224fb6ffbc9ddf8fa517627b830ac851192da94d241963d556945393a42bb9d</t>
        </is>
      </c>
      <c r="BE90" s="24" t="inlineStr">
        <is>
          <t>af7ccafcacf69681</t>
        </is>
      </c>
      <c r="BF90" s="24" t="inlineStr">
        <is>
          <t>1</t>
        </is>
      </c>
      <c r="BG90" s="24" t="inlineStr">
        <is>
          <t>mlb-elo-trend-lr-v4</t>
        </is>
      </c>
      <c r="BH90" s="24" t="inlineStr">
        <is>
          <t>2026-07-20T14:57:52.831217Z</t>
        </is>
      </c>
      <c r="BI90" s="24" t="inlineStr">
        <is>
          <t>["same_event","same_team_same_day","same_league_same_day"]</t>
        </is>
      </c>
      <c r="BJ90" s="38" t="n"/>
      <c r="BK90" s="26" t="n">
        <v>-141</v>
      </c>
      <c r="BL90" s="39" t="n">
        <v>1.70922</v>
      </c>
      <c r="BM90" s="28" t="n">
        <v>0.585062</v>
      </c>
      <c r="BN90" s="28" t="n">
        <v>0.58209</v>
      </c>
      <c r="BO90" s="28" t="n"/>
      <c r="BP90" s="38" t="n"/>
      <c r="BQ90" s="39" t="n"/>
      <c r="BR90" s="28" t="n"/>
      <c r="BS90" s="28" t="n"/>
      <c r="BT90" s="28" t="n"/>
      <c r="BU90" s="38" t="n"/>
      <c r="BV90" s="29" t="n"/>
      <c r="BW90" s="24" t="n"/>
      <c r="BX90" s="40" t="n"/>
      <c r="BY90" s="39" t="n"/>
      <c r="BZ90" s="24" t="n"/>
      <c r="CA90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2026-07-20T14:58:36Z</dcterms:created>
  <dcterms:modified xsi:type="dcterms:W3CDTF">2026-07-20T14:58:45Z</dcterms:modified>
</cp:coreProperties>
</file>