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71" headerRowCount="1">
  <autoFilter ref="A1:CO17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COUNTA('Picks'!$A$2:$A$171)</f>
        <v/>
      </c>
      <c r="C4" s="6">
        <f>COUNTIF('Picks'!$U$2:$U$171,"open")</f>
        <v/>
      </c>
      <c r="E4" s="6">
        <f>COUNTIF('Picks'!$U$2:$U$171,"settled")</f>
        <v/>
      </c>
      <c r="G4" s="6">
        <f>IF(COUNTIFS('Picks'!$U$2:$U$171,"settled",'Picks'!$V$2:$V$171,"win")+COUNTIFS('Picks'!$U$2:$U$171,"settled",'Picks'!$V$2:$V$171,"loss")&gt;=$L$2,"Ready","Insufficient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COUNTIF('Picks'!$BX$2:$BX$171,"&gt;0")</f>
        <v/>
      </c>
      <c r="C7" s="6">
        <f>COUNTIFS('Picks'!$BX$2:$BX$171,"&gt;0",'Picks'!$V$2:$V$171,"win")&amp;"-"&amp;COUNTIFS('Picks'!$BX$2:$BX$171,"&gt;0",'Picks'!$V$2:$V$171,"loss")</f>
        <v/>
      </c>
      <c r="E7" s="7">
        <f>IFERROR(COUNTIFS('Picks'!$BX$2:$BX$171,"&gt;0",'Picks'!$V$2:$V$171,"win")/(COUNTIFS('Picks'!$BX$2:$BX$171,"&gt;0",'Picks'!$V$2:$V$171,"win")+COUNTIFS('Picks'!$BX$2:$BX$171,"&gt;0",'Picks'!$V$2:$V$171,"loss")),0)</f>
        <v/>
      </c>
      <c r="G7" s="7">
        <f>IFERROR(SUM('Picks'!$BY$2:$BY$171)/SUM('Picks'!$BX$2:$BX$171),0)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SUM('Picks'!$BY$2:$BY$171)</f>
        <v/>
      </c>
      <c r="C10" s="9">
        <f>IFERROR(AVERAGEIF('Picks'!$AB$2:$AB$171,"&lt;&gt;",'Picks'!$AB$2:$AB$171),0)</f>
        <v/>
      </c>
      <c r="E10" s="6">
        <f>COUNTIFS('Picks'!$AM$2:$AM$171,"QUALIFIED_SHADOW_CALL",'Picks'!$U$2:$U$171,"settled")</f>
        <v/>
      </c>
      <c r="G10" s="8">
        <f>SUMIFS('Picks'!$AC$2:$AC$171,'Picks'!$AM$2:$AM$171,"QUALIFIED_SHADOW_CALL")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COUNTIFS('Picks'!$H$2:$H$171,$A14,'Picks'!$U$2:$U$171,"settled")</f>
        <v/>
      </c>
      <c r="C14" s="13">
        <f>COUNTIFS('Picks'!$H$2:$H$171,$A14,'Picks'!$U$2:$U$171,"settled",'Picks'!$V$2:$V$171,"win")</f>
        <v/>
      </c>
      <c r="D14" s="13">
        <f>COUNTIFS('Picks'!$H$2:$H$171,$A14,'Picks'!$U$2:$U$171,"settled",'Picks'!$V$2:$V$171,"loss")</f>
        <v/>
      </c>
      <c r="E14" s="14">
        <f>IFERROR(C14/(C14+D14),0)</f>
        <v/>
      </c>
      <c r="F14" s="15">
        <f>SUMIFS('Picks'!$BY$2:$BY$171,'Picks'!$H$2:$H$171,$A14)</f>
        <v/>
      </c>
      <c r="G14" s="16">
        <f>IFERROR(AVERAGEIFS('Picks'!$AB$2:$AB$171,'Picks'!$H$2:$H$171,$A14,'Picks'!$U$2:$U$171,"settled"),0)</f>
        <v/>
      </c>
    </row>
    <row r="15">
      <c r="A15" s="17" t="inlineStr">
        <is>
          <t>spread</t>
        </is>
      </c>
      <c r="B15" s="18">
        <f>COUNTIFS('Picks'!$H$2:$H$171,$A15,'Picks'!$U$2:$U$171,"settled")</f>
        <v/>
      </c>
      <c r="C15" s="18">
        <f>COUNTIFS('Picks'!$H$2:$H$171,$A15,'Picks'!$U$2:$U$171,"settled",'Picks'!$V$2:$V$171,"win")</f>
        <v/>
      </c>
      <c r="D15" s="18">
        <f>COUNTIFS('Picks'!$H$2:$H$171,$A15,'Picks'!$U$2:$U$171,"settled",'Picks'!$V$2:$V$171,"loss")</f>
        <v/>
      </c>
      <c r="E15" s="19">
        <f>IFERROR(C15/(C15+D15),0)</f>
        <v/>
      </c>
      <c r="F15" s="20">
        <f>SUMIFS('Picks'!$BY$2:$BY$171,'Picks'!$H$2:$H$171,$A15)</f>
        <v/>
      </c>
      <c r="G15" s="21">
        <f>IFERROR(AVERAGEIFS('Picks'!$AB$2:$AB$171,'Picks'!$H$2:$H$171,$A15,'Picks'!$U$2:$U$171,"settled"),0)</f>
        <v/>
      </c>
    </row>
    <row r="16">
      <c r="A16" s="12" t="inlineStr">
        <is>
          <t>total</t>
        </is>
      </c>
      <c r="B16" s="13">
        <f>COUNTIFS('Picks'!$H$2:$H$171,$A16,'Picks'!$U$2:$U$171,"settled")</f>
        <v/>
      </c>
      <c r="C16" s="13">
        <f>COUNTIFS('Picks'!$H$2:$H$171,$A16,'Picks'!$U$2:$U$171,"settled",'Picks'!$V$2:$V$171,"win")</f>
        <v/>
      </c>
      <c r="D16" s="13">
        <f>COUNTIFS('Picks'!$H$2:$H$171,$A16,'Picks'!$U$2:$U$171,"settled",'Picks'!$V$2:$V$171,"loss")</f>
        <v/>
      </c>
      <c r="E16" s="14">
        <f>IFERROR(C16/(C16+D16),0)</f>
        <v/>
      </c>
      <c r="F16" s="15">
        <f>SUMIFS('Picks'!$BY$2:$BY$171,'Picks'!$H$2:$H$171,$A16)</f>
        <v/>
      </c>
      <c r="G16" s="16">
        <f>IFERROR(AVERAGEIFS('Picks'!$AB$2:$AB$171,'Picks'!$H$2:$H$171,$A16,'Picks'!$U$2:$U$171,"settled"),0)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-0.75</v>
      </c>
      <c r="AD32" s="24" t="inlineStr">
        <is>
          <t>2026-07-26T18:25:19.272822Z</t>
        </is>
      </c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settled</t>
        </is>
      </c>
      <c r="V33" s="24" t="inlineStr">
        <is>
          <t>loss</t>
        </is>
      </c>
      <c r="W33" s="26" t="n">
        <v>7</v>
      </c>
      <c r="X33" s="26" t="n">
        <v>10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2026-07-27T01:51:54.797262Z</t>
        </is>
      </c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2</v>
      </c>
      <c r="Y34" s="25" t="n"/>
      <c r="Z34" s="26" t="n"/>
      <c r="AA34" s="28" t="n"/>
      <c r="AB34" s="28" t="n"/>
      <c r="AC34" s="30" t="n">
        <v>-0.75</v>
      </c>
      <c r="AD34" s="24" t="inlineStr">
        <is>
          <t>2026-07-27T01:51:55.204048Z</t>
        </is>
      </c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settled</t>
        </is>
      </c>
      <c r="V35" s="24" t="inlineStr">
        <is>
          <t>win</t>
        </is>
      </c>
      <c r="W35" s="26" t="n">
        <v>7</v>
      </c>
      <c r="X35" s="26" t="n">
        <v>8</v>
      </c>
      <c r="Y35" s="25" t="n"/>
      <c r="Z35" s="26" t="n"/>
      <c r="AA35" s="28" t="n"/>
      <c r="AB35" s="28" t="n"/>
      <c r="AC35" s="30" t="n">
        <v>1.4583</v>
      </c>
      <c r="AD35" s="24" t="inlineStr">
        <is>
          <t>2026-07-27T01:51:55.611588Z</t>
        </is>
      </c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/>
      <c r="AA36" s="28" t="n"/>
      <c r="AB36" s="28" t="n"/>
      <c r="AC36" s="30" t="n">
        <v>1.1278</v>
      </c>
      <c r="AD36" s="24" t="inlineStr">
        <is>
          <t>2026-07-27T01:51:55.965621Z</t>
        </is>
      </c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4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2026-07-27T01:51:56.652959Z</t>
        </is>
      </c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8</v>
      </c>
      <c r="Y38" s="25" t="n"/>
      <c r="Z38" s="26" t="n"/>
      <c r="AA38" s="28" t="n"/>
      <c r="AB38" s="28" t="n"/>
      <c r="AC38" s="30" t="n">
        <v>1.44</v>
      </c>
      <c r="AD38" s="24" t="inlineStr">
        <is>
          <t>2026-07-27T01:51:57.021462Z</t>
        </is>
      </c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3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2026-07-27T01:51:57.345317Z</t>
        </is>
      </c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64cc35250c2442da</t>
        </is>
      </c>
      <c r="B40" s="24" t="inlineStr">
        <is>
          <t>2026-07-26T17:56:02.643847Z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-147</v>
      </c>
      <c r="M40" s="27" t="n">
        <v>1.680272</v>
      </c>
      <c r="N40" s="28" t="n">
        <v>0.5951419999999999</v>
      </c>
      <c r="O40" s="28" t="n">
        <v>0.601826</v>
      </c>
      <c r="P40" s="28" t="n"/>
      <c r="Q40" s="28" t="n">
        <v>0.006684</v>
      </c>
      <c r="R40" s="26" t="n">
        <v>25</v>
      </c>
      <c r="S40" s="29" t="n">
        <v>1.5</v>
      </c>
      <c r="T40" s="24" t="inlineStr">
        <is>
          <t>mlb-elo-trend-lr-v6</t>
        </is>
      </c>
      <c r="U40" s="24" t="inlineStr">
        <is>
          <t>settled</t>
        </is>
      </c>
      <c r="V40" s="24" t="inlineStr">
        <is>
          <t>win</t>
        </is>
      </c>
      <c r="W40" s="26" t="n">
        <v>8</v>
      </c>
      <c r="X40" s="26" t="n">
        <v>11</v>
      </c>
      <c r="Y40" s="25" t="n"/>
      <c r="Z40" s="26" t="n"/>
      <c r="AA40" s="28" t="n"/>
      <c r="AB40" s="28" t="n"/>
      <c r="AC40" s="30" t="n">
        <v>1.0204</v>
      </c>
      <c r="AD40" s="24" t="inlineStr">
        <is>
          <t>2026-07-27T01:51:57.680397Z</t>
        </is>
      </c>
      <c r="AE40" s="31" t="inlineStr">
        <is>
          <t>Learned LR call at threshold 0.5690; executable ask 0.5950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2026-07-26T17:53:53.914839Z</t>
        </is>
      </c>
      <c r="BI40" s="24" t="inlineStr">
        <is>
          <t>["same_event","same_team_same_day","same_league_same_day"]</t>
        </is>
      </c>
      <c r="BJ40" s="25" t="n"/>
      <c r="BK40" s="26" t="n">
        <v>-147</v>
      </c>
      <c r="BL40" s="27" t="n">
        <v>1.680272</v>
      </c>
      <c r="BM40" s="28" t="n">
        <v>0.5951419999999999</v>
      </c>
      <c r="BN40" s="28" t="n">
        <v>0.59204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adb43705638f49ea</t>
        </is>
      </c>
      <c r="B41" s="24" t="inlineStr">
        <is>
          <t>2026-07-26T17:56:02.643847Z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0.860663</v>
      </c>
      <c r="P41" s="28" t="n"/>
      <c r="Q41" s="28" t="n">
        <v>0.100471</v>
      </c>
      <c r="R41" s="26" t="n">
        <v>72</v>
      </c>
      <c r="S41" s="29" t="n">
        <v>2</v>
      </c>
      <c r="T41" s="24" t="inlineStr">
        <is>
          <t>mlb-elo-trend-lr-v6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11</v>
      </c>
      <c r="Y41" s="25" t="n"/>
      <c r="Z41" s="26" t="n"/>
      <c r="AA41" s="28" t="n"/>
      <c r="AB41" s="28" t="n"/>
      <c r="AC41" s="30" t="n">
        <v>0.6309</v>
      </c>
      <c r="AD41" s="24" t="inlineStr">
        <is>
          <t>2026-07-27T01:51:58.008830Z</t>
        </is>
      </c>
      <c r="AE41" s="31" t="inlineStr">
        <is>
          <t>Learned LR call at threshold 0.5690; executable ask 0.7600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2026-07-26T17:53:52.064462Z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>
        <v>0.756219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08f2e6a5911b49be</t>
        </is>
      </c>
      <c r="B42" s="24" t="inlineStr">
        <is>
          <t>2026-07-26T17:56:02.643847Z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0.76295</v>
      </c>
      <c r="P42" s="28" t="n"/>
      <c r="Q42" s="28" t="n">
        <v>0.243719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12</v>
      </c>
      <c r="Y42" s="25" t="n"/>
      <c r="Z42" s="26" t="n"/>
      <c r="AA42" s="28" t="n"/>
      <c r="AB42" s="28" t="n"/>
      <c r="AC42" s="30" t="n">
        <v>1.8519</v>
      </c>
      <c r="AD42" s="24" t="inlineStr">
        <is>
          <t>2026-07-27T01:51:58.472290Z</t>
        </is>
      </c>
      <c r="AE42" s="31" t="inlineStr">
        <is>
          <t>Learned LR call at threshold 0.5690; executable ask 0.5200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2026-07-26T17:53:52.943898Z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1693f579da2c4e1b</t>
        </is>
      </c>
      <c r="B43" s="24" t="inlineStr">
        <is>
          <t>2026-07-26T17:56:02.643847Z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3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2026-07-27T01:51:58.876965Z</t>
        </is>
      </c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2026-07-26T17:53:54.792406Z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da9748108377478e</t>
        </is>
      </c>
      <c r="B44" s="24" t="inlineStr">
        <is>
          <t>2026-07-26T18:26:27.600695Z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0.505307</v>
      </c>
      <c r="P44" s="28" t="n"/>
      <c r="Q44" s="28" t="n">
        <v>0.000357</v>
      </c>
      <c r="R44" s="26" t="n">
        <v>21</v>
      </c>
      <c r="S44" s="29" t="n">
        <v>0.5</v>
      </c>
      <c r="T44" s="24" t="inlineStr">
        <is>
          <t>mlb-elo-trend-lr-v6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4</v>
      </c>
      <c r="Y44" s="25" t="n"/>
      <c r="Z44" s="26" t="n"/>
      <c r="AA44" s="28" t="n"/>
      <c r="AB44" s="28" t="n"/>
      <c r="AC44" s="30" t="n">
        <v>-0.5</v>
      </c>
      <c r="AD44" s="24" t="inlineStr">
        <is>
          <t>2026-07-27T01:51:59.390063Z</t>
        </is>
      </c>
      <c r="AE44" s="31" t="inlineStr">
        <is>
          <t>Learned LR call at threshold 0.5690; executable ask 0.5050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2026-07-26T18:26:09.586089Z</t>
        </is>
      </c>
      <c r="BI44" s="24" t="inlineStr">
        <is>
          <t>["same_event","same_team_same_day","same_league_same_day"]</t>
        </is>
      </c>
      <c r="BJ44" s="25" t="n"/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a7c37f7410524d17</t>
        </is>
      </c>
      <c r="B45" s="24" t="inlineStr">
        <is>
          <t>2026-07-26T19:31:38.876416Z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106</v>
      </c>
      <c r="M45" s="27" t="n">
        <v>2.06</v>
      </c>
      <c r="N45" s="28" t="n">
        <v>0.485437</v>
      </c>
      <c r="O45" s="28" t="n">
        <v>0.525689</v>
      </c>
      <c r="P45" s="28" t="n"/>
      <c r="Q45" s="28" t="n">
        <v>0.040252</v>
      </c>
      <c r="R45" s="26" t="n">
        <v>42</v>
      </c>
      <c r="S45" s="29" t="n">
        <v>0.75</v>
      </c>
      <c r="T45" s="24" t="inlineStr">
        <is>
          <t>mlb-elo-trend-lr-v6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2026-07-27T01:51:59.904392Z</t>
        </is>
      </c>
      <c r="AE45" s="31" t="inlineStr">
        <is>
          <t>Learned LR call at threshold 0.5690; executable ask 0.4850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2026-07-26T19:31:30.124691Z</t>
        </is>
      </c>
      <c r="BI45" s="24" t="inlineStr">
        <is>
          <t>["same_event","same_team_same_day","same_league_same_day"]</t>
        </is>
      </c>
      <c r="BJ45" s="25" t="n"/>
      <c r="BK45" s="26" t="n">
        <v>106</v>
      </c>
      <c r="BL45" s="27" t="n">
        <v>2.06</v>
      </c>
      <c r="BM45" s="28" t="n">
        <v>0.485437</v>
      </c>
      <c r="BN45" s="28" t="n">
        <v>0.482587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f58752110dd8410b</t>
        </is>
      </c>
      <c r="B46" s="24" t="inlineStr">
        <is>
          <t>2026-07-26T20:05:35.816652Z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0.613204</v>
      </c>
      <c r="P46" s="28" t="n"/>
      <c r="Q46" s="28" t="n">
        <v>-0.032186</v>
      </c>
      <c r="R46" s="26" t="n">
        <v>6</v>
      </c>
      <c r="S46" s="29" t="n">
        <v>1.75</v>
      </c>
      <c r="T46" s="24" t="inlineStr">
        <is>
          <t>mlb-elo-trend-lr-v6</t>
        </is>
      </c>
      <c r="U46" s="24" t="inlineStr">
        <is>
          <t>settled</t>
        </is>
      </c>
      <c r="V46" s="24" t="inlineStr">
        <is>
          <t>win</t>
        </is>
      </c>
      <c r="W46" s="26" t="n">
        <v>4</v>
      </c>
      <c r="X46" s="26" t="n">
        <v>11</v>
      </c>
      <c r="Y46" s="25" t="n"/>
      <c r="Z46" s="26" t="n"/>
      <c r="AA46" s="28" t="n"/>
      <c r="AB46" s="28" t="n"/>
      <c r="AC46" s="30" t="n">
        <v>0.9615</v>
      </c>
      <c r="AD46" s="24" t="inlineStr">
        <is>
          <t>2026-07-27T02:58:24.920727Z</t>
        </is>
      </c>
      <c r="AE46" s="31" t="inlineStr">
        <is>
          <t>Learned LR call at threshold 0.5690; executable ask 0.6450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2026-07-26T20:05:29.450679Z</t>
        </is>
      </c>
      <c r="BI46" s="24" t="inlineStr">
        <is>
          <t>["same_event","same_team_same_day","same_league_same_day"]</t>
        </is>
      </c>
      <c r="BJ46" s="25" t="n"/>
      <c r="BK46" s="26" t="n">
        <v>-182</v>
      </c>
      <c r="BL46" s="27" t="n">
        <v>1.549451</v>
      </c>
      <c r="BM46" s="28" t="n">
        <v>0.64539</v>
      </c>
      <c r="BN46" s="28" t="n">
        <v>0.641791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320f0723c3804b39</t>
        </is>
      </c>
      <c r="B47" s="24" t="inlineStr">
        <is>
          <t>2026-07-27T17:34:41.743446Z</t>
        </is>
      </c>
      <c r="C47" s="24" t="inlineStr">
        <is>
          <t>2026-07-27T14:35:00-0400</t>
        </is>
      </c>
      <c r="D47" s="24" t="inlineStr">
        <is>
          <t>401816288</t>
        </is>
      </c>
      <c r="E47" s="24" t="inlineStr">
        <is>
          <t>MLB</t>
        </is>
      </c>
      <c r="F47" s="24" t="inlineStr">
        <is>
          <t>Seattle Mariners</t>
        </is>
      </c>
      <c r="G47" s="24" t="inlineStr">
        <is>
          <t>Texas Rangers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0.507599</v>
      </c>
      <c r="P47" s="28" t="n"/>
      <c r="Q47" s="28" t="n">
        <v>-0.041951</v>
      </c>
      <c r="R47" s="26" t="n">
        <v>0</v>
      </c>
      <c r="S47" s="29" t="n">
        <v>0.5</v>
      </c>
      <c r="T47" s="24" t="inlineStr">
        <is>
          <t>mlb-elo-trend-lr-v6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7</v>
      </c>
      <c r="Y47" s="25" t="n"/>
      <c r="Z47" s="26" t="n">
        <v>-122</v>
      </c>
      <c r="AA47" s="28" t="n">
        <v>0.55</v>
      </c>
      <c r="AB47" s="28" t="n">
        <v>0.00045</v>
      </c>
      <c r="AC47" s="30" t="n">
        <v>-0.5</v>
      </c>
      <c r="AD47" s="24" t="inlineStr">
        <is>
          <t>2026-07-27T22:51:46.446979Z</t>
        </is>
      </c>
      <c r="AE47" s="31" t="inlineStr">
        <is>
          <t>Learned LR call at threshold 0.5690; executable ask 0.5500 (aec-mlb-sea-tex-2026-07-27).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mlb-sea</t>
        </is>
      </c>
      <c r="AQ47" s="24" t="inlineStr">
        <is>
          <t>Seattle Mariners</t>
        </is>
      </c>
      <c r="AR47" s="24" t="inlineStr">
        <is>
          <t>Seattle Mariners</t>
        </is>
      </c>
      <c r="AS47" s="24" t="inlineStr">
        <is>
          <t>mlb-tex</t>
        </is>
      </c>
      <c r="AT47" s="24" t="inlineStr">
        <is>
          <t>Texas Rangers</t>
        </is>
      </c>
      <c r="AU47" s="24" t="inlineStr">
        <is>
          <t>Texas Rangers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10a412e78306d1f4d1a66590dd7cd2087ed53520bfa3bb925889a6371153732f</t>
        </is>
      </c>
      <c r="BB47" s="24" t="inlineStr">
        <is>
          <t>learned_lr</t>
        </is>
      </c>
      <c r="BC47" s="24" t="inlineStr">
        <is>
          <t>mlb-elo-trend-lr-v6</t>
        </is>
      </c>
      <c r="BD47" s="24" t="inlineStr">
        <is>
          <t>10a412e78306d1f4d1a66590dd7cd2087ed53520bfa3bb925889a6371153732f</t>
        </is>
      </c>
      <c r="BE47" s="24" t="inlineStr">
        <is>
          <t>a37c4a50fb01129a</t>
        </is>
      </c>
      <c r="BF47" s="24" t="inlineStr">
        <is>
          <t>1</t>
        </is>
      </c>
      <c r="BG47" s="24" t="inlineStr">
        <is>
          <t>mlb-elo-trend-lr-v6</t>
        </is>
      </c>
      <c r="BH47" s="24" t="inlineStr">
        <is>
          <t>2026-07-27T17:33:59.725337Z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>
        <v>0.547264</v>
      </c>
      <c r="BO47" s="28" t="n"/>
      <c r="BP47" s="25" t="n"/>
      <c r="BQ47" s="27" t="n">
        <v>1.819672</v>
      </c>
      <c r="BR47" s="28" t="n">
        <v>0.55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0.492334675</t>
        </is>
      </c>
      <c r="CD47" s="24" t="inlineStr">
        <is>
          <t>-0.43076</t>
        </is>
      </c>
      <c r="CE47" s="24" t="inlineStr">
        <is>
          <t>1.02</t>
        </is>
      </c>
      <c r="CF47" s="24" t="n"/>
      <c r="CG47" s="24" t="n"/>
      <c r="CH47" s="24" t="inlineStr">
        <is>
          <t>0.56</t>
        </is>
      </c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a8810388228644fc</t>
        </is>
      </c>
      <c r="B48" s="24" t="inlineStr">
        <is>
          <t>2026-07-27T17:34:48.845070Z</t>
        </is>
      </c>
      <c r="C48" s="24" t="inlineStr">
        <is>
          <t>2026-07-27T18:35Z</t>
        </is>
      </c>
      <c r="D48" s="24" t="inlineStr">
        <is>
          <t>401816288</t>
        </is>
      </c>
      <c r="E48" s="24" t="inlineStr">
        <is>
          <t>MLB</t>
        </is>
      </c>
      <c r="F48" s="24" t="inlineStr">
        <is>
          <t>Seattle Mariners</t>
        </is>
      </c>
      <c r="G48" s="24" t="inlineStr">
        <is>
          <t>Texas Rangers</t>
        </is>
      </c>
      <c r="H48" s="24" t="inlineStr">
        <is>
          <t>spread</t>
        </is>
      </c>
      <c r="I48" s="24" t="inlineStr">
        <is>
          <t>away</t>
        </is>
      </c>
      <c r="J48" s="25" t="n">
        <v>-1.5</v>
      </c>
      <c r="K48" s="24" t="inlineStr">
        <is>
          <t>polymarket_us</t>
        </is>
      </c>
      <c r="L48" s="26" t="n">
        <v>141</v>
      </c>
      <c r="M48" s="27" t="n">
        <v>2.41</v>
      </c>
      <c r="N48" s="28" t="n">
        <v>0.414938</v>
      </c>
      <c r="O48" s="28" t="n">
        <v>0.433105</v>
      </c>
      <c r="P48" s="28" t="n">
        <v>0.046637</v>
      </c>
      <c r="Q48" s="28" t="n">
        <v>0.018167</v>
      </c>
      <c r="R48" s="26" t="n">
        <v>31</v>
      </c>
      <c r="S48" s="29" t="n">
        <v>0</v>
      </c>
      <c r="T48" s="24" t="inlineStr">
        <is>
          <t>measured-edge-margin-v1</t>
        </is>
      </c>
      <c r="U48" s="24" t="inlineStr">
        <is>
          <t>settled</t>
        </is>
      </c>
      <c r="V48" s="24" t="inlineStr">
        <is>
          <t>loss</t>
        </is>
      </c>
      <c r="W48" s="26" t="n">
        <v>3</v>
      </c>
      <c r="X48" s="26" t="n">
        <v>7</v>
      </c>
      <c r="Y48" s="25" t="n">
        <v>-1.5</v>
      </c>
      <c r="Z48" s="26" t="n">
        <v>141</v>
      </c>
      <c r="AA48" s="28" t="n">
        <v>0.415</v>
      </c>
      <c r="AB48" s="28" t="n">
        <v>6.2e-05</v>
      </c>
      <c r="AC48" s="30" t="n">
        <v>0</v>
      </c>
      <c r="AD48" s="24" t="inlineStr">
        <is>
          <t>2026-07-27T22:51:46.664752Z</t>
        </is>
      </c>
      <c r="AE48" s="31" t="inlineStr">
        <is>
          <t>Measured Edge Margin: Trend Engine projected 4.20-3.15; raw selected-side p=0.4213, calibrated p=0.4331.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mlb-sea</t>
        </is>
      </c>
      <c r="AQ48" s="24" t="inlineStr">
        <is>
          <t>Seattle Mariners</t>
        </is>
      </c>
      <c r="AR48" s="24" t="inlineStr">
        <is>
          <t>Seattle Mariners</t>
        </is>
      </c>
      <c r="AS48" s="24" t="inlineStr">
        <is>
          <t>mlb-tex</t>
        </is>
      </c>
      <c r="AT48" s="24" t="inlineStr">
        <is>
          <t>Texas Rangers</t>
        </is>
      </c>
      <c r="AU48" s="24" t="inlineStr">
        <is>
          <t>Texas Rangers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bd86494ed21c6a0389ab0efcf4b8a5bb7b9f8f8786b6d5fb9da69d8cf0a70bdc</t>
        </is>
      </c>
      <c r="BB48" s="24" t="inlineStr">
        <is>
          <t>flat_probability_shrinkage_toward_half</t>
        </is>
      </c>
      <c r="BC48" s="24" t="inlineStr">
        <is>
          <t>measured-edge-margin-v1</t>
        </is>
      </c>
      <c r="BD48" s="24" t="inlineStr">
        <is>
          <t>bd86494ed21c6a0389ab0efcf4b8a5bb7b9f8f8786b6d5fb9da69d8cf0a70bdc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2026-07-27T17:34:48.845070Z</t>
        </is>
      </c>
      <c r="BI48" s="24" t="inlineStr">
        <is>
          <t>["same_event","same_team_same_day","same_league_same_day"]</t>
        </is>
      </c>
      <c r="BJ48" s="25" t="n">
        <v>-1.5</v>
      </c>
      <c r="BK48" s="26" t="n">
        <v>141</v>
      </c>
      <c r="BL48" s="27" t="n">
        <v>2.41</v>
      </c>
      <c r="BM48" s="28" t="n">
        <v>0.414938</v>
      </c>
      <c r="BN48" s="28" t="n">
        <v>0.412935</v>
      </c>
      <c r="BO48" s="28" t="n"/>
      <c r="BP48" s="25" t="n"/>
      <c r="BQ48" s="27" t="n">
        <v>2.41</v>
      </c>
      <c r="BR48" s="28" t="n">
        <v>0.415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77f1301f0ce24679</t>
        </is>
      </c>
      <c r="B49" s="24" t="inlineStr">
        <is>
          <t>2026-07-27T17:34:48.845070Z</t>
        </is>
      </c>
      <c r="C49" s="24" t="inlineStr">
        <is>
          <t>2026-07-27T18:35Z</t>
        </is>
      </c>
      <c r="D49" s="24" t="inlineStr">
        <is>
          <t>401816288</t>
        </is>
      </c>
      <c r="E49" s="24" t="inlineStr">
        <is>
          <t>MLB</t>
        </is>
      </c>
      <c r="F49" s="24" t="inlineStr">
        <is>
          <t>Seattle Mariners</t>
        </is>
      </c>
      <c r="G49" s="24" t="inlineStr">
        <is>
          <t>Texas Rangers</t>
        </is>
      </c>
      <c r="H49" s="24" t="inlineStr">
        <is>
          <t>total</t>
        </is>
      </c>
      <c r="I49" s="24" t="inlineStr">
        <is>
          <t>under</t>
        </is>
      </c>
      <c r="J49" s="25" t="n">
        <v>7.5</v>
      </c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0.5623050000000001</v>
      </c>
      <c r="P49" s="28" t="n">
        <v>0.046637</v>
      </c>
      <c r="Q49" s="28" t="n">
        <v>0.092821</v>
      </c>
      <c r="R49" s="26" t="n">
        <v>68</v>
      </c>
      <c r="S49" s="29" t="n">
        <v>0</v>
      </c>
      <c r="T49" s="24" t="inlineStr">
        <is>
          <t>measured-edge-totals-v1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7</v>
      </c>
      <c r="Y49" s="25" t="n">
        <v>7.5</v>
      </c>
      <c r="Z49" s="26" t="n">
        <v>113</v>
      </c>
      <c r="AA49" s="28" t="n">
        <v>0.47</v>
      </c>
      <c r="AB49" s="28" t="n">
        <v>0.000516</v>
      </c>
      <c r="AC49" s="30" t="n">
        <v>0</v>
      </c>
      <c r="AD49" s="24" t="inlineStr">
        <is>
          <t>2026-07-27T22:51:46.895854Z</t>
        </is>
      </c>
      <c r="AE49" s="31" t="inlineStr">
        <is>
          <t>Measured Edge Totals: Trend Engine projected 4.20-3.15; raw selected-side p=0.5733, calibrated p=0.5623.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mlb-sea</t>
        </is>
      </c>
      <c r="AQ49" s="24" t="inlineStr">
        <is>
          <t>Seattle Mariners</t>
        </is>
      </c>
      <c r="AR49" s="24" t="inlineStr">
        <is>
          <t>Seattle Mariners</t>
        </is>
      </c>
      <c r="AS49" s="24" t="inlineStr">
        <is>
          <t>mlb-tex</t>
        </is>
      </c>
      <c r="AT49" s="24" t="inlineStr">
        <is>
          <t>Texas Rangers</t>
        </is>
      </c>
      <c r="AU49" s="24" t="inlineStr">
        <is>
          <t>Texas Rangers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0aa06c0f065ec20d43901d386280174165e2b07065216b6c7ffe72c98e322706</t>
        </is>
      </c>
      <c r="BB49" s="24" t="inlineStr">
        <is>
          <t>flat_probability_shrinkage_toward_half</t>
        </is>
      </c>
      <c r="BC49" s="24" t="inlineStr">
        <is>
          <t>measured-edge-totals-v1</t>
        </is>
      </c>
      <c r="BD49" s="24" t="inlineStr">
        <is>
          <t>0aa06c0f065ec20d43901d386280174165e2b07065216b6c7ffe72c98e322706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2026-07-27T17:34:48.845070Z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113</v>
      </c>
      <c r="BL49" s="27" t="n">
        <v>2.13</v>
      </c>
      <c r="BM49" s="28" t="n">
        <v>0.469484</v>
      </c>
      <c r="BN49" s="28" t="n">
        <v>0.467662</v>
      </c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cb6e9135d64149a8</t>
        </is>
      </c>
      <c r="B50" s="24" t="inlineStr">
        <is>
          <t>2026-07-27T19:48:45.712766Z</t>
        </is>
      </c>
      <c r="C50" s="24" t="inlineStr">
        <is>
          <t>2026-07-27T22:40Z</t>
        </is>
      </c>
      <c r="D50" s="24" t="inlineStr">
        <is>
          <t>401816280</t>
        </is>
      </c>
      <c r="E50" s="24" t="inlineStr">
        <is>
          <t>MLB</t>
        </is>
      </c>
      <c r="F50" s="24" t="inlineStr">
        <is>
          <t>Arizona Diamondbacks</t>
        </is>
      </c>
      <c r="G50" s="24" t="inlineStr">
        <is>
          <t>Pittsburgh Pirates</t>
        </is>
      </c>
      <c r="H50" s="24" t="inlineStr">
        <is>
          <t>spread</t>
        </is>
      </c>
      <c r="I50" s="24" t="inlineStr">
        <is>
          <t>away</t>
        </is>
      </c>
      <c r="J50" s="25" t="n">
        <v>-1.5</v>
      </c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0.500085</v>
      </c>
      <c r="P50" s="28" t="n">
        <v>0.047697</v>
      </c>
      <c r="Q50" s="28" t="n">
        <v>0.129715</v>
      </c>
      <c r="R50" s="26" t="n">
        <v>86</v>
      </c>
      <c r="S50" s="29" t="n">
        <v>0</v>
      </c>
      <c r="T50" s="24" t="inlineStr">
        <is>
          <t>measured-edge-margin-v1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3</v>
      </c>
      <c r="Y50" s="25" t="n">
        <v>-1.5</v>
      </c>
      <c r="Z50" s="26" t="n">
        <v>170</v>
      </c>
      <c r="AA50" s="28" t="n">
        <v>0.37</v>
      </c>
      <c r="AB50" s="28" t="n">
        <v>-0.00037</v>
      </c>
      <c r="AC50" s="30" t="n">
        <v>0</v>
      </c>
      <c r="AD50" s="24" t="inlineStr">
        <is>
          <t>2026-07-28T01:57:02.360106Z</t>
        </is>
      </c>
      <c r="AE50" s="31" t="inlineStr">
        <is>
          <t>Measured Edge Margin: Trend Engine projected 6.22-4.59; raw selected-side p=0.5001, calibrated p=0.5001.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mlb-ari</t>
        </is>
      </c>
      <c r="AQ50" s="24" t="inlineStr">
        <is>
          <t>Arizona Diamondbacks</t>
        </is>
      </c>
      <c r="AR50" s="24" t="inlineStr">
        <is>
          <t>Arizona Diamondbacks</t>
        </is>
      </c>
      <c r="AS50" s="24" t="inlineStr">
        <is>
          <t>mlb-pit</t>
        </is>
      </c>
      <c r="AT50" s="24" t="inlineStr">
        <is>
          <t>Pittsburgh Pirates</t>
        </is>
      </c>
      <c r="AU50" s="24" t="inlineStr">
        <is>
          <t>Pittsburgh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bd86494ed21c6a0389ab0efcf4b8a5bb7b9f8f8786b6d5fb9da69d8cf0a70bdc</t>
        </is>
      </c>
      <c r="BB50" s="24" t="inlineStr">
        <is>
          <t>flat_probability_shrinkage_toward_half</t>
        </is>
      </c>
      <c r="BC50" s="24" t="inlineStr">
        <is>
          <t>measured-edge-margin-v1</t>
        </is>
      </c>
      <c r="BD50" s="24" t="inlineStr">
        <is>
          <t>bd86494ed21c6a0389ab0efcf4b8a5bb7b9f8f8786b6d5fb9da69d8cf0a70bdc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2026-07-27T19:48:45.712766Z</t>
        </is>
      </c>
      <c r="BI50" s="24" t="inlineStr">
        <is>
          <t>["same_event","same_team_same_day","same_league_same_day"]</t>
        </is>
      </c>
      <c r="BJ50" s="25" t="n">
        <v>-1.5</v>
      </c>
      <c r="BK50" s="26" t="n">
        <v>170</v>
      </c>
      <c r="BL50" s="27" t="n">
        <v>2.7</v>
      </c>
      <c r="BM50" s="28" t="n">
        <v>0.37037</v>
      </c>
      <c r="BN50" s="28" t="n">
        <v>0.368159</v>
      </c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762b31b281104edb</t>
        </is>
      </c>
      <c r="B51" s="24" t="inlineStr">
        <is>
          <t>2026-07-27T19:48:45.712766Z</t>
        </is>
      </c>
      <c r="C51" s="24" t="inlineStr">
        <is>
          <t>2026-07-27T22:40Z</t>
        </is>
      </c>
      <c r="D51" s="24" t="inlineStr">
        <is>
          <t>401816280</t>
        </is>
      </c>
      <c r="E51" s="24" t="inlineStr">
        <is>
          <t>MLB</t>
        </is>
      </c>
      <c r="F51" s="24" t="inlineStr">
        <is>
          <t>Arizona Diamondbacks</t>
        </is>
      </c>
      <c r="G51" s="24" t="inlineStr">
        <is>
          <t>Pittsburgh Pirates</t>
        </is>
      </c>
      <c r="H51" s="24" t="inlineStr">
        <is>
          <t>total</t>
        </is>
      </c>
      <c r="I51" s="24" t="inlineStr">
        <is>
          <t>over</t>
        </is>
      </c>
      <c r="J51" s="25" t="n">
        <v>9.5</v>
      </c>
      <c r="K51" s="24" t="inlineStr">
        <is>
          <t>polymarket_us</t>
        </is>
      </c>
      <c r="L51" s="26" t="n">
        <v>106</v>
      </c>
      <c r="M51" s="27" t="n">
        <v>2.06</v>
      </c>
      <c r="N51" s="28" t="n">
        <v>0.485437</v>
      </c>
      <c r="O51" s="28" t="n">
        <v>0.55015</v>
      </c>
      <c r="P51" s="28" t="n">
        <v>0.047697</v>
      </c>
      <c r="Q51" s="28" t="n">
        <v>0.06471300000000001</v>
      </c>
      <c r="R51" s="26" t="n">
        <v>54</v>
      </c>
      <c r="S51" s="29" t="n">
        <v>0</v>
      </c>
      <c r="T51" s="24" t="inlineStr">
        <is>
          <t>measured-edge-totals-v1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3</v>
      </c>
      <c r="Y51" s="25" t="n">
        <v>9.5</v>
      </c>
      <c r="Z51" s="26" t="n">
        <v>106</v>
      </c>
      <c r="AA51" s="28" t="n">
        <v>0.485</v>
      </c>
      <c r="AB51" s="28" t="n">
        <v>-0.000437</v>
      </c>
      <c r="AC51" s="30" t="n">
        <v>0</v>
      </c>
      <c r="AD51" s="24" t="inlineStr">
        <is>
          <t>2026-07-28T01:57:02.571471Z</t>
        </is>
      </c>
      <c r="AE51" s="31" t="inlineStr">
        <is>
          <t>Measured Edge Totals: Trend Engine projected 6.22-4.59; raw selected-side p=0.5590, calibrated p=0.5502.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mlb-ari</t>
        </is>
      </c>
      <c r="AQ51" s="24" t="inlineStr">
        <is>
          <t>Arizona Diamondbacks</t>
        </is>
      </c>
      <c r="AR51" s="24" t="inlineStr">
        <is>
          <t>Arizona Diamondbacks</t>
        </is>
      </c>
      <c r="AS51" s="24" t="inlineStr">
        <is>
          <t>mlb-pit</t>
        </is>
      </c>
      <c r="AT51" s="24" t="inlineStr">
        <is>
          <t>Pittsburgh Pirates</t>
        </is>
      </c>
      <c r="AU51" s="24" t="inlineStr">
        <is>
          <t>Pittsburgh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0aa06c0f065ec20d43901d386280174165e2b07065216b6c7ffe72c98e322706</t>
        </is>
      </c>
      <c r="BB51" s="24" t="inlineStr">
        <is>
          <t>flat_probability_shrinkage_toward_half</t>
        </is>
      </c>
      <c r="BC51" s="24" t="inlineStr">
        <is>
          <t>measured-edge-totals-v1</t>
        </is>
      </c>
      <c r="BD51" s="24" t="inlineStr">
        <is>
          <t>0aa06c0f065ec20d43901d386280174165e2b07065216b6c7ffe72c98e322706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2026-07-27T19:48:45.712766Z</t>
        </is>
      </c>
      <c r="BI51" s="24" t="inlineStr">
        <is>
          <t>["same_event","same_team_same_day","same_league_same_day"]</t>
        </is>
      </c>
      <c r="BJ51" s="25" t="n">
        <v>9.5</v>
      </c>
      <c r="BK51" s="26" t="n">
        <v>106</v>
      </c>
      <c r="BL51" s="27" t="n">
        <v>2.06</v>
      </c>
      <c r="BM51" s="28" t="n">
        <v>0.485437</v>
      </c>
      <c r="BN51" s="28" t="n">
        <v>0.482587</v>
      </c>
      <c r="BO51" s="28" t="n"/>
      <c r="BP51" s="25" t="n"/>
      <c r="BQ51" s="27" t="n">
        <v>2.06</v>
      </c>
      <c r="BR51" s="28" t="n">
        <v>0.485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40bd9560905a4d7a</t>
        </is>
      </c>
      <c r="B52" s="24" t="inlineStr">
        <is>
          <t>2026-07-27T19:48:45.712766Z</t>
        </is>
      </c>
      <c r="C52" s="24" t="inlineStr">
        <is>
          <t>2026-07-27T22:40Z</t>
        </is>
      </c>
      <c r="D52" s="24" t="inlineStr">
        <is>
          <t>401816282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Detroit Tigers</t>
        </is>
      </c>
      <c r="H52" s="24" t="inlineStr">
        <is>
          <t>spread</t>
        </is>
      </c>
      <c r="I52" s="24" t="inlineStr">
        <is>
          <t>home</t>
        </is>
      </c>
      <c r="J52" s="25" t="n">
        <v>1.5</v>
      </c>
      <c r="K52" s="24" t="inlineStr">
        <is>
          <t>polymarket_us</t>
        </is>
      </c>
      <c r="L52" s="26" t="n">
        <v>-182</v>
      </c>
      <c r="M52" s="27" t="n">
        <v>1.549451</v>
      </c>
      <c r="N52" s="28" t="n">
        <v>0.64539</v>
      </c>
      <c r="O52" s="28" t="n">
        <v>0.70791</v>
      </c>
      <c r="P52" s="28" t="n">
        <v>0.047697</v>
      </c>
      <c r="Q52" s="28" t="n">
        <v>0.06252000000000001</v>
      </c>
      <c r="R52" s="26" t="n">
        <v>53</v>
      </c>
      <c r="S52" s="29" t="n">
        <v>0</v>
      </c>
      <c r="T52" s="24" t="inlineStr">
        <is>
          <t>measured-edge-margin-v1</t>
        </is>
      </c>
      <c r="U52" s="24" t="inlineStr">
        <is>
          <t>settled</t>
        </is>
      </c>
      <c r="V52" s="24" t="inlineStr">
        <is>
          <t>loss</t>
        </is>
      </c>
      <c r="W52" s="26" t="n">
        <v>8</v>
      </c>
      <c r="X52" s="26" t="n">
        <v>5</v>
      </c>
      <c r="Y52" s="25" t="n">
        <v>1.5</v>
      </c>
      <c r="Z52" s="26" t="n">
        <v>-182</v>
      </c>
      <c r="AA52" s="28" t="n">
        <v>0.645</v>
      </c>
      <c r="AB52" s="28" t="n">
        <v>-0.00039</v>
      </c>
      <c r="AC52" s="30" t="n">
        <v>0</v>
      </c>
      <c r="AD52" s="24" t="inlineStr">
        <is>
          <t>2026-07-28T01:57:02.788142Z</t>
        </is>
      </c>
      <c r="AE52" s="31" t="inlineStr">
        <is>
          <t>Measured Edge Margin: Trend Engine projected 2.50-2.63; raw selected-side p=0.7446, calibrated p=0.7079.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mlb-det</t>
        </is>
      </c>
      <c r="AT52" s="24" t="inlineStr">
        <is>
          <t>Detroit Tigers</t>
        </is>
      </c>
      <c r="AU52" s="24" t="inlineStr">
        <is>
          <t>Detroit Tigers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bd86494ed21c6a0389ab0efcf4b8a5bb7b9f8f8786b6d5fb9da69d8cf0a70bdc</t>
        </is>
      </c>
      <c r="BB52" s="24" t="inlineStr">
        <is>
          <t>flat_probability_shrinkage_toward_half</t>
        </is>
      </c>
      <c r="BC52" s="24" t="inlineStr">
        <is>
          <t>measured-edge-margin-v1</t>
        </is>
      </c>
      <c r="BD52" s="24" t="inlineStr">
        <is>
          <t>bd86494ed21c6a0389ab0efcf4b8a5bb7b9f8f8786b6d5fb9da69d8cf0a70bdc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2026-07-27T19:48:45.712766Z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-182</v>
      </c>
      <c r="BL52" s="27" t="n">
        <v>1.549451</v>
      </c>
      <c r="BM52" s="28" t="n">
        <v>0.64539</v>
      </c>
      <c r="BN52" s="28" t="n">
        <v>0.641791</v>
      </c>
      <c r="BO52" s="28" t="n"/>
      <c r="BP52" s="25" t="n"/>
      <c r="BQ52" s="27" t="n">
        <v>1.549451</v>
      </c>
      <c r="BR52" s="28" t="n">
        <v>0.645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540712300f544c47</t>
        </is>
      </c>
      <c r="B53" s="24" t="inlineStr">
        <is>
          <t>2026-07-27T19:48:45.712766Z</t>
        </is>
      </c>
      <c r="C53" s="24" t="inlineStr">
        <is>
          <t>2026-07-27T22:40Z</t>
        </is>
      </c>
      <c r="D53" s="24" t="inlineStr">
        <is>
          <t>401816282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Detroit Tigers</t>
        </is>
      </c>
      <c r="H53" s="24" t="inlineStr">
        <is>
          <t>total</t>
        </is>
      </c>
      <c r="I53" s="24" t="inlineStr">
        <is>
          <t>under</t>
        </is>
      </c>
      <c r="J53" s="25" t="n">
        <v>8.5</v>
      </c>
      <c r="K53" s="24" t="inlineStr">
        <is>
          <t>polymarket_us</t>
        </is>
      </c>
      <c r="L53" s="26" t="n">
        <v>-102</v>
      </c>
      <c r="M53" s="27" t="n">
        <v>1.980392</v>
      </c>
      <c r="N53" s="28" t="n">
        <v>0.50495</v>
      </c>
      <c r="O53" s="28" t="n">
        <v>0.807275</v>
      </c>
      <c r="P53" s="28" t="n">
        <v>0.047697</v>
      </c>
      <c r="Q53" s="28" t="n">
        <v>0.302325</v>
      </c>
      <c r="R53" s="26" t="n">
        <v>100</v>
      </c>
      <c r="S53" s="29" t="n">
        <v>0</v>
      </c>
      <c r="T53" s="24" t="inlineStr">
        <is>
          <t>measured-edge-totals-v1</t>
        </is>
      </c>
      <c r="U53" s="24" t="inlineStr">
        <is>
          <t>settled</t>
        </is>
      </c>
      <c r="V53" s="24" t="inlineStr">
        <is>
          <t>loss</t>
        </is>
      </c>
      <c r="W53" s="26" t="n">
        <v>8</v>
      </c>
      <c r="X53" s="26" t="n">
        <v>5</v>
      </c>
      <c r="Y53" s="25" t="n">
        <v>8.5</v>
      </c>
      <c r="Z53" s="26" t="n">
        <v>-102</v>
      </c>
      <c r="AA53" s="28" t="n">
        <v>0.505</v>
      </c>
      <c r="AB53" s="28" t="n">
        <v>5e-05</v>
      </c>
      <c r="AC53" s="30" t="n">
        <v>0</v>
      </c>
      <c r="AD53" s="24" t="inlineStr">
        <is>
          <t>2026-07-28T01:57:03.004692Z</t>
        </is>
      </c>
      <c r="AE53" s="31" t="inlineStr">
        <is>
          <t>Measured Edge Totals: Trend Engine projected 2.50-2.63; raw selected-side p=0.8615, calibrated p=0.8073.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mlb-det</t>
        </is>
      </c>
      <c r="AT53" s="24" t="inlineStr">
        <is>
          <t>Detroit Tigers</t>
        </is>
      </c>
      <c r="AU53" s="24" t="inlineStr">
        <is>
          <t>Detroit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0aa06c0f065ec20d43901d386280174165e2b07065216b6c7ffe72c98e322706</t>
        </is>
      </c>
      <c r="BB53" s="24" t="inlineStr">
        <is>
          <t>flat_probability_shrinkage_toward_half</t>
        </is>
      </c>
      <c r="BC53" s="24" t="inlineStr">
        <is>
          <t>measured-edge-totals-v1</t>
        </is>
      </c>
      <c r="BD53" s="24" t="inlineStr">
        <is>
          <t>0aa06c0f065ec20d43901d386280174165e2b07065216b6c7ffe72c98e322706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2026-07-27T19:48:45.712766Z</t>
        </is>
      </c>
      <c r="BI53" s="24" t="inlineStr">
        <is>
          <t>["same_event","same_team_same_day","same_league_same_day"]</t>
        </is>
      </c>
      <c r="BJ53" s="25" t="n">
        <v>8.5</v>
      </c>
      <c r="BK53" s="26" t="n">
        <v>-102</v>
      </c>
      <c r="BL53" s="27" t="n">
        <v>1.980392</v>
      </c>
      <c r="BM53" s="28" t="n">
        <v>0.50495</v>
      </c>
      <c r="BN53" s="28" t="n">
        <v>0.502488</v>
      </c>
      <c r="BO53" s="28" t="n"/>
      <c r="BP53" s="25" t="n"/>
      <c r="BQ53" s="27" t="n">
        <v>1.980392</v>
      </c>
      <c r="BR53" s="28" t="n">
        <v>0.505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2c97360a59024819</t>
        </is>
      </c>
      <c r="B54" s="24" t="inlineStr">
        <is>
          <t>2026-07-27T19:48:45.712766Z</t>
        </is>
      </c>
      <c r="C54" s="24" t="inlineStr">
        <is>
          <t>2026-07-27T22:40Z</t>
        </is>
      </c>
      <c r="D54" s="24" t="inlineStr">
        <is>
          <t>401816284</t>
        </is>
      </c>
      <c r="E54" s="24" t="inlineStr">
        <is>
          <t>MLB</t>
        </is>
      </c>
      <c r="F54" s="24" t="inlineStr">
        <is>
          <t>Philadelphia Phillies</t>
        </is>
      </c>
      <c r="G54" s="24" t="inlineStr">
        <is>
          <t>Miami Marlins</t>
        </is>
      </c>
      <c r="H54" s="24" t="inlineStr">
        <is>
          <t>spread</t>
        </is>
      </c>
      <c r="I54" s="24" t="inlineStr">
        <is>
          <t>away</t>
        </is>
      </c>
      <c r="J54" s="25" t="n">
        <v>-1.5</v>
      </c>
      <c r="K54" s="24" t="inlineStr">
        <is>
          <t>polymarket_us</t>
        </is>
      </c>
      <c r="L54" s="26" t="n">
        <v>-102</v>
      </c>
      <c r="M54" s="27" t="n">
        <v>1.980392</v>
      </c>
      <c r="N54" s="28" t="n">
        <v>0.50495</v>
      </c>
      <c r="O54" s="28" t="n">
        <v>0.596135</v>
      </c>
      <c r="P54" s="28" t="n">
        <v>0.046637</v>
      </c>
      <c r="Q54" s="28" t="n">
        <v>0.091185</v>
      </c>
      <c r="R54" s="26" t="n">
        <v>68</v>
      </c>
      <c r="S54" s="29" t="n">
        <v>0</v>
      </c>
      <c r="T54" s="24" t="inlineStr">
        <is>
          <t>measured-edge-margin-v1</t>
        </is>
      </c>
      <c r="U54" s="24" t="inlineStr">
        <is>
          <t>settled</t>
        </is>
      </c>
      <c r="V54" s="24" t="inlineStr">
        <is>
          <t>loss</t>
        </is>
      </c>
      <c r="W54" s="26" t="n">
        <v>7</v>
      </c>
      <c r="X54" s="26" t="n">
        <v>8</v>
      </c>
      <c r="Y54" s="25" t="n">
        <v>-1.5</v>
      </c>
      <c r="Z54" s="26" t="n">
        <v>-102</v>
      </c>
      <c r="AA54" s="28" t="n">
        <v>0.505</v>
      </c>
      <c r="AB54" s="28" t="n">
        <v>5e-05</v>
      </c>
      <c r="AC54" s="30" t="n">
        <v>0</v>
      </c>
      <c r="AD54" s="24" t="inlineStr">
        <is>
          <t>2026-07-28T01:57:03.208930Z</t>
        </is>
      </c>
      <c r="AE54" s="31" t="inlineStr">
        <is>
          <t>Measured Edge Margin: Trend Engine projected 4.56-1.96; raw selected-side p=0.6131, calibrated p=0.5961.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mlb-phi</t>
        </is>
      </c>
      <c r="AQ54" s="24" t="inlineStr">
        <is>
          <t>Philadelphia Phillies</t>
        </is>
      </c>
      <c r="AR54" s="24" t="inlineStr">
        <is>
          <t>Philadelphia Phillies</t>
        </is>
      </c>
      <c r="AS54" s="24" t="inlineStr">
        <is>
          <t>mlb-mia</t>
        </is>
      </c>
      <c r="AT54" s="24" t="inlineStr">
        <is>
          <t>Miami Marlins</t>
        </is>
      </c>
      <c r="AU54" s="24" t="inlineStr">
        <is>
          <t>Miami Marlins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bd86494ed21c6a0389ab0efcf4b8a5bb7b9f8f8786b6d5fb9da69d8cf0a70bdc</t>
        </is>
      </c>
      <c r="BB54" s="24" t="inlineStr">
        <is>
          <t>flat_probability_shrinkage_toward_half</t>
        </is>
      </c>
      <c r="BC54" s="24" t="inlineStr">
        <is>
          <t>measured-edge-margin-v1</t>
        </is>
      </c>
      <c r="BD54" s="24" t="inlineStr">
        <is>
          <t>bd86494ed21c6a0389ab0efcf4b8a5bb7b9f8f8786b6d5fb9da69d8cf0a70bdc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2026-07-27T19:48:45.712766Z</t>
        </is>
      </c>
      <c r="BI54" s="24" t="inlineStr">
        <is>
          <t>["same_event","same_team_same_day","same_league_same_day"]</t>
        </is>
      </c>
      <c r="BJ54" s="25" t="n">
        <v>-1.5</v>
      </c>
      <c r="BK54" s="26" t="n">
        <v>-102</v>
      </c>
      <c r="BL54" s="27" t="n">
        <v>1.980392</v>
      </c>
      <c r="BM54" s="28" t="n">
        <v>0.50495</v>
      </c>
      <c r="BN54" s="28" t="n">
        <v>0.502488</v>
      </c>
      <c r="BO54" s="28" t="n"/>
      <c r="BP54" s="25" t="n"/>
      <c r="BQ54" s="27" t="n">
        <v>1.980392</v>
      </c>
      <c r="BR54" s="28" t="n">
        <v>0.505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ce9ad08fa9224c02</t>
        </is>
      </c>
      <c r="B55" s="24" t="inlineStr">
        <is>
          <t>2026-07-27T19:48:45.712766Z</t>
        </is>
      </c>
      <c r="C55" s="24" t="inlineStr">
        <is>
          <t>2026-07-27T22:40Z</t>
        </is>
      </c>
      <c r="D55" s="24" t="inlineStr">
        <is>
          <t>401816284</t>
        </is>
      </c>
      <c r="E55" s="24" t="inlineStr">
        <is>
          <t>MLB</t>
        </is>
      </c>
      <c r="F55" s="24" t="inlineStr">
        <is>
          <t>Philadelphia Phillies</t>
        </is>
      </c>
      <c r="G55" s="24" t="inlineStr">
        <is>
          <t>Miami Marlins</t>
        </is>
      </c>
      <c r="H55" s="24" t="inlineStr">
        <is>
          <t>total</t>
        </is>
      </c>
      <c r="I55" s="24" t="inlineStr">
        <is>
          <t>under</t>
        </is>
      </c>
      <c r="J55" s="25" t="n">
        <v>7.5</v>
      </c>
      <c r="K55" s="24" t="inlineStr">
        <is>
          <t>polymarket_us</t>
        </is>
      </c>
      <c r="L55" s="26" t="n">
        <v>104</v>
      </c>
      <c r="M55" s="27" t="n">
        <v>2.04</v>
      </c>
      <c r="N55" s="28" t="n">
        <v>0.490196</v>
      </c>
      <c r="O55" s="28" t="n">
        <v>0.63685</v>
      </c>
      <c r="P55" s="28" t="n">
        <v>0.046637</v>
      </c>
      <c r="Q55" s="28" t="n">
        <v>0.146654</v>
      </c>
      <c r="R55" s="26" t="n">
        <v>95</v>
      </c>
      <c r="S55" s="29" t="n">
        <v>0</v>
      </c>
      <c r="T55" s="24" t="inlineStr">
        <is>
          <t>measured-edge-totals-v1</t>
        </is>
      </c>
      <c r="U55" s="24" t="inlineStr">
        <is>
          <t>settled</t>
        </is>
      </c>
      <c r="V55" s="24" t="inlineStr">
        <is>
          <t>loss</t>
        </is>
      </c>
      <c r="W55" s="26" t="n">
        <v>7</v>
      </c>
      <c r="X55" s="26" t="n">
        <v>8</v>
      </c>
      <c r="Y55" s="25" t="n">
        <v>7.5</v>
      </c>
      <c r="Z55" s="26" t="n">
        <v>104</v>
      </c>
      <c r="AA55" s="28" t="n">
        <v>0.49</v>
      </c>
      <c r="AB55" s="28" t="n">
        <v>-0.000196</v>
      </c>
      <c r="AC55" s="30" t="n">
        <v>0</v>
      </c>
      <c r="AD55" s="24" t="inlineStr">
        <is>
          <t>2026-07-28T01:57:03.415540Z</t>
        </is>
      </c>
      <c r="AE55" s="31" t="inlineStr">
        <is>
          <t>Measured Edge Totals: Trend Engine projected 4.56-1.96; raw selected-side p=0.6610, calibrated p=0.6368.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mlb-phi</t>
        </is>
      </c>
      <c r="AQ55" s="24" t="inlineStr">
        <is>
          <t>Philadelphia Phillies</t>
        </is>
      </c>
      <c r="AR55" s="24" t="inlineStr">
        <is>
          <t>Philadelphia Phillies</t>
        </is>
      </c>
      <c r="AS55" s="24" t="inlineStr">
        <is>
          <t>mlb-mia</t>
        </is>
      </c>
      <c r="AT55" s="24" t="inlineStr">
        <is>
          <t>Miami Marlins</t>
        </is>
      </c>
      <c r="AU55" s="24" t="inlineStr">
        <is>
          <t>Miami Marlins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0aa06c0f065ec20d43901d386280174165e2b07065216b6c7ffe72c98e322706</t>
        </is>
      </c>
      <c r="BB55" s="24" t="inlineStr">
        <is>
          <t>flat_probability_shrinkage_toward_half</t>
        </is>
      </c>
      <c r="BC55" s="24" t="inlineStr">
        <is>
          <t>measured-edge-totals-v1</t>
        </is>
      </c>
      <c r="BD55" s="24" t="inlineStr">
        <is>
          <t>0aa06c0f065ec20d43901d386280174165e2b07065216b6c7ffe72c98e322706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2026-07-27T19:48:45.712766Z</t>
        </is>
      </c>
      <c r="BI55" s="24" t="inlineStr">
        <is>
          <t>["same_event","same_team_same_day","same_league_same_day"]</t>
        </is>
      </c>
      <c r="BJ55" s="25" t="n">
        <v>7.5</v>
      </c>
      <c r="BK55" s="26" t="n">
        <v>104</v>
      </c>
      <c r="BL55" s="27" t="n">
        <v>2.04</v>
      </c>
      <c r="BM55" s="28" t="n">
        <v>0.490196</v>
      </c>
      <c r="BN55" s="28" t="n">
        <v>0.487562</v>
      </c>
      <c r="BO55" s="28" t="n"/>
      <c r="BP55" s="25" t="n"/>
      <c r="BQ55" s="27" t="n">
        <v>2.04</v>
      </c>
      <c r="BR55" s="28" t="n">
        <v>0.49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877b620fd32748cd</t>
        </is>
      </c>
      <c r="B56" s="24" t="inlineStr">
        <is>
          <t>2026-07-27T19:48:45.712766Z</t>
        </is>
      </c>
      <c r="C56" s="24" t="inlineStr">
        <is>
          <t>2026-07-27T22:45Z</t>
        </is>
      </c>
      <c r="D56" s="24" t="inlineStr">
        <is>
          <t>401816285</t>
        </is>
      </c>
      <c r="E56" s="24" t="inlineStr">
        <is>
          <t>MLB</t>
        </is>
      </c>
      <c r="F56" s="24" t="inlineStr">
        <is>
          <t>Toronto Blue Jays</t>
        </is>
      </c>
      <c r="G56" s="24" t="inlineStr">
        <is>
          <t>Washington Nationals</t>
        </is>
      </c>
      <c r="H56" s="24" t="inlineStr">
        <is>
          <t>spread</t>
        </is>
      </c>
      <c r="I56" s="24" t="inlineStr">
        <is>
          <t>home</t>
        </is>
      </c>
      <c r="J56" s="25" t="n">
        <v>-1.5</v>
      </c>
      <c r="K56" s="24" t="inlineStr">
        <is>
          <t>polymarket_us</t>
        </is>
      </c>
      <c r="L56" s="26" t="n">
        <v>167</v>
      </c>
      <c r="M56" s="27" t="n">
        <v>2.67</v>
      </c>
      <c r="N56" s="28" t="n">
        <v>0.374532</v>
      </c>
      <c r="O56" s="28" t="n">
        <v>0.885475</v>
      </c>
      <c r="P56" s="28" t="n">
        <v>0.056347</v>
      </c>
      <c r="Q56" s="28" t="n">
        <v>0.510943</v>
      </c>
      <c r="R56" s="26" t="n">
        <v>100</v>
      </c>
      <c r="S56" s="29" t="n">
        <v>0</v>
      </c>
      <c r="T56" s="24" t="inlineStr">
        <is>
          <t>measured-edge-margin-v1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2</v>
      </c>
      <c r="Y56" s="25" t="n">
        <v>-1.5</v>
      </c>
      <c r="Z56" s="26" t="n">
        <v>167</v>
      </c>
      <c r="AA56" s="28" t="n">
        <v>0.375</v>
      </c>
      <c r="AB56" s="28" t="n">
        <v>0.000468</v>
      </c>
      <c r="AC56" s="30" t="n">
        <v>0</v>
      </c>
      <c r="AD56" s="24" t="inlineStr">
        <is>
          <t>2026-07-28T01:57:03.621887Z</t>
        </is>
      </c>
      <c r="AE56" s="31" t="inlineStr">
        <is>
          <t>Measured Edge Margin: Trend Engine projected 1.80-11.68; raw selected-side p=0.9535, calibrated p=0.8855.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mlb-tor</t>
        </is>
      </c>
      <c r="AQ56" s="24" t="inlineStr">
        <is>
          <t>Toronto Blue Jays</t>
        </is>
      </c>
      <c r="AR56" s="24" t="inlineStr">
        <is>
          <t>Toronto Blue Jays</t>
        </is>
      </c>
      <c r="AS56" s="24" t="inlineStr">
        <is>
          <t>mlb-wsh</t>
        </is>
      </c>
      <c r="AT56" s="24" t="inlineStr">
        <is>
          <t>Washington Nationals</t>
        </is>
      </c>
      <c r="AU56" s="24" t="inlineStr">
        <is>
          <t>Washington Nationals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bd86494ed21c6a0389ab0efcf4b8a5bb7b9f8f8786b6d5fb9da69d8cf0a70bdc</t>
        </is>
      </c>
      <c r="BB56" s="24" t="inlineStr">
        <is>
          <t>flat_probability_shrinkage_toward_half</t>
        </is>
      </c>
      <c r="BC56" s="24" t="inlineStr">
        <is>
          <t>measured-edge-margin-v1</t>
        </is>
      </c>
      <c r="BD56" s="24" t="inlineStr">
        <is>
          <t>bd86494ed21c6a0389ab0efcf4b8a5bb7b9f8f8786b6d5fb9da69d8cf0a70bdc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2026-07-27T19:48:45.712766Z</t>
        </is>
      </c>
      <c r="BI56" s="24" t="inlineStr">
        <is>
          <t>["same_event","same_team_same_day","same_league_same_day"]</t>
        </is>
      </c>
      <c r="BJ56" s="25" t="n">
        <v>-1.5</v>
      </c>
      <c r="BK56" s="26" t="n">
        <v>167</v>
      </c>
      <c r="BL56" s="27" t="n">
        <v>2.67</v>
      </c>
      <c r="BM56" s="28" t="n">
        <v>0.374532</v>
      </c>
      <c r="BN56" s="28" t="n">
        <v>0.373134</v>
      </c>
      <c r="BO56" s="28" t="n"/>
      <c r="BP56" s="25" t="n"/>
      <c r="BQ56" s="27" t="n">
        <v>2.67</v>
      </c>
      <c r="BR56" s="28" t="n">
        <v>0.375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f062b6989f244acb</t>
        </is>
      </c>
      <c r="B57" s="24" t="inlineStr">
        <is>
          <t>2026-07-27T19:48:45.712766Z</t>
        </is>
      </c>
      <c r="C57" s="24" t="inlineStr">
        <is>
          <t>2026-07-27T22:45Z</t>
        </is>
      </c>
      <c r="D57" s="24" t="inlineStr">
        <is>
          <t>401816285</t>
        </is>
      </c>
      <c r="E57" s="24" t="inlineStr">
        <is>
          <t>MLB</t>
        </is>
      </c>
      <c r="F57" s="24" t="inlineStr">
        <is>
          <t>Toronto Blue Jays</t>
        </is>
      </c>
      <c r="G57" s="24" t="inlineStr">
        <is>
          <t>Washington Nationals</t>
        </is>
      </c>
      <c r="H57" s="24" t="inlineStr">
        <is>
          <t>total</t>
        </is>
      </c>
      <c r="I57" s="24" t="inlineStr">
        <is>
          <t>over</t>
        </is>
      </c>
      <c r="J57" s="25" t="n">
        <v>9.5</v>
      </c>
      <c r="K57" s="24" t="inlineStr">
        <is>
          <t>polymarket_us</t>
        </is>
      </c>
      <c r="L57" s="26" t="n">
        <v>-113</v>
      </c>
      <c r="M57" s="27" t="n">
        <v>1.884956</v>
      </c>
      <c r="N57" s="28" t="n">
        <v>0.530516</v>
      </c>
      <c r="O57" s="28" t="n">
        <v>0.673655</v>
      </c>
      <c r="P57" s="28" t="n">
        <v>0.056347</v>
      </c>
      <c r="Q57" s="28" t="n">
        <v>0.143139</v>
      </c>
      <c r="R57" s="26" t="n">
        <v>88</v>
      </c>
      <c r="S57" s="29" t="n">
        <v>0</v>
      </c>
      <c r="T57" s="24" t="inlineStr">
        <is>
          <t>measured-edge-totals-v1</t>
        </is>
      </c>
      <c r="U57" s="24" t="inlineStr">
        <is>
          <t>settled</t>
        </is>
      </c>
      <c r="V57" s="24" t="inlineStr">
        <is>
          <t>loss</t>
        </is>
      </c>
      <c r="W57" s="26" t="n">
        <v>3</v>
      </c>
      <c r="X57" s="26" t="n">
        <v>2</v>
      </c>
      <c r="Y57" s="25" t="n">
        <v>9.5</v>
      </c>
      <c r="Z57" s="26" t="n">
        <v>-113</v>
      </c>
      <c r="AA57" s="28" t="n">
        <v>0.53</v>
      </c>
      <c r="AB57" s="28" t="n">
        <v>-0.000516</v>
      </c>
      <c r="AC57" s="30" t="n">
        <v>0</v>
      </c>
      <c r="AD57" s="24" t="inlineStr">
        <is>
          <t>2026-07-28T01:57:03.827901Z</t>
        </is>
      </c>
      <c r="AE57" s="31" t="inlineStr">
        <is>
          <t>Measured Edge Totals: Trend Engine projected 1.80-11.68; raw selected-side p=0.7043, calibrated p=0.6737.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mlb-tor</t>
        </is>
      </c>
      <c r="AQ57" s="24" t="inlineStr">
        <is>
          <t>Toronto Blue Jays</t>
        </is>
      </c>
      <c r="AR57" s="24" t="inlineStr">
        <is>
          <t>Toronto Blue Jays</t>
        </is>
      </c>
      <c r="AS57" s="24" t="inlineStr">
        <is>
          <t>mlb-wsh</t>
        </is>
      </c>
      <c r="AT57" s="24" t="inlineStr">
        <is>
          <t>Washington Nationals</t>
        </is>
      </c>
      <c r="AU57" s="24" t="inlineStr">
        <is>
          <t>Washington Nationals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0aa06c0f065ec20d43901d386280174165e2b07065216b6c7ffe72c98e322706</t>
        </is>
      </c>
      <c r="BB57" s="24" t="inlineStr">
        <is>
          <t>flat_probability_shrinkage_toward_half</t>
        </is>
      </c>
      <c r="BC57" s="24" t="inlineStr">
        <is>
          <t>measured-edge-totals-v1</t>
        </is>
      </c>
      <c r="BD57" s="24" t="inlineStr">
        <is>
          <t>0aa06c0f065ec20d43901d386280174165e2b07065216b6c7ffe72c98e322706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2026-07-27T19:48:45.712766Z</t>
        </is>
      </c>
      <c r="BI57" s="24" t="inlineStr">
        <is>
          <t>["same_event","same_team_same_day","same_league_same_day"]</t>
        </is>
      </c>
      <c r="BJ57" s="25" t="n">
        <v>9.5</v>
      </c>
      <c r="BK57" s="26" t="n">
        <v>-113</v>
      </c>
      <c r="BL57" s="27" t="n">
        <v>1.884956</v>
      </c>
      <c r="BM57" s="28" t="n">
        <v>0.530516</v>
      </c>
      <c r="BN57" s="28" t="n">
        <v>0.527363</v>
      </c>
      <c r="BO57" s="28" t="n"/>
      <c r="BP57" s="25" t="n"/>
      <c r="BQ57" s="27" t="n">
        <v>1.884956</v>
      </c>
      <c r="BR57" s="28" t="n">
        <v>0.53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09314dc6b46e4fcf</t>
        </is>
      </c>
      <c r="B58" s="24" t="inlineStr">
        <is>
          <t>2026-07-27T22:53:10.309584Z</t>
        </is>
      </c>
      <c r="C58" s="24" t="inlineStr">
        <is>
          <t>2026-07-27T23:00Z</t>
        </is>
      </c>
      <c r="D58" s="24" t="inlineStr">
        <is>
          <t>401816283</t>
        </is>
      </c>
      <c r="E58" s="24" t="inlineStr">
        <is>
          <t>MLB</t>
        </is>
      </c>
      <c r="F58" s="24" t="inlineStr">
        <is>
          <t>Cleveland Guardians</t>
        </is>
      </c>
      <c r="G58" s="24" t="inlineStr">
        <is>
          <t>Cincinnati Reds</t>
        </is>
      </c>
      <c r="H58" s="24" t="inlineStr">
        <is>
          <t>spread</t>
        </is>
      </c>
      <c r="I58" s="24" t="inlineStr">
        <is>
          <t>home</t>
        </is>
      </c>
      <c r="J58" s="25" t="n">
        <v>-1.5</v>
      </c>
      <c r="K58" s="24" t="inlineStr">
        <is>
          <t>polymarket_us</t>
        </is>
      </c>
      <c r="L58" s="26" t="n">
        <v>135</v>
      </c>
      <c r="M58" s="27" t="n">
        <v>2.35</v>
      </c>
      <c r="N58" s="28" t="n">
        <v>0.425532</v>
      </c>
      <c r="O58" s="28" t="n">
        <v>0.520145</v>
      </c>
      <c r="P58" s="28" t="n">
        <v>0.047697</v>
      </c>
      <c r="Q58" s="28" t="n">
        <v>0.094613</v>
      </c>
      <c r="R58" s="26" t="n">
        <v>69</v>
      </c>
      <c r="S58" s="29" t="n">
        <v>0</v>
      </c>
      <c r="T58" s="24" t="inlineStr">
        <is>
          <t>measured-edge-margin-v1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2</v>
      </c>
      <c r="Y58" s="25" t="n"/>
      <c r="Z58" s="26" t="n"/>
      <c r="AA58" s="28" t="n"/>
      <c r="AB58" s="28" t="n"/>
      <c r="AC58" s="30" t="n">
        <v>0</v>
      </c>
      <c r="AD58" s="24" t="inlineStr">
        <is>
          <t>2026-07-29T05:32:37.769892Z</t>
        </is>
      </c>
      <c r="AE58" s="31" t="inlineStr">
        <is>
          <t>Measured Edge Margin: Trend Engine projected 3.23-5.16; raw selected-side p=0.5237, calibrated p=0.5201.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mlb-cle</t>
        </is>
      </c>
      <c r="AQ58" s="24" t="inlineStr">
        <is>
          <t>Cleveland Guardians</t>
        </is>
      </c>
      <c r="AR58" s="24" t="inlineStr">
        <is>
          <t>Cleveland Guardians</t>
        </is>
      </c>
      <c r="AS58" s="24" t="inlineStr">
        <is>
          <t>mlb-cin</t>
        </is>
      </c>
      <c r="AT58" s="24" t="inlineStr">
        <is>
          <t>Cincinnati Reds</t>
        </is>
      </c>
      <c r="AU58" s="24" t="inlineStr">
        <is>
          <t>Cincinnati Reds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bd86494ed21c6a0389ab0efcf4b8a5bb7b9f8f8786b6d5fb9da69d8cf0a70bdc</t>
        </is>
      </c>
      <c r="BB58" s="24" t="inlineStr">
        <is>
          <t>flat_probability_shrinkage_toward_half</t>
        </is>
      </c>
      <c r="BC58" s="24" t="inlineStr">
        <is>
          <t>measured-edge-margin-v1</t>
        </is>
      </c>
      <c r="BD58" s="24" t="inlineStr">
        <is>
          <t>bd86494ed21c6a0389ab0efcf4b8a5bb7b9f8f8786b6d5fb9da69d8cf0a70bdc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2026-07-27T22:53:10.309584Z</t>
        </is>
      </c>
      <c r="BI58" s="24" t="inlineStr">
        <is>
          <t>["same_event","same_team_same_day","same_league_same_day"]</t>
        </is>
      </c>
      <c r="BJ58" s="25" t="n">
        <v>-1.5</v>
      </c>
      <c r="BK58" s="26" t="n">
        <v>135</v>
      </c>
      <c r="BL58" s="27" t="n">
        <v>2.35</v>
      </c>
      <c r="BM58" s="28" t="n">
        <v>0.425532</v>
      </c>
      <c r="BN58" s="28" t="n">
        <v>0.422886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d756fd6b7dae48b5</t>
        </is>
      </c>
      <c r="B59" s="24" t="inlineStr">
        <is>
          <t>2026-07-27T22:53:10.309584Z</t>
        </is>
      </c>
      <c r="C59" s="24" t="inlineStr">
        <is>
          <t>2026-07-27T23:00Z</t>
        </is>
      </c>
      <c r="D59" s="24" t="inlineStr">
        <is>
          <t>401816283</t>
        </is>
      </c>
      <c r="E59" s="24" t="inlineStr">
        <is>
          <t>MLB</t>
        </is>
      </c>
      <c r="F59" s="24" t="inlineStr">
        <is>
          <t>Cleveland Guardians</t>
        </is>
      </c>
      <c r="G59" s="24" t="inlineStr">
        <is>
          <t>Cincinnati Reds</t>
        </is>
      </c>
      <c r="H59" s="24" t="inlineStr">
        <is>
          <t>total</t>
        </is>
      </c>
      <c r="I59" s="24" t="inlineStr">
        <is>
          <t>under</t>
        </is>
      </c>
      <c r="J59" s="25" t="n">
        <v>8.5</v>
      </c>
      <c r="K59" s="24" t="inlineStr">
        <is>
          <t>polymarket_us</t>
        </is>
      </c>
      <c r="L59" s="26" t="n">
        <v>115</v>
      </c>
      <c r="M59" s="27" t="n">
        <v>2.15</v>
      </c>
      <c r="N59" s="28" t="n">
        <v>0.465116</v>
      </c>
      <c r="O59" s="28" t="n">
        <v>0.54692</v>
      </c>
      <c r="P59" s="28" t="n">
        <v>0.047697</v>
      </c>
      <c r="Q59" s="28" t="n">
        <v>0.081804</v>
      </c>
      <c r="R59" s="26" t="n">
        <v>62</v>
      </c>
      <c r="S59" s="29" t="n">
        <v>0</v>
      </c>
      <c r="T59" s="24" t="inlineStr">
        <is>
          <t>measured-edge-totals-v1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2</v>
      </c>
      <c r="Y59" s="25" t="n"/>
      <c r="Z59" s="26" t="n"/>
      <c r="AA59" s="28" t="n"/>
      <c r="AB59" s="28" t="n"/>
      <c r="AC59" s="30" t="n">
        <v>0</v>
      </c>
      <c r="AD59" s="24" t="inlineStr">
        <is>
          <t>2026-07-29T05:32:38.457921Z</t>
        </is>
      </c>
      <c r="AE59" s="31" t="inlineStr">
        <is>
          <t>Measured Edge Totals: Trend Engine projected 3.23-5.16; raw selected-side p=0.5552, calibrated p=0.5469.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mlb-cle</t>
        </is>
      </c>
      <c r="AQ59" s="24" t="inlineStr">
        <is>
          <t>Cleveland Guardians</t>
        </is>
      </c>
      <c r="AR59" s="24" t="inlineStr">
        <is>
          <t>Cleveland Guardians</t>
        </is>
      </c>
      <c r="AS59" s="24" t="inlineStr">
        <is>
          <t>mlb-cin</t>
        </is>
      </c>
      <c r="AT59" s="24" t="inlineStr">
        <is>
          <t>Cincinnati Reds</t>
        </is>
      </c>
      <c r="AU59" s="24" t="inlineStr">
        <is>
          <t>Cincinnati Reds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0aa06c0f065ec20d43901d386280174165e2b07065216b6c7ffe72c98e322706</t>
        </is>
      </c>
      <c r="BB59" s="24" t="inlineStr">
        <is>
          <t>flat_probability_shrinkage_toward_half</t>
        </is>
      </c>
      <c r="BC59" s="24" t="inlineStr">
        <is>
          <t>measured-edge-totals-v1</t>
        </is>
      </c>
      <c r="BD59" s="24" t="inlineStr">
        <is>
          <t>0aa06c0f065ec20d43901d386280174165e2b07065216b6c7ffe72c98e322706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2026-07-27T22:53:10.309584Z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115</v>
      </c>
      <c r="BL59" s="27" t="n">
        <v>2.15</v>
      </c>
      <c r="BM59" s="28" t="n">
        <v>0.465116</v>
      </c>
      <c r="BN59" s="28" t="n">
        <v>0.462687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771f572c758e4ad3</t>
        </is>
      </c>
      <c r="B60" s="24" t="inlineStr">
        <is>
          <t>2026-07-27T22:53:10.309584Z</t>
        </is>
      </c>
      <c r="C60" s="24" t="inlineStr">
        <is>
          <t>2026-07-27T23:10Z</t>
        </is>
      </c>
      <c r="D60" s="24" t="inlineStr">
        <is>
          <t>401816281</t>
        </is>
      </c>
      <c r="E60" s="24" t="inlineStr">
        <is>
          <t>MLB</t>
        </is>
      </c>
      <c r="F60" s="24" t="inlineStr">
        <is>
          <t>Atlanta Braves</t>
        </is>
      </c>
      <c r="G60" s="24" t="inlineStr">
        <is>
          <t>New York Mets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0.821045</v>
      </c>
      <c r="P60" s="28" t="n">
        <v>0.056347</v>
      </c>
      <c r="Q60" s="28" t="n">
        <v>0.191415</v>
      </c>
      <c r="R60" s="26" t="n">
        <v>100</v>
      </c>
      <c r="S60" s="29" t="n">
        <v>0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14</v>
      </c>
      <c r="Y60" s="25" t="n">
        <v>1.5</v>
      </c>
      <c r="Z60" s="26" t="n">
        <v>-170</v>
      </c>
      <c r="AA60" s="28" t="n">
        <v>0.63</v>
      </c>
      <c r="AB60" s="28" t="n">
        <v>0.00037</v>
      </c>
      <c r="AC60" s="30" t="n">
        <v>0</v>
      </c>
      <c r="AD60" s="24" t="inlineStr">
        <is>
          <t>2026-07-28T01:57:04.036530Z</t>
        </is>
      </c>
      <c r="AE60" s="31" t="inlineStr">
        <is>
          <t>Measured Edge Margin: Trend Engine projected 2.42-4.34; raw selected-side p=0.8777, calibrated p=0.8210.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mlb-atl</t>
        </is>
      </c>
      <c r="AQ60" s="24" t="inlineStr">
        <is>
          <t>Atlanta Braves</t>
        </is>
      </c>
      <c r="AR60" s="24" t="inlineStr">
        <is>
          <t>Atlanta Braves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bd86494ed21c6a0389ab0efcf4b8a5bb7b9f8f8786b6d5fb9da69d8cf0a70bdc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bd86494ed21c6a0389ab0efcf4b8a5bb7b9f8f8786b6d5fb9da69d8cf0a70bdc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2026-07-27T22:53:10.309584Z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-170</v>
      </c>
      <c r="BL60" s="27" t="n">
        <v>1.588235</v>
      </c>
      <c r="BM60" s="28" t="n">
        <v>0.62963</v>
      </c>
      <c r="BN60" s="28" t="n">
        <v>0.626866</v>
      </c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2716ffebc32645ad</t>
        </is>
      </c>
      <c r="B61" s="24" t="inlineStr">
        <is>
          <t>2026-07-27T22:53:10.309584Z</t>
        </is>
      </c>
      <c r="C61" s="24" t="inlineStr">
        <is>
          <t>2026-07-27T23:10Z</t>
        </is>
      </c>
      <c r="D61" s="24" t="inlineStr">
        <is>
          <t>401816281</t>
        </is>
      </c>
      <c r="E61" s="24" t="inlineStr">
        <is>
          <t>MLB</t>
        </is>
      </c>
      <c r="F61" s="24" t="inlineStr">
        <is>
          <t>Atlanta Braves</t>
        </is>
      </c>
      <c r="G61" s="24" t="inlineStr">
        <is>
          <t>New York Mets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0.67918</v>
      </c>
      <c r="P61" s="28" t="n">
        <v>0.056347</v>
      </c>
      <c r="Q61" s="28" t="n">
        <v>0.209696</v>
      </c>
      <c r="R61" s="26" t="n">
        <v>100</v>
      </c>
      <c r="S61" s="29" t="n">
        <v>0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loss</t>
        </is>
      </c>
      <c r="W61" s="26" t="n">
        <v>3</v>
      </c>
      <c r="X61" s="26" t="n">
        <v>14</v>
      </c>
      <c r="Y61" s="25" t="n">
        <v>8.5</v>
      </c>
      <c r="Z61" s="26" t="n">
        <v>113</v>
      </c>
      <c r="AA61" s="28" t="n">
        <v>0.47</v>
      </c>
      <c r="AB61" s="28" t="n">
        <v>0.000516</v>
      </c>
      <c r="AC61" s="30" t="n">
        <v>0</v>
      </c>
      <c r="AD61" s="24" t="inlineStr">
        <is>
          <t>2026-07-28T01:57:04.276906Z</t>
        </is>
      </c>
      <c r="AE61" s="31" t="inlineStr">
        <is>
          <t>Measured Edge Totals: Trend Engine projected 2.42-4.34; raw selected-side p=0.7108, calibrated p=0.6792.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mlb-atl</t>
        </is>
      </c>
      <c r="AQ61" s="24" t="inlineStr">
        <is>
          <t>Atlanta Braves</t>
        </is>
      </c>
      <c r="AR61" s="24" t="inlineStr">
        <is>
          <t>Atlanta Braves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0aa06c0f065ec20d43901d386280174165e2b07065216b6c7ffe72c98e322706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0aa06c0f065ec20d43901d386280174165e2b07065216b6c7ffe72c98e322706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2026-07-27T22:53:10.309584Z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da228f3da9cb4e93</t>
        </is>
      </c>
      <c r="B62" s="24" t="inlineStr">
        <is>
          <t>2026-07-27T22:53:10.309584Z</t>
        </is>
      </c>
      <c r="C62" s="24" t="inlineStr">
        <is>
          <t>2026-07-27T23:40Z</t>
        </is>
      </c>
      <c r="D62" s="24" t="inlineStr">
        <is>
          <t>401816287</t>
        </is>
      </c>
      <c r="E62" s="24" t="inlineStr">
        <is>
          <t>MLB</t>
        </is>
      </c>
      <c r="F62" s="24" t="inlineStr">
        <is>
          <t>New York Yankees</t>
        </is>
      </c>
      <c r="G62" s="24" t="inlineStr">
        <is>
          <t>Chicago White Sox</t>
        </is>
      </c>
      <c r="H62" s="24" t="inlineStr">
        <is>
          <t>spread</t>
        </is>
      </c>
      <c r="I62" s="24" t="inlineStr">
        <is>
          <t>away</t>
        </is>
      </c>
      <c r="J62" s="25" t="n">
        <v>-1.5</v>
      </c>
      <c r="K62" s="24" t="inlineStr">
        <is>
          <t>polymarket_us</t>
        </is>
      </c>
      <c r="L62" s="26" t="n">
        <v>125</v>
      </c>
      <c r="M62" s="27" t="n">
        <v>2.25</v>
      </c>
      <c r="N62" s="28" t="n">
        <v>0.444444</v>
      </c>
      <c r="O62" s="28" t="n">
        <v>0.542585</v>
      </c>
      <c r="P62" s="28" t="n">
        <v>0.047697</v>
      </c>
      <c r="Q62" s="28" t="n">
        <v>0.09814100000000001</v>
      </c>
      <c r="R62" s="26" t="n">
        <v>70</v>
      </c>
      <c r="S62" s="29" t="n">
        <v>0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9</v>
      </c>
      <c r="X62" s="26" t="n">
        <v>5</v>
      </c>
      <c r="Y62" s="25" t="n">
        <v>-1.5</v>
      </c>
      <c r="Z62" s="26" t="n">
        <v>125</v>
      </c>
      <c r="AA62" s="28" t="n">
        <v>0.445</v>
      </c>
      <c r="AB62" s="28" t="n">
        <v>0.000556</v>
      </c>
      <c r="AC62" s="30" t="n">
        <v>0</v>
      </c>
      <c r="AD62" s="24" t="inlineStr">
        <is>
          <t>2026-07-28T05:00:23.083295Z</t>
        </is>
      </c>
      <c r="AE62" s="31" t="inlineStr">
        <is>
          <t>Measured Edge Margin: Trend Engine projected 6.65-4.41; raw selected-side p=0.5501, calibrated p=0.5426.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mlb-nyy</t>
        </is>
      </c>
      <c r="AQ62" s="24" t="inlineStr">
        <is>
          <t>New York Yankees</t>
        </is>
      </c>
      <c r="AR62" s="24" t="inlineStr">
        <is>
          <t>New York Yankees</t>
        </is>
      </c>
      <c r="AS62" s="24" t="inlineStr">
        <is>
          <t>mlb-cws</t>
        </is>
      </c>
      <c r="AT62" s="24" t="inlineStr">
        <is>
          <t>Chicago White Sox</t>
        </is>
      </c>
      <c r="AU62" s="24" t="inlineStr">
        <is>
          <t>Chicago White Sox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bd86494ed21c6a0389ab0efcf4b8a5bb7b9f8f8786b6d5fb9da69d8cf0a70bdc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bd86494ed21c6a0389ab0efcf4b8a5bb7b9f8f8786b6d5fb9da69d8cf0a70bdc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2026-07-27T22:53:10.309584Z</t>
        </is>
      </c>
      <c r="BI62" s="24" t="inlineStr">
        <is>
          <t>["same_event","same_team_same_day","same_league_same_day"]</t>
        </is>
      </c>
      <c r="BJ62" s="25" t="n">
        <v>-1.5</v>
      </c>
      <c r="BK62" s="26" t="n">
        <v>125</v>
      </c>
      <c r="BL62" s="27" t="n">
        <v>2.25</v>
      </c>
      <c r="BM62" s="28" t="n">
        <v>0.444444</v>
      </c>
      <c r="BN62" s="28" t="n">
        <v>0.442786</v>
      </c>
      <c r="BO62" s="28" t="n"/>
      <c r="BP62" s="25" t="n"/>
      <c r="BQ62" s="27" t="n">
        <v>2.25</v>
      </c>
      <c r="BR62" s="28" t="n">
        <v>0.445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94ff64733f4d41e6</t>
        </is>
      </c>
      <c r="B63" s="24" t="inlineStr">
        <is>
          <t>2026-07-27T22:53:10.309584Z</t>
        </is>
      </c>
      <c r="C63" s="24" t="inlineStr">
        <is>
          <t>2026-07-27T23:40Z</t>
        </is>
      </c>
      <c r="D63" s="24" t="inlineStr">
        <is>
          <t>401816287</t>
        </is>
      </c>
      <c r="E63" s="24" t="inlineStr">
        <is>
          <t>MLB</t>
        </is>
      </c>
      <c r="F63" s="24" t="inlineStr">
        <is>
          <t>New York Yankees</t>
        </is>
      </c>
      <c r="G63" s="24" t="inlineStr">
        <is>
          <t>Chicago White Sox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106</v>
      </c>
      <c r="M63" s="27" t="n">
        <v>2.06</v>
      </c>
      <c r="N63" s="28" t="n">
        <v>0.485437</v>
      </c>
      <c r="O63" s="28" t="n">
        <v>0.64756</v>
      </c>
      <c r="P63" s="28" t="n">
        <v>0.047697</v>
      </c>
      <c r="Q63" s="28" t="n">
        <v>0.162123</v>
      </c>
      <c r="R63" s="26" t="n">
        <v>100</v>
      </c>
      <c r="S63" s="29" t="n">
        <v>0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9</v>
      </c>
      <c r="X63" s="26" t="n">
        <v>5</v>
      </c>
      <c r="Y63" s="25" t="n">
        <v>8.5</v>
      </c>
      <c r="Z63" s="26" t="n">
        <v>106</v>
      </c>
      <c r="AA63" s="28" t="n">
        <v>0.485</v>
      </c>
      <c r="AB63" s="28" t="n">
        <v>-0.000437</v>
      </c>
      <c r="AC63" s="30" t="n">
        <v>0</v>
      </c>
      <c r="AD63" s="24" t="inlineStr">
        <is>
          <t>2026-07-28T05:00:23.297146Z</t>
        </is>
      </c>
      <c r="AE63" s="31" t="inlineStr">
        <is>
          <t>Measured Edge Totals: Trend Engine projected 6.65-4.41; raw selected-side p=0.6736, calibrated p=0.6476.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mlb-nyy</t>
        </is>
      </c>
      <c r="AQ63" s="24" t="inlineStr">
        <is>
          <t>New York Yankees</t>
        </is>
      </c>
      <c r="AR63" s="24" t="inlineStr">
        <is>
          <t>New York Yankees</t>
        </is>
      </c>
      <c r="AS63" s="24" t="inlineStr">
        <is>
          <t>mlb-cws</t>
        </is>
      </c>
      <c r="AT63" s="24" t="inlineStr">
        <is>
          <t>Chicago White Sox</t>
        </is>
      </c>
      <c r="AU63" s="24" t="inlineStr">
        <is>
          <t>Chicago White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0aa06c0f065ec20d43901d386280174165e2b07065216b6c7ffe72c98e322706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0aa06c0f065ec20d43901d386280174165e2b07065216b6c7ffe72c98e322706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2026-07-27T22:53:10.309584Z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106</v>
      </c>
      <c r="BL63" s="27" t="n">
        <v>2.06</v>
      </c>
      <c r="BM63" s="28" t="n">
        <v>0.485437</v>
      </c>
      <c r="BN63" s="28" t="n">
        <v>0.482587</v>
      </c>
      <c r="BO63" s="28" t="n"/>
      <c r="BP63" s="25" t="n"/>
      <c r="BQ63" s="27" t="n">
        <v>2.06</v>
      </c>
      <c r="BR63" s="28" t="n">
        <v>0.485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652ff54ed34c4224</t>
        </is>
      </c>
      <c r="B64" s="24" t="inlineStr">
        <is>
          <t>2026-07-27T22:53:10.309584Z</t>
        </is>
      </c>
      <c r="C64" s="24" t="inlineStr">
        <is>
          <t>2026-07-27T23:45Z</t>
        </is>
      </c>
      <c r="D64" s="24" t="inlineStr">
        <is>
          <t>401816286</t>
        </is>
      </c>
      <c r="E64" s="24" t="inlineStr">
        <is>
          <t>MLB</t>
        </is>
      </c>
      <c r="F64" s="24" t="inlineStr">
        <is>
          <t>Chicago Cubs</t>
        </is>
      </c>
      <c r="G64" s="24" t="inlineStr">
        <is>
          <t>St. Louis Cardinals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-141</v>
      </c>
      <c r="M64" s="27" t="n">
        <v>1.70922</v>
      </c>
      <c r="N64" s="28" t="n">
        <v>0.585062</v>
      </c>
      <c r="O64" s="28" t="n">
        <v>0.587465</v>
      </c>
      <c r="P64" s="28" t="n">
        <v>0.047697</v>
      </c>
      <c r="Q64" s="28" t="n">
        <v>0.002403</v>
      </c>
      <c r="R64" s="26" t="n">
        <v>23</v>
      </c>
      <c r="S64" s="29" t="n">
        <v>0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7</v>
      </c>
      <c r="X64" s="26" t="n">
        <v>3</v>
      </c>
      <c r="Y64" s="25" t="n">
        <v>1.5</v>
      </c>
      <c r="Z64" s="26" t="n">
        <v>-141</v>
      </c>
      <c r="AA64" s="28" t="n">
        <v>0.585</v>
      </c>
      <c r="AB64" s="28" t="n">
        <v>-6.2e-05</v>
      </c>
      <c r="AC64" s="30" t="n">
        <v>0</v>
      </c>
      <c r="AD64" s="24" t="inlineStr">
        <is>
          <t>2026-07-28T05:00:23.503268Z</t>
        </is>
      </c>
      <c r="AE64" s="31" t="inlineStr">
        <is>
          <t>Measured Edge Margin: Trend Engine projected 6.53-6.24; raw selected-side p=0.6029, calibrated p=0.5875.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mlb-chc</t>
        </is>
      </c>
      <c r="AQ64" s="24" t="inlineStr">
        <is>
          <t>Chicago Cubs</t>
        </is>
      </c>
      <c r="AR64" s="24" t="inlineStr">
        <is>
          <t>Chicago Cubs</t>
        </is>
      </c>
      <c r="AS64" s="24" t="inlineStr">
        <is>
          <t>mlb-stl</t>
        </is>
      </c>
      <c r="AT64" s="24" t="inlineStr">
        <is>
          <t>St. Louis Cardinals</t>
        </is>
      </c>
      <c r="AU64" s="24" t="inlineStr">
        <is>
          <t>St. Louis Cardinals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bd86494ed21c6a0389ab0efcf4b8a5bb7b9f8f8786b6d5fb9da69d8cf0a70bdc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bd86494ed21c6a0389ab0efcf4b8a5bb7b9f8f8786b6d5fb9da69d8cf0a70bdc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2026-07-27T22:53:10.309584Z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-141</v>
      </c>
      <c r="BL64" s="27" t="n">
        <v>1.70922</v>
      </c>
      <c r="BM64" s="28" t="n">
        <v>0.585062</v>
      </c>
      <c r="BN64" s="28" t="n">
        <v>0.58209</v>
      </c>
      <c r="BO64" s="28" t="n"/>
      <c r="BP64" s="25" t="n"/>
      <c r="BQ64" s="27" t="n">
        <v>1.70922</v>
      </c>
      <c r="BR64" s="28" t="n">
        <v>0.585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0cc760ea24b94b9d</t>
        </is>
      </c>
      <c r="B65" s="24" t="inlineStr">
        <is>
          <t>2026-07-27T22:53:10.309584Z</t>
        </is>
      </c>
      <c r="C65" s="24" t="inlineStr">
        <is>
          <t>2026-07-27T23:45Z</t>
        </is>
      </c>
      <c r="D65" s="24" t="inlineStr">
        <is>
          <t>401816286</t>
        </is>
      </c>
      <c r="E65" s="24" t="inlineStr">
        <is>
          <t>MLB</t>
        </is>
      </c>
      <c r="F65" s="24" t="inlineStr">
        <is>
          <t>Chicago Cubs</t>
        </is>
      </c>
      <c r="G65" s="24" t="inlineStr">
        <is>
          <t>St. Louis Cardinals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102</v>
      </c>
      <c r="M65" s="27" t="n">
        <v>2.02</v>
      </c>
      <c r="N65" s="28" t="n">
        <v>0.49505</v>
      </c>
      <c r="O65" s="28" t="n">
        <v>0.659375</v>
      </c>
      <c r="P65" s="28" t="n">
        <v>0.047697</v>
      </c>
      <c r="Q65" s="28" t="n">
        <v>0.164325</v>
      </c>
      <c r="R65" s="26" t="n">
        <v>100</v>
      </c>
      <c r="S65" s="29" t="n">
        <v>0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win</t>
        </is>
      </c>
      <c r="W65" s="26" t="n">
        <v>7</v>
      </c>
      <c r="X65" s="26" t="n">
        <v>3</v>
      </c>
      <c r="Y65" s="25" t="n">
        <v>9.5</v>
      </c>
      <c r="Z65" s="26" t="n">
        <v>102</v>
      </c>
      <c r="AA65" s="28" t="n">
        <v>0.495</v>
      </c>
      <c r="AB65" s="28" t="n">
        <v>-5e-05</v>
      </c>
      <c r="AC65" s="30" t="n">
        <v>0</v>
      </c>
      <c r="AD65" s="24" t="inlineStr">
        <is>
          <t>2026-07-28T05:00:23.706731Z</t>
        </is>
      </c>
      <c r="AE65" s="31" t="inlineStr">
        <is>
          <t>Measured Edge Totals: Trend Engine projected 6.53-6.24; raw selected-side p=0.6875, calibrated p=0.6594.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mlb-chc</t>
        </is>
      </c>
      <c r="AQ65" s="24" t="inlineStr">
        <is>
          <t>Chicago Cubs</t>
        </is>
      </c>
      <c r="AR65" s="24" t="inlineStr">
        <is>
          <t>Chicago Cubs</t>
        </is>
      </c>
      <c r="AS65" s="24" t="inlineStr">
        <is>
          <t>mlb-stl</t>
        </is>
      </c>
      <c r="AT65" s="24" t="inlineStr">
        <is>
          <t>St. Louis Cardinals</t>
        </is>
      </c>
      <c r="AU65" s="24" t="inlineStr">
        <is>
          <t>St. Louis Cardinals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0aa06c0f065ec20d43901d386280174165e2b07065216b6c7ffe72c98e322706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0aa06c0f065ec20d43901d386280174165e2b07065216b6c7ffe72c98e322706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2026-07-27T22:53:10.309584Z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102</v>
      </c>
      <c r="BL65" s="27" t="n">
        <v>2.02</v>
      </c>
      <c r="BM65" s="28" t="n">
        <v>0.49505</v>
      </c>
      <c r="BN65" s="28" t="n">
        <v>0.492537</v>
      </c>
      <c r="BO65" s="28" t="n"/>
      <c r="BP65" s="25" t="n"/>
      <c r="BQ65" s="27" t="n">
        <v>2.02</v>
      </c>
      <c r="BR65" s="28" t="n">
        <v>0.495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1d52e2a5bf474bf5</t>
        </is>
      </c>
      <c r="B66" s="24" t="inlineStr">
        <is>
          <t>2026-07-27T22:53:10.309584Z</t>
        </is>
      </c>
      <c r="C66" s="24" t="inlineStr">
        <is>
          <t>2026-07-28T01:38Z</t>
        </is>
      </c>
      <c r="D66" s="24" t="inlineStr">
        <is>
          <t>401816290</t>
        </is>
      </c>
      <c r="E66" s="24" t="inlineStr">
        <is>
          <t>MLB</t>
        </is>
      </c>
      <c r="F66" s="24" t="inlineStr">
        <is>
          <t>Houston Astros</t>
        </is>
      </c>
      <c r="G66" s="24" t="inlineStr">
        <is>
          <t>Los Angeles Angels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-163</v>
      </c>
      <c r="M66" s="27" t="n">
        <v>1.613497</v>
      </c>
      <c r="N66" s="28" t="n">
        <v>0.619772</v>
      </c>
      <c r="O66" s="28" t="n">
        <v>0.73613</v>
      </c>
      <c r="P66" s="28" t="n">
        <v>0.047697</v>
      </c>
      <c r="Q66" s="28" t="n">
        <v>0.116358</v>
      </c>
      <c r="R66" s="26" t="n">
        <v>80</v>
      </c>
      <c r="S66" s="29" t="n">
        <v>0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6</v>
      </c>
      <c r="X66" s="26" t="n">
        <v>4</v>
      </c>
      <c r="Y66" s="25" t="n">
        <v>1.5</v>
      </c>
      <c r="Z66" s="26" t="n">
        <v>-163</v>
      </c>
      <c r="AA66" s="28" t="n">
        <v>0.62</v>
      </c>
      <c r="AB66" s="28" t="n">
        <v>0.000228</v>
      </c>
      <c r="AC66" s="30" t="n">
        <v>0</v>
      </c>
      <c r="AD66" s="24" t="inlineStr">
        <is>
          <t>2026-07-28T08:06:24.047294Z</t>
        </is>
      </c>
      <c r="AE66" s="31" t="inlineStr">
        <is>
          <t>Measured Edge Margin: Trend Engine projected 3.40-4.29; raw selected-side p=0.7778, calibrated p=0.7361.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mlb-hou</t>
        </is>
      </c>
      <c r="AQ66" s="24" t="inlineStr">
        <is>
          <t>Houston Astros</t>
        </is>
      </c>
      <c r="AR66" s="24" t="inlineStr">
        <is>
          <t>Houston Astros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bd86494ed21c6a0389ab0efcf4b8a5bb7b9f8f8786b6d5fb9da69d8cf0a70bdc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bd86494ed21c6a0389ab0efcf4b8a5bb7b9f8f8786b6d5fb9da69d8cf0a70bdc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2026-07-27T22:53:10.309584Z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-163</v>
      </c>
      <c r="BL66" s="27" t="n">
        <v>1.613497</v>
      </c>
      <c r="BM66" s="28" t="n">
        <v>0.619772</v>
      </c>
      <c r="BN66" s="28" t="n">
        <v>0.616915</v>
      </c>
      <c r="BO66" s="28" t="n"/>
      <c r="BP66" s="25" t="n"/>
      <c r="BQ66" s="27" t="n">
        <v>1.613497</v>
      </c>
      <c r="BR66" s="28" t="n">
        <v>0.62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e26cc806976f477f</t>
        </is>
      </c>
      <c r="B67" s="24" t="inlineStr">
        <is>
          <t>2026-07-27T22:53:10.309584Z</t>
        </is>
      </c>
      <c r="C67" s="24" t="inlineStr">
        <is>
          <t>2026-07-28T01:38Z</t>
        </is>
      </c>
      <c r="D67" s="24" t="inlineStr">
        <is>
          <t>401816290</t>
        </is>
      </c>
      <c r="E67" s="24" t="inlineStr">
        <is>
          <t>MLB</t>
        </is>
      </c>
      <c r="F67" s="24" t="inlineStr">
        <is>
          <t>Houston Astros</t>
        </is>
      </c>
      <c r="G67" s="24" t="inlineStr">
        <is>
          <t>Los Angeles Angels</t>
        </is>
      </c>
      <c r="H67" s="24" t="inlineStr">
        <is>
          <t>total</t>
        </is>
      </c>
      <c r="I67" s="24" t="inlineStr">
        <is>
          <t>under</t>
        </is>
      </c>
      <c r="J67" s="25" t="n">
        <v>8.5</v>
      </c>
      <c r="K67" s="24" t="inlineStr">
        <is>
          <t>polymarket_us</t>
        </is>
      </c>
      <c r="L67" s="26" t="n">
        <v>106</v>
      </c>
      <c r="M67" s="27" t="n">
        <v>2.06</v>
      </c>
      <c r="N67" s="28" t="n">
        <v>0.485437</v>
      </c>
      <c r="O67" s="28" t="n">
        <v>0.59197</v>
      </c>
      <c r="P67" s="28" t="n">
        <v>0.047697</v>
      </c>
      <c r="Q67" s="28" t="n">
        <v>0.106533</v>
      </c>
      <c r="R67" s="26" t="n">
        <v>75</v>
      </c>
      <c r="S67" s="29" t="n">
        <v>0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4</v>
      </c>
      <c r="Y67" s="25" t="n">
        <v>8.5</v>
      </c>
      <c r="Z67" s="26" t="n">
        <v>106</v>
      </c>
      <c r="AA67" s="28" t="n">
        <v>0.485</v>
      </c>
      <c r="AB67" s="28" t="n">
        <v>-0.000437</v>
      </c>
      <c r="AC67" s="30" t="n">
        <v>0</v>
      </c>
      <c r="AD67" s="24" t="inlineStr">
        <is>
          <t>2026-07-28T08:06:24.385087Z</t>
        </is>
      </c>
      <c r="AE67" s="31" t="inlineStr">
        <is>
          <t>Measured Edge Totals: Trend Engine projected 3.40-4.29; raw selected-side p=0.6082, calibrated p=0.5920.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mlb-hou</t>
        </is>
      </c>
      <c r="AQ67" s="24" t="inlineStr">
        <is>
          <t>Houston Astros</t>
        </is>
      </c>
      <c r="AR67" s="24" t="inlineStr">
        <is>
          <t>Houston Astros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0aa06c0f065ec20d43901d386280174165e2b07065216b6c7ffe72c98e322706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0aa06c0f065ec20d43901d386280174165e2b07065216b6c7ffe72c98e322706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2026-07-27T22:53:10.309584Z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106</v>
      </c>
      <c r="BL67" s="27" t="n">
        <v>2.06</v>
      </c>
      <c r="BM67" s="28" t="n">
        <v>0.485437</v>
      </c>
      <c r="BN67" s="28" t="n">
        <v>0.482587</v>
      </c>
      <c r="BO67" s="28" t="n"/>
      <c r="BP67" s="25" t="n"/>
      <c r="BQ67" s="27" t="n">
        <v>2.06</v>
      </c>
      <c r="BR67" s="28" t="n">
        <v>0.485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68406b09150b40b6</t>
        </is>
      </c>
      <c r="B68" s="24" t="inlineStr">
        <is>
          <t>2026-07-27T22:53:10.309584Z</t>
        </is>
      </c>
      <c r="C68" s="24" t="inlineStr">
        <is>
          <t>2026-07-28T01:40Z</t>
        </is>
      </c>
      <c r="D68" s="24" t="inlineStr">
        <is>
          <t>401816289</t>
        </is>
      </c>
      <c r="E68" s="24" t="inlineStr">
        <is>
          <t>MLB</t>
        </is>
      </c>
      <c r="F68" s="24" t="inlineStr">
        <is>
          <t>Boston Red Sox</t>
        </is>
      </c>
      <c r="G68" s="24" t="inlineStr">
        <is>
          <t>Athletics</t>
        </is>
      </c>
      <c r="H68" s="24" t="inlineStr">
        <is>
          <t>spread</t>
        </is>
      </c>
      <c r="I68" s="24" t="inlineStr">
        <is>
          <t>away</t>
        </is>
      </c>
      <c r="J68" s="25" t="n">
        <v>-1.5</v>
      </c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0.67255</v>
      </c>
      <c r="P68" s="28" t="n">
        <v>0.047697</v>
      </c>
      <c r="Q68" s="28" t="n">
        <v>0.153319</v>
      </c>
      <c r="R68" s="26" t="n">
        <v>98</v>
      </c>
      <c r="S68" s="29" t="n">
        <v>0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win</t>
        </is>
      </c>
      <c r="W68" s="26" t="n">
        <v>4</v>
      </c>
      <c r="X68" s="26" t="n">
        <v>2</v>
      </c>
      <c r="Y68" s="25" t="n">
        <v>-1.5</v>
      </c>
      <c r="Z68" s="26" t="n">
        <v>-108</v>
      </c>
      <c r="AA68" s="28" t="n">
        <v>0.52</v>
      </c>
      <c r="AB68" s="28" t="n">
        <v>0.000769</v>
      </c>
      <c r="AC68" s="30" t="n">
        <v>0</v>
      </c>
      <c r="AD68" s="24" t="inlineStr">
        <is>
          <t>2026-07-28T05:00:23.910139Z</t>
        </is>
      </c>
      <c r="AE68" s="31" t="inlineStr">
        <is>
          <t>Measured Edge Margin: Trend Engine projected 8.28-4.06; raw selected-side p=0.7030, calibrated p=0.6725.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mlb-bos</t>
        </is>
      </c>
      <c r="AQ68" s="24" t="inlineStr">
        <is>
          <t>Boston Red Sox</t>
        </is>
      </c>
      <c r="AR68" s="24" t="inlineStr">
        <is>
          <t>Boston Red Sox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bd86494ed21c6a0389ab0efcf4b8a5bb7b9f8f8786b6d5fb9da69d8cf0a70bdc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bd86494ed21c6a0389ab0efcf4b8a5bb7b9f8f8786b6d5fb9da69d8cf0a70bdc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2026-07-27T22:53:10.309584Z</t>
        </is>
      </c>
      <c r="BI68" s="24" t="inlineStr">
        <is>
          <t>["same_event","same_team_same_day","same_league_same_day"]</t>
        </is>
      </c>
      <c r="BJ68" s="25" t="n">
        <v>-1.5</v>
      </c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>
        <v>1.925926</v>
      </c>
      <c r="BR68" s="28" t="n">
        <v>0.52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285487976b264717</t>
        </is>
      </c>
      <c r="B69" s="24" t="inlineStr">
        <is>
          <t>2026-07-27T22:53:10.309584Z</t>
        </is>
      </c>
      <c r="C69" s="24" t="inlineStr">
        <is>
          <t>2026-07-28T01:40Z</t>
        </is>
      </c>
      <c r="D69" s="24" t="inlineStr">
        <is>
          <t>401816289</t>
        </is>
      </c>
      <c r="E69" s="24" t="inlineStr">
        <is>
          <t>MLB</t>
        </is>
      </c>
      <c r="F69" s="24" t="inlineStr">
        <is>
          <t>Boston Red Sox</t>
        </is>
      </c>
      <c r="G69" s="24" t="inlineStr">
        <is>
          <t>Athletics</t>
        </is>
      </c>
      <c r="H69" s="24" t="inlineStr">
        <is>
          <t>total</t>
        </is>
      </c>
      <c r="I69" s="24" t="inlineStr">
        <is>
          <t>over</t>
        </is>
      </c>
      <c r="J69" s="25" t="n">
        <v>9.5</v>
      </c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0.638975</v>
      </c>
      <c r="P69" s="28" t="n">
        <v>0.047697</v>
      </c>
      <c r="Q69" s="28" t="n">
        <v>0.138975</v>
      </c>
      <c r="R69" s="26" t="n">
        <v>91</v>
      </c>
      <c r="S69" s="29" t="n">
        <v>0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4</v>
      </c>
      <c r="X69" s="26" t="n">
        <v>2</v>
      </c>
      <c r="Y69" s="25" t="n">
        <v>9.5</v>
      </c>
      <c r="Z69" s="26" t="n">
        <v>100</v>
      </c>
      <c r="AA69" s="28" t="n">
        <v>0.5</v>
      </c>
      <c r="AB69" s="28" t="n">
        <v>0</v>
      </c>
      <c r="AC69" s="30" t="n">
        <v>0</v>
      </c>
      <c r="AD69" s="24" t="inlineStr">
        <is>
          <t>2026-07-28T05:00:24.117686Z</t>
        </is>
      </c>
      <c r="AE69" s="31" t="inlineStr">
        <is>
          <t>Measured Edge Totals: Trend Engine projected 8.28-4.06; raw selected-side p=0.6635, calibrated p=0.6390.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mlb-bos</t>
        </is>
      </c>
      <c r="AQ69" s="24" t="inlineStr">
        <is>
          <t>Boston Red Sox</t>
        </is>
      </c>
      <c r="AR69" s="24" t="inlineStr">
        <is>
          <t>Boston Red Sox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0aa06c0f065ec20d43901d386280174165e2b07065216b6c7ffe72c98e322706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0aa06c0f065ec20d43901d386280174165e2b07065216b6c7ffe72c98e322706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2026-07-27T22:53:10.309584Z</t>
        </is>
      </c>
      <c r="BI69" s="24" t="inlineStr">
        <is>
          <t>["same_event","same_team_same_day","same_league_same_day"]</t>
        </is>
      </c>
      <c r="BJ69" s="25" t="n">
        <v>9.5</v>
      </c>
      <c r="BK69" s="26" t="n">
        <v>100</v>
      </c>
      <c r="BL69" s="27" t="n">
        <v>2</v>
      </c>
      <c r="BM69" s="28" t="n">
        <v>0.5</v>
      </c>
      <c r="BN69" s="28" t="n">
        <v>0.497512</v>
      </c>
      <c r="BO69" s="28" t="n"/>
      <c r="BP69" s="25" t="n"/>
      <c r="BQ69" s="27" t="n">
        <v>2</v>
      </c>
      <c r="BR69" s="28" t="n">
        <v>0.5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1159f2f1948e42de</t>
        </is>
      </c>
      <c r="B70" s="24" t="inlineStr">
        <is>
          <t>2026-07-27T22:53:10.309584Z</t>
        </is>
      </c>
      <c r="C70" s="24" t="inlineStr">
        <is>
          <t>2026-07-28T01:45Z</t>
        </is>
      </c>
      <c r="D70" s="24" t="inlineStr">
        <is>
          <t>401816291</t>
        </is>
      </c>
      <c r="E70" s="24" t="inlineStr">
        <is>
          <t>MLB</t>
        </is>
      </c>
      <c r="F70" s="24" t="inlineStr">
        <is>
          <t>Milwaukee Brewers</t>
        </is>
      </c>
      <c r="G70" s="24" t="inlineStr">
        <is>
          <t>San Francisco Giants</t>
        </is>
      </c>
      <c r="H70" s="24" t="inlineStr">
        <is>
          <t>spread</t>
        </is>
      </c>
      <c r="I70" s="24" t="inlineStr">
        <is>
          <t>home</t>
        </is>
      </c>
      <c r="J70" s="25" t="n">
        <v>1.5</v>
      </c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0.55287</v>
      </c>
      <c r="P70" s="28" t="n">
        <v>0.047697</v>
      </c>
      <c r="Q70" s="28" t="n">
        <v>-0.012347</v>
      </c>
      <c r="R70" s="26" t="n">
        <v>15</v>
      </c>
      <c r="S70" s="29" t="n">
        <v>0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>
        <v>1.5</v>
      </c>
      <c r="Z70" s="26" t="n">
        <v>-130</v>
      </c>
      <c r="AA70" s="28" t="n">
        <v>0.5649999999999999</v>
      </c>
      <c r="AB70" s="28" t="n">
        <v>-0.000217</v>
      </c>
      <c r="AC70" s="30" t="n">
        <v>0</v>
      </c>
      <c r="AD70" s="24" t="inlineStr">
        <is>
          <t>2026-07-28T05:00:24.320948Z</t>
        </is>
      </c>
      <c r="AE70" s="31" t="inlineStr">
        <is>
          <t>Measured Edge Margin: Trend Engine projected 4.74-3.67; raw selected-side p=0.5622, calibrated p=0.5529.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mlb-mil</t>
        </is>
      </c>
      <c r="AQ70" s="24" t="inlineStr">
        <is>
          <t>Milwaukee Brewers</t>
        </is>
      </c>
      <c r="AR70" s="24" t="inlineStr">
        <is>
          <t>Milwaukee Brewers</t>
        </is>
      </c>
      <c r="AS70" s="24" t="inlineStr">
        <is>
          <t>mlb-sf</t>
        </is>
      </c>
      <c r="AT70" s="24" t="inlineStr">
        <is>
          <t>San Francisco Giants</t>
        </is>
      </c>
      <c r="AU70" s="24" t="inlineStr">
        <is>
          <t>San Francisco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bd86494ed21c6a0389ab0efcf4b8a5bb7b9f8f8786b6d5fb9da69d8cf0a70bdc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bd86494ed21c6a0389ab0efcf4b8a5bb7b9f8f8786b6d5fb9da69d8cf0a70bdc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2026-07-27T22:53:10.309584Z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-130</v>
      </c>
      <c r="BL70" s="27" t="n">
        <v>1.769231</v>
      </c>
      <c r="BM70" s="28" t="n">
        <v>0.565217</v>
      </c>
      <c r="BN70" s="28" t="n">
        <v>0.562189</v>
      </c>
      <c r="BO70" s="28" t="n"/>
      <c r="BP70" s="25" t="n"/>
      <c r="BQ70" s="27" t="n">
        <v>1.769231</v>
      </c>
      <c r="BR70" s="28" t="n">
        <v>0.5649999999999999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fea58fa1dfe0422d</t>
        </is>
      </c>
      <c r="B71" s="24" t="inlineStr">
        <is>
          <t>2026-07-27T22:53:10.309584Z</t>
        </is>
      </c>
      <c r="C71" s="24" t="inlineStr">
        <is>
          <t>2026-07-28T01:45Z</t>
        </is>
      </c>
      <c r="D71" s="24" t="inlineStr">
        <is>
          <t>401816291</t>
        </is>
      </c>
      <c r="E71" s="24" t="inlineStr">
        <is>
          <t>MLB</t>
        </is>
      </c>
      <c r="F71" s="24" t="inlineStr">
        <is>
          <t>Milwaukee Brewers</t>
        </is>
      </c>
      <c r="G71" s="24" t="inlineStr">
        <is>
          <t>San Francisco Giants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104</v>
      </c>
      <c r="M71" s="27" t="n">
        <v>2.04</v>
      </c>
      <c r="N71" s="28" t="n">
        <v>0.490196</v>
      </c>
      <c r="O71" s="28" t="n">
        <v>0.532385</v>
      </c>
      <c r="P71" s="28" t="n">
        <v>0.047697</v>
      </c>
      <c r="Q71" s="28" t="n">
        <v>0.042189</v>
      </c>
      <c r="R71" s="26" t="n">
        <v>42</v>
      </c>
      <c r="S71" s="29" t="n">
        <v>0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3</v>
      </c>
      <c r="Y71" s="25" t="n">
        <v>8.5</v>
      </c>
      <c r="Z71" s="26" t="n">
        <v>104</v>
      </c>
      <c r="AA71" s="28" t="n">
        <v>0.49</v>
      </c>
      <c r="AB71" s="28" t="n">
        <v>-0.000196</v>
      </c>
      <c r="AC71" s="30" t="n">
        <v>0</v>
      </c>
      <c r="AD71" s="24" t="inlineStr">
        <is>
          <t>2026-07-28T05:00:24.524581Z</t>
        </is>
      </c>
      <c r="AE71" s="31" t="inlineStr">
        <is>
          <t>Measured Edge Totals: Trend Engine projected 4.74-3.67; raw selected-side p=0.5381, calibrated p=0.5324.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mlb-mil</t>
        </is>
      </c>
      <c r="AQ71" s="24" t="inlineStr">
        <is>
          <t>Milwaukee Brewers</t>
        </is>
      </c>
      <c r="AR71" s="24" t="inlineStr">
        <is>
          <t>Milwaukee Brewers</t>
        </is>
      </c>
      <c r="AS71" s="24" t="inlineStr">
        <is>
          <t>mlb-sf</t>
        </is>
      </c>
      <c r="AT71" s="24" t="inlineStr">
        <is>
          <t>San Francisco Giants</t>
        </is>
      </c>
      <c r="AU71" s="24" t="inlineStr">
        <is>
          <t>San Francisco Giants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0aa06c0f065ec20d43901d386280174165e2b07065216b6c7ffe72c98e322706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0aa06c0f065ec20d43901d386280174165e2b07065216b6c7ffe72c98e322706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2026-07-27T22:53:10.309584Z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104</v>
      </c>
      <c r="BL71" s="27" t="n">
        <v>2.04</v>
      </c>
      <c r="BM71" s="28" t="n">
        <v>0.490196</v>
      </c>
      <c r="BN71" s="28" t="n">
        <v>0.487562</v>
      </c>
      <c r="BO71" s="28" t="n"/>
      <c r="BP71" s="25" t="n"/>
      <c r="BQ71" s="27" t="n">
        <v>2.04</v>
      </c>
      <c r="BR71" s="28" t="n">
        <v>0.49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ad72817fb7064337</t>
        </is>
      </c>
      <c r="B72" s="24" t="inlineStr">
        <is>
          <t>2026-07-27T22:39:59Z</t>
        </is>
      </c>
      <c r="C72" s="24" t="inlineStr">
        <is>
          <t>2026-07-27T18:40:00-0400</t>
        </is>
      </c>
      <c r="D72" s="24" t="inlineStr">
        <is>
          <t>401816280</t>
        </is>
      </c>
      <c r="E72" s="24" t="inlineStr">
        <is>
          <t>MLB</t>
        </is>
      </c>
      <c r="F72" s="24" t="inlineStr">
        <is>
          <t>Arizona Diamondbacks</t>
        </is>
      </c>
      <c r="G72" s="24" t="inlineStr">
        <is>
          <t>Pittsburgh Pirates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-111</v>
      </c>
      <c r="M72" s="27" t="n">
        <v>1.900901</v>
      </c>
      <c r="N72" s="28" t="n">
        <v>0.526066</v>
      </c>
      <c r="O72" s="28" t="n">
        <v>0.5618379999999999</v>
      </c>
      <c r="P72" s="28" t="n"/>
      <c r="Q72" s="28" t="n">
        <v>0.035772</v>
      </c>
      <c r="R72" s="26" t="n">
        <v>40</v>
      </c>
      <c r="S72" s="29" t="n">
        <v>1</v>
      </c>
      <c r="T72" s="24" t="inlineStr">
        <is>
          <t>mlb-elo-trend-lr-v6</t>
        </is>
      </c>
      <c r="U72" s="24" t="inlineStr">
        <is>
          <t>settled</t>
        </is>
      </c>
      <c r="V72" s="24" t="inlineStr">
        <is>
          <t>win</t>
        </is>
      </c>
      <c r="W72" s="26" t="n">
        <v>2</v>
      </c>
      <c r="X72" s="26" t="n">
        <v>3</v>
      </c>
      <c r="Y72" s="25" t="n"/>
      <c r="Z72" s="26" t="n">
        <v>-111</v>
      </c>
      <c r="AA72" s="28" t="n">
        <v>0.525</v>
      </c>
      <c r="AB72" s="28" t="n">
        <v>-0.001066</v>
      </c>
      <c r="AC72" s="30" t="n">
        <v>0.9009</v>
      </c>
      <c r="AD72" s="24" t="inlineStr">
        <is>
          <t>2026-07-28T16:01:58.952093Z</t>
        </is>
      </c>
      <c r="AE72" s="31" t="inlineStr">
        <is>
          <t>Learned LR call at threshold 0.5690; executable ask 0.5250 (aec-mlb-az-pit-2026-07-27).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mlb-ari</t>
        </is>
      </c>
      <c r="AQ72" s="24" t="inlineStr">
        <is>
          <t>Arizona Diamondbacks</t>
        </is>
      </c>
      <c r="AR72" s="24" t="inlineStr">
        <is>
          <t>Arizona Diamondbacks</t>
        </is>
      </c>
      <c r="AS72" s="24" t="inlineStr">
        <is>
          <t>mlb-pit</t>
        </is>
      </c>
      <c r="AT72" s="24" t="inlineStr">
        <is>
          <t>Pittsburgh Pirates</t>
        </is>
      </c>
      <c r="AU72" s="24" t="inlineStr">
        <is>
          <t>Pittsburgh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0633355b1144e4205ca6d08e3f328d99cab0970358846bd77228f3bcbfcd70ee</t>
        </is>
      </c>
      <c r="BB72" s="24" t="inlineStr">
        <is>
          <t>learned_lr</t>
        </is>
      </c>
      <c r="BC72" s="24" t="inlineStr">
        <is>
          <t>mlb-elo-trend-lr-v6</t>
        </is>
      </c>
      <c r="BD72" s="24" t="inlineStr">
        <is>
          <t>0633355b1144e4205ca6d08e3f328d99cab0970358846bd77228f3bcbfcd70ee</t>
        </is>
      </c>
      <c r="BE72" s="24" t="inlineStr">
        <is>
          <t>f150919c7cff83b2</t>
        </is>
      </c>
      <c r="BF72" s="24" t="inlineStr">
        <is>
          <t>1</t>
        </is>
      </c>
      <c r="BG72" s="24" t="inlineStr">
        <is>
          <t>mlb-elo-trend-lr-v6</t>
        </is>
      </c>
      <c r="BH72" s="24" t="inlineStr">
        <is>
          <t>2026-07-27T19:48:05.872666Z</t>
        </is>
      </c>
      <c r="BI72" s="24" t="inlineStr">
        <is>
          <t>["same_event","same_team_same_day","same_league_same_day"]</t>
        </is>
      </c>
      <c r="BJ72" s="25" t="n"/>
      <c r="BK72" s="26" t="n">
        <v>-111</v>
      </c>
      <c r="BL72" s="27" t="n">
        <v>1.900901</v>
      </c>
      <c r="BM72" s="28" t="n">
        <v>0.526066</v>
      </c>
      <c r="BN72" s="28" t="n">
        <v>0.522388</v>
      </c>
      <c r="BO72" s="28" t="n"/>
      <c r="BP72" s="25" t="n"/>
      <c r="BQ72" s="27" t="n">
        <v>1.900901</v>
      </c>
      <c r="BR72" s="28" t="n">
        <v>0.525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0.5377279767</t>
        </is>
      </c>
      <c r="CD72" s="24" t="inlineStr">
        <is>
          <t>-2.019377</t>
        </is>
      </c>
      <c r="CE72" s="24" t="inlineStr">
        <is>
          <t>1.0</t>
        </is>
      </c>
      <c r="CF72" s="24" t="n"/>
      <c r="CG72" s="24" t="n"/>
      <c r="CH72" s="24" t="inlineStr">
        <is>
          <t>-0.03</t>
        </is>
      </c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f72b0b3e5a4c4739</t>
        </is>
      </c>
      <c r="B73" s="24" t="inlineStr">
        <is>
          <t>2026-07-27T22:39:59Z</t>
        </is>
      </c>
      <c r="C73" s="24" t="inlineStr">
        <is>
          <t>2026-07-27T18:40:00-0400</t>
        </is>
      </c>
      <c r="D73" s="24" t="inlineStr">
        <is>
          <t>401816282</t>
        </is>
      </c>
      <c r="E73" s="24" t="inlineStr">
        <is>
          <t>MLB</t>
        </is>
      </c>
      <c r="F73" s="24" t="inlineStr">
        <is>
          <t>Baltimore Orioles</t>
        </is>
      </c>
      <c r="G73" s="24" t="inlineStr">
        <is>
          <t>Detroit Tigers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-111</v>
      </c>
      <c r="M73" s="27" t="n">
        <v>1.900901</v>
      </c>
      <c r="N73" s="28" t="n">
        <v>0.526066</v>
      </c>
      <c r="O73" s="28" t="n">
        <v>0.569464</v>
      </c>
      <c r="P73" s="28" t="n"/>
      <c r="Q73" s="28" t="n">
        <v>0.043398</v>
      </c>
      <c r="R73" s="26" t="n">
        <v>44</v>
      </c>
      <c r="S73" s="29" t="n">
        <v>1.25</v>
      </c>
      <c r="T73" s="24" t="inlineStr">
        <is>
          <t>mlb-elo-trend-lr-v6</t>
        </is>
      </c>
      <c r="U73" s="24" t="inlineStr">
        <is>
          <t>settled</t>
        </is>
      </c>
      <c r="V73" s="24" t="inlineStr">
        <is>
          <t>loss</t>
        </is>
      </c>
      <c r="W73" s="26" t="n">
        <v>8</v>
      </c>
      <c r="X73" s="26" t="n">
        <v>5</v>
      </c>
      <c r="Y73" s="25" t="n"/>
      <c r="Z73" s="26" t="n">
        <v>-111</v>
      </c>
      <c r="AA73" s="28" t="n">
        <v>0.525</v>
      </c>
      <c r="AB73" s="28" t="n">
        <v>-0.001066</v>
      </c>
      <c r="AC73" s="30" t="n">
        <v>-1.25</v>
      </c>
      <c r="AD73" s="24" t="inlineStr">
        <is>
          <t>2026-07-28T16:01:59.352359Z</t>
        </is>
      </c>
      <c r="AE73" s="31" t="inlineStr">
        <is>
          <t>Learned LR call at threshold 0.5690; executable ask 0.5250 (aec-mlb-bal-det-2026-07-27).</t>
        </is>
      </c>
      <c r="AF73" s="31" t="inlineStr">
        <is>
          <t>Learned model; shadow-qualified via operator override.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mlb-bal</t>
        </is>
      </c>
      <c r="AQ73" s="24" t="inlineStr">
        <is>
          <t>Baltimore Orioles</t>
        </is>
      </c>
      <c r="AR73" s="24" t="inlineStr">
        <is>
          <t>Baltimore Orioles</t>
        </is>
      </c>
      <c r="AS73" s="24" t="inlineStr">
        <is>
          <t>mlb-det</t>
        </is>
      </c>
      <c r="AT73" s="24" t="inlineStr">
        <is>
          <t>Detroit Tigers</t>
        </is>
      </c>
      <c r="AU73" s="24" t="inlineStr">
        <is>
          <t>Detroit Tigers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0633355b1144e4205ca6d08e3f328d99cab0970358846bd77228f3bcbfcd70ee</t>
        </is>
      </c>
      <c r="BB73" s="24" t="inlineStr">
        <is>
          <t>learned_lr</t>
        </is>
      </c>
      <c r="BC73" s="24" t="inlineStr">
        <is>
          <t>mlb-elo-trend-lr-v6</t>
        </is>
      </c>
      <c r="BD73" s="24" t="inlineStr">
        <is>
          <t>0633355b1144e4205ca6d08e3f328d99cab0970358846bd77228f3bcbfcd70ee</t>
        </is>
      </c>
      <c r="BE73" s="24" t="inlineStr">
        <is>
          <t>59409a7dc9cee4e0</t>
        </is>
      </c>
      <c r="BF73" s="24" t="inlineStr">
        <is>
          <t>1</t>
        </is>
      </c>
      <c r="BG73" s="24" t="inlineStr">
        <is>
          <t>mlb-elo-trend-lr-v6</t>
        </is>
      </c>
      <c r="BH73" s="24" t="inlineStr">
        <is>
          <t>2026-07-27T19:48:04.828944Z</t>
        </is>
      </c>
      <c r="BI73" s="24" t="inlineStr">
        <is>
          <t>["same_event","same_team_same_day","same_league_same_day"]</t>
        </is>
      </c>
      <c r="BJ73" s="25" t="n"/>
      <c r="BK73" s="26" t="n">
        <v>-111</v>
      </c>
      <c r="BL73" s="27" t="n">
        <v>1.900901</v>
      </c>
      <c r="BM73" s="28" t="n">
        <v>0.526066</v>
      </c>
      <c r="BN73" s="28" t="n">
        <v>0.522388</v>
      </c>
      <c r="BO73" s="28" t="n"/>
      <c r="BP73" s="25" t="n"/>
      <c r="BQ73" s="27" t="n">
        <v>1.900901</v>
      </c>
      <c r="BR73" s="28" t="n">
        <v>0.525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0.5578182793</t>
        </is>
      </c>
      <c r="CD73" s="24" t="inlineStr">
        <is>
          <t>-0.528912</t>
        </is>
      </c>
      <c r="CE73" s="24" t="inlineStr">
        <is>
          <t>0.98</t>
        </is>
      </c>
      <c r="CF73" s="24" t="n"/>
      <c r="CG73" s="24" t="n"/>
      <c r="CH73" s="24" t="inlineStr">
        <is>
          <t>-0.4</t>
        </is>
      </c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e335d49e68c94ce9</t>
        </is>
      </c>
      <c r="B74" s="24" t="inlineStr">
        <is>
          <t>2026-07-27T22:39:59Z</t>
        </is>
      </c>
      <c r="C74" s="24" t="inlineStr">
        <is>
          <t>2026-07-27T18:40:00-0400</t>
        </is>
      </c>
      <c r="D74" s="24" t="inlineStr">
        <is>
          <t>401816284</t>
        </is>
      </c>
      <c r="E74" s="24" t="inlineStr">
        <is>
          <t>MLB</t>
        </is>
      </c>
      <c r="F74" s="24" t="inlineStr">
        <is>
          <t>Philadelphia Phillies</t>
        </is>
      </c>
      <c r="G74" s="24" t="inlineStr">
        <is>
          <t>Miami Marlins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-174</v>
      </c>
      <c r="M74" s="27" t="n">
        <v>1.574713</v>
      </c>
      <c r="N74" s="28" t="n">
        <v>0.635036</v>
      </c>
      <c r="O74" s="28" t="n">
        <v>0.534637</v>
      </c>
      <c r="P74" s="28" t="n"/>
      <c r="Q74" s="28" t="n">
        <v>-0.100399</v>
      </c>
      <c r="R74" s="26" t="n">
        <v>0</v>
      </c>
      <c r="S74" s="29" t="n">
        <v>0.75</v>
      </c>
      <c r="T74" s="24" t="inlineStr">
        <is>
          <t>mlb-elo-trend-lr-v6</t>
        </is>
      </c>
      <c r="U74" s="24" t="inlineStr">
        <is>
          <t>settled</t>
        </is>
      </c>
      <c r="V74" s="24" t="inlineStr">
        <is>
          <t>loss</t>
        </is>
      </c>
      <c r="W74" s="26" t="n">
        <v>7</v>
      </c>
      <c r="X74" s="26" t="n">
        <v>8</v>
      </c>
      <c r="Y74" s="25" t="n"/>
      <c r="Z74" s="26" t="n">
        <v>-174</v>
      </c>
      <c r="AA74" s="28" t="n">
        <v>0.635</v>
      </c>
      <c r="AB74" s="28" t="n">
        <v>-3.6e-05</v>
      </c>
      <c r="AC74" s="30" t="n">
        <v>-0.75</v>
      </c>
      <c r="AD74" s="24" t="inlineStr">
        <is>
          <t>2026-07-28T16:01:59.742087Z</t>
        </is>
      </c>
      <c r="AE74" s="31" t="inlineStr">
        <is>
          <t>Learned LR call at threshold 0.5690; executable ask 0.6350 (aec-mlb-phi-mia-2026-07-27).</t>
        </is>
      </c>
      <c r="AF74" s="31" t="inlineStr">
        <is>
          <t>Learned model; shadow-qualified via operator override.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mlb-phi</t>
        </is>
      </c>
      <c r="AQ74" s="24" t="inlineStr">
        <is>
          <t>Philadelphia Phillies</t>
        </is>
      </c>
      <c r="AR74" s="24" t="inlineStr">
        <is>
          <t>Philadelphia Phillies</t>
        </is>
      </c>
      <c r="AS74" s="24" t="inlineStr">
        <is>
          <t>mlb-mia</t>
        </is>
      </c>
      <c r="AT74" s="24" t="inlineStr">
        <is>
          <t>Miami Marlins</t>
        </is>
      </c>
      <c r="AU74" s="24" t="inlineStr">
        <is>
          <t>Miami Marlins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0633355b1144e4205ca6d08e3f328d99cab0970358846bd77228f3bcbfcd70ee</t>
        </is>
      </c>
      <c r="BB74" s="24" t="inlineStr">
        <is>
          <t>learned_lr</t>
        </is>
      </c>
      <c r="BC74" s="24" t="inlineStr">
        <is>
          <t>mlb-elo-trend-lr-v6</t>
        </is>
      </c>
      <c r="BD74" s="24" t="inlineStr">
        <is>
          <t>0633355b1144e4205ca6d08e3f328d99cab0970358846bd77228f3bcbfcd70ee</t>
        </is>
      </c>
      <c r="BE74" s="24" t="inlineStr">
        <is>
          <t>5c232793b362e155</t>
        </is>
      </c>
      <c r="BF74" s="24" t="inlineStr">
        <is>
          <t>1</t>
        </is>
      </c>
      <c r="BG74" s="24" t="inlineStr">
        <is>
          <t>mlb-elo-trend-lr-v6</t>
        </is>
      </c>
      <c r="BH74" s="24" t="inlineStr">
        <is>
          <t>2026-07-27T19:48:03.771186Z</t>
        </is>
      </c>
      <c r="BI74" s="24" t="inlineStr">
        <is>
          <t>["same_event","same_team_same_day","same_league_same_day"]</t>
        </is>
      </c>
      <c r="BJ74" s="25" t="n"/>
      <c r="BK74" s="26" t="n">
        <v>-174</v>
      </c>
      <c r="BL74" s="27" t="n">
        <v>1.574713</v>
      </c>
      <c r="BM74" s="28" t="n">
        <v>0.635036</v>
      </c>
      <c r="BN74" s="28" t="n">
        <v>0.631841</v>
      </c>
      <c r="BO74" s="28" t="n"/>
      <c r="BP74" s="25" t="n"/>
      <c r="BQ74" s="27" t="n">
        <v>1.574713</v>
      </c>
      <c r="BR74" s="28" t="n">
        <v>0.635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0.477817603</t>
        </is>
      </c>
      <c r="CD74" s="24" t="inlineStr">
        <is>
          <t>-0.644046</t>
        </is>
      </c>
      <c r="CE74" s="24" t="inlineStr">
        <is>
          <t>0.99</t>
        </is>
      </c>
      <c r="CF74" s="24" t="n"/>
      <c r="CG74" s="24" t="n"/>
      <c r="CH74" s="24" t="inlineStr">
        <is>
          <t>0.99</t>
        </is>
      </c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bcd818cd77c04b50</t>
        </is>
      </c>
      <c r="B75" s="24" t="inlineStr">
        <is>
          <t>2026-07-27T22:44:59Z</t>
        </is>
      </c>
      <c r="C75" s="24" t="inlineStr">
        <is>
          <t>2026-07-27T18:45:00-0400</t>
        </is>
      </c>
      <c r="D75" s="24" t="inlineStr">
        <is>
          <t>401816285</t>
        </is>
      </c>
      <c r="E75" s="24" t="inlineStr">
        <is>
          <t>MLB</t>
        </is>
      </c>
      <c r="F75" s="24" t="inlineStr">
        <is>
          <t>Toronto Blue Jays</t>
        </is>
      </c>
      <c r="G75" s="24" t="inlineStr">
        <is>
          <t>Washington Nationals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-115</v>
      </c>
      <c r="M75" s="27" t="n">
        <v>1.869565</v>
      </c>
      <c r="N75" s="28" t="n">
        <v>0.534884</v>
      </c>
      <c r="O75" s="28" t="n">
        <v>0.893765</v>
      </c>
      <c r="P75" s="28" t="n"/>
      <c r="Q75" s="28" t="n">
        <v>0.358881</v>
      </c>
      <c r="R75" s="26" t="n">
        <v>100</v>
      </c>
      <c r="S75" s="29" t="n">
        <v>2</v>
      </c>
      <c r="T75" s="24" t="inlineStr">
        <is>
          <t>mlb-elo-trend-lr-v6</t>
        </is>
      </c>
      <c r="U75" s="24" t="inlineStr">
        <is>
          <t>settled</t>
        </is>
      </c>
      <c r="V75" s="24" t="inlineStr">
        <is>
          <t>loss</t>
        </is>
      </c>
      <c r="W75" s="26" t="n">
        <v>3</v>
      </c>
      <c r="X75" s="26" t="n">
        <v>2</v>
      </c>
      <c r="Y75" s="25" t="n"/>
      <c r="Z75" s="26" t="n">
        <v>-115</v>
      </c>
      <c r="AA75" s="28" t="n">
        <v>0.535</v>
      </c>
      <c r="AB75" s="28" t="n">
        <v>0.000116</v>
      </c>
      <c r="AC75" s="30" t="n">
        <v>-2</v>
      </c>
      <c r="AD75" s="24" t="inlineStr">
        <is>
          <t>2026-07-28T16:02:00.164460Z</t>
        </is>
      </c>
      <c r="AE75" s="31" t="inlineStr">
        <is>
          <t>Learned LR call at threshold 0.5690; executable ask 0.5350 (aec-mlb-tor-wsh-2026-07-27).</t>
        </is>
      </c>
      <c r="AF75" s="31" t="inlineStr">
        <is>
          <t>Learned model; shadow-qualified via operator override.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mlb-tor</t>
        </is>
      </c>
      <c r="AQ75" s="24" t="inlineStr">
        <is>
          <t>Toronto Blue Jays</t>
        </is>
      </c>
      <c r="AR75" s="24" t="inlineStr">
        <is>
          <t>Toronto Blue Jays</t>
        </is>
      </c>
      <c r="AS75" s="24" t="inlineStr">
        <is>
          <t>mlb-wsh</t>
        </is>
      </c>
      <c r="AT75" s="24" t="inlineStr">
        <is>
          <t>Washington Nationals</t>
        </is>
      </c>
      <c r="AU75" s="24" t="inlineStr">
        <is>
          <t>Washington Nationals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0633355b1144e4205ca6d08e3f328d99cab0970358846bd77228f3bcbfcd70ee</t>
        </is>
      </c>
      <c r="BB75" s="24" t="inlineStr">
        <is>
          <t>learned_lr</t>
        </is>
      </c>
      <c r="BC75" s="24" t="inlineStr">
        <is>
          <t>mlb-elo-trend-lr-v6</t>
        </is>
      </c>
      <c r="BD75" s="24" t="inlineStr">
        <is>
          <t>0633355b1144e4205ca6d08e3f328d99cab0970358846bd77228f3bcbfcd70ee</t>
        </is>
      </c>
      <c r="BE75" s="24" t="inlineStr">
        <is>
          <t>c6e1a409809dfa96</t>
        </is>
      </c>
      <c r="BF75" s="24" t="inlineStr">
        <is>
          <t>1</t>
        </is>
      </c>
      <c r="BG75" s="24" t="inlineStr">
        <is>
          <t>mlb-elo-trend-lr-v6</t>
        </is>
      </c>
      <c r="BH75" s="24" t="inlineStr">
        <is>
          <t>2026-07-27T19:48:06.913287Z</t>
        </is>
      </c>
      <c r="BI75" s="24" t="inlineStr">
        <is>
          <t>["same_event","same_team_same_day","same_league_same_day"]</t>
        </is>
      </c>
      <c r="BJ75" s="25" t="n"/>
      <c r="BK75" s="26" t="n">
        <v>-115</v>
      </c>
      <c r="BL75" s="27" t="n">
        <v>1.869565</v>
      </c>
      <c r="BM75" s="28" t="n">
        <v>0.534884</v>
      </c>
      <c r="BN75" s="28" t="n">
        <v>0.532338</v>
      </c>
      <c r="BO75" s="28" t="n"/>
      <c r="BP75" s="25" t="n"/>
      <c r="BQ75" s="27" t="n">
        <v>1.869565</v>
      </c>
      <c r="BR75" s="28" t="n">
        <v>0.535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0.5019196627</t>
        </is>
      </c>
      <c r="CD75" s="24" t="inlineStr">
        <is>
          <t>0.540593</t>
        </is>
      </c>
      <c r="CE75" s="24" t="inlineStr">
        <is>
          <t>1.0</t>
        </is>
      </c>
      <c r="CF75" s="24" t="n"/>
      <c r="CG75" s="24" t="n"/>
      <c r="CH75" s="24" t="inlineStr">
        <is>
          <t>-7.14</t>
        </is>
      </c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ac93e73b97bf4eb0</t>
        </is>
      </c>
      <c r="B76" s="24" t="inlineStr">
        <is>
          <t>2026-07-27T22:59:59Z</t>
        </is>
      </c>
      <c r="C76" s="24" t="inlineStr">
        <is>
          <t>2026-07-27T19:00:00-0400</t>
        </is>
      </c>
      <c r="D76" s="24" t="inlineStr">
        <is>
          <t>401816283</t>
        </is>
      </c>
      <c r="E76" s="24" t="inlineStr">
        <is>
          <t>MLB</t>
        </is>
      </c>
      <c r="F76" s="24" t="inlineStr">
        <is>
          <t>Cleveland Guardians</t>
        </is>
      </c>
      <c r="G76" s="24" t="inlineStr">
        <is>
          <t>Cincinnati Reds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-147</v>
      </c>
      <c r="M76" s="27" t="n">
        <v>1.680272</v>
      </c>
      <c r="N76" s="28" t="n">
        <v>0.5951419999999999</v>
      </c>
      <c r="O76" s="28" t="n">
        <v>0.684329</v>
      </c>
      <c r="P76" s="28" t="n"/>
      <c r="Q76" s="28" t="n">
        <v>0.089187</v>
      </c>
      <c r="R76" s="26" t="n">
        <v>66</v>
      </c>
      <c r="S76" s="29" t="n">
        <v>2</v>
      </c>
      <c r="T76" s="24" t="inlineStr">
        <is>
          <t>mlb-elo-trend-lr-v6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2</v>
      </c>
      <c r="Y76" s="25" t="n"/>
      <c r="Z76" s="26" t="n"/>
      <c r="AA76" s="28" t="n"/>
      <c r="AB76" s="28" t="n"/>
      <c r="AC76" s="30" t="n">
        <v>1.3605</v>
      </c>
      <c r="AD76" s="24" t="inlineStr">
        <is>
          <t>2026-07-29T05:32:39.134064Z</t>
        </is>
      </c>
      <c r="AE76" s="31" t="inlineStr">
        <is>
          <t>Learned LR call at threshold 0.5690; executable ask 0.5950 (aec-mlb-cle-cin-2026-07-27).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mlb-cle</t>
        </is>
      </c>
      <c r="AQ76" s="24" t="inlineStr">
        <is>
          <t>Cleveland Guardians</t>
        </is>
      </c>
      <c r="AR76" s="24" t="inlineStr">
        <is>
          <t>Cleveland Guardians</t>
        </is>
      </c>
      <c r="AS76" s="24" t="inlineStr">
        <is>
          <t>mlb-cin</t>
        </is>
      </c>
      <c r="AT76" s="24" t="inlineStr">
        <is>
          <t>Cincinnati Reds</t>
        </is>
      </c>
      <c r="AU76" s="24" t="inlineStr">
        <is>
          <t>Cincinnati Reds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0633355b1144e4205ca6d08e3f328d99cab0970358846bd77228f3bcbfcd70ee</t>
        </is>
      </c>
      <c r="BB76" s="24" t="inlineStr">
        <is>
          <t>learned_lr</t>
        </is>
      </c>
      <c r="BC76" s="24" t="inlineStr">
        <is>
          <t>mlb-elo-trend-lr-v6</t>
        </is>
      </c>
      <c r="BD76" s="24" t="inlineStr">
        <is>
          <t>0633355b1144e4205ca6d08e3f328d99cab0970358846bd77228f3bcbfcd70ee</t>
        </is>
      </c>
      <c r="BE76" s="24" t="inlineStr">
        <is>
          <t>bd6f2b0e9ab44b21</t>
        </is>
      </c>
      <c r="BF76" s="24" t="inlineStr">
        <is>
          <t>1</t>
        </is>
      </c>
      <c r="BG76" s="24" t="inlineStr">
        <is>
          <t>mlb-elo-trend-lr-v6</t>
        </is>
      </c>
      <c r="BH76" s="24" t="inlineStr">
        <is>
          <t>2026-07-27T22:52:40.069101Z</t>
        </is>
      </c>
      <c r="BI76" s="24" t="inlineStr">
        <is>
          <t>["same_event","same_team_same_day","same_league_same_day"]</t>
        </is>
      </c>
      <c r="BJ76" s="25" t="n"/>
      <c r="BK76" s="26" t="n">
        <v>-147</v>
      </c>
      <c r="BL76" s="27" t="n">
        <v>1.680272</v>
      </c>
      <c r="BM76" s="28" t="n">
        <v>0.5951419999999999</v>
      </c>
      <c r="BN76" s="28" t="n">
        <v>0.59204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0.4926827475</t>
        </is>
      </c>
      <c r="CD76" s="24" t="inlineStr">
        <is>
          <t>-0.86802</t>
        </is>
      </c>
      <c r="CE76" s="24" t="inlineStr">
        <is>
          <t>1.05</t>
        </is>
      </c>
      <c r="CF76" s="24" t="n"/>
      <c r="CG76" s="24" t="n"/>
      <c r="CH76" s="24" t="inlineStr">
        <is>
          <t>-2.18</t>
        </is>
      </c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efaa774d60cc4d1c</t>
        </is>
      </c>
      <c r="B77" s="24" t="inlineStr">
        <is>
          <t>2026-07-27T23:09:59Z</t>
        </is>
      </c>
      <c r="C77" s="24" t="inlineStr">
        <is>
          <t>2026-07-27T19:10:00-0400</t>
        </is>
      </c>
      <c r="D77" s="24" t="inlineStr">
        <is>
          <t>401816281</t>
        </is>
      </c>
      <c r="E77" s="24" t="inlineStr">
        <is>
          <t>MLB</t>
        </is>
      </c>
      <c r="F77" s="24" t="inlineStr">
        <is>
          <t>Atlanta Braves</t>
        </is>
      </c>
      <c r="G77" s="24" t="inlineStr">
        <is>
          <t>New York Mets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0.629264</v>
      </c>
      <c r="P77" s="28" t="n"/>
      <c r="Q77" s="28" t="n">
        <v>0.124314</v>
      </c>
      <c r="R77" s="26" t="n">
        <v>83</v>
      </c>
      <c r="S77" s="29" t="n">
        <v>1.75</v>
      </c>
      <c r="T77" s="24" t="inlineStr">
        <is>
          <t>mlb-elo-trend-lr-v6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14</v>
      </c>
      <c r="Y77" s="25" t="n"/>
      <c r="Z77" s="26" t="n">
        <v>-102</v>
      </c>
      <c r="AA77" s="28" t="n">
        <v>0.505</v>
      </c>
      <c r="AB77" s="28" t="n">
        <v>5e-05</v>
      </c>
      <c r="AC77" s="30" t="n">
        <v>1.7157</v>
      </c>
      <c r="AD77" s="24" t="inlineStr">
        <is>
          <t>2026-07-28T16:02:00.605673Z</t>
        </is>
      </c>
      <c r="AE77" s="31" t="inlineStr">
        <is>
          <t>Learned LR call at threshold 0.5690; executable ask 0.5050 (aec-mlb-atl-nym-2026-07-27).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mlb-atl</t>
        </is>
      </c>
      <c r="AQ77" s="24" t="inlineStr">
        <is>
          <t>Atlanta Braves</t>
        </is>
      </c>
      <c r="AR77" s="24" t="inlineStr">
        <is>
          <t>Atlanta Braves</t>
        </is>
      </c>
      <c r="AS77" s="24" t="inlineStr">
        <is>
          <t>mlb-nym</t>
        </is>
      </c>
      <c r="AT77" s="24" t="inlineStr">
        <is>
          <t>New York Mets</t>
        </is>
      </c>
      <c r="AU77" s="24" t="inlineStr">
        <is>
          <t>New York Mets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0633355b1144e4205ca6d08e3f328d99cab0970358846bd77228f3bcbfcd70ee</t>
        </is>
      </c>
      <c r="BB77" s="24" t="inlineStr">
        <is>
          <t>learned_lr</t>
        </is>
      </c>
      <c r="BC77" s="24" t="inlineStr">
        <is>
          <t>mlb-elo-trend-lr-v6</t>
        </is>
      </c>
      <c r="BD77" s="24" t="inlineStr">
        <is>
          <t>0633355b1144e4205ca6d08e3f328d99cab0970358846bd77228f3bcbfcd70ee</t>
        </is>
      </c>
      <c r="BE77" s="24" t="inlineStr">
        <is>
          <t>3ef0103e6db8ea51</t>
        </is>
      </c>
      <c r="BF77" s="24" t="inlineStr">
        <is>
          <t>1</t>
        </is>
      </c>
      <c r="BG77" s="24" t="inlineStr">
        <is>
          <t>mlb-elo-trend-lr-v6</t>
        </is>
      </c>
      <c r="BH77" s="24" t="inlineStr">
        <is>
          <t>2026-07-27T22:52:39.124210Z</t>
        </is>
      </c>
      <c r="BI77" s="24" t="inlineStr">
        <is>
          <t>["same_event","same_team_same_day","same_league_same_day"]</t>
        </is>
      </c>
      <c r="BJ77" s="25" t="n"/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0.4315693087</t>
        </is>
      </c>
      <c r="CD77" s="24" t="inlineStr">
        <is>
          <t>-2.190624</t>
        </is>
      </c>
      <c r="CE77" s="24" t="inlineStr">
        <is>
          <t>0.97</t>
        </is>
      </c>
      <c r="CF77" s="24" t="n"/>
      <c r="CG77" s="24" t="n"/>
      <c r="CH77" s="24" t="inlineStr">
        <is>
          <t>-1.06</t>
        </is>
      </c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79a642e33e354169</t>
        </is>
      </c>
      <c r="B78" s="24" t="inlineStr">
        <is>
          <t>2026-07-27T23:39:59Z</t>
        </is>
      </c>
      <c r="C78" s="24" t="inlineStr">
        <is>
          <t>2026-07-27T19:40:00-0400</t>
        </is>
      </c>
      <c r="D78" s="24" t="inlineStr">
        <is>
          <t>401816287</t>
        </is>
      </c>
      <c r="E78" s="24" t="inlineStr">
        <is>
          <t>MLB</t>
        </is>
      </c>
      <c r="F78" s="24" t="inlineStr">
        <is>
          <t>New York Yankees</t>
        </is>
      </c>
      <c r="G78" s="24" t="inlineStr">
        <is>
          <t>Chicago White Sox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-133</v>
      </c>
      <c r="M78" s="27" t="n">
        <v>1.75188</v>
      </c>
      <c r="N78" s="28" t="n">
        <v>0.570815</v>
      </c>
      <c r="O78" s="28" t="n">
        <v>0.693452</v>
      </c>
      <c r="P78" s="28" t="n"/>
      <c r="Q78" s="28" t="n">
        <v>0.122637</v>
      </c>
      <c r="R78" s="26" t="n">
        <v>83</v>
      </c>
      <c r="S78" s="29" t="n">
        <v>2</v>
      </c>
      <c r="T78" s="24" t="inlineStr">
        <is>
          <t>mlb-elo-trend-lr-v6</t>
        </is>
      </c>
      <c r="U78" s="24" t="inlineStr">
        <is>
          <t>settled</t>
        </is>
      </c>
      <c r="V78" s="24" t="inlineStr">
        <is>
          <t>win</t>
        </is>
      </c>
      <c r="W78" s="26" t="n">
        <v>9</v>
      </c>
      <c r="X78" s="26" t="n">
        <v>5</v>
      </c>
      <c r="Y78" s="25" t="n"/>
      <c r="Z78" s="26" t="n">
        <v>-133</v>
      </c>
      <c r="AA78" s="28" t="n">
        <v>0.57</v>
      </c>
      <c r="AB78" s="28" t="n">
        <v>-0.000815</v>
      </c>
      <c r="AC78" s="30" t="n">
        <v>1.5038</v>
      </c>
      <c r="AD78" s="24" t="inlineStr">
        <is>
          <t>2026-07-28T16:02:00.991463Z</t>
        </is>
      </c>
      <c r="AE78" s="31" t="inlineStr">
        <is>
          <t>Learned LR call at threshold 0.5690; executable ask 0.5700 (aec-mlb-nyy-cws-2026-07-27).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mlb-nyy</t>
        </is>
      </c>
      <c r="AQ78" s="24" t="inlineStr">
        <is>
          <t>New York Yankees</t>
        </is>
      </c>
      <c r="AR78" s="24" t="inlineStr">
        <is>
          <t>New York Yankees</t>
        </is>
      </c>
      <c r="AS78" s="24" t="inlineStr">
        <is>
          <t>mlb-cws</t>
        </is>
      </c>
      <c r="AT78" s="24" t="inlineStr">
        <is>
          <t>Chicago White Sox</t>
        </is>
      </c>
      <c r="AU78" s="24" t="inlineStr">
        <is>
          <t>Chicago White Sox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0633355b1144e4205ca6d08e3f328d99cab0970358846bd77228f3bcbfcd70ee</t>
        </is>
      </c>
      <c r="BB78" s="24" t="inlineStr">
        <is>
          <t>learned_lr</t>
        </is>
      </c>
      <c r="BC78" s="24" t="inlineStr">
        <is>
          <t>mlb-elo-trend-lr-v6</t>
        </is>
      </c>
      <c r="BD78" s="24" t="inlineStr">
        <is>
          <t>0633355b1144e4205ca6d08e3f328d99cab0970358846bd77228f3bcbfcd70ee</t>
        </is>
      </c>
      <c r="BE78" s="24" t="inlineStr">
        <is>
          <t>240c7cb854526226</t>
        </is>
      </c>
      <c r="BF78" s="24" t="inlineStr">
        <is>
          <t>1</t>
        </is>
      </c>
      <c r="BG78" s="24" t="inlineStr">
        <is>
          <t>mlb-elo-trend-lr-v6</t>
        </is>
      </c>
      <c r="BH78" s="24" t="inlineStr">
        <is>
          <t>2026-07-27T22:52:40.563303Z</t>
        </is>
      </c>
      <c r="BI78" s="24" t="inlineStr">
        <is>
          <t>["same_event","same_team_same_day","same_league_same_day"]</t>
        </is>
      </c>
      <c r="BJ78" s="25" t="n"/>
      <c r="BK78" s="26" t="n">
        <v>-133</v>
      </c>
      <c r="BL78" s="27" t="n">
        <v>1.75188</v>
      </c>
      <c r="BM78" s="28" t="n">
        <v>0.570815</v>
      </c>
      <c r="BN78" s="28" t="n">
        <v>0.567164</v>
      </c>
      <c r="BO78" s="28" t="n"/>
      <c r="BP78" s="25" t="n"/>
      <c r="BQ78" s="27" t="n">
        <v>1.75188</v>
      </c>
      <c r="BR78" s="28" t="n">
        <v>0.57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0.4761494151</t>
        </is>
      </c>
      <c r="CD78" s="24" t="inlineStr">
        <is>
          <t>1.500354</t>
        </is>
      </c>
      <c r="CE78" s="24" t="inlineStr">
        <is>
          <t>0.99</t>
        </is>
      </c>
      <c r="CF78" s="24" t="n"/>
      <c r="CG78" s="24" t="n"/>
      <c r="CH78" s="24" t="inlineStr">
        <is>
          <t>2.92</t>
        </is>
      </c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cc1ab745702b445f</t>
        </is>
      </c>
      <c r="B79" s="24" t="inlineStr">
        <is>
          <t>2026-07-27T23:44:59Z</t>
        </is>
      </c>
      <c r="C79" s="24" t="inlineStr">
        <is>
          <t>2026-07-27T19:45:00-0400</t>
        </is>
      </c>
      <c r="D79" s="24" t="inlineStr">
        <is>
          <t>401816286</t>
        </is>
      </c>
      <c r="E79" s="24" t="inlineStr">
        <is>
          <t>MLB</t>
        </is>
      </c>
      <c r="F79" s="24" t="inlineStr">
        <is>
          <t>Chicago Cubs</t>
        </is>
      </c>
      <c r="G79" s="24" t="inlineStr">
        <is>
          <t>St. Louis Cardinals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0.574883</v>
      </c>
      <c r="P79" s="28" t="n"/>
      <c r="Q79" s="28" t="n">
        <v>0.100949</v>
      </c>
      <c r="R79" s="26" t="n">
        <v>71</v>
      </c>
      <c r="S79" s="29" t="n">
        <v>1.25</v>
      </c>
      <c r="T79" s="24" t="inlineStr">
        <is>
          <t>mlb-elo-trend-lr-v6</t>
        </is>
      </c>
      <c r="U79" s="24" t="inlineStr">
        <is>
          <t>settled</t>
        </is>
      </c>
      <c r="V79" s="24" t="inlineStr">
        <is>
          <t>loss</t>
        </is>
      </c>
      <c r="W79" s="26" t="n">
        <v>7</v>
      </c>
      <c r="X79" s="26" t="n">
        <v>3</v>
      </c>
      <c r="Y79" s="25" t="n"/>
      <c r="Z79" s="26" t="n">
        <v>111</v>
      </c>
      <c r="AA79" s="28" t="n">
        <v>0.475</v>
      </c>
      <c r="AB79" s="28" t="n">
        <v>0.001066</v>
      </c>
      <c r="AC79" s="30" t="n">
        <v>-1.25</v>
      </c>
      <c r="AD79" s="24" t="inlineStr">
        <is>
          <t>2026-07-28T16:02:01.423103Z</t>
        </is>
      </c>
      <c r="AE79" s="31" t="inlineStr">
        <is>
          <t>Learned LR call at threshold 0.5690; executable ask 0.4750 (aec-mlb-chc-stl-2026-07-27).</t>
        </is>
      </c>
      <c r="AF79" s="31" t="inlineStr">
        <is>
          <t>Learned model; shadow-qualified via operator override.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mlb-chc</t>
        </is>
      </c>
      <c r="AQ79" s="24" t="inlineStr">
        <is>
          <t>Chicago Cubs</t>
        </is>
      </c>
      <c r="AR79" s="24" t="inlineStr">
        <is>
          <t>Chicago Cubs</t>
        </is>
      </c>
      <c r="AS79" s="24" t="inlineStr">
        <is>
          <t>mlb-stl</t>
        </is>
      </c>
      <c r="AT79" s="24" t="inlineStr">
        <is>
          <t>St. Louis Cardinals</t>
        </is>
      </c>
      <c r="AU79" s="24" t="inlineStr">
        <is>
          <t>St. Louis Cardinals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0633355b1144e4205ca6d08e3f328d99cab0970358846bd77228f3bcbfcd70ee</t>
        </is>
      </c>
      <c r="BB79" s="24" t="inlineStr">
        <is>
          <t>learned_lr</t>
        </is>
      </c>
      <c r="BC79" s="24" t="inlineStr">
        <is>
          <t>mlb-elo-trend-lr-v6</t>
        </is>
      </c>
      <c r="BD79" s="24" t="inlineStr">
        <is>
          <t>0633355b1144e4205ca6d08e3f328d99cab0970358846bd77228f3bcbfcd70ee</t>
        </is>
      </c>
      <c r="BE79" s="24" t="inlineStr">
        <is>
          <t>01075785a4cf42a4</t>
        </is>
      </c>
      <c r="BF79" s="24" t="inlineStr">
        <is>
          <t>1</t>
        </is>
      </c>
      <c r="BG79" s="24" t="inlineStr">
        <is>
          <t>mlb-elo-trend-lr-v6</t>
        </is>
      </c>
      <c r="BH79" s="24" t="inlineStr">
        <is>
          <t>2026-07-27T22:52:41.511217Z</t>
        </is>
      </c>
      <c r="BI79" s="24" t="inlineStr">
        <is>
          <t>["same_event","same_team_same_day","same_league_same_day"]</t>
        </is>
      </c>
      <c r="BJ79" s="25" t="n"/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0.4644554475</t>
        </is>
      </c>
      <c r="CD79" s="24" t="inlineStr">
        <is>
          <t>-0.743911</t>
        </is>
      </c>
      <c r="CE79" s="24" t="inlineStr">
        <is>
          <t>0.99</t>
        </is>
      </c>
      <c r="CF79" s="24" t="n"/>
      <c r="CG79" s="24" t="n"/>
      <c r="CH79" s="24" t="inlineStr">
        <is>
          <t>-0.54</t>
        </is>
      </c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7b2b2c79ff1d4b98</t>
        </is>
      </c>
      <c r="B80" s="24" t="inlineStr">
        <is>
          <t>2026-07-28T01:37:59Z</t>
        </is>
      </c>
      <c r="C80" s="24" t="inlineStr">
        <is>
          <t>2026-07-27T21:38:00-0400</t>
        </is>
      </c>
      <c r="D80" s="24" t="inlineStr">
        <is>
          <t>401816290</t>
        </is>
      </c>
      <c r="E80" s="24" t="inlineStr">
        <is>
          <t>MLB</t>
        </is>
      </c>
      <c r="F80" s="24" t="inlineStr">
        <is>
          <t>Houston Astros</t>
        </is>
      </c>
      <c r="G80" s="24" t="inlineStr">
        <is>
          <t>Los Angeles Angels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102</v>
      </c>
      <c r="M80" s="27" t="n">
        <v>2.02</v>
      </c>
      <c r="N80" s="28" t="n">
        <v>0.49505</v>
      </c>
      <c r="O80" s="28" t="n">
        <v>0.747572</v>
      </c>
      <c r="P80" s="28" t="n"/>
      <c r="Q80" s="28" t="n">
        <v>0.252522</v>
      </c>
      <c r="R80" s="26" t="n">
        <v>100</v>
      </c>
      <c r="S80" s="29" t="n">
        <v>2</v>
      </c>
      <c r="T80" s="24" t="inlineStr">
        <is>
          <t>mlb-elo-trend-lr-v6</t>
        </is>
      </c>
      <c r="U80" s="24" t="inlineStr">
        <is>
          <t>settled</t>
        </is>
      </c>
      <c r="V80" s="24" t="inlineStr">
        <is>
          <t>loss</t>
        </is>
      </c>
      <c r="W80" s="26" t="n">
        <v>6</v>
      </c>
      <c r="X80" s="26" t="n">
        <v>4</v>
      </c>
      <c r="Y80" s="25" t="n"/>
      <c r="Z80" s="26" t="n">
        <v>102</v>
      </c>
      <c r="AA80" s="28" t="n">
        <v>0.495</v>
      </c>
      <c r="AB80" s="28" t="n">
        <v>-5e-05</v>
      </c>
      <c r="AC80" s="30" t="n">
        <v>-2</v>
      </c>
      <c r="AD80" s="24" t="inlineStr">
        <is>
          <t>2026-07-28T16:02:01.810815Z</t>
        </is>
      </c>
      <c r="AE80" s="31" t="inlineStr">
        <is>
          <t>Learned LR call at threshold 0.5690; executable ask 0.4950 (aec-mlb-hou-laa-2026-07-27).</t>
        </is>
      </c>
      <c r="AF80" s="31" t="inlineStr">
        <is>
          <t>Learned model; shadow-qualified via operator override.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mlb-hou</t>
        </is>
      </c>
      <c r="AQ80" s="24" t="inlineStr">
        <is>
          <t>Houston Astros</t>
        </is>
      </c>
      <c r="AR80" s="24" t="inlineStr">
        <is>
          <t>Houston Astros</t>
        </is>
      </c>
      <c r="AS80" s="24" t="inlineStr">
        <is>
          <t>mlb-laa</t>
        </is>
      </c>
      <c r="AT80" s="24" t="inlineStr">
        <is>
          <t>Los Angeles Angels</t>
        </is>
      </c>
      <c r="AU80" s="24" t="inlineStr">
        <is>
          <t>Los Angeles Angels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0633355b1144e4205ca6d08e3f328d99cab0970358846bd77228f3bcbfcd70ee</t>
        </is>
      </c>
      <c r="BB80" s="24" t="inlineStr">
        <is>
          <t>learned_lr</t>
        </is>
      </c>
      <c r="BC80" s="24" t="inlineStr">
        <is>
          <t>mlb-elo-trend-lr-v6</t>
        </is>
      </c>
      <c r="BD80" s="24" t="inlineStr">
        <is>
          <t>0633355b1144e4205ca6d08e3f328d99cab0970358846bd77228f3bcbfcd70ee</t>
        </is>
      </c>
      <c r="BE80" s="24" t="inlineStr">
        <is>
          <t>5fa6950739bd6684</t>
        </is>
      </c>
      <c r="BF80" s="24" t="inlineStr">
        <is>
          <t>1</t>
        </is>
      </c>
      <c r="BG80" s="24" t="inlineStr">
        <is>
          <t>mlb-elo-trend-lr-v6</t>
        </is>
      </c>
      <c r="BH80" s="24" t="inlineStr">
        <is>
          <t>2026-07-27T22:52:42.458048Z</t>
        </is>
      </c>
      <c r="BI80" s="24" t="inlineStr">
        <is>
          <t>["same_event","same_team_same_day","same_league_same_day"]</t>
        </is>
      </c>
      <c r="BJ80" s="25" t="n"/>
      <c r="BK80" s="26" t="n">
        <v>102</v>
      </c>
      <c r="BL80" s="27" t="n">
        <v>2.02</v>
      </c>
      <c r="BM80" s="28" t="n">
        <v>0.49505</v>
      </c>
      <c r="BN80" s="28" t="n">
        <v>0.492537</v>
      </c>
      <c r="BO80" s="28" t="n"/>
      <c r="BP80" s="25" t="n"/>
      <c r="BQ80" s="27" t="n">
        <v>2.02</v>
      </c>
      <c r="BR80" s="28" t="n">
        <v>0.495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0.4559426507</t>
        </is>
      </c>
      <c r="CD80" s="24" t="inlineStr">
        <is>
          <t>-1.582476</t>
        </is>
      </c>
      <c r="CE80" s="24" t="inlineStr">
        <is>
          <t>1.01</t>
        </is>
      </c>
      <c r="CF80" s="24" t="n"/>
      <c r="CG80" s="24" t="n"/>
      <c r="CH80" s="24" t="inlineStr">
        <is>
          <t>-3.13</t>
        </is>
      </c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b974b66f092f416f</t>
        </is>
      </c>
      <c r="B81" s="24" t="inlineStr">
        <is>
          <t>2026-07-28T01:39:59Z</t>
        </is>
      </c>
      <c r="C81" s="24" t="inlineStr">
        <is>
          <t>2026-07-27T21:40:00-0400</t>
        </is>
      </c>
      <c r="D81" s="24" t="inlineStr">
        <is>
          <t>401816289</t>
        </is>
      </c>
      <c r="E81" s="24" t="inlineStr">
        <is>
          <t>MLB</t>
        </is>
      </c>
      <c r="F81" s="24" t="inlineStr">
        <is>
          <t>Boston Red Sox</t>
        </is>
      </c>
      <c r="G81" s="24" t="inlineStr">
        <is>
          <t>Athletics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-170</v>
      </c>
      <c r="M81" s="27" t="n">
        <v>1.588235</v>
      </c>
      <c r="N81" s="28" t="n">
        <v>0.62963</v>
      </c>
      <c r="O81" s="28" t="n">
        <v>0.67974</v>
      </c>
      <c r="P81" s="28" t="n"/>
      <c r="Q81" s="28" t="n">
        <v>0.05011</v>
      </c>
      <c r="R81" s="26" t="n">
        <v>46</v>
      </c>
      <c r="S81" s="29" t="n">
        <v>2</v>
      </c>
      <c r="T81" s="24" t="inlineStr">
        <is>
          <t>mlb-elo-trend-lr-v6</t>
        </is>
      </c>
      <c r="U81" s="24" t="inlineStr">
        <is>
          <t>settled</t>
        </is>
      </c>
      <c r="V81" s="24" t="inlineStr">
        <is>
          <t>win</t>
        </is>
      </c>
      <c r="W81" s="26" t="n">
        <v>4</v>
      </c>
      <c r="X81" s="26" t="n">
        <v>2</v>
      </c>
      <c r="Y81" s="25" t="n"/>
      <c r="Z81" s="26" t="n">
        <v>-170</v>
      </c>
      <c r="AA81" s="28" t="n">
        <v>0.63</v>
      </c>
      <c r="AB81" s="28" t="n">
        <v>0.00037</v>
      </c>
      <c r="AC81" s="30" t="n">
        <v>1.1765</v>
      </c>
      <c r="AD81" s="24" t="inlineStr">
        <is>
          <t>2026-07-28T16:02:02.192644Z</t>
        </is>
      </c>
      <c r="AE81" s="31" t="inlineStr">
        <is>
          <t>Learned LR call at threshold 0.5690; executable ask 0.6300 (aec-mlb-bos-ath-2026-07-27).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mlb-bos</t>
        </is>
      </c>
      <c r="AQ81" s="24" t="inlineStr">
        <is>
          <t>Boston Red Sox</t>
        </is>
      </c>
      <c r="AR81" s="24" t="inlineStr">
        <is>
          <t>Boston Red Sox</t>
        </is>
      </c>
      <c r="AS81" s="24" t="inlineStr">
        <is>
          <t>mlb-ath</t>
        </is>
      </c>
      <c r="AT81" s="24" t="inlineStr">
        <is>
          <t>Athletics</t>
        </is>
      </c>
      <c r="AU81" s="24" t="inlineStr">
        <is>
          <t>Athletics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0633355b1144e4205ca6d08e3f328d99cab0970358846bd77228f3bcbfcd70ee</t>
        </is>
      </c>
      <c r="BB81" s="24" t="inlineStr">
        <is>
          <t>learned_lr</t>
        </is>
      </c>
      <c r="BC81" s="24" t="inlineStr">
        <is>
          <t>mlb-elo-trend-lr-v6</t>
        </is>
      </c>
      <c r="BD81" s="24" t="inlineStr">
        <is>
          <t>0633355b1144e4205ca6d08e3f328d99cab0970358846bd77228f3bcbfcd70ee</t>
        </is>
      </c>
      <c r="BE81" s="24" t="inlineStr">
        <is>
          <t>dd5973d6f0a1cad5</t>
        </is>
      </c>
      <c r="BF81" s="24" t="inlineStr">
        <is>
          <t>1</t>
        </is>
      </c>
      <c r="BG81" s="24" t="inlineStr">
        <is>
          <t>mlb-elo-trend-lr-v6</t>
        </is>
      </c>
      <c r="BH81" s="24" t="inlineStr">
        <is>
          <t>2026-07-27T22:52:43.269067Z</t>
        </is>
      </c>
      <c r="BI81" s="24" t="inlineStr">
        <is>
          <t>["same_event","same_team_same_day","same_league_same_day"]</t>
        </is>
      </c>
      <c r="BJ81" s="25" t="n"/>
      <c r="BK81" s="26" t="n">
        <v>-170</v>
      </c>
      <c r="BL81" s="27" t="n">
        <v>1.588235</v>
      </c>
      <c r="BM81" s="28" t="n">
        <v>0.62963</v>
      </c>
      <c r="BN81" s="28" t="n">
        <v>0.626866</v>
      </c>
      <c r="BO81" s="28" t="n"/>
      <c r="BP81" s="25" t="n"/>
      <c r="BQ81" s="27" t="n">
        <v>1.588235</v>
      </c>
      <c r="BR81" s="28" t="n">
        <v>0.63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0.3891185316</t>
        </is>
      </c>
      <c r="CD81" s="24" t="inlineStr">
        <is>
          <t>-1.066043</t>
        </is>
      </c>
      <c r="CE81" s="24" t="inlineStr">
        <is>
          <t>0.98</t>
        </is>
      </c>
      <c r="CF81" s="24" t="n"/>
      <c r="CG81" s="24" t="n"/>
      <c r="CH81" s="24" t="inlineStr">
        <is>
          <t>3.13</t>
        </is>
      </c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9ea507fe70864843</t>
        </is>
      </c>
      <c r="B82" s="24" t="inlineStr">
        <is>
          <t>2026-07-28T01:44:59Z</t>
        </is>
      </c>
      <c r="C82" s="24" t="inlineStr">
        <is>
          <t>2026-07-27T21:45:00-0400</t>
        </is>
      </c>
      <c r="D82" s="24" t="inlineStr">
        <is>
          <t>401816291</t>
        </is>
      </c>
      <c r="E82" s="24" t="inlineStr">
        <is>
          <t>MLB</t>
        </is>
      </c>
      <c r="F82" s="24" t="inlineStr">
        <is>
          <t>Milwaukee Brewers</t>
        </is>
      </c>
      <c r="G82" s="24" t="inlineStr">
        <is>
          <t>San Francisco Giants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125</v>
      </c>
      <c r="M82" s="27" t="n">
        <v>2.25</v>
      </c>
      <c r="N82" s="28" t="n">
        <v>0.444444</v>
      </c>
      <c r="O82" s="28" t="n">
        <v>0.517891</v>
      </c>
      <c r="P82" s="28" t="n"/>
      <c r="Q82" s="28" t="n">
        <v>0.073447</v>
      </c>
      <c r="R82" s="26" t="n">
        <v>58</v>
      </c>
      <c r="S82" s="29" t="n">
        <v>0.75</v>
      </c>
      <c r="T82" s="24" t="inlineStr">
        <is>
          <t>mlb-elo-trend-lr-v6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3</v>
      </c>
      <c r="Y82" s="25" t="n"/>
      <c r="Z82" s="26" t="n">
        <v>125</v>
      </c>
      <c r="AA82" s="28" t="n">
        <v>0.445</v>
      </c>
      <c r="AB82" s="28" t="n">
        <v>0.000556</v>
      </c>
      <c r="AC82" s="30" t="n">
        <v>0.9375</v>
      </c>
      <c r="AD82" s="24" t="inlineStr">
        <is>
          <t>2026-07-28T16:02:02.571501Z</t>
        </is>
      </c>
      <c r="AE82" s="31" t="inlineStr">
        <is>
          <t>Learned LR call at threshold 0.5690; executable ask 0.4450 (aec-mlb-mil-sf-2026-07-27).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mlb-mil</t>
        </is>
      </c>
      <c r="AQ82" s="24" t="inlineStr">
        <is>
          <t>Milwaukee Brewers</t>
        </is>
      </c>
      <c r="AR82" s="24" t="inlineStr">
        <is>
          <t>Milwaukee Brewers</t>
        </is>
      </c>
      <c r="AS82" s="24" t="inlineStr">
        <is>
          <t>mlb-sf</t>
        </is>
      </c>
      <c r="AT82" s="24" t="inlineStr">
        <is>
          <t>San Francisco Giants</t>
        </is>
      </c>
      <c r="AU82" s="24" t="inlineStr">
        <is>
          <t>San Francisco Giants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0633355b1144e4205ca6d08e3f328d99cab0970358846bd77228f3bcbfcd70ee</t>
        </is>
      </c>
      <c r="BB82" s="24" t="inlineStr">
        <is>
          <t>learned_lr</t>
        </is>
      </c>
      <c r="BC82" s="24" t="inlineStr">
        <is>
          <t>mlb-elo-trend-lr-v6</t>
        </is>
      </c>
      <c r="BD82" s="24" t="inlineStr">
        <is>
          <t>0633355b1144e4205ca6d08e3f328d99cab0970358846bd77228f3bcbfcd70ee</t>
        </is>
      </c>
      <c r="BE82" s="24" t="inlineStr">
        <is>
          <t>af4d528d6f8875d3</t>
        </is>
      </c>
      <c r="BF82" s="24" t="inlineStr">
        <is>
          <t>1</t>
        </is>
      </c>
      <c r="BG82" s="24" t="inlineStr">
        <is>
          <t>mlb-elo-trend-lr-v6</t>
        </is>
      </c>
      <c r="BH82" s="24" t="inlineStr">
        <is>
          <t>2026-07-27T22:52:44.313382Z</t>
        </is>
      </c>
      <c r="BI82" s="24" t="inlineStr">
        <is>
          <t>["same_event","same_team_same_day","same_league_same_day"]</t>
        </is>
      </c>
      <c r="BJ82" s="25" t="n"/>
      <c r="BK82" s="26" t="n">
        <v>125</v>
      </c>
      <c r="BL82" s="27" t="n">
        <v>2.25</v>
      </c>
      <c r="BM82" s="28" t="n">
        <v>0.444444</v>
      </c>
      <c r="BN82" s="28" t="n">
        <v>0.442786</v>
      </c>
      <c r="BO82" s="28" t="n"/>
      <c r="BP82" s="25" t="n"/>
      <c r="BQ82" s="27" t="n">
        <v>2.25</v>
      </c>
      <c r="BR82" s="28" t="n">
        <v>0.445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0.386809701</t>
        </is>
      </c>
      <c r="CD82" s="24" t="inlineStr">
        <is>
          <t>0.729859</t>
        </is>
      </c>
      <c r="CE82" s="24" t="inlineStr">
        <is>
          <t>0.96</t>
        </is>
      </c>
      <c r="CF82" s="24" t="n"/>
      <c r="CG82" s="24" t="n"/>
      <c r="CH82" s="24" t="inlineStr">
        <is>
          <t>-0.09</t>
        </is>
      </c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a43cca6d2fa644c9</t>
        </is>
      </c>
      <c r="B83" s="24" t="inlineStr">
        <is>
          <t>2026-07-28T17:26:33.566799Z</t>
        </is>
      </c>
      <c r="C83" s="24" t="inlineStr">
        <is>
          <t>2026-07-28T13:40:00-0400</t>
        </is>
      </c>
      <c r="D83" s="24" t="inlineStr">
        <is>
          <t>401901849</t>
        </is>
      </c>
      <c r="E83" s="24" t="inlineStr">
        <is>
          <t>MLB</t>
        </is>
      </c>
      <c r="F83" s="24" t="inlineStr">
        <is>
          <t>Cleveland Guardians</t>
        </is>
      </c>
      <c r="G83" s="24" t="inlineStr">
        <is>
          <t>Cincinnati Reds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espn</t>
        </is>
      </c>
      <c r="L83" s="26" t="n">
        <v>-110</v>
      </c>
      <c r="M83" s="27" t="n">
        <v>1.909091</v>
      </c>
      <c r="N83" s="28" t="n">
        <v>0.52381</v>
      </c>
      <c r="O83" s="28" t="n">
        <v>0.684329</v>
      </c>
      <c r="P83" s="28" t="n"/>
      <c r="Q83" s="28" t="n">
        <v>0.160519</v>
      </c>
      <c r="R83" s="26" t="n">
        <v>100</v>
      </c>
      <c r="S83" s="29" t="n">
        <v>0</v>
      </c>
      <c r="T83" s="24" t="inlineStr">
        <is>
          <t>mlb-elo-trend-lr-v6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5</v>
      </c>
      <c r="Y83" s="25" t="n"/>
      <c r="Z83" s="26" t="n">
        <v>-147</v>
      </c>
      <c r="AA83" s="28" t="n">
        <v>0.595</v>
      </c>
      <c r="AB83" s="28" t="n">
        <v>0.07119</v>
      </c>
      <c r="AC83" s="30" t="n">
        <v>0</v>
      </c>
      <c r="AD83" s="24" t="inlineStr">
        <is>
          <t>2026-07-28T23:36:43.694434Z</t>
        </is>
      </c>
      <c r="AE83" s="31" t="inlineStr">
        <is>
          <t>Learned LR call at threshold 0.5690; no Polymarket quote available — using -110 default odds.</t>
        </is>
      </c>
      <c r="AF83" s="31" t="inlineStr">
        <is>
          <t>Learned model; shadow-qualified via operator override.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mlb-cle</t>
        </is>
      </c>
      <c r="AQ83" s="24" t="inlineStr">
        <is>
          <t>Cleveland Guardians</t>
        </is>
      </c>
      <c r="AR83" s="24" t="inlineStr">
        <is>
          <t>Cleveland Guardians</t>
        </is>
      </c>
      <c r="AS83" s="24" t="inlineStr">
        <is>
          <t>mlb-cin</t>
        </is>
      </c>
      <c r="AT83" s="24" t="inlineStr">
        <is>
          <t>Cincinnati Reds</t>
        </is>
      </c>
      <c r="AU83" s="24" t="inlineStr">
        <is>
          <t>Cincinnati Reds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0633355b1144e4205ca6d08e3f328d99cab0970358846bd77228f3bcbfcd70ee</t>
        </is>
      </c>
      <c r="BB83" s="24" t="inlineStr">
        <is>
          <t>learned_lr</t>
        </is>
      </c>
      <c r="BC83" s="24" t="inlineStr">
        <is>
          <t>mlb-elo-trend-lr-v6</t>
        </is>
      </c>
      <c r="BD83" s="24" t="inlineStr">
        <is>
          <t>0633355b1144e4205ca6d08e3f328d99cab0970358846bd77228f3bcbfcd70ee</t>
        </is>
      </c>
      <c r="BE83" s="24" t="inlineStr">
        <is>
          <t>985793cc1b640b1d</t>
        </is>
      </c>
      <c r="BF83" s="24" t="inlineStr">
        <is>
          <t>1</t>
        </is>
      </c>
      <c r="BG83" s="24" t="inlineStr">
        <is>
          <t>mlb-elo-trend-lr-v6</t>
        </is>
      </c>
      <c r="BH83" s="24" t="inlineStr">
        <is>
          <t>2026-07-28T17:26:33.566799Z</t>
        </is>
      </c>
      <c r="BI83" s="24" t="inlineStr">
        <is>
          <t>["same_event","same_team_same_day","same_league_same_day"]</t>
        </is>
      </c>
      <c r="BJ83" s="25" t="n"/>
      <c r="BK83" s="26" t="n">
        <v>-110</v>
      </c>
      <c r="BL83" s="27" t="n">
        <v>1.909091</v>
      </c>
      <c r="BM83" s="28" t="n">
        <v>0.52381</v>
      </c>
      <c r="BN83" s="28" t="n"/>
      <c r="BO83" s="28" t="n"/>
      <c r="BP83" s="25" t="n"/>
      <c r="BQ83" s="27" t="n">
        <v>1.680272</v>
      </c>
      <c r="BR83" s="28" t="n">
        <v>0.595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0.4926827475</t>
        </is>
      </c>
      <c r="CD83" s="24" t="inlineStr">
        <is>
          <t>-0.86802</t>
        </is>
      </c>
      <c r="CE83" s="24" t="inlineStr">
        <is>
          <t>1.05</t>
        </is>
      </c>
      <c r="CF83" s="24" t="n"/>
      <c r="CG83" s="24" t="n"/>
      <c r="CH83" s="24" t="inlineStr">
        <is>
          <t>-2.18</t>
        </is>
      </c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2781a8f17bf048f7</t>
        </is>
      </c>
      <c r="B84" s="24" t="inlineStr">
        <is>
          <t>2026-07-28T17:26:47.998892Z</t>
        </is>
      </c>
      <c r="C84" s="24" t="inlineStr">
        <is>
          <t>2026-07-28T17:40Z</t>
        </is>
      </c>
      <c r="D84" s="24" t="inlineStr">
        <is>
          <t>401901849</t>
        </is>
      </c>
      <c r="E84" s="24" t="inlineStr">
        <is>
          <t>MLB</t>
        </is>
      </c>
      <c r="F84" s="24" t="inlineStr">
        <is>
          <t>Cleveland Guardians</t>
        </is>
      </c>
      <c r="G84" s="24" t="inlineStr">
        <is>
          <t>Cincinnati Reds</t>
        </is>
      </c>
      <c r="H84" s="24" t="inlineStr">
        <is>
          <t>spread</t>
        </is>
      </c>
      <c r="I84" s="24" t="inlineStr">
        <is>
          <t>home</t>
        </is>
      </c>
      <c r="J84" s="25" t="n">
        <v>-1.5</v>
      </c>
      <c r="K84" s="24" t="inlineStr">
        <is>
          <t>polymarket_us</t>
        </is>
      </c>
      <c r="L84" s="26" t="n">
        <v>127</v>
      </c>
      <c r="M84" s="27" t="n">
        <v>2.27</v>
      </c>
      <c r="N84" s="28" t="n">
        <v>0.440529</v>
      </c>
      <c r="O84" s="28" t="n">
        <v>0.52329</v>
      </c>
      <c r="P84" s="28" t="n">
        <v>0.047697</v>
      </c>
      <c r="Q84" s="28" t="n">
        <v>0.082761</v>
      </c>
      <c r="R84" s="26" t="n">
        <v>63</v>
      </c>
      <c r="S84" s="29" t="n">
        <v>0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loss</t>
        </is>
      </c>
      <c r="W84" s="26" t="n">
        <v>6</v>
      </c>
      <c r="X84" s="26" t="n">
        <v>5</v>
      </c>
      <c r="Y84" s="25" t="n">
        <v>-1.5</v>
      </c>
      <c r="Z84" s="26" t="n">
        <v>127</v>
      </c>
      <c r="AA84" s="28" t="n">
        <v>0.44</v>
      </c>
      <c r="AB84" s="28" t="n">
        <v>-0.000529</v>
      </c>
      <c r="AC84" s="30" t="n">
        <v>0</v>
      </c>
      <c r="AD84" s="24" t="inlineStr">
        <is>
          <t>2026-07-28T23:36:44.097579Z</t>
        </is>
      </c>
      <c r="AE84" s="31" t="inlineStr">
        <is>
          <t>Measured Edge Margin: Trend Engine projected 3.23-5.16; raw selected-side p=0.5274, calibrated p=0.5233.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mlb-cle</t>
        </is>
      </c>
      <c r="AQ84" s="24" t="inlineStr">
        <is>
          <t>Cleveland Guardians</t>
        </is>
      </c>
      <c r="AR84" s="24" t="inlineStr">
        <is>
          <t>Cleveland Guardians</t>
        </is>
      </c>
      <c r="AS84" s="24" t="inlineStr">
        <is>
          <t>mlb-cin</t>
        </is>
      </c>
      <c r="AT84" s="24" t="inlineStr">
        <is>
          <t>Cincinnati Reds</t>
        </is>
      </c>
      <c r="AU84" s="24" t="inlineStr">
        <is>
          <t>Cincinnati Reds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bd86494ed21c6a0389ab0efcf4b8a5bb7b9f8f8786b6d5fb9da69d8cf0a70bdc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bd86494ed21c6a0389ab0efcf4b8a5bb7b9f8f8786b6d5fb9da69d8cf0a70bdc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2026-07-28T17:26:47.998892Z</t>
        </is>
      </c>
      <c r="BI84" s="24" t="inlineStr">
        <is>
          <t>["same_event","same_team_same_day","same_league_same_day"]</t>
        </is>
      </c>
      <c r="BJ84" s="25" t="n">
        <v>-1.5</v>
      </c>
      <c r="BK84" s="26" t="n">
        <v>127</v>
      </c>
      <c r="BL84" s="27" t="n">
        <v>2.27</v>
      </c>
      <c r="BM84" s="28" t="n">
        <v>0.440529</v>
      </c>
      <c r="BN84" s="28" t="n">
        <v>0.437811</v>
      </c>
      <c r="BO84" s="28" t="n"/>
      <c r="BP84" s="25" t="n"/>
      <c r="BQ84" s="27" t="n">
        <v>2.27</v>
      </c>
      <c r="BR84" s="28" t="n">
        <v>0.44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147dd9f13a2e49e0</t>
        </is>
      </c>
      <c r="B85" s="24" t="inlineStr">
        <is>
          <t>2026-07-28T17:26:47.998892Z</t>
        </is>
      </c>
      <c r="C85" s="24" t="inlineStr">
        <is>
          <t>2026-07-28T17:40Z</t>
        </is>
      </c>
      <c r="D85" s="24" t="inlineStr">
        <is>
          <t>401901849</t>
        </is>
      </c>
      <c r="E85" s="24" t="inlineStr">
        <is>
          <t>MLB</t>
        </is>
      </c>
      <c r="F85" s="24" t="inlineStr">
        <is>
          <t>Cleveland Guardians</t>
        </is>
      </c>
      <c r="G85" s="24" t="inlineStr">
        <is>
          <t>Cincinnati Reds</t>
        </is>
      </c>
      <c r="H85" s="24" t="inlineStr">
        <is>
          <t>total</t>
        </is>
      </c>
      <c r="I85" s="24" t="inlineStr">
        <is>
          <t>under</t>
        </is>
      </c>
      <c r="J85" s="25" t="n">
        <v>8.5</v>
      </c>
      <c r="K85" s="24" t="inlineStr">
        <is>
          <t>polymarket_us</t>
        </is>
      </c>
      <c r="L85" s="26" t="n">
        <v>125</v>
      </c>
      <c r="M85" s="27" t="n">
        <v>2.25</v>
      </c>
      <c r="N85" s="28" t="n">
        <v>0.444444</v>
      </c>
      <c r="O85" s="28" t="n">
        <v>0.53451</v>
      </c>
      <c r="P85" s="28" t="n">
        <v>0.047697</v>
      </c>
      <c r="Q85" s="28" t="n">
        <v>0.09006599999999999</v>
      </c>
      <c r="R85" s="26" t="n">
        <v>66</v>
      </c>
      <c r="S85" s="29" t="n">
        <v>0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6</v>
      </c>
      <c r="X85" s="26" t="n">
        <v>5</v>
      </c>
      <c r="Y85" s="25" t="n">
        <v>8.5</v>
      </c>
      <c r="Z85" s="26" t="n">
        <v>125</v>
      </c>
      <c r="AA85" s="28" t="n">
        <v>0.445</v>
      </c>
      <c r="AB85" s="28" t="n">
        <v>0.000556</v>
      </c>
      <c r="AC85" s="30" t="n">
        <v>0</v>
      </c>
      <c r="AD85" s="24" t="inlineStr">
        <is>
          <t>2026-07-28T23:36:44.465727Z</t>
        </is>
      </c>
      <c r="AE85" s="31" t="inlineStr">
        <is>
          <t>Measured Edge Totals: Trend Engine projected 3.23-5.16; raw selected-side p=0.5406, calibrated p=0.5345.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mlb-cle</t>
        </is>
      </c>
      <c r="AQ85" s="24" t="inlineStr">
        <is>
          <t>Cleveland Guardians</t>
        </is>
      </c>
      <c r="AR85" s="24" t="inlineStr">
        <is>
          <t>Cleveland Guardians</t>
        </is>
      </c>
      <c r="AS85" s="24" t="inlineStr">
        <is>
          <t>mlb-cin</t>
        </is>
      </c>
      <c r="AT85" s="24" t="inlineStr">
        <is>
          <t>Cincinnati Reds</t>
        </is>
      </c>
      <c r="AU85" s="24" t="inlineStr">
        <is>
          <t>Cincinnati Reds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0aa06c0f065ec20d43901d386280174165e2b07065216b6c7ffe72c98e322706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0aa06c0f065ec20d43901d386280174165e2b07065216b6c7ffe72c98e322706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2026-07-28T17:26:47.998892Z</t>
        </is>
      </c>
      <c r="BI85" s="24" t="inlineStr">
        <is>
          <t>["same_event","same_team_same_day","same_league_same_day"]</t>
        </is>
      </c>
      <c r="BJ85" s="25" t="n">
        <v>8.5</v>
      </c>
      <c r="BK85" s="26" t="n">
        <v>125</v>
      </c>
      <c r="BL85" s="27" t="n">
        <v>2.25</v>
      </c>
      <c r="BM85" s="28" t="n">
        <v>0.444444</v>
      </c>
      <c r="BN85" s="28" t="n">
        <v>0.442786</v>
      </c>
      <c r="BO85" s="28" t="n"/>
      <c r="BP85" s="25" t="n"/>
      <c r="BQ85" s="27" t="n">
        <v>2.25</v>
      </c>
      <c r="BR85" s="28" t="n">
        <v>0.445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b15b689a44994858</t>
        </is>
      </c>
      <c r="B86" s="24" t="inlineStr">
        <is>
          <t>2026-07-28T20:32:52.305699Z</t>
        </is>
      </c>
      <c r="C86" s="24" t="inlineStr">
        <is>
          <t>2026-07-28T18:40:00-0400</t>
        </is>
      </c>
      <c r="D86" s="24" t="inlineStr">
        <is>
          <t>401816292</t>
        </is>
      </c>
      <c r="E86" s="24" t="inlineStr">
        <is>
          <t>MLB</t>
        </is>
      </c>
      <c r="F86" s="24" t="inlineStr">
        <is>
          <t>Arizona Diamondbacks</t>
        </is>
      </c>
      <c r="G86" s="24" t="inlineStr">
        <is>
          <t>Pittsburgh Pirates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0.55689</v>
      </c>
      <c r="P86" s="28" t="n"/>
      <c r="Q86" s="28" t="n">
        <v>0.042327</v>
      </c>
      <c r="R86" s="26" t="n">
        <v>42</v>
      </c>
      <c r="S86" s="29" t="n">
        <v>1</v>
      </c>
      <c r="T86" s="24" t="inlineStr">
        <is>
          <t>mlb-elo-trend-lr-v6</t>
        </is>
      </c>
      <c r="U86" s="24" t="inlineStr">
        <is>
          <t>settled</t>
        </is>
      </c>
      <c r="V86" s="24" t="inlineStr">
        <is>
          <t>loss</t>
        </is>
      </c>
      <c r="W86" s="26" t="n">
        <v>8</v>
      </c>
      <c r="X86" s="26" t="n">
        <v>7</v>
      </c>
      <c r="Y86" s="25" t="n"/>
      <c r="Z86" s="26" t="n">
        <v>-106</v>
      </c>
      <c r="AA86" s="28" t="n">
        <v>0.515</v>
      </c>
      <c r="AB86" s="28" t="n">
        <v>0.000437</v>
      </c>
      <c r="AC86" s="30" t="n">
        <v>-1</v>
      </c>
      <c r="AD86" s="24" t="inlineStr">
        <is>
          <t>2026-07-29T05:44:52.815354Z</t>
        </is>
      </c>
      <c r="AE86" s="31" t="inlineStr">
        <is>
          <t>Learned LR call at threshold 0.5690; executable ask 0.5150 (aec-mlb-az-pit-2026-07-28).</t>
        </is>
      </c>
      <c r="AF86" s="31" t="inlineStr">
        <is>
          <t>Learned model; shadow-qualified via operator override.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mlb-ari</t>
        </is>
      </c>
      <c r="AQ86" s="24" t="inlineStr">
        <is>
          <t>Arizona Diamondbacks</t>
        </is>
      </c>
      <c r="AR86" s="24" t="inlineStr">
        <is>
          <t>Arizona Diamondbacks</t>
        </is>
      </c>
      <c r="AS86" s="24" t="inlineStr">
        <is>
          <t>mlb-pit</t>
        </is>
      </c>
      <c r="AT86" s="24" t="inlineStr">
        <is>
          <t>Pittsburgh Pirates</t>
        </is>
      </c>
      <c r="AU86" s="24" t="inlineStr">
        <is>
          <t>Pittsburgh Pirates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0633355b1144e4205ca6d08e3f328d99cab0970358846bd77228f3bcbfcd70ee</t>
        </is>
      </c>
      <c r="BB86" s="24" t="inlineStr">
        <is>
          <t>learned_lr</t>
        </is>
      </c>
      <c r="BC86" s="24" t="inlineStr">
        <is>
          <t>mlb-elo-trend-lr-v6</t>
        </is>
      </c>
      <c r="BD86" s="24" t="inlineStr">
        <is>
          <t>0633355b1144e4205ca6d08e3f328d99cab0970358846bd77228f3bcbfcd70ee</t>
        </is>
      </c>
      <c r="BE86" s="24" t="inlineStr">
        <is>
          <t>5ac7b1c7cdd622ff</t>
        </is>
      </c>
      <c r="BF86" s="24" t="inlineStr">
        <is>
          <t>1</t>
        </is>
      </c>
      <c r="BG86" s="24" t="inlineStr">
        <is>
          <t>mlb-elo-trend-lr-v6</t>
        </is>
      </c>
      <c r="BH86" s="24" t="inlineStr">
        <is>
          <t>2026-07-28T20:32:07.566950Z</t>
        </is>
      </c>
      <c r="BI86" s="24" t="inlineStr">
        <is>
          <t>["same_event","same_team_same_day","same_league_same_day"]</t>
        </is>
      </c>
      <c r="BJ86" s="25" t="n"/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0.5377279767</t>
        </is>
      </c>
      <c r="CD86" s="24" t="inlineStr">
        <is>
          <t>-2.019377</t>
        </is>
      </c>
      <c r="CE86" s="24" t="inlineStr">
        <is>
          <t>1.0</t>
        </is>
      </c>
      <c r="CF86" s="24" t="n"/>
      <c r="CG86" s="24" t="n"/>
      <c r="CH86" s="24" t="inlineStr">
        <is>
          <t>0.04</t>
        </is>
      </c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fa2528b34ff54c85</t>
        </is>
      </c>
      <c r="B87" s="24" t="inlineStr">
        <is>
          <t>2026-07-28T20:32:52.305699Z</t>
        </is>
      </c>
      <c r="C87" s="24" t="inlineStr">
        <is>
          <t>2026-07-28T19:30:00-0400</t>
        </is>
      </c>
      <c r="D87" s="24" t="inlineStr">
        <is>
          <t>401857092</t>
        </is>
      </c>
      <c r="E87" s="24" t="inlineStr">
        <is>
          <t>WNBA</t>
        </is>
      </c>
      <c r="F87" s="24" t="inlineStr">
        <is>
          <t>Connecticut Sun</t>
        </is>
      </c>
      <c r="G87" s="24" t="inlineStr">
        <is>
          <t>Washington Mystics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0.651351</v>
      </c>
      <c r="P87" s="28" t="n"/>
      <c r="Q87" s="28" t="n">
        <v>-0.048349</v>
      </c>
      <c r="R87" s="26" t="n">
        <v>0</v>
      </c>
      <c r="S87" s="29" t="n">
        <v>2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win</t>
        </is>
      </c>
      <c r="W87" s="26" t="n">
        <v>84</v>
      </c>
      <c r="X87" s="26" t="n">
        <v>92</v>
      </c>
      <c r="Y87" s="25" t="n"/>
      <c r="Z87" s="26" t="n"/>
      <c r="AA87" s="28" t="n"/>
      <c r="AB87" s="28" t="n"/>
      <c r="AC87" s="30" t="n">
        <v>0.8584000000000001</v>
      </c>
      <c r="AD87" s="24" t="inlineStr">
        <is>
          <t>2026-07-29T02:41:27.874111Z</t>
        </is>
      </c>
      <c r="AE87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wnba-con</t>
        </is>
      </c>
      <c r="AQ87" s="24" t="inlineStr">
        <is>
          <t>Connecticut Sun</t>
        </is>
      </c>
      <c r="AR87" s="24" t="inlineStr">
        <is>
          <t>Connecticut Sun</t>
        </is>
      </c>
      <c r="AS87" s="24" t="inlineStr">
        <is>
          <t>wnba-was</t>
        </is>
      </c>
      <c r="AT87" s="24" t="inlineStr">
        <is>
          <t>Washington Mystics</t>
        </is>
      </c>
      <c r="AU87" s="24" t="inlineStr">
        <is>
          <t>Washington Mystics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9ff7e91f06711349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2026-07-28T20:32:19.399772Z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>
        <v>0.693069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0.6918482186</t>
        </is>
      </c>
      <c r="CD87" s="24" t="inlineStr">
        <is>
          <t>-5.150338</t>
        </is>
      </c>
      <c r="CE87" s="24" t="n"/>
      <c r="CF87" s="24" t="n"/>
      <c r="CG87" s="24" t="n"/>
      <c r="CH87" s="24" t="n"/>
      <c r="CI87" s="24" t="inlineStr">
        <is>
          <t>wnba_availability_source_conflict</t>
        </is>
      </c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cb2375d6a7df4c82</t>
        </is>
      </c>
      <c r="B88" s="24" t="inlineStr">
        <is>
          <t>2026-07-28T20:32:52.305699Z</t>
        </is>
      </c>
      <c r="C88" s="24" t="inlineStr">
        <is>
          <t>2026-07-28T18:40:00-0400</t>
        </is>
      </c>
      <c r="D88" s="24" t="inlineStr">
        <is>
          <t>401816294</t>
        </is>
      </c>
      <c r="E88" s="24" t="inlineStr">
        <is>
          <t>MLB</t>
        </is>
      </c>
      <c r="F88" s="24" t="inlineStr">
        <is>
          <t>Baltimore Orioles</t>
        </is>
      </c>
      <c r="G88" s="24" t="inlineStr">
        <is>
          <t>Detroit Tigers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-135</v>
      </c>
      <c r="M88" s="27" t="n">
        <v>1.740741</v>
      </c>
      <c r="N88" s="28" t="n">
        <v>0.574468</v>
      </c>
      <c r="O88" s="28" t="n">
        <v>0.742108</v>
      </c>
      <c r="P88" s="28" t="n"/>
      <c r="Q88" s="28" t="n">
        <v>0.16764</v>
      </c>
      <c r="R88" s="26" t="n">
        <v>100</v>
      </c>
      <c r="S88" s="29" t="n">
        <v>2</v>
      </c>
      <c r="T88" s="24" t="inlineStr">
        <is>
          <t>mlb-elo-trend-lr-v6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14</v>
      </c>
      <c r="Y88" s="25" t="n"/>
      <c r="Z88" s="26" t="n">
        <v>-135</v>
      </c>
      <c r="AA88" s="28" t="n">
        <v>0.575</v>
      </c>
      <c r="AB88" s="28" t="n">
        <v>0.000532</v>
      </c>
      <c r="AC88" s="30" t="n">
        <v>1.4815</v>
      </c>
      <c r="AD88" s="24" t="inlineStr">
        <is>
          <t>2026-07-29T02:41:28.274633Z</t>
        </is>
      </c>
      <c r="AE88" s="31" t="inlineStr">
        <is>
          <t>Learned LR call at threshold 0.5690; executable ask 0.5750 (aec-mlb-bal-det-2026-07-28).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mlb-bal</t>
        </is>
      </c>
      <c r="AQ88" s="24" t="inlineStr">
        <is>
          <t>Baltimore Orioles</t>
        </is>
      </c>
      <c r="AR88" s="24" t="inlineStr">
        <is>
          <t>Baltimore Orioles</t>
        </is>
      </c>
      <c r="AS88" s="24" t="inlineStr">
        <is>
          <t>mlb-det</t>
        </is>
      </c>
      <c r="AT88" s="24" t="inlineStr">
        <is>
          <t>Detroit Tigers</t>
        </is>
      </c>
      <c r="AU88" s="24" t="inlineStr">
        <is>
          <t>Detroit Tigers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0633355b1144e4205ca6d08e3f328d99cab0970358846bd77228f3bcbfcd70ee</t>
        </is>
      </c>
      <c r="BB88" s="24" t="inlineStr">
        <is>
          <t>learned_lr</t>
        </is>
      </c>
      <c r="BC88" s="24" t="inlineStr">
        <is>
          <t>mlb-elo-trend-lr-v6</t>
        </is>
      </c>
      <c r="BD88" s="24" t="inlineStr">
        <is>
          <t>0633355b1144e4205ca6d08e3f328d99cab0970358846bd77228f3bcbfcd70ee</t>
        </is>
      </c>
      <c r="BE88" s="24" t="inlineStr">
        <is>
          <t>1ef6dbb2275c6f7d</t>
        </is>
      </c>
      <c r="BF88" s="24" t="inlineStr">
        <is>
          <t>1</t>
        </is>
      </c>
      <c r="BG88" s="24" t="inlineStr">
        <is>
          <t>mlb-elo-trend-lr-v6</t>
        </is>
      </c>
      <c r="BH88" s="24" t="inlineStr">
        <is>
          <t>2026-07-28T20:32:05.666915Z</t>
        </is>
      </c>
      <c r="BI88" s="24" t="inlineStr">
        <is>
          <t>["same_event","same_team_same_day","same_league_same_day"]</t>
        </is>
      </c>
      <c r="BJ88" s="25" t="n"/>
      <c r="BK88" s="26" t="n">
        <v>-135</v>
      </c>
      <c r="BL88" s="27" t="n">
        <v>1.740741</v>
      </c>
      <c r="BM88" s="28" t="n">
        <v>0.574468</v>
      </c>
      <c r="BN88" s="28" t="n">
        <v>0.572139</v>
      </c>
      <c r="BO88" s="28" t="n"/>
      <c r="BP88" s="25" t="n"/>
      <c r="BQ88" s="27" t="n">
        <v>1.740741</v>
      </c>
      <c r="BR88" s="28" t="n">
        <v>0.575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0.5578182793</t>
        </is>
      </c>
      <c r="CD88" s="24" t="inlineStr">
        <is>
          <t>-0.528912</t>
        </is>
      </c>
      <c r="CE88" s="24" t="inlineStr">
        <is>
          <t>0.98</t>
        </is>
      </c>
      <c r="CF88" s="24" t="n"/>
      <c r="CG88" s="24" t="n"/>
      <c r="CH88" s="24" t="inlineStr">
        <is>
          <t>-3.11</t>
        </is>
      </c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20cc299c84a14093</t>
        </is>
      </c>
      <c r="B89" s="24" t="inlineStr">
        <is>
          <t>2026-07-28T20:32:52.305699Z</t>
        </is>
      </c>
      <c r="C89" s="24" t="inlineStr">
        <is>
          <t>2026-07-28T18:40:00-0400</t>
        </is>
      </c>
      <c r="D89" s="24" t="inlineStr">
        <is>
          <t>401816296</t>
        </is>
      </c>
      <c r="E89" s="24" t="inlineStr">
        <is>
          <t>MLB</t>
        </is>
      </c>
      <c r="F89" s="24" t="inlineStr">
        <is>
          <t>Philadelphia Phillies</t>
        </is>
      </c>
      <c r="G89" s="24" t="inlineStr">
        <is>
          <t>Miami Marlins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-125</v>
      </c>
      <c r="M89" s="27" t="n">
        <v>1.8</v>
      </c>
      <c r="N89" s="28" t="n">
        <v>0.555556</v>
      </c>
      <c r="O89" s="28" t="n">
        <v>0.660233</v>
      </c>
      <c r="P89" s="28" t="n"/>
      <c r="Q89" s="28" t="n">
        <v>0.104677</v>
      </c>
      <c r="R89" s="26" t="n">
        <v>74</v>
      </c>
      <c r="S89" s="29" t="n">
        <v>2</v>
      </c>
      <c r="T89" s="24" t="inlineStr">
        <is>
          <t>mlb-elo-trend-lr-v6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-125</v>
      </c>
      <c r="AA89" s="28" t="n">
        <v>0.555</v>
      </c>
      <c r="AB89" s="28" t="n">
        <v>-0.000556</v>
      </c>
      <c r="AC89" s="30" t="n">
        <v>1.6</v>
      </c>
      <c r="AD89" s="24" t="inlineStr">
        <is>
          <t>2026-07-29T02:41:28.677576Z</t>
        </is>
      </c>
      <c r="AE89" s="31" t="inlineStr">
        <is>
          <t>Learned LR call at threshold 0.5690; executable ask 0.5550 (aec-mlb-phi-mia-2026-07-28).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mlb-phi</t>
        </is>
      </c>
      <c r="AQ89" s="24" t="inlineStr">
        <is>
          <t>Philadelphia Phillies</t>
        </is>
      </c>
      <c r="AR89" s="24" t="inlineStr">
        <is>
          <t>Philadelphia Phillies</t>
        </is>
      </c>
      <c r="AS89" s="24" t="inlineStr">
        <is>
          <t>mlb-mia</t>
        </is>
      </c>
      <c r="AT89" s="24" t="inlineStr">
        <is>
          <t>Miami Marlins</t>
        </is>
      </c>
      <c r="AU89" s="24" t="inlineStr">
        <is>
          <t>Miami Marlins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0633355b1144e4205ca6d08e3f328d99cab0970358846bd77228f3bcbfcd70ee</t>
        </is>
      </c>
      <c r="BB89" s="24" t="inlineStr">
        <is>
          <t>learned_lr</t>
        </is>
      </c>
      <c r="BC89" s="24" t="inlineStr">
        <is>
          <t>mlb-elo-trend-lr-v6</t>
        </is>
      </c>
      <c r="BD89" s="24" t="inlineStr">
        <is>
          <t>0633355b1144e4205ca6d08e3f328d99cab0970358846bd77228f3bcbfcd70ee</t>
        </is>
      </c>
      <c r="BE89" s="24" t="inlineStr">
        <is>
          <t>0ecf6d5d6b8524ff</t>
        </is>
      </c>
      <c r="BF89" s="24" t="inlineStr">
        <is>
          <t>1</t>
        </is>
      </c>
      <c r="BG89" s="24" t="inlineStr">
        <is>
          <t>mlb-elo-trend-lr-v6</t>
        </is>
      </c>
      <c r="BH89" s="24" t="inlineStr">
        <is>
          <t>2026-07-28T20:32:06.628497Z</t>
        </is>
      </c>
      <c r="BI89" s="24" t="inlineStr">
        <is>
          <t>["same_event","same_team_same_day","same_league_same_day"]</t>
        </is>
      </c>
      <c r="BJ89" s="25" t="n"/>
      <c r="BK89" s="26" t="n">
        <v>-125</v>
      </c>
      <c r="BL89" s="27" t="n">
        <v>1.8</v>
      </c>
      <c r="BM89" s="28" t="n">
        <v>0.555556</v>
      </c>
      <c r="BN89" s="28" t="n">
        <v>0.552239</v>
      </c>
      <c r="BO89" s="28" t="n"/>
      <c r="BP89" s="25" t="n"/>
      <c r="BQ89" s="27" t="n">
        <v>1.8</v>
      </c>
      <c r="BR89" s="28" t="n">
        <v>0.555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0.477817603</t>
        </is>
      </c>
      <c r="CD89" s="24" t="inlineStr">
        <is>
          <t>-0.644046</t>
        </is>
      </c>
      <c r="CE89" s="24" t="inlineStr">
        <is>
          <t>0.99</t>
        </is>
      </c>
      <c r="CF89" s="24" t="n"/>
      <c r="CG89" s="24" t="n"/>
      <c r="CH89" s="24" t="inlineStr">
        <is>
          <t>-1.81</t>
        </is>
      </c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4e8cd2b9b0394af3</t>
        </is>
      </c>
      <c r="B90" s="24" t="inlineStr">
        <is>
          <t>2026-07-28T20:32:52.305699Z</t>
        </is>
      </c>
      <c r="C90" s="24" t="inlineStr">
        <is>
          <t>2026-07-28T18:40:00-0400</t>
        </is>
      </c>
      <c r="D90" s="24" t="inlineStr">
        <is>
          <t>401816297</t>
        </is>
      </c>
      <c r="E90" s="24" t="inlineStr">
        <is>
          <t>MLB</t>
        </is>
      </c>
      <c r="F90" s="24" t="inlineStr">
        <is>
          <t>Texas Rangers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-163</v>
      </c>
      <c r="M90" s="27" t="n">
        <v>1.613497</v>
      </c>
      <c r="N90" s="28" t="n">
        <v>0.619772</v>
      </c>
      <c r="O90" s="28" t="n">
        <v>0.5296999999999999</v>
      </c>
      <c r="P90" s="28" t="n"/>
      <c r="Q90" s="28" t="n">
        <v>-0.090072</v>
      </c>
      <c r="R90" s="26" t="n">
        <v>0</v>
      </c>
      <c r="S90" s="29" t="n">
        <v>0.75</v>
      </c>
      <c r="T90" s="24" t="inlineStr">
        <is>
          <t>mlb-elo-trend-lr-v6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1</v>
      </c>
      <c r="Y90" s="25" t="n"/>
      <c r="Z90" s="26" t="n">
        <v>-163</v>
      </c>
      <c r="AA90" s="28" t="n">
        <v>0.62</v>
      </c>
      <c r="AB90" s="28" t="n">
        <v>0.000228</v>
      </c>
      <c r="AC90" s="30" t="n">
        <v>-0.75</v>
      </c>
      <c r="AD90" s="24" t="inlineStr">
        <is>
          <t>2026-07-29T02:41:29.082651Z</t>
        </is>
      </c>
      <c r="AE90" s="31" t="inlineStr">
        <is>
          <t>Learned LR call at threshold 0.5690; executable ask 0.6200 (aec-mlb-tex-tb-2026-07-28).</t>
        </is>
      </c>
      <c r="AF90" s="31" t="inlineStr">
        <is>
          <t>Learned model; shadow-qualified via operator override.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mlb-tex</t>
        </is>
      </c>
      <c r="AQ90" s="24" t="inlineStr">
        <is>
          <t>Texas Rangers</t>
        </is>
      </c>
      <c r="AR90" s="24" t="inlineStr">
        <is>
          <t>Texas Rangers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0633355b1144e4205ca6d08e3f328d99cab0970358846bd77228f3bcbfcd70ee</t>
        </is>
      </c>
      <c r="BB90" s="24" t="inlineStr">
        <is>
          <t>learned_lr</t>
        </is>
      </c>
      <c r="BC90" s="24" t="inlineStr">
        <is>
          <t>mlb-elo-trend-lr-v6</t>
        </is>
      </c>
      <c r="BD90" s="24" t="inlineStr">
        <is>
          <t>0633355b1144e4205ca6d08e3f328d99cab0970358846bd77228f3bcbfcd70ee</t>
        </is>
      </c>
      <c r="BE90" s="24" t="inlineStr">
        <is>
          <t>0ce009c39529d1e9</t>
        </is>
      </c>
      <c r="BF90" s="24" t="inlineStr">
        <is>
          <t>1</t>
        </is>
      </c>
      <c r="BG90" s="24" t="inlineStr">
        <is>
          <t>mlb-elo-trend-lr-v6</t>
        </is>
      </c>
      <c r="BH90" s="24" t="inlineStr">
        <is>
          <t>2026-07-28T20:32:08.585214Z</t>
        </is>
      </c>
      <c r="BI90" s="24" t="inlineStr">
        <is>
          <t>["same_event","same_team_same_day","same_league_same_day"]</t>
        </is>
      </c>
      <c r="BJ90" s="25" t="n"/>
      <c r="BK90" s="26" t="n">
        <v>-163</v>
      </c>
      <c r="BL90" s="27" t="n">
        <v>1.613497</v>
      </c>
      <c r="BM90" s="28" t="n">
        <v>0.619772</v>
      </c>
      <c r="BN90" s="28" t="n">
        <v>0.616915</v>
      </c>
      <c r="BO90" s="28" t="n"/>
      <c r="BP90" s="25" t="n"/>
      <c r="BQ90" s="27" t="n">
        <v>1.613497</v>
      </c>
      <c r="BR90" s="28" t="n">
        <v>0.62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0.5812862212</t>
        </is>
      </c>
      <c r="CD90" s="24" t="inlineStr">
        <is>
          <t>1.271016</t>
        </is>
      </c>
      <c r="CE90" s="24" t="inlineStr">
        <is>
          <t>0.96</t>
        </is>
      </c>
      <c r="CF90" s="24" t="n"/>
      <c r="CG90" s="24" t="n"/>
      <c r="CH90" s="24" t="inlineStr">
        <is>
          <t>-0.16</t>
        </is>
      </c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ec059d729ac14646</t>
        </is>
      </c>
      <c r="B91" s="24" t="inlineStr">
        <is>
          <t>2026-07-28T20:32:52.305699Z</t>
        </is>
      </c>
      <c r="C91" s="24" t="inlineStr">
        <is>
          <t>2026-07-28T18:45:00-0400</t>
        </is>
      </c>
      <c r="D91" s="24" t="inlineStr">
        <is>
          <t>401816298</t>
        </is>
      </c>
      <c r="E91" s="24" t="inlineStr">
        <is>
          <t>MLB</t>
        </is>
      </c>
      <c r="F91" s="24" t="inlineStr">
        <is>
          <t>Toronto Blue Jays</t>
        </is>
      </c>
      <c r="G91" s="24" t="inlineStr">
        <is>
          <t>Washington Nationals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-130</v>
      </c>
      <c r="M91" s="27" t="n">
        <v>1.769231</v>
      </c>
      <c r="N91" s="28" t="n">
        <v>0.565217</v>
      </c>
      <c r="O91" s="28" t="n">
        <v>0.5994350000000001</v>
      </c>
      <c r="P91" s="28" t="n"/>
      <c r="Q91" s="28" t="n">
        <v>0.034218</v>
      </c>
      <c r="R91" s="26" t="n">
        <v>39</v>
      </c>
      <c r="S91" s="29" t="n">
        <v>1.5</v>
      </c>
      <c r="T91" s="24" t="inlineStr">
        <is>
          <t>mlb-elo-trend-lr-v6</t>
        </is>
      </c>
      <c r="U91" s="24" t="inlineStr">
        <is>
          <t>settled</t>
        </is>
      </c>
      <c r="V91" s="24" t="inlineStr">
        <is>
          <t>win</t>
        </is>
      </c>
      <c r="W91" s="26" t="n">
        <v>6</v>
      </c>
      <c r="X91" s="26" t="n">
        <v>8</v>
      </c>
      <c r="Y91" s="25" t="n"/>
      <c r="Z91" s="26" t="n">
        <v>-130</v>
      </c>
      <c r="AA91" s="28" t="n">
        <v>0.5649999999999999</v>
      </c>
      <c r="AB91" s="28" t="n">
        <v>-0.000217</v>
      </c>
      <c r="AC91" s="30" t="n">
        <v>1.1538</v>
      </c>
      <c r="AD91" s="24" t="inlineStr">
        <is>
          <t>2026-07-29T05:44:53.167482Z</t>
        </is>
      </c>
      <c r="AE91" s="31" t="inlineStr">
        <is>
          <t>Learned LR call at threshold 0.5690; executable ask 0.5650 (aec-mlb-tor-wsh-2026-07-28).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mlb-tor</t>
        </is>
      </c>
      <c r="AQ91" s="24" t="inlineStr">
        <is>
          <t>Toronto Blue Jays</t>
        </is>
      </c>
      <c r="AR91" s="24" t="inlineStr">
        <is>
          <t>Toronto Blue Jays</t>
        </is>
      </c>
      <c r="AS91" s="24" t="inlineStr">
        <is>
          <t>mlb-wsh</t>
        </is>
      </c>
      <c r="AT91" s="24" t="inlineStr">
        <is>
          <t>Washington Nationals</t>
        </is>
      </c>
      <c r="AU91" s="24" t="inlineStr">
        <is>
          <t>Washington Nationals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0633355b1144e4205ca6d08e3f328d99cab0970358846bd77228f3bcbfcd70ee</t>
        </is>
      </c>
      <c r="BB91" s="24" t="inlineStr">
        <is>
          <t>learned_lr</t>
        </is>
      </c>
      <c r="BC91" s="24" t="inlineStr">
        <is>
          <t>mlb-elo-trend-lr-v6</t>
        </is>
      </c>
      <c r="BD91" s="24" t="inlineStr">
        <is>
          <t>0633355b1144e4205ca6d08e3f328d99cab0970358846bd77228f3bcbfcd70ee</t>
        </is>
      </c>
      <c r="BE91" s="24" t="inlineStr">
        <is>
          <t>8c225d14e2cc727d</t>
        </is>
      </c>
      <c r="BF91" s="24" t="inlineStr">
        <is>
          <t>1</t>
        </is>
      </c>
      <c r="BG91" s="24" t="inlineStr">
        <is>
          <t>mlb-elo-trend-lr-v6</t>
        </is>
      </c>
      <c r="BH91" s="24" t="inlineStr">
        <is>
          <t>2026-07-28T20:32:09.534652Z</t>
        </is>
      </c>
      <c r="BI91" s="24" t="inlineStr">
        <is>
          <t>["same_event","same_team_same_day","same_league_same_day"]</t>
        </is>
      </c>
      <c r="BJ91" s="25" t="n"/>
      <c r="BK91" s="26" t="n">
        <v>-130</v>
      </c>
      <c r="BL91" s="27" t="n">
        <v>1.769231</v>
      </c>
      <c r="BM91" s="28" t="n">
        <v>0.565217</v>
      </c>
      <c r="BN91" s="28" t="n">
        <v>0.562189</v>
      </c>
      <c r="BO91" s="28" t="n"/>
      <c r="BP91" s="25" t="n"/>
      <c r="BQ91" s="27" t="n">
        <v>1.769231</v>
      </c>
      <c r="BR91" s="28" t="n">
        <v>0.5649999999999999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0.5019196627</t>
        </is>
      </c>
      <c r="CD91" s="24" t="inlineStr">
        <is>
          <t>0.540593</t>
        </is>
      </c>
      <c r="CE91" s="24" t="inlineStr">
        <is>
          <t>1.0</t>
        </is>
      </c>
      <c r="CF91" s="24" t="n"/>
      <c r="CG91" s="24" t="n"/>
      <c r="CH91" s="24" t="inlineStr">
        <is>
          <t>-1.12</t>
        </is>
      </c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36f4768783d14f40</t>
        </is>
      </c>
      <c r="B92" s="24" t="inlineStr">
        <is>
          <t>2026-07-28T20:32:52.305699Z</t>
        </is>
      </c>
      <c r="C92" s="24" t="inlineStr">
        <is>
          <t>2026-07-28T19:10:00-0400</t>
        </is>
      </c>
      <c r="D92" s="24" t="inlineStr">
        <is>
          <t>401816293</t>
        </is>
      </c>
      <c r="E92" s="24" t="inlineStr">
        <is>
          <t>MLB</t>
        </is>
      </c>
      <c r="F92" s="24" t="inlineStr">
        <is>
          <t>Atlanta Braves</t>
        </is>
      </c>
      <c r="G92" s="24" t="inlineStr">
        <is>
          <t>New York Mets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0.511144</v>
      </c>
      <c r="P92" s="28" t="n"/>
      <c r="Q92" s="28" t="n">
        <v>-0.083998</v>
      </c>
      <c r="R92" s="26" t="n">
        <v>0</v>
      </c>
      <c r="S92" s="29" t="n">
        <v>0.5</v>
      </c>
      <c r="T92" s="24" t="inlineStr">
        <is>
          <t>mlb-elo-trend-lr-v6</t>
        </is>
      </c>
      <c r="U92" s="24" t="inlineStr">
        <is>
          <t>settled</t>
        </is>
      </c>
      <c r="V92" s="24" t="inlineStr">
        <is>
          <t>push</t>
        </is>
      </c>
      <c r="W92" s="26" t="n"/>
      <c r="X92" s="26" t="n"/>
      <c r="Y92" s="25" t="n"/>
      <c r="Z92" s="26" t="n"/>
      <c r="AA92" s="28" t="n"/>
      <c r="AB92" s="28" t="n"/>
      <c r="AC92" s="30" t="n">
        <v>0</v>
      </c>
      <c r="AD92" s="24" t="inlineStr">
        <is>
          <t>2026-07-29T17:38:56.704861Z</t>
        </is>
      </c>
      <c r="AE92" s="31" t="inlineStr">
        <is>
          <t>Learned LR call at threshold 0.5690; executable ask 0.5950 (aec-mlb-atl-nym-2026-07-28).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mlb-atl</t>
        </is>
      </c>
      <c r="AQ92" s="24" t="inlineStr">
        <is>
          <t>Atlanta Braves</t>
        </is>
      </c>
      <c r="AR92" s="24" t="inlineStr">
        <is>
          <t>Atlanta Braves</t>
        </is>
      </c>
      <c r="AS92" s="24" t="inlineStr">
        <is>
          <t>mlb-nym</t>
        </is>
      </c>
      <c r="AT92" s="24" t="inlineStr">
        <is>
          <t>New York Mets</t>
        </is>
      </c>
      <c r="AU92" s="24" t="inlineStr">
        <is>
          <t>New York Mets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0633355b1144e4205ca6d08e3f328d99cab0970358846bd77228f3bcbfcd70ee</t>
        </is>
      </c>
      <c r="BB92" s="24" t="inlineStr">
        <is>
          <t>learned_lr</t>
        </is>
      </c>
      <c r="BC92" s="24" t="inlineStr">
        <is>
          <t>mlb-elo-trend-lr-v6</t>
        </is>
      </c>
      <c r="BD92" s="24" t="inlineStr">
        <is>
          <t>0633355b1144e4205ca6d08e3f328d99cab0970358846bd77228f3bcbfcd70ee</t>
        </is>
      </c>
      <c r="BE92" s="24" t="inlineStr">
        <is>
          <t>861431b031a904da</t>
        </is>
      </c>
      <c r="BF92" s="24" t="inlineStr">
        <is>
          <t>1</t>
        </is>
      </c>
      <c r="BG92" s="24" t="inlineStr">
        <is>
          <t>mlb-elo-trend-lr-v6</t>
        </is>
      </c>
      <c r="BH92" s="24" t="inlineStr">
        <is>
          <t>2026-07-28T17:25:32.793271Z</t>
        </is>
      </c>
      <c r="BI92" s="24" t="inlineStr">
        <is>
          <t>["same_event","same_team_same_day","same_league_same_day"]</t>
        </is>
      </c>
      <c r="BJ92" s="25" t="n"/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inlineStr">
        <is>
          <t>event status_postponed</t>
        </is>
      </c>
      <c r="BX92" s="30" t="n"/>
      <c r="BY92" s="27" t="n"/>
      <c r="BZ92" s="24" t="n"/>
      <c r="CA92" s="31" t="n"/>
      <c r="CB92" s="24" t="n"/>
      <c r="CC92" s="24" t="inlineStr">
        <is>
          <t>0.4315693087</t>
        </is>
      </c>
      <c r="CD92" s="24" t="inlineStr">
        <is>
          <t>-2.190624</t>
        </is>
      </c>
      <c r="CE92" s="24" t="inlineStr">
        <is>
          <t>0.97</t>
        </is>
      </c>
      <c r="CF92" s="24" t="n"/>
      <c r="CG92" s="24" t="n"/>
      <c r="CH92" s="24" t="inlineStr">
        <is>
          <t>0.94</t>
        </is>
      </c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2387dab98e8e4a15</t>
        </is>
      </c>
      <c r="B93" s="24" t="inlineStr">
        <is>
          <t>2026-07-28T20:32:52.305699Z</t>
        </is>
      </c>
      <c r="C93" s="24" t="inlineStr">
        <is>
          <t>2026-07-28T19:10:00-0400</t>
        </is>
      </c>
      <c r="D93" s="24" t="inlineStr">
        <is>
          <t>401816295</t>
        </is>
      </c>
      <c r="E93" s="24" t="inlineStr">
        <is>
          <t>MLB</t>
        </is>
      </c>
      <c r="F93" s="24" t="inlineStr">
        <is>
          <t>Cleveland Guardians</t>
        </is>
      </c>
      <c r="G93" s="24" t="inlineStr">
        <is>
          <t>Cincinnati Reds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espn</t>
        </is>
      </c>
      <c r="L93" s="26" t="n">
        <v>-110</v>
      </c>
      <c r="M93" s="27" t="n">
        <v>1.909091</v>
      </c>
      <c r="N93" s="28" t="n">
        <v>0.52381</v>
      </c>
      <c r="O93" s="28" t="n">
        <v>0.5370470000000001</v>
      </c>
      <c r="P93" s="28" t="n"/>
      <c r="Q93" s="28" t="n">
        <v>0.013237</v>
      </c>
      <c r="R93" s="26" t="n">
        <v>57</v>
      </c>
      <c r="S93" s="29" t="n">
        <v>0</v>
      </c>
      <c r="T93" s="24" t="inlineStr">
        <is>
          <t>mlb-elo-trend-lr-v6</t>
        </is>
      </c>
      <c r="U93" s="24" t="inlineStr">
        <is>
          <t>settled</t>
        </is>
      </c>
      <c r="V93" s="24" t="inlineStr">
        <is>
          <t>loss</t>
        </is>
      </c>
      <c r="W93" s="26" t="n">
        <v>6</v>
      </c>
      <c r="X93" s="26" t="n">
        <v>5</v>
      </c>
      <c r="Y93" s="25" t="n"/>
      <c r="Z93" s="26" t="n">
        <v>700</v>
      </c>
      <c r="AA93" s="28" t="n">
        <v>0.125</v>
      </c>
      <c r="AB93" s="28" t="n">
        <v>-0.39881</v>
      </c>
      <c r="AC93" s="30" t="n">
        <v>0</v>
      </c>
      <c r="AD93" s="24" t="inlineStr">
        <is>
          <t>2026-07-28T23:36:45.139552Z</t>
        </is>
      </c>
      <c r="AE93" s="31" t="inlineStr">
        <is>
          <t>Learned LR call at threshold 0.5690; no Polymarket quote available — using -110 default odds. NOTE: probable_starter_era_gap unavailable for this game — defaulted to neutral, other features used normally.</t>
        </is>
      </c>
      <c r="AF93" s="31" t="inlineStr">
        <is>
          <t>Learned model; shadow-qualified via operator override.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mlb-cle</t>
        </is>
      </c>
      <c r="AQ93" s="24" t="inlineStr">
        <is>
          <t>Cleveland Guardians</t>
        </is>
      </c>
      <c r="AR93" s="24" t="inlineStr">
        <is>
          <t>Cleveland Guardians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0633355b1144e4205ca6d08e3f328d99cab0970358846bd77228f3bcbfcd70ee</t>
        </is>
      </c>
      <c r="BB93" s="24" t="inlineStr">
        <is>
          <t>learned_lr</t>
        </is>
      </c>
      <c r="BC93" s="24" t="inlineStr">
        <is>
          <t>mlb-elo-trend-lr-v6</t>
        </is>
      </c>
      <c r="BD93" s="24" t="inlineStr">
        <is>
          <t>0633355b1144e4205ca6d08e3f328d99cab0970358846bd77228f3bcbfcd70ee</t>
        </is>
      </c>
      <c r="BE93" s="24" t="inlineStr">
        <is>
          <t>e696dbd2e2c47015</t>
        </is>
      </c>
      <c r="BF93" s="24" t="inlineStr">
        <is>
          <t>1</t>
        </is>
      </c>
      <c r="BG93" s="24" t="inlineStr">
        <is>
          <t>mlb-elo-trend-lr-v6</t>
        </is>
      </c>
      <c r="BH93" s="24" t="inlineStr">
        <is>
          <t>2026-07-28T20:32:52.305699Z</t>
        </is>
      </c>
      <c r="BI93" s="24" t="inlineStr">
        <is>
          <t>["same_event","same_team_same_day","same_league_same_day"]</t>
        </is>
      </c>
      <c r="BJ93" s="25" t="n"/>
      <c r="BK93" s="26" t="n">
        <v>-110</v>
      </c>
      <c r="BL93" s="27" t="n">
        <v>1.909091</v>
      </c>
      <c r="BM93" s="28" t="n">
        <v>0.52381</v>
      </c>
      <c r="BN93" s="28" t="n"/>
      <c r="BO93" s="28" t="n"/>
      <c r="BP93" s="25" t="n"/>
      <c r="BQ93" s="27" t="n">
        <v>8</v>
      </c>
      <c r="BR93" s="28" t="n">
        <v>0.125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0.4926827475</t>
        </is>
      </c>
      <c r="CD93" s="24" t="inlineStr">
        <is>
          <t>-0.86802</t>
        </is>
      </c>
      <c r="CE93" s="24" t="inlineStr">
        <is>
          <t>1.05</t>
        </is>
      </c>
      <c r="CF93" s="24" t="n"/>
      <c r="CG93" s="24" t="n"/>
      <c r="CH93" s="24" t="inlineStr">
        <is>
          <t>0.0</t>
        </is>
      </c>
      <c r="CI93" s="24" t="inlineStr">
        <is>
          <t>probable_starter_era_gap</t>
        </is>
      </c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b67883b8cc164b58</t>
        </is>
      </c>
      <c r="B94" s="24" t="inlineStr">
        <is>
          <t>2026-07-28T20:33:04.711319Z</t>
        </is>
      </c>
      <c r="C94" s="24" t="inlineStr">
        <is>
          <t>2026-07-28T22:40Z</t>
        </is>
      </c>
      <c r="D94" s="24" t="inlineStr">
        <is>
          <t>401816292</t>
        </is>
      </c>
      <c r="E94" s="24" t="inlineStr">
        <is>
          <t>MLB</t>
        </is>
      </c>
      <c r="F94" s="24" t="inlineStr">
        <is>
          <t>Arizona Diamondbacks</t>
        </is>
      </c>
      <c r="G94" s="24" t="inlineStr">
        <is>
          <t>Pittsburgh Pirates</t>
        </is>
      </c>
      <c r="H94" s="24" t="inlineStr">
        <is>
          <t>spread</t>
        </is>
      </c>
      <c r="I94" s="24" t="inlineStr">
        <is>
          <t>away</t>
        </is>
      </c>
      <c r="J94" s="25" t="n">
        <v>-1.5</v>
      </c>
      <c r="K94" s="24" t="inlineStr">
        <is>
          <t>polymarket_us</t>
        </is>
      </c>
      <c r="L94" s="26" t="n">
        <v>167</v>
      </c>
      <c r="M94" s="27" t="n">
        <v>2.67</v>
      </c>
      <c r="N94" s="28" t="n">
        <v>0.374532</v>
      </c>
      <c r="O94" s="28" t="n">
        <v>0.53604</v>
      </c>
      <c r="P94" s="28" t="n">
        <v>0.047697</v>
      </c>
      <c r="Q94" s="28" t="n">
        <v>0.161508</v>
      </c>
      <c r="R94" s="26" t="n">
        <v>100</v>
      </c>
      <c r="S94" s="29" t="n">
        <v>0</v>
      </c>
      <c r="T94" s="24" t="inlineStr">
        <is>
          <t>measured-edge-margin-v1</t>
        </is>
      </c>
      <c r="U94" s="24" t="inlineStr">
        <is>
          <t>settled</t>
        </is>
      </c>
      <c r="V94" s="24" t="inlineStr">
        <is>
          <t>loss</t>
        </is>
      </c>
      <c r="W94" s="26" t="n">
        <v>8</v>
      </c>
      <c r="X94" s="26" t="n">
        <v>7</v>
      </c>
      <c r="Y94" s="25" t="n">
        <v>-1.5</v>
      </c>
      <c r="Z94" s="26" t="n">
        <v>167</v>
      </c>
      <c r="AA94" s="28" t="n">
        <v>0.375</v>
      </c>
      <c r="AB94" s="28" t="n">
        <v>0.000468</v>
      </c>
      <c r="AC94" s="30" t="n">
        <v>0</v>
      </c>
      <c r="AD94" s="24" t="inlineStr">
        <is>
          <t>2026-07-29T05:44:53.523375Z</t>
        </is>
      </c>
      <c r="AE94" s="31" t="inlineStr">
        <is>
          <t>Measured Edge Margin: Trend Engine projected 5.17-3.11; raw selected-side p=0.5424, calibrated p=0.5360.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mlb-ari</t>
        </is>
      </c>
      <c r="AQ94" s="24" t="inlineStr">
        <is>
          <t>Arizona Diamondbacks</t>
        </is>
      </c>
      <c r="AR94" s="24" t="inlineStr">
        <is>
          <t>Arizona Diamondbacks</t>
        </is>
      </c>
      <c r="AS94" s="24" t="inlineStr">
        <is>
          <t>mlb-pit</t>
        </is>
      </c>
      <c r="AT94" s="24" t="inlineStr">
        <is>
          <t>Pittsburgh Pirates</t>
        </is>
      </c>
      <c r="AU94" s="24" t="inlineStr">
        <is>
          <t>Pittsburgh Pirates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bd86494ed21c6a0389ab0efcf4b8a5bb7b9f8f8786b6d5fb9da69d8cf0a70bdc</t>
        </is>
      </c>
      <c r="BB94" s="24" t="inlineStr">
        <is>
          <t>flat_probability_shrinkage_toward_half</t>
        </is>
      </c>
      <c r="BC94" s="24" t="inlineStr">
        <is>
          <t>measured-edge-margin-v1</t>
        </is>
      </c>
      <c r="BD94" s="24" t="inlineStr">
        <is>
          <t>bd86494ed21c6a0389ab0efcf4b8a5bb7b9f8f8786b6d5fb9da69d8cf0a70bdc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2026-07-28T20:33:04.711319Z</t>
        </is>
      </c>
      <c r="BI94" s="24" t="inlineStr">
        <is>
          <t>["same_event","same_team_same_day","same_league_same_day"]</t>
        </is>
      </c>
      <c r="BJ94" s="25" t="n">
        <v>-1.5</v>
      </c>
      <c r="BK94" s="26" t="n">
        <v>167</v>
      </c>
      <c r="BL94" s="27" t="n">
        <v>2.67</v>
      </c>
      <c r="BM94" s="28" t="n">
        <v>0.374532</v>
      </c>
      <c r="BN94" s="28" t="n">
        <v>0.373134</v>
      </c>
      <c r="BO94" s="28" t="n"/>
      <c r="BP94" s="25" t="n"/>
      <c r="BQ94" s="27" t="n">
        <v>2.67</v>
      </c>
      <c r="BR94" s="28" t="n">
        <v>0.375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2eb6ec85e7ad467a</t>
        </is>
      </c>
      <c r="B95" s="24" t="inlineStr">
        <is>
          <t>2026-07-28T20:33:04.711319Z</t>
        </is>
      </c>
      <c r="C95" s="24" t="inlineStr">
        <is>
          <t>2026-07-28T22:40Z</t>
        </is>
      </c>
      <c r="D95" s="24" t="inlineStr">
        <is>
          <t>401816292</t>
        </is>
      </c>
      <c r="E95" s="24" t="inlineStr">
        <is>
          <t>MLB</t>
        </is>
      </c>
      <c r="F95" s="24" t="inlineStr">
        <is>
          <t>Arizona Diamondbacks</t>
        </is>
      </c>
      <c r="G95" s="24" t="inlineStr">
        <is>
          <t>Pittsburgh Pirates</t>
        </is>
      </c>
      <c r="H95" s="24" t="inlineStr">
        <is>
          <t>total</t>
        </is>
      </c>
      <c r="I95" s="24" t="inlineStr">
        <is>
          <t>under</t>
        </is>
      </c>
      <c r="J95" s="25" t="n">
        <v>9.5</v>
      </c>
      <c r="K95" s="24" t="inlineStr">
        <is>
          <t>polymarket_us</t>
        </is>
      </c>
      <c r="L95" s="26" t="n">
        <v>-115</v>
      </c>
      <c r="M95" s="27" t="n">
        <v>1.869565</v>
      </c>
      <c r="N95" s="28" t="n">
        <v>0.534884</v>
      </c>
      <c r="O95" s="28" t="n">
        <v>0.64076</v>
      </c>
      <c r="P95" s="28" t="n">
        <v>0.047697</v>
      </c>
      <c r="Q95" s="28" t="n">
        <v>0.105876</v>
      </c>
      <c r="R95" s="26" t="n">
        <v>74</v>
      </c>
      <c r="S95" s="29" t="n">
        <v>0</v>
      </c>
      <c r="T95" s="24" t="inlineStr">
        <is>
          <t>measured-edge-totals-v1</t>
        </is>
      </c>
      <c r="U95" s="24" t="inlineStr">
        <is>
          <t>settled</t>
        </is>
      </c>
      <c r="V95" s="24" t="inlineStr">
        <is>
          <t>loss</t>
        </is>
      </c>
      <c r="W95" s="26" t="n">
        <v>8</v>
      </c>
      <c r="X95" s="26" t="n">
        <v>7</v>
      </c>
      <c r="Y95" s="25" t="n">
        <v>9.5</v>
      </c>
      <c r="Z95" s="26" t="n">
        <v>-115</v>
      </c>
      <c r="AA95" s="28" t="n">
        <v>0.535</v>
      </c>
      <c r="AB95" s="28" t="n">
        <v>0.000116</v>
      </c>
      <c r="AC95" s="30" t="n">
        <v>0</v>
      </c>
      <c r="AD95" s="24" t="inlineStr">
        <is>
          <t>2026-07-29T05:44:53.889526Z</t>
        </is>
      </c>
      <c r="AE95" s="31" t="inlineStr">
        <is>
          <t>Measured Edge Totals: Trend Engine projected 5.17-3.11; raw selected-side p=0.6656, calibrated p=0.6408.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mlb-ari</t>
        </is>
      </c>
      <c r="AQ95" s="24" t="inlineStr">
        <is>
          <t>Arizona Diamondbacks</t>
        </is>
      </c>
      <c r="AR95" s="24" t="inlineStr">
        <is>
          <t>Arizona Diamondbacks</t>
        </is>
      </c>
      <c r="AS95" s="24" t="inlineStr">
        <is>
          <t>mlb-pit</t>
        </is>
      </c>
      <c r="AT95" s="24" t="inlineStr">
        <is>
          <t>Pittsburgh Pirates</t>
        </is>
      </c>
      <c r="AU95" s="24" t="inlineStr">
        <is>
          <t>Pittsburgh Pirates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0aa06c0f065ec20d43901d386280174165e2b07065216b6c7ffe72c98e322706</t>
        </is>
      </c>
      <c r="BB95" s="24" t="inlineStr">
        <is>
          <t>flat_probability_shrinkage_toward_half</t>
        </is>
      </c>
      <c r="BC95" s="24" t="inlineStr">
        <is>
          <t>measured-edge-totals-v1</t>
        </is>
      </c>
      <c r="BD95" s="24" t="inlineStr">
        <is>
          <t>0aa06c0f065ec20d43901d386280174165e2b07065216b6c7ffe72c98e322706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2026-07-28T20:33:04.711319Z</t>
        </is>
      </c>
      <c r="BI95" s="24" t="inlineStr">
        <is>
          <t>["same_event","same_team_same_day","same_league_same_day"]</t>
        </is>
      </c>
      <c r="BJ95" s="25" t="n">
        <v>9.5</v>
      </c>
      <c r="BK95" s="26" t="n">
        <v>-115</v>
      </c>
      <c r="BL95" s="27" t="n">
        <v>1.869565</v>
      </c>
      <c r="BM95" s="28" t="n">
        <v>0.534884</v>
      </c>
      <c r="BN95" s="28" t="n">
        <v>0.532338</v>
      </c>
      <c r="BO95" s="28" t="n"/>
      <c r="BP95" s="25" t="n"/>
      <c r="BQ95" s="27" t="n">
        <v>1.869565</v>
      </c>
      <c r="BR95" s="28" t="n">
        <v>0.535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37b3b8cd691e40b2</t>
        </is>
      </c>
      <c r="B96" s="24" t="inlineStr">
        <is>
          <t>2026-07-28T20:33:04.711319Z</t>
        </is>
      </c>
      <c r="C96" s="24" t="inlineStr">
        <is>
          <t>2026-07-28T22:40Z</t>
        </is>
      </c>
      <c r="D96" s="24" t="inlineStr">
        <is>
          <t>401816294</t>
        </is>
      </c>
      <c r="E96" s="24" t="inlineStr">
        <is>
          <t>MLB</t>
        </is>
      </c>
      <c r="F96" s="24" t="inlineStr">
        <is>
          <t>Baltimore Orioles</t>
        </is>
      </c>
      <c r="G96" s="24" t="inlineStr">
        <is>
          <t>Detroit Tigers</t>
        </is>
      </c>
      <c r="H96" s="24" t="inlineStr">
        <is>
          <t>spread</t>
        </is>
      </c>
      <c r="I96" s="24" t="inlineStr">
        <is>
          <t>home</t>
        </is>
      </c>
      <c r="J96" s="25" t="n">
        <v>-1.5</v>
      </c>
      <c r="K96" s="24" t="inlineStr">
        <is>
          <t>polymarket_us</t>
        </is>
      </c>
      <c r="L96" s="26" t="n">
        <v>147</v>
      </c>
      <c r="M96" s="27" t="n">
        <v>2.47</v>
      </c>
      <c r="N96" s="28" t="n">
        <v>0.404858</v>
      </c>
      <c r="O96" s="28" t="n">
        <v>0.64535</v>
      </c>
      <c r="P96" s="28" t="n">
        <v>0.056347</v>
      </c>
      <c r="Q96" s="28" t="n">
        <v>0.240492</v>
      </c>
      <c r="R96" s="26" t="n">
        <v>100</v>
      </c>
      <c r="S96" s="29" t="n">
        <v>0</v>
      </c>
      <c r="T96" s="24" t="inlineStr">
        <is>
          <t>measured-edge-margin-v1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14</v>
      </c>
      <c r="Y96" s="25" t="n">
        <v>-1.5</v>
      </c>
      <c r="Z96" s="26" t="n">
        <v>147</v>
      </c>
      <c r="AA96" s="28" t="n">
        <v>0.405</v>
      </c>
      <c r="AB96" s="28" t="n">
        <v>0.000142</v>
      </c>
      <c r="AC96" s="30" t="n">
        <v>0</v>
      </c>
      <c r="AD96" s="24" t="inlineStr">
        <is>
          <t>2026-07-29T02:41:29.472217Z</t>
        </is>
      </c>
      <c r="AE96" s="31" t="inlineStr">
        <is>
          <t>Measured Edge Margin: Trend Engine projected 2.20-5.43; raw selected-side p=0.6710, calibrated p=0.6453.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mlb-bal</t>
        </is>
      </c>
      <c r="AQ96" s="24" t="inlineStr">
        <is>
          <t>Baltimore Orioles</t>
        </is>
      </c>
      <c r="AR96" s="24" t="inlineStr">
        <is>
          <t>Baltimore Orioles</t>
        </is>
      </c>
      <c r="AS96" s="24" t="inlineStr">
        <is>
          <t>mlb-det</t>
        </is>
      </c>
      <c r="AT96" s="24" t="inlineStr">
        <is>
          <t>Detroit Tigers</t>
        </is>
      </c>
      <c r="AU96" s="24" t="inlineStr">
        <is>
          <t>Detroit Tigers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bd86494ed21c6a0389ab0efcf4b8a5bb7b9f8f8786b6d5fb9da69d8cf0a70bdc</t>
        </is>
      </c>
      <c r="BB96" s="24" t="inlineStr">
        <is>
          <t>flat_probability_shrinkage_toward_half</t>
        </is>
      </c>
      <c r="BC96" s="24" t="inlineStr">
        <is>
          <t>measured-edge-margin-v1</t>
        </is>
      </c>
      <c r="BD96" s="24" t="inlineStr">
        <is>
          <t>bd86494ed21c6a0389ab0efcf4b8a5bb7b9f8f8786b6d5fb9da69d8cf0a70bdc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2026-07-28T20:33:04.711319Z</t>
        </is>
      </c>
      <c r="BI96" s="24" t="inlineStr">
        <is>
          <t>["same_event","same_team_same_day","same_league_same_day"]</t>
        </is>
      </c>
      <c r="BJ96" s="25" t="n">
        <v>-1.5</v>
      </c>
      <c r="BK96" s="26" t="n">
        <v>147</v>
      </c>
      <c r="BL96" s="27" t="n">
        <v>2.47</v>
      </c>
      <c r="BM96" s="28" t="n">
        <v>0.404858</v>
      </c>
      <c r="BN96" s="28" t="n">
        <v>0.402985</v>
      </c>
      <c r="BO96" s="28" t="n"/>
      <c r="BP96" s="25" t="n"/>
      <c r="BQ96" s="27" t="n">
        <v>2.47</v>
      </c>
      <c r="BR96" s="28" t="n">
        <v>0.405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d5d8babc17d84e19</t>
        </is>
      </c>
      <c r="B97" s="24" t="inlineStr">
        <is>
          <t>2026-07-28T20:33:04.711319Z</t>
        </is>
      </c>
      <c r="C97" s="24" t="inlineStr">
        <is>
          <t>2026-07-28T22:40Z</t>
        </is>
      </c>
      <c r="D97" s="24" t="inlineStr">
        <is>
          <t>401816294</t>
        </is>
      </c>
      <c r="E97" s="24" t="inlineStr">
        <is>
          <t>MLB</t>
        </is>
      </c>
      <c r="F97" s="24" t="inlineStr">
        <is>
          <t>Baltimore Orioles</t>
        </is>
      </c>
      <c r="G97" s="24" t="inlineStr">
        <is>
          <t>Detroit Tigers</t>
        </is>
      </c>
      <c r="H97" s="24" t="inlineStr">
        <is>
          <t>total</t>
        </is>
      </c>
      <c r="I97" s="24" t="inlineStr">
        <is>
          <t>under</t>
        </is>
      </c>
      <c r="J97" s="25" t="n">
        <v>9.5</v>
      </c>
      <c r="K97" s="24" t="inlineStr">
        <is>
          <t>polymarket_us</t>
        </is>
      </c>
      <c r="L97" s="26" t="n">
        <v>-120</v>
      </c>
      <c r="M97" s="27" t="n">
        <v>1.833333</v>
      </c>
      <c r="N97" s="28" t="n">
        <v>0.545455</v>
      </c>
      <c r="O97" s="28" t="n">
        <v>0.6869150000000001</v>
      </c>
      <c r="P97" s="28" t="n">
        <v>0.056347</v>
      </c>
      <c r="Q97" s="28" t="n">
        <v>0.14146</v>
      </c>
      <c r="R97" s="26" t="n">
        <v>87</v>
      </c>
      <c r="S97" s="29" t="n">
        <v>0</v>
      </c>
      <c r="T97" s="24" t="inlineStr">
        <is>
          <t>measured-edge-totals-v1</t>
        </is>
      </c>
      <c r="U97" s="24" t="inlineStr">
        <is>
          <t>settled</t>
        </is>
      </c>
      <c r="V97" s="24" t="inlineStr">
        <is>
          <t>loss</t>
        </is>
      </c>
      <c r="W97" s="26" t="n">
        <v>0</v>
      </c>
      <c r="X97" s="26" t="n">
        <v>14</v>
      </c>
      <c r="Y97" s="25" t="n">
        <v>9.5</v>
      </c>
      <c r="Z97" s="26" t="n">
        <v>-120</v>
      </c>
      <c r="AA97" s="28" t="n">
        <v>0.545</v>
      </c>
      <c r="AB97" s="28" t="n">
        <v>-0.000455</v>
      </c>
      <c r="AC97" s="30" t="n">
        <v>0</v>
      </c>
      <c r="AD97" s="24" t="inlineStr">
        <is>
          <t>2026-07-29T02:41:29.883737Z</t>
        </is>
      </c>
      <c r="AE97" s="31" t="inlineStr">
        <is>
          <t>Measured Edge Totals: Trend Engine projected 2.20-5.43; raw selected-side p=0.7199, calibrated p=0.6869.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mlb-bal</t>
        </is>
      </c>
      <c r="AQ97" s="24" t="inlineStr">
        <is>
          <t>Baltimore Orioles</t>
        </is>
      </c>
      <c r="AR97" s="24" t="inlineStr">
        <is>
          <t>Baltimore Orioles</t>
        </is>
      </c>
      <c r="AS97" s="24" t="inlineStr">
        <is>
          <t>mlb-det</t>
        </is>
      </c>
      <c r="AT97" s="24" t="inlineStr">
        <is>
          <t>Detroit Tigers</t>
        </is>
      </c>
      <c r="AU97" s="24" t="inlineStr">
        <is>
          <t>Detroit Tigers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0aa06c0f065ec20d43901d386280174165e2b07065216b6c7ffe72c98e322706</t>
        </is>
      </c>
      <c r="BB97" s="24" t="inlineStr">
        <is>
          <t>flat_probability_shrinkage_toward_half</t>
        </is>
      </c>
      <c r="BC97" s="24" t="inlineStr">
        <is>
          <t>measured-edge-totals-v1</t>
        </is>
      </c>
      <c r="BD97" s="24" t="inlineStr">
        <is>
          <t>0aa06c0f065ec20d43901d386280174165e2b07065216b6c7ffe72c98e322706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2026-07-28T20:33:04.711319Z</t>
        </is>
      </c>
      <c r="BI97" s="24" t="inlineStr">
        <is>
          <t>["same_event","same_team_same_day","same_league_same_day"]</t>
        </is>
      </c>
      <c r="BJ97" s="25" t="n">
        <v>9.5</v>
      </c>
      <c r="BK97" s="26" t="n">
        <v>-120</v>
      </c>
      <c r="BL97" s="27" t="n">
        <v>1.833333</v>
      </c>
      <c r="BM97" s="28" t="n">
        <v>0.545455</v>
      </c>
      <c r="BN97" s="28" t="n">
        <v>0.542289</v>
      </c>
      <c r="BO97" s="28" t="n"/>
      <c r="BP97" s="25" t="n"/>
      <c r="BQ97" s="27" t="n">
        <v>1.833333</v>
      </c>
      <c r="BR97" s="28" t="n">
        <v>0.545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cef5ec6a216b4868</t>
        </is>
      </c>
      <c r="B98" s="24" t="inlineStr">
        <is>
          <t>2026-07-28T20:33:04.711319Z</t>
        </is>
      </c>
      <c r="C98" s="24" t="inlineStr">
        <is>
          <t>2026-07-28T22:40Z</t>
        </is>
      </c>
      <c r="D98" s="24" t="inlineStr">
        <is>
          <t>401816296</t>
        </is>
      </c>
      <c r="E98" s="24" t="inlineStr">
        <is>
          <t>MLB</t>
        </is>
      </c>
      <c r="F98" s="24" t="inlineStr">
        <is>
          <t>Philadelphia Phillies</t>
        </is>
      </c>
      <c r="G98" s="24" t="inlineStr">
        <is>
          <t>Miami Marlins</t>
        </is>
      </c>
      <c r="H98" s="24" t="inlineStr">
        <is>
          <t>spread</t>
        </is>
      </c>
      <c r="I98" s="24" t="inlineStr">
        <is>
          <t>home</t>
        </is>
      </c>
      <c r="J98" s="25" t="n">
        <v>-1.5</v>
      </c>
      <c r="K98" s="24" t="inlineStr">
        <is>
          <t>polymarket_us</t>
        </is>
      </c>
      <c r="L98" s="26" t="n">
        <v>186</v>
      </c>
      <c r="M98" s="27" t="n">
        <v>2.86</v>
      </c>
      <c r="N98" s="28" t="n">
        <v>0.34965</v>
      </c>
      <c r="O98" s="28" t="n">
        <v>0.50935</v>
      </c>
      <c r="P98" s="28" t="n">
        <v>0.046637</v>
      </c>
      <c r="Q98" s="28" t="n">
        <v>0.1597</v>
      </c>
      <c r="R98" s="26" t="n">
        <v>100</v>
      </c>
      <c r="S98" s="29" t="n">
        <v>0</v>
      </c>
      <c r="T98" s="24" t="inlineStr">
        <is>
          <t>measured-edge-margin-v1</t>
        </is>
      </c>
      <c r="U98" s="24" t="inlineStr">
        <is>
          <t>settled</t>
        </is>
      </c>
      <c r="V98" s="24" t="inlineStr">
        <is>
          <t>loss</t>
        </is>
      </c>
      <c r="W98" s="26" t="n">
        <v>0</v>
      </c>
      <c r="X98" s="26" t="n">
        <v>1</v>
      </c>
      <c r="Y98" s="25" t="n">
        <v>-1.5</v>
      </c>
      <c r="Z98" s="26" t="n">
        <v>186</v>
      </c>
      <c r="AA98" s="28" t="n">
        <v>0.35</v>
      </c>
      <c r="AB98" s="28" t="n">
        <v>0.00035</v>
      </c>
      <c r="AC98" s="30" t="n">
        <v>0</v>
      </c>
      <c r="AD98" s="24" t="inlineStr">
        <is>
          <t>2026-07-29T02:41:30.249956Z</t>
        </is>
      </c>
      <c r="AE98" s="31" t="inlineStr">
        <is>
          <t>Measured Edge Margin: Trend Engine projected 4.28-6.18; raw selected-side p=0.5110, calibrated p=0.5093.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mlb-phi</t>
        </is>
      </c>
      <c r="AQ98" s="24" t="inlineStr">
        <is>
          <t>Philadelphia Phillies</t>
        </is>
      </c>
      <c r="AR98" s="24" t="inlineStr">
        <is>
          <t>Philadelphia Phillies</t>
        </is>
      </c>
      <c r="AS98" s="24" t="inlineStr">
        <is>
          <t>mlb-mia</t>
        </is>
      </c>
      <c r="AT98" s="24" t="inlineStr">
        <is>
          <t>Miami Marlins</t>
        </is>
      </c>
      <c r="AU98" s="24" t="inlineStr">
        <is>
          <t>Miami Marlins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bd86494ed21c6a0389ab0efcf4b8a5bb7b9f8f8786b6d5fb9da69d8cf0a70bdc</t>
        </is>
      </c>
      <c r="BB98" s="24" t="inlineStr">
        <is>
          <t>flat_probability_shrinkage_toward_half</t>
        </is>
      </c>
      <c r="BC98" s="24" t="inlineStr">
        <is>
          <t>measured-edge-margin-v1</t>
        </is>
      </c>
      <c r="BD98" s="24" t="inlineStr">
        <is>
          <t>bd86494ed21c6a0389ab0efcf4b8a5bb7b9f8f8786b6d5fb9da69d8cf0a70bdc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2026-07-28T20:33:04.711319Z</t>
        </is>
      </c>
      <c r="BI98" s="24" t="inlineStr">
        <is>
          <t>["same_event","same_team_same_day","same_league_same_day"]</t>
        </is>
      </c>
      <c r="BJ98" s="25" t="n">
        <v>-1.5</v>
      </c>
      <c r="BK98" s="26" t="n">
        <v>186</v>
      </c>
      <c r="BL98" s="27" t="n">
        <v>2.86</v>
      </c>
      <c r="BM98" s="28" t="n">
        <v>0.34965</v>
      </c>
      <c r="BN98" s="28" t="n">
        <v>0.348259</v>
      </c>
      <c r="BO98" s="28" t="n"/>
      <c r="BP98" s="25" t="n"/>
      <c r="BQ98" s="27" t="n">
        <v>2.86</v>
      </c>
      <c r="BR98" s="28" t="n">
        <v>0.35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97450c6cb51d4ce8</t>
        </is>
      </c>
      <c r="B99" s="24" t="inlineStr">
        <is>
          <t>2026-07-28T20:33:04.711319Z</t>
        </is>
      </c>
      <c r="C99" s="24" t="inlineStr">
        <is>
          <t>2026-07-28T22:40Z</t>
        </is>
      </c>
      <c r="D99" s="24" t="inlineStr">
        <is>
          <t>401816296</t>
        </is>
      </c>
      <c r="E99" s="24" t="inlineStr">
        <is>
          <t>MLB</t>
        </is>
      </c>
      <c r="F99" s="24" t="inlineStr">
        <is>
          <t>Philadelphia Phillies</t>
        </is>
      </c>
      <c r="G99" s="24" t="inlineStr">
        <is>
          <t>Miami Marlins</t>
        </is>
      </c>
      <c r="H99" s="24" t="inlineStr">
        <is>
          <t>total</t>
        </is>
      </c>
      <c r="I99" s="24" t="inlineStr">
        <is>
          <t>over</t>
        </is>
      </c>
      <c r="J99" s="25" t="n">
        <v>8.5</v>
      </c>
      <c r="K99" s="24" t="inlineStr">
        <is>
          <t>polymarket_us</t>
        </is>
      </c>
      <c r="L99" s="26" t="n">
        <v>111</v>
      </c>
      <c r="M99" s="27" t="n">
        <v>2.11</v>
      </c>
      <c r="N99" s="28" t="n">
        <v>0.473934</v>
      </c>
      <c r="O99" s="28" t="n">
        <v>0.607525</v>
      </c>
      <c r="P99" s="28" t="n">
        <v>0.046637</v>
      </c>
      <c r="Q99" s="28" t="n">
        <v>0.133591</v>
      </c>
      <c r="R99" s="26" t="n">
        <v>89</v>
      </c>
      <c r="S99" s="29" t="n">
        <v>0</v>
      </c>
      <c r="T99" s="24" t="inlineStr">
        <is>
          <t>measured-edge-totals-v1</t>
        </is>
      </c>
      <c r="U99" s="24" t="inlineStr">
        <is>
          <t>settled</t>
        </is>
      </c>
      <c r="V99" s="24" t="inlineStr">
        <is>
          <t>loss</t>
        </is>
      </c>
      <c r="W99" s="26" t="n">
        <v>0</v>
      </c>
      <c r="X99" s="26" t="n">
        <v>1</v>
      </c>
      <c r="Y99" s="25" t="n">
        <v>8.5</v>
      </c>
      <c r="Z99" s="26" t="n">
        <v>111</v>
      </c>
      <c r="AA99" s="28" t="n">
        <v>0.475</v>
      </c>
      <c r="AB99" s="28" t="n">
        <v>0.001066</v>
      </c>
      <c r="AC99" s="30" t="n">
        <v>0</v>
      </c>
      <c r="AD99" s="24" t="inlineStr">
        <is>
          <t>2026-07-29T02:41:30.633496Z</t>
        </is>
      </c>
      <c r="AE99" s="31" t="inlineStr">
        <is>
          <t>Measured Edge Totals: Trend Engine projected 4.28-6.18; raw selected-side p=0.6265, calibrated p=0.6075.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mlb-phi</t>
        </is>
      </c>
      <c r="AQ99" s="24" t="inlineStr">
        <is>
          <t>Philadelphia Phillies</t>
        </is>
      </c>
      <c r="AR99" s="24" t="inlineStr">
        <is>
          <t>Philadelphia Phillies</t>
        </is>
      </c>
      <c r="AS99" s="24" t="inlineStr">
        <is>
          <t>mlb-mia</t>
        </is>
      </c>
      <c r="AT99" s="24" t="inlineStr">
        <is>
          <t>Miami Marlins</t>
        </is>
      </c>
      <c r="AU99" s="24" t="inlineStr">
        <is>
          <t>Miami Marlins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0aa06c0f065ec20d43901d386280174165e2b07065216b6c7ffe72c98e322706</t>
        </is>
      </c>
      <c r="BB99" s="24" t="inlineStr">
        <is>
          <t>flat_probability_shrinkage_toward_half</t>
        </is>
      </c>
      <c r="BC99" s="24" t="inlineStr">
        <is>
          <t>measured-edge-totals-v1</t>
        </is>
      </c>
      <c r="BD99" s="24" t="inlineStr">
        <is>
          <t>0aa06c0f065ec20d43901d386280174165e2b07065216b6c7ffe72c98e322706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2026-07-28T20:33:04.711319Z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111</v>
      </c>
      <c r="BL99" s="27" t="n">
        <v>2.11</v>
      </c>
      <c r="BM99" s="28" t="n">
        <v>0.473934</v>
      </c>
      <c r="BN99" s="28" t="n">
        <v>0.472637</v>
      </c>
      <c r="BO99" s="28" t="n"/>
      <c r="BP99" s="25" t="n"/>
      <c r="BQ99" s="27" t="n">
        <v>2.11</v>
      </c>
      <c r="BR99" s="28" t="n">
        <v>0.475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b028cc7074d34e30</t>
        </is>
      </c>
      <c r="B100" s="24" t="inlineStr">
        <is>
          <t>2026-07-28T20:33:04.711319Z</t>
        </is>
      </c>
      <c r="C100" s="24" t="inlineStr">
        <is>
          <t>2026-07-28T22:40Z</t>
        </is>
      </c>
      <c r="D100" s="24" t="inlineStr">
        <is>
          <t>401816297</t>
        </is>
      </c>
      <c r="E100" s="24" t="inlineStr">
        <is>
          <t>MLB</t>
        </is>
      </c>
      <c r="F100" s="24" t="inlineStr">
        <is>
          <t>Texas Rangers</t>
        </is>
      </c>
      <c r="G100" s="24" t="inlineStr">
        <is>
          <t>Tampa Bay Rays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0.64654</v>
      </c>
      <c r="P100" s="28" t="n">
        <v>0.046637</v>
      </c>
      <c r="Q100" s="28" t="n">
        <v>0.075725</v>
      </c>
      <c r="R100" s="26" t="n">
        <v>60</v>
      </c>
      <c r="S100" s="29" t="n">
        <v>0</v>
      </c>
      <c r="T100" s="24" t="inlineStr">
        <is>
          <t>measured-edge-margin-v1</t>
        </is>
      </c>
      <c r="U100" s="24" t="inlineStr">
        <is>
          <t>settled</t>
        </is>
      </c>
      <c r="V100" s="24" t="inlineStr">
        <is>
          <t>win</t>
        </is>
      </c>
      <c r="W100" s="26" t="n">
        <v>4</v>
      </c>
      <c r="X100" s="26" t="n">
        <v>1</v>
      </c>
      <c r="Y100" s="25" t="n">
        <v>1.5</v>
      </c>
      <c r="Z100" s="26" t="n">
        <v>-133</v>
      </c>
      <c r="AA100" s="28" t="n">
        <v>0.57</v>
      </c>
      <c r="AB100" s="28" t="n">
        <v>-0.000815</v>
      </c>
      <c r="AC100" s="30" t="n">
        <v>0</v>
      </c>
      <c r="AD100" s="24" t="inlineStr">
        <is>
          <t>2026-07-29T02:41:31.035767Z</t>
        </is>
      </c>
      <c r="AE100" s="31" t="inlineStr">
        <is>
          <t>Measured Edge Margin: Trend Engine projected 5.11-4.89; raw selected-side p=0.6724, calibrated p=0.6465.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mlb-tex</t>
        </is>
      </c>
      <c r="AQ100" s="24" t="inlineStr">
        <is>
          <t>Texas Rangers</t>
        </is>
      </c>
      <c r="AR100" s="24" t="inlineStr">
        <is>
          <t>Texas Rangers</t>
        </is>
      </c>
      <c r="AS100" s="24" t="inlineStr">
        <is>
          <t>mlb-tb</t>
        </is>
      </c>
      <c r="AT100" s="24" t="inlineStr">
        <is>
          <t>Tampa Bay Rays</t>
        </is>
      </c>
      <c r="AU100" s="24" t="inlineStr">
        <is>
          <t>Tampa Bay Rays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bd86494ed21c6a0389ab0efcf4b8a5bb7b9f8f8786b6d5fb9da69d8cf0a70bdc</t>
        </is>
      </c>
      <c r="BB100" s="24" t="inlineStr">
        <is>
          <t>flat_probability_shrinkage_toward_half</t>
        </is>
      </c>
      <c r="BC100" s="24" t="inlineStr">
        <is>
          <t>measured-edge-margin-v1</t>
        </is>
      </c>
      <c r="BD100" s="24" t="inlineStr">
        <is>
          <t>bd86494ed21c6a0389ab0efcf4b8a5bb7b9f8f8786b6d5fb9da69d8cf0a70bdc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2026-07-28T20:33:04.711319Z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-133</v>
      </c>
      <c r="BL100" s="27" t="n">
        <v>1.75188</v>
      </c>
      <c r="BM100" s="28" t="n">
        <v>0.570815</v>
      </c>
      <c r="BN100" s="28" t="n">
        <v>0.567164</v>
      </c>
      <c r="BO100" s="28" t="n"/>
      <c r="BP100" s="25" t="n"/>
      <c r="BQ100" s="27" t="n">
        <v>1.75188</v>
      </c>
      <c r="BR100" s="28" t="n">
        <v>0.57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10a7a379b0614f96</t>
        </is>
      </c>
      <c r="B101" s="24" t="inlineStr">
        <is>
          <t>2026-07-28T20:33:04.711319Z</t>
        </is>
      </c>
      <c r="C101" s="24" t="inlineStr">
        <is>
          <t>2026-07-28T22:40Z</t>
        </is>
      </c>
      <c r="D101" s="24" t="inlineStr">
        <is>
          <t>401816297</t>
        </is>
      </c>
      <c r="E101" s="24" t="inlineStr">
        <is>
          <t>MLB</t>
        </is>
      </c>
      <c r="F101" s="24" t="inlineStr">
        <is>
          <t>Texas Rangers</t>
        </is>
      </c>
      <c r="G101" s="24" t="inlineStr">
        <is>
          <t>Tampa Bay Rays</t>
        </is>
      </c>
      <c r="H101" s="24" t="inlineStr">
        <is>
          <t>total</t>
        </is>
      </c>
      <c r="I101" s="24" t="inlineStr">
        <is>
          <t>over</t>
        </is>
      </c>
      <c r="J101" s="25" t="n">
        <v>8.5</v>
      </c>
      <c r="K101" s="24" t="inlineStr">
        <is>
          <t>polymarket_us</t>
        </is>
      </c>
      <c r="L101" s="26" t="n">
        <v>113</v>
      </c>
      <c r="M101" s="27" t="n">
        <v>2.13</v>
      </c>
      <c r="N101" s="28" t="n">
        <v>0.469484</v>
      </c>
      <c r="O101" s="28" t="n">
        <v>0.58976</v>
      </c>
      <c r="P101" s="28" t="n">
        <v>0.046637</v>
      </c>
      <c r="Q101" s="28" t="n">
        <v>0.120276</v>
      </c>
      <c r="R101" s="26" t="n">
        <v>82</v>
      </c>
      <c r="S101" s="29" t="n">
        <v>0</v>
      </c>
      <c r="T101" s="24" t="inlineStr">
        <is>
          <t>measured-edge-totals-v1</t>
        </is>
      </c>
      <c r="U101" s="24" t="inlineStr">
        <is>
          <t>settled</t>
        </is>
      </c>
      <c r="V101" s="24" t="inlineStr">
        <is>
          <t>loss</t>
        </is>
      </c>
      <c r="W101" s="26" t="n">
        <v>4</v>
      </c>
      <c r="X101" s="26" t="n">
        <v>1</v>
      </c>
      <c r="Y101" s="25" t="n">
        <v>8.5</v>
      </c>
      <c r="Z101" s="26" t="n">
        <v>113</v>
      </c>
      <c r="AA101" s="28" t="n">
        <v>0.47</v>
      </c>
      <c r="AB101" s="28" t="n">
        <v>0.000516</v>
      </c>
      <c r="AC101" s="30" t="n">
        <v>0</v>
      </c>
      <c r="AD101" s="24" t="inlineStr">
        <is>
          <t>2026-07-29T02:41:31.431680Z</t>
        </is>
      </c>
      <c r="AE101" s="31" t="inlineStr">
        <is>
          <t>Measured Edge Totals: Trend Engine projected 5.11-4.89; raw selected-side p=0.6056, calibrated p=0.5898.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mlb-tex</t>
        </is>
      </c>
      <c r="AQ101" s="24" t="inlineStr">
        <is>
          <t>Texas Rangers</t>
        </is>
      </c>
      <c r="AR101" s="24" t="inlineStr">
        <is>
          <t>Texas Rangers</t>
        </is>
      </c>
      <c r="AS101" s="24" t="inlineStr">
        <is>
          <t>mlb-tb</t>
        </is>
      </c>
      <c r="AT101" s="24" t="inlineStr">
        <is>
          <t>Tampa Bay Rays</t>
        </is>
      </c>
      <c r="AU101" s="24" t="inlineStr">
        <is>
          <t>Tampa Bay Rays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0aa06c0f065ec20d43901d386280174165e2b07065216b6c7ffe72c98e322706</t>
        </is>
      </c>
      <c r="BB101" s="24" t="inlineStr">
        <is>
          <t>flat_probability_shrinkage_toward_half</t>
        </is>
      </c>
      <c r="BC101" s="24" t="inlineStr">
        <is>
          <t>measured-edge-totals-v1</t>
        </is>
      </c>
      <c r="BD101" s="24" t="inlineStr">
        <is>
          <t>0aa06c0f065ec20d43901d386280174165e2b07065216b6c7ffe72c98e322706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2026-07-28T20:33:04.711319Z</t>
        </is>
      </c>
      <c r="BI101" s="24" t="inlineStr">
        <is>
          <t>["same_event","same_team_same_day","same_league_same_day"]</t>
        </is>
      </c>
      <c r="BJ101" s="25" t="n">
        <v>8.5</v>
      </c>
      <c r="BK101" s="26" t="n">
        <v>113</v>
      </c>
      <c r="BL101" s="27" t="n">
        <v>2.13</v>
      </c>
      <c r="BM101" s="28" t="n">
        <v>0.469484</v>
      </c>
      <c r="BN101" s="28" t="n">
        <v>0.467662</v>
      </c>
      <c r="BO101" s="28" t="n"/>
      <c r="BP101" s="25" t="n"/>
      <c r="BQ101" s="27" t="n">
        <v>2.13</v>
      </c>
      <c r="BR101" s="28" t="n">
        <v>0.47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5dcddf1417f44eb4</t>
        </is>
      </c>
      <c r="B102" s="24" t="inlineStr">
        <is>
          <t>2026-07-28T20:33:04.711319Z</t>
        </is>
      </c>
      <c r="C102" s="24" t="inlineStr">
        <is>
          <t>2026-07-28T22:45Z</t>
        </is>
      </c>
      <c r="D102" s="24" t="inlineStr">
        <is>
          <t>401816298</t>
        </is>
      </c>
      <c r="E102" s="24" t="inlineStr">
        <is>
          <t>MLB</t>
        </is>
      </c>
      <c r="F102" s="24" t="inlineStr">
        <is>
          <t>Toronto Blue Jays</t>
        </is>
      </c>
      <c r="G102" s="24" t="inlineStr">
        <is>
          <t>Washington Nationals</t>
        </is>
      </c>
      <c r="H102" s="24" t="inlineStr">
        <is>
          <t>spread</t>
        </is>
      </c>
      <c r="I102" s="24" t="inlineStr">
        <is>
          <t>home</t>
        </is>
      </c>
      <c r="J102" s="25" t="n">
        <v>-1.5</v>
      </c>
      <c r="K102" s="24" t="inlineStr">
        <is>
          <t>polymarket_us</t>
        </is>
      </c>
      <c r="L102" s="26" t="n">
        <v>156</v>
      </c>
      <c r="M102" s="27" t="n">
        <v>2.56</v>
      </c>
      <c r="N102" s="28" t="n">
        <v>0.390625</v>
      </c>
      <c r="O102" s="28" t="n">
        <v>0.666005</v>
      </c>
      <c r="P102" s="28" t="n">
        <v>0.056347</v>
      </c>
      <c r="Q102" s="28" t="n">
        <v>0.27538</v>
      </c>
      <c r="R102" s="26" t="n">
        <v>100</v>
      </c>
      <c r="S102" s="29" t="n">
        <v>0</v>
      </c>
      <c r="T102" s="24" t="inlineStr">
        <is>
          <t>measured-edge-margin-v1</t>
        </is>
      </c>
      <c r="U102" s="24" t="inlineStr">
        <is>
          <t>settled</t>
        </is>
      </c>
      <c r="V102" s="24" t="inlineStr">
        <is>
          <t>win</t>
        </is>
      </c>
      <c r="W102" s="26" t="n">
        <v>6</v>
      </c>
      <c r="X102" s="26" t="n">
        <v>8</v>
      </c>
      <c r="Y102" s="25" t="n">
        <v>-1.5</v>
      </c>
      <c r="Z102" s="26" t="n">
        <v>156</v>
      </c>
      <c r="AA102" s="28" t="n">
        <v>0.39</v>
      </c>
      <c r="AB102" s="28" t="n">
        <v>-0.000625</v>
      </c>
      <c r="AC102" s="30" t="n">
        <v>0</v>
      </c>
      <c r="AD102" s="24" t="inlineStr">
        <is>
          <t>2026-07-29T05:44:54.245162Z</t>
        </is>
      </c>
      <c r="AE102" s="31" t="inlineStr">
        <is>
          <t>Measured Edge Margin: Trend Engine projected 2.24-5.72; raw selected-side p=0.6953, calibrated p=0.6660.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mlb-tor</t>
        </is>
      </c>
      <c r="AQ102" s="24" t="inlineStr">
        <is>
          <t>Toronto Blue Jays</t>
        </is>
      </c>
      <c r="AR102" s="24" t="inlineStr">
        <is>
          <t>Toronto Blue Jays</t>
        </is>
      </c>
      <c r="AS102" s="24" t="inlineStr">
        <is>
          <t>mlb-wsh</t>
        </is>
      </c>
      <c r="AT102" s="24" t="inlineStr">
        <is>
          <t>Washington Nationals</t>
        </is>
      </c>
      <c r="AU102" s="24" t="inlineStr">
        <is>
          <t>Washington Nationals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bd86494ed21c6a0389ab0efcf4b8a5bb7b9f8f8786b6d5fb9da69d8cf0a70bdc</t>
        </is>
      </c>
      <c r="BB102" s="24" t="inlineStr">
        <is>
          <t>flat_probability_shrinkage_toward_half</t>
        </is>
      </c>
      <c r="BC102" s="24" t="inlineStr">
        <is>
          <t>measured-edge-margin-v1</t>
        </is>
      </c>
      <c r="BD102" s="24" t="inlineStr">
        <is>
          <t>bd86494ed21c6a0389ab0efcf4b8a5bb7b9f8f8786b6d5fb9da69d8cf0a70bdc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2026-07-28T20:33:04.711319Z</t>
        </is>
      </c>
      <c r="BI102" s="24" t="inlineStr">
        <is>
          <t>["same_event","same_team_same_day","same_league_same_day"]</t>
        </is>
      </c>
      <c r="BJ102" s="25" t="n">
        <v>-1.5</v>
      </c>
      <c r="BK102" s="26" t="n">
        <v>156</v>
      </c>
      <c r="BL102" s="27" t="n">
        <v>2.56</v>
      </c>
      <c r="BM102" s="28" t="n">
        <v>0.390625</v>
      </c>
      <c r="BN102" s="28" t="n">
        <v>0.38806</v>
      </c>
      <c r="BO102" s="28" t="n"/>
      <c r="BP102" s="25" t="n"/>
      <c r="BQ102" s="27" t="n">
        <v>2.56</v>
      </c>
      <c r="BR102" s="28" t="n">
        <v>0.39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a24b1793ae2b4e5d</t>
        </is>
      </c>
      <c r="B103" s="24" t="inlineStr">
        <is>
          <t>2026-07-28T20:33:04.711319Z</t>
        </is>
      </c>
      <c r="C103" s="24" t="inlineStr">
        <is>
          <t>2026-07-28T22:45Z</t>
        </is>
      </c>
      <c r="D103" s="24" t="inlineStr">
        <is>
          <t>401816298</t>
        </is>
      </c>
      <c r="E103" s="24" t="inlineStr">
        <is>
          <t>MLB</t>
        </is>
      </c>
      <c r="F103" s="24" t="inlineStr">
        <is>
          <t>Toronto Blue Jays</t>
        </is>
      </c>
      <c r="G103" s="24" t="inlineStr">
        <is>
          <t>Washington Nationals</t>
        </is>
      </c>
      <c r="H103" s="24" t="inlineStr">
        <is>
          <t>total</t>
        </is>
      </c>
      <c r="I103" s="24" t="inlineStr">
        <is>
          <t>under</t>
        </is>
      </c>
      <c r="J103" s="25" t="n">
        <v>8.5</v>
      </c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0.586275</v>
      </c>
      <c r="P103" s="28" t="n">
        <v>0.056347</v>
      </c>
      <c r="Q103" s="28" t="n">
        <v>0.121159</v>
      </c>
      <c r="R103" s="26" t="n">
        <v>77</v>
      </c>
      <c r="S103" s="29" t="n">
        <v>0</v>
      </c>
      <c r="T103" s="24" t="inlineStr">
        <is>
          <t>measured-edge-totals-v1</t>
        </is>
      </c>
      <c r="U103" s="24" t="inlineStr">
        <is>
          <t>settled</t>
        </is>
      </c>
      <c r="V103" s="24" t="inlineStr">
        <is>
          <t>loss</t>
        </is>
      </c>
      <c r="W103" s="26" t="n">
        <v>6</v>
      </c>
      <c r="X103" s="26" t="n">
        <v>8</v>
      </c>
      <c r="Y103" s="25" t="n">
        <v>8.5</v>
      </c>
      <c r="Z103" s="26" t="n">
        <v>115</v>
      </c>
      <c r="AA103" s="28" t="n">
        <v>0.465</v>
      </c>
      <c r="AB103" s="28" t="n">
        <v>-0.000116</v>
      </c>
      <c r="AC103" s="30" t="n">
        <v>0</v>
      </c>
      <c r="AD103" s="24" t="inlineStr">
        <is>
          <t>2026-07-29T05:44:54.635526Z</t>
        </is>
      </c>
      <c r="AE103" s="31" t="inlineStr">
        <is>
          <t>Measured Edge Totals: Trend Engine projected 2.24-5.72; raw selected-side p=0.6015, calibrated p=0.5863.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mlb-tor</t>
        </is>
      </c>
      <c r="AQ103" s="24" t="inlineStr">
        <is>
          <t>Toronto Blue Jays</t>
        </is>
      </c>
      <c r="AR103" s="24" t="inlineStr">
        <is>
          <t>Toronto Blue Jays</t>
        </is>
      </c>
      <c r="AS103" s="24" t="inlineStr">
        <is>
          <t>mlb-wsh</t>
        </is>
      </c>
      <c r="AT103" s="24" t="inlineStr">
        <is>
          <t>Washington Nationals</t>
        </is>
      </c>
      <c r="AU103" s="24" t="inlineStr">
        <is>
          <t>Washington Nationals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0aa06c0f065ec20d43901d386280174165e2b07065216b6c7ffe72c98e322706</t>
        </is>
      </c>
      <c r="BB103" s="24" t="inlineStr">
        <is>
          <t>flat_probability_shrinkage_toward_half</t>
        </is>
      </c>
      <c r="BC103" s="24" t="inlineStr">
        <is>
          <t>measured-edge-totals-v1</t>
        </is>
      </c>
      <c r="BD103" s="24" t="inlineStr">
        <is>
          <t>0aa06c0f065ec20d43901d386280174165e2b07065216b6c7ffe72c98e322706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2026-07-28T20:33:04.711319Z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133665d9275f489f</t>
        </is>
      </c>
      <c r="B104" s="24" t="inlineStr">
        <is>
          <t>2026-07-28T23:38:20.366083Z</t>
        </is>
      </c>
      <c r="C104" s="24" t="inlineStr">
        <is>
          <t>2026-07-28T19:40:00-0400</t>
        </is>
      </c>
      <c r="D104" s="24" t="inlineStr">
        <is>
          <t>401816300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Minnesota Twins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-167</v>
      </c>
      <c r="M104" s="27" t="n">
        <v>1.598802</v>
      </c>
      <c r="N104" s="28" t="n">
        <v>0.625468</v>
      </c>
      <c r="O104" s="28" t="n">
        <v>0.578619</v>
      </c>
      <c r="P104" s="28" t="n"/>
      <c r="Q104" s="28" t="n">
        <v>-0.046849</v>
      </c>
      <c r="R104" s="26" t="n">
        <v>0</v>
      </c>
      <c r="S104" s="29" t="n">
        <v>1.25</v>
      </c>
      <c r="T104" s="24" t="inlineStr">
        <is>
          <t>mlb-elo-trend-lr-v6</t>
        </is>
      </c>
      <c r="U104" s="24" t="inlineStr">
        <is>
          <t>settled</t>
        </is>
      </c>
      <c r="V104" s="24" t="inlineStr">
        <is>
          <t>win</t>
        </is>
      </c>
      <c r="W104" s="26" t="n">
        <v>2</v>
      </c>
      <c r="X104" s="26" t="n">
        <v>3</v>
      </c>
      <c r="Y104" s="25" t="n"/>
      <c r="Z104" s="26" t="n">
        <v>-167</v>
      </c>
      <c r="AA104" s="28" t="n">
        <v>0.625</v>
      </c>
      <c r="AB104" s="28" t="n">
        <v>-0.000468</v>
      </c>
      <c r="AC104" s="30" t="n">
        <v>0.7485000000000001</v>
      </c>
      <c r="AD104" s="24" t="inlineStr">
        <is>
          <t>2026-07-29T02:41:31.817482Z</t>
        </is>
      </c>
      <c r="AE104" s="31" t="inlineStr">
        <is>
          <t>Learned LR call at threshold 0.5690; executable ask 0.6250 (aec-mlb-kc-min-2026-07-28).</t>
        </is>
      </c>
      <c r="AF104" s="31" t="inlineStr">
        <is>
          <t>Learned model; shadow-qualified via operator override.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mlb-min</t>
        </is>
      </c>
      <c r="AT104" s="24" t="inlineStr">
        <is>
          <t>Minnesota Twins</t>
        </is>
      </c>
      <c r="AU104" s="24" t="inlineStr">
        <is>
          <t>Minnesota Twins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0633355b1144e4205ca6d08e3f328d99cab0970358846bd77228f3bcbfcd70ee</t>
        </is>
      </c>
      <c r="BB104" s="24" t="inlineStr">
        <is>
          <t>learned_lr</t>
        </is>
      </c>
      <c r="BC104" s="24" t="inlineStr">
        <is>
          <t>mlb-elo-trend-lr-v6</t>
        </is>
      </c>
      <c r="BD104" s="24" t="inlineStr">
        <is>
          <t>0633355b1144e4205ca6d08e3f328d99cab0970358846bd77228f3bcbfcd70ee</t>
        </is>
      </c>
      <c r="BE104" s="24" t="inlineStr">
        <is>
          <t>079b6684deb84a5e</t>
        </is>
      </c>
      <c r="BF104" s="24" t="inlineStr">
        <is>
          <t>1</t>
        </is>
      </c>
      <c r="BG104" s="24" t="inlineStr">
        <is>
          <t>mlb-elo-trend-lr-v6</t>
        </is>
      </c>
      <c r="BH104" s="24" t="inlineStr">
        <is>
          <t>2026-07-28T23:37:47.236899Z</t>
        </is>
      </c>
      <c r="BI104" s="24" t="inlineStr">
        <is>
          <t>["same_event","same_team_same_day","same_league_same_day"]</t>
        </is>
      </c>
      <c r="BJ104" s="25" t="n"/>
      <c r="BK104" s="26" t="n">
        <v>-167</v>
      </c>
      <c r="BL104" s="27" t="n">
        <v>1.598802</v>
      </c>
      <c r="BM104" s="28" t="n">
        <v>0.625468</v>
      </c>
      <c r="BN104" s="28" t="n">
        <v>0.621891</v>
      </c>
      <c r="BO104" s="28" t="n"/>
      <c r="BP104" s="25" t="n"/>
      <c r="BQ104" s="27" t="n">
        <v>1.598802</v>
      </c>
      <c r="BR104" s="28" t="n">
        <v>0.625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0.5494442227</t>
        </is>
      </c>
      <c r="CD104" s="24" t="inlineStr">
        <is>
          <t>0.040618</t>
        </is>
      </c>
      <c r="CE104" s="24" t="inlineStr">
        <is>
          <t>1.0</t>
        </is>
      </c>
      <c r="CF104" s="24" t="n"/>
      <c r="CG104" s="24" t="n"/>
      <c r="CH104" s="24" t="inlineStr">
        <is>
          <t>-0.67</t>
        </is>
      </c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ea6da1b7d56c4211</t>
        </is>
      </c>
      <c r="B105" s="24" t="inlineStr">
        <is>
          <t>2026-07-28T23:38:20.366083Z</t>
        </is>
      </c>
      <c r="C105" s="24" t="inlineStr">
        <is>
          <t>2026-07-28T20:00:00-0400</t>
        </is>
      </c>
      <c r="D105" s="24" t="inlineStr">
        <is>
          <t>401857093</t>
        </is>
      </c>
      <c r="E105" s="24" t="inlineStr">
        <is>
          <t>WNBA</t>
        </is>
      </c>
      <c r="F105" s="24" t="inlineStr">
        <is>
          <t>Toronto Tempo</t>
        </is>
      </c>
      <c r="G105" s="24" t="inlineStr">
        <is>
          <t>Minnesota Lynx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-1011</v>
      </c>
      <c r="M105" s="27" t="n">
        <v>1.098912</v>
      </c>
      <c r="N105" s="28" t="n">
        <v>0.909991</v>
      </c>
      <c r="O105" s="28" t="n">
        <v>0.778885</v>
      </c>
      <c r="P105" s="28" t="n"/>
      <c r="Q105" s="28" t="n">
        <v>-0.131106</v>
      </c>
      <c r="R105" s="26" t="n">
        <v>0</v>
      </c>
      <c r="S105" s="29" t="n">
        <v>2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win</t>
        </is>
      </c>
      <c r="W105" s="26" t="n">
        <v>93</v>
      </c>
      <c r="X105" s="26" t="n">
        <v>100</v>
      </c>
      <c r="Y105" s="25" t="n"/>
      <c r="Z105" s="26" t="n"/>
      <c r="AA105" s="28" t="n"/>
      <c r="AB105" s="28" t="n"/>
      <c r="AC105" s="30" t="n">
        <v>0.1978</v>
      </c>
      <c r="AD105" s="24" t="inlineStr">
        <is>
          <t>2026-07-29T02:41:32.227419Z</t>
        </is>
      </c>
      <c r="AE105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wnba-tor</t>
        </is>
      </c>
      <c r="AQ105" s="24" t="inlineStr">
        <is>
          <t>Toronto Tempo</t>
        </is>
      </c>
      <c r="AR105" s="24" t="inlineStr">
        <is>
          <t>Toronto Tempo</t>
        </is>
      </c>
      <c r="AS105" s="24" t="inlineStr">
        <is>
          <t>wnba-min</t>
        </is>
      </c>
      <c r="AT105" s="24" t="inlineStr">
        <is>
          <t>Minnesota Lynx</t>
        </is>
      </c>
      <c r="AU105" s="24" t="inlineStr">
        <is>
          <t>Minnesota Lynx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learned_lr</t>
        </is>
      </c>
      <c r="BC105" s="24" t="inlineStr">
        <is>
          <t>wnba-elo-trend-lr-v4</t>
        </is>
      </c>
      <c r="BD105" s="24" t="inlineStr">
        <is>
          <t>7afd5274214b58b7efd7f7febc7be3ab33b92351cda5cc6403c0a39faea0cc8c</t>
        </is>
      </c>
      <c r="BE105" s="24" t="inlineStr">
        <is>
          <t>5d941a25079d4ddd</t>
        </is>
      </c>
      <c r="BF105" s="24" t="inlineStr">
        <is>
          <t>1</t>
        </is>
      </c>
      <c r="BG105" s="24" t="inlineStr">
        <is>
          <t>wnba-elo-trend-lr-v4</t>
        </is>
      </c>
      <c r="BH105" s="24" t="inlineStr">
        <is>
          <t>2026-07-28T23:37:54.980549Z</t>
        </is>
      </c>
      <c r="BI105" s="24" t="inlineStr">
        <is>
          <t>["same_event","same_team_same_day","same_league_same_day"]</t>
        </is>
      </c>
      <c r="BJ105" s="25" t="n"/>
      <c r="BK105" s="26" t="n">
        <v>-1011</v>
      </c>
      <c r="BL105" s="27" t="n">
        <v>1.098912</v>
      </c>
      <c r="BM105" s="28" t="n">
        <v>0.909991</v>
      </c>
      <c r="BN105" s="28" t="n">
        <v>0.90099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0.9095039397</t>
        </is>
      </c>
      <c r="CD105" s="24" t="inlineStr">
        <is>
          <t>5.061789</t>
        </is>
      </c>
      <c r="CE105" s="24" t="n"/>
      <c r="CF105" s="24" t="n"/>
      <c r="CG105" s="24" t="n"/>
      <c r="CH105" s="24" t="n"/>
      <c r="CI105" s="24" t="inlineStr">
        <is>
          <t>wnba_availability_source_conflict</t>
        </is>
      </c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47e337a5aafe4564</t>
        </is>
      </c>
      <c r="B106" s="24" t="inlineStr">
        <is>
          <t>2026-07-28T23:38:20.366083Z</t>
        </is>
      </c>
      <c r="C106" s="24" t="inlineStr">
        <is>
          <t>2026-07-28T19:40:00-0400</t>
        </is>
      </c>
      <c r="D106" s="24" t="inlineStr">
        <is>
          <t>401816301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White Sox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0.515486</v>
      </c>
      <c r="P106" s="28" t="n"/>
      <c r="Q106" s="28" t="n">
        <v>-0.01058</v>
      </c>
      <c r="R106" s="26" t="n">
        <v>17</v>
      </c>
      <c r="S106" s="29" t="n">
        <v>0.75</v>
      </c>
      <c r="T106" s="24" t="inlineStr">
        <is>
          <t>mlb-elo-trend-lr-v6</t>
        </is>
      </c>
      <c r="U106" s="24" t="inlineStr">
        <is>
          <t>settled</t>
        </is>
      </c>
      <c r="V106" s="24" t="inlineStr">
        <is>
          <t>win</t>
        </is>
      </c>
      <c r="W106" s="26" t="n">
        <v>3</v>
      </c>
      <c r="X106" s="26" t="n">
        <v>2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0.6757</v>
      </c>
      <c r="AD106" s="24" t="inlineStr">
        <is>
          <t>2026-07-29T02:41:32.597404Z</t>
        </is>
      </c>
      <c r="AE106" s="31" t="inlineStr">
        <is>
          <t>Learned LR call at threshold 0.5690; executable ask 0.5250 (aec-mlb-nyy-cws-2026-07-28).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mlb-cws</t>
        </is>
      </c>
      <c r="AT106" s="24" t="inlineStr">
        <is>
          <t>Chicago White Sox</t>
        </is>
      </c>
      <c r="AU106" s="24" t="inlineStr">
        <is>
          <t>Chicago White Sox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0633355b1144e4205ca6d08e3f328d99cab0970358846bd77228f3bcbfcd70ee</t>
        </is>
      </c>
      <c r="BB106" s="24" t="inlineStr">
        <is>
          <t>learned_lr</t>
        </is>
      </c>
      <c r="BC106" s="24" t="inlineStr">
        <is>
          <t>mlb-elo-trend-lr-v6</t>
        </is>
      </c>
      <c r="BD106" s="24" t="inlineStr">
        <is>
          <t>0633355b1144e4205ca6d08e3f328d99cab0970358846bd77228f3bcbfcd70ee</t>
        </is>
      </c>
      <c r="BE106" s="24" t="inlineStr">
        <is>
          <t>76154abedfc345eb</t>
        </is>
      </c>
      <c r="BF106" s="24" t="inlineStr">
        <is>
          <t>1</t>
        </is>
      </c>
      <c r="BG106" s="24" t="inlineStr">
        <is>
          <t>mlb-elo-trend-lr-v6</t>
        </is>
      </c>
      <c r="BH106" s="24" t="inlineStr">
        <is>
          <t>2026-07-28T23:37:45.967735Z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0.4761494151</t>
        </is>
      </c>
      <c r="CD106" s="24" t="inlineStr">
        <is>
          <t>1.500354</t>
        </is>
      </c>
      <c r="CE106" s="24" t="inlineStr">
        <is>
          <t>0.99</t>
        </is>
      </c>
      <c r="CF106" s="24" t="n"/>
      <c r="CG106" s="24" t="n"/>
      <c r="CH106" s="24" t="inlineStr">
        <is>
          <t>0.29</t>
        </is>
      </c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fe9449a57062428e</t>
        </is>
      </c>
      <c r="B107" s="24" t="inlineStr">
        <is>
          <t>2026-07-28T23:38:20.366083Z</t>
        </is>
      </c>
      <c r="C107" s="24" t="inlineStr">
        <is>
          <t>2026-07-28T21:30:00-0400</t>
        </is>
      </c>
      <c r="D107" s="24" t="inlineStr">
        <is>
          <t>401857094</t>
        </is>
      </c>
      <c r="E107" s="24" t="inlineStr">
        <is>
          <t>WNBA</t>
        </is>
      </c>
      <c r="F107" s="24" t="inlineStr">
        <is>
          <t>Indiana Fever</t>
        </is>
      </c>
      <c r="G107" s="24" t="inlineStr">
        <is>
          <t>Seattle Storm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-355</v>
      </c>
      <c r="M107" s="27" t="n">
        <v>1.28169</v>
      </c>
      <c r="N107" s="28" t="n">
        <v>0.78022</v>
      </c>
      <c r="O107" s="28" t="n">
        <v>0.684756</v>
      </c>
      <c r="P107" s="28" t="n"/>
      <c r="Q107" s="28" t="n">
        <v>-0.09546399999999999</v>
      </c>
      <c r="R107" s="26" t="n">
        <v>0</v>
      </c>
      <c r="S107" s="29" t="n">
        <v>2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win</t>
        </is>
      </c>
      <c r="W107" s="26" t="n">
        <v>105</v>
      </c>
      <c r="X107" s="26" t="n">
        <v>95</v>
      </c>
      <c r="Y107" s="25" t="n"/>
      <c r="Z107" s="26" t="n"/>
      <c r="AA107" s="28" t="n"/>
      <c r="AB107" s="28" t="n"/>
      <c r="AC107" s="30" t="n">
        <v>0.5634</v>
      </c>
      <c r="AD107" s="24" t="inlineStr">
        <is>
          <t>2026-07-29T05:44:55.346504Z</t>
        </is>
      </c>
      <c r="AE107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wnba-ind</t>
        </is>
      </c>
      <c r="AQ107" s="24" t="inlineStr">
        <is>
          <t>Indiana Fever</t>
        </is>
      </c>
      <c r="AR107" s="24" t="inlineStr">
        <is>
          <t>Indiana Fever</t>
        </is>
      </c>
      <c r="AS107" s="24" t="inlineStr">
        <is>
          <t>wnba-sea</t>
        </is>
      </c>
      <c r="AT107" s="24" t="inlineStr">
        <is>
          <t>Seattle Storm</t>
        </is>
      </c>
      <c r="AU107" s="24" t="inlineStr">
        <is>
          <t>Seattle Storm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learned_lr</t>
        </is>
      </c>
      <c r="BC107" s="24" t="inlineStr">
        <is>
          <t>wnba-elo-trend-lr-v4</t>
        </is>
      </c>
      <c r="BD107" s="24" t="inlineStr">
        <is>
          <t>7afd5274214b58b7efd7f7febc7be3ab33b92351cda5cc6403c0a39faea0cc8c</t>
        </is>
      </c>
      <c r="BE107" s="24" t="inlineStr">
        <is>
          <t>6e0ccdfedaa12592</t>
        </is>
      </c>
      <c r="BF107" s="24" t="inlineStr">
        <is>
          <t>1</t>
        </is>
      </c>
      <c r="BG107" s="24" t="inlineStr">
        <is>
          <t>wnba-elo-trend-lr-v4</t>
        </is>
      </c>
      <c r="BH107" s="24" t="inlineStr">
        <is>
          <t>2026-07-28T23:37:55.863565Z</t>
        </is>
      </c>
      <c r="BI107" s="24" t="inlineStr">
        <is>
          <t>["same_event","same_team_same_day","same_league_same_day"]</t>
        </is>
      </c>
      <c r="BJ107" s="25" t="n"/>
      <c r="BK107" s="26" t="n">
        <v>-355</v>
      </c>
      <c r="BL107" s="27" t="n">
        <v>1.28169</v>
      </c>
      <c r="BM107" s="28" t="n">
        <v>0.78022</v>
      </c>
      <c r="BN107" s="28" t="n">
        <v>0.772277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0.2416972703</t>
        </is>
      </c>
      <c r="CD107" s="24" t="inlineStr">
        <is>
          <t>-4.477657</t>
        </is>
      </c>
      <c r="CE107" s="24" t="n"/>
      <c r="CF107" s="24" t="n"/>
      <c r="CG107" s="24" t="n"/>
      <c r="CH107" s="24" t="n"/>
      <c r="CI107" s="24" t="inlineStr">
        <is>
          <t>wnba_availability_source_conflict</t>
        </is>
      </c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07282694da214443</t>
        </is>
      </c>
      <c r="B108" s="24" t="inlineStr">
        <is>
          <t>2026-07-28T23:38:20.366083Z</t>
        </is>
      </c>
      <c r="C108" s="24" t="inlineStr">
        <is>
          <t>2026-07-28T19:45:00-0400</t>
        </is>
      </c>
      <c r="D108" s="24" t="inlineStr">
        <is>
          <t>401816299</t>
        </is>
      </c>
      <c r="E108" s="24" t="inlineStr">
        <is>
          <t>MLB</t>
        </is>
      </c>
      <c r="F108" s="24" t="inlineStr">
        <is>
          <t>Chicago Cubs</t>
        </is>
      </c>
      <c r="G108" s="24" t="inlineStr">
        <is>
          <t>St. Louis Cardinals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100</v>
      </c>
      <c r="M108" s="27" t="n">
        <v>2</v>
      </c>
      <c r="N108" s="28" t="n">
        <v>0.5</v>
      </c>
      <c r="O108" s="28" t="n">
        <v>0.658691</v>
      </c>
      <c r="P108" s="28" t="n"/>
      <c r="Q108" s="28" t="n">
        <v>0.158691</v>
      </c>
      <c r="R108" s="26" t="n">
        <v>100</v>
      </c>
      <c r="S108" s="29" t="n">
        <v>2</v>
      </c>
      <c r="T108" s="24" t="inlineStr">
        <is>
          <t>mlb-elo-trend-lr-v6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10</v>
      </c>
      <c r="X108" s="26" t="n">
        <v>2</v>
      </c>
      <c r="Y108" s="25" t="n"/>
      <c r="Z108" s="26" t="n">
        <v>100</v>
      </c>
      <c r="AA108" s="28" t="n">
        <v>0.5</v>
      </c>
      <c r="AB108" s="28" t="n">
        <v>0</v>
      </c>
      <c r="AC108" s="30" t="n">
        <v>-2</v>
      </c>
      <c r="AD108" s="24" t="inlineStr">
        <is>
          <t>2026-07-29T05:44:55.705914Z</t>
        </is>
      </c>
      <c r="AE108" s="31" t="inlineStr">
        <is>
          <t>Learned LR call at threshold 0.5690; executable ask 0.5000 (aec-mlb-chc-stl-2026-07-28).</t>
        </is>
      </c>
      <c r="AF108" s="31" t="inlineStr">
        <is>
          <t>Learned model; shadow-qualified via operator override.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mlb-chc</t>
        </is>
      </c>
      <c r="AQ108" s="24" t="inlineStr">
        <is>
          <t>Chicago Cubs</t>
        </is>
      </c>
      <c r="AR108" s="24" t="inlineStr">
        <is>
          <t>Chicago Cubs</t>
        </is>
      </c>
      <c r="AS108" s="24" t="inlineStr">
        <is>
          <t>mlb-stl</t>
        </is>
      </c>
      <c r="AT108" s="24" t="inlineStr">
        <is>
          <t>St. Louis Cardinals</t>
        </is>
      </c>
      <c r="AU108" s="24" t="inlineStr">
        <is>
          <t>St. Louis Cardinals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0633355b1144e4205ca6d08e3f328d99cab0970358846bd77228f3bcbfcd70ee</t>
        </is>
      </c>
      <c r="BB108" s="24" t="inlineStr">
        <is>
          <t>learned_lr</t>
        </is>
      </c>
      <c r="BC108" s="24" t="inlineStr">
        <is>
          <t>mlb-elo-trend-lr-v6</t>
        </is>
      </c>
      <c r="BD108" s="24" t="inlineStr">
        <is>
          <t>0633355b1144e4205ca6d08e3f328d99cab0970358846bd77228f3bcbfcd70ee</t>
        </is>
      </c>
      <c r="BE108" s="24" t="inlineStr">
        <is>
          <t>68171e0531444439</t>
        </is>
      </c>
      <c r="BF108" s="24" t="inlineStr">
        <is>
          <t>1</t>
        </is>
      </c>
      <c r="BG108" s="24" t="inlineStr">
        <is>
          <t>mlb-elo-trend-lr-v6</t>
        </is>
      </c>
      <c r="BH108" s="24" t="inlineStr">
        <is>
          <t>2026-07-28T23:37:48.025116Z</t>
        </is>
      </c>
      <c r="BI108" s="24" t="inlineStr">
        <is>
          <t>["same_event","same_team_same_day","same_league_same_day"]</t>
        </is>
      </c>
      <c r="BJ108" s="25" t="n"/>
      <c r="BK108" s="26" t="n">
        <v>100</v>
      </c>
      <c r="BL108" s="27" t="n">
        <v>2</v>
      </c>
      <c r="BM108" s="28" t="n">
        <v>0.5</v>
      </c>
      <c r="BN108" s="28" t="n">
        <v>0.497512</v>
      </c>
      <c r="BO108" s="28" t="n"/>
      <c r="BP108" s="25" t="n"/>
      <c r="BQ108" s="27" t="n">
        <v>2</v>
      </c>
      <c r="BR108" s="28" t="n">
        <v>0.5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0.4644554475</t>
        </is>
      </c>
      <c r="CD108" s="24" t="inlineStr">
        <is>
          <t>-0.743911</t>
        </is>
      </c>
      <c r="CE108" s="24" t="inlineStr">
        <is>
          <t>0.99</t>
        </is>
      </c>
      <c r="CF108" s="24" t="n"/>
      <c r="CG108" s="24" t="n"/>
      <c r="CH108" s="24" t="inlineStr">
        <is>
          <t>-1.78</t>
        </is>
      </c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2b8a162265d04475</t>
        </is>
      </c>
      <c r="B109" s="24" t="inlineStr">
        <is>
          <t>2026-07-28T23:38:20.366083Z</t>
        </is>
      </c>
      <c r="C109" s="24" t="inlineStr">
        <is>
          <t>2026-07-28T22:00:00-0400</t>
        </is>
      </c>
      <c r="D109" s="24" t="inlineStr">
        <is>
          <t>401857095</t>
        </is>
      </c>
      <c r="E109" s="24" t="inlineStr">
        <is>
          <t>WNBA</t>
        </is>
      </c>
      <c r="F109" s="24" t="inlineStr">
        <is>
          <t>Portland Fire</t>
        </is>
      </c>
      <c r="G109" s="24" t="inlineStr">
        <is>
          <t>Las Vegas Aces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-614</v>
      </c>
      <c r="M109" s="27" t="n">
        <v>1.162866</v>
      </c>
      <c r="N109" s="28" t="n">
        <v>0.859944</v>
      </c>
      <c r="O109" s="28" t="n">
        <v>0.70389</v>
      </c>
      <c r="P109" s="28" t="n"/>
      <c r="Q109" s="28" t="n">
        <v>-0.156054</v>
      </c>
      <c r="R109" s="26" t="n">
        <v>0</v>
      </c>
      <c r="S109" s="29" t="n">
        <v>2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83</v>
      </c>
      <c r="X109" s="26" t="n">
        <v>98</v>
      </c>
      <c r="Y109" s="25" t="n"/>
      <c r="Z109" s="26" t="n"/>
      <c r="AA109" s="28" t="n"/>
      <c r="AB109" s="28" t="n"/>
      <c r="AC109" s="30" t="n">
        <v>0.3257</v>
      </c>
      <c r="AD109" s="24" t="inlineStr">
        <is>
          <t>2026-07-29T05:44:56.065486Z</t>
        </is>
      </c>
      <c r="AE109" s="31" t="inlineStr">
        <is>
          <t>Learned LR call at threshold 0.5001; executable ask 0.8600 (aec-wnba-por-lv-2026-07-28).</t>
        </is>
      </c>
      <c r="AF109" s="31" t="inlineStr">
        <is>
          <t>Learned model; shadow-qualified via operator override.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wnba-por</t>
        </is>
      </c>
      <c r="AQ109" s="24" t="inlineStr">
        <is>
          <t>Portland Fire</t>
        </is>
      </c>
      <c r="AR109" s="24" t="inlineStr">
        <is>
          <t>Portland Fire</t>
        </is>
      </c>
      <c r="AS109" s="24" t="inlineStr">
        <is>
          <t>wnba-lva</t>
        </is>
      </c>
      <c r="AT109" s="24" t="inlineStr">
        <is>
          <t>Las Vegas Aces</t>
        </is>
      </c>
      <c r="AU109" s="24" t="inlineStr">
        <is>
          <t>Las Vegas Aces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learned_lr</t>
        </is>
      </c>
      <c r="BC109" s="24" t="inlineStr">
        <is>
          <t>wnba-elo-trend-lr-v4</t>
        </is>
      </c>
      <c r="BD109" s="24" t="inlineStr">
        <is>
          <t>7afd5274214b58b7efd7f7febc7be3ab33b92351cda5cc6403c0a39faea0cc8c</t>
        </is>
      </c>
      <c r="BE109" s="24" t="inlineStr">
        <is>
          <t>b361b2a5b789ec69</t>
        </is>
      </c>
      <c r="BF109" s="24" t="inlineStr">
        <is>
          <t>1</t>
        </is>
      </c>
      <c r="BG109" s="24" t="inlineStr">
        <is>
          <t>wnba-elo-trend-lr-v4</t>
        </is>
      </c>
      <c r="BH109" s="24" t="inlineStr">
        <is>
          <t>2026-07-28T23:37:57.460079Z</t>
        </is>
      </c>
      <c r="BI109" s="24" t="inlineStr">
        <is>
          <t>["same_event","same_team_same_day","same_league_same_day"]</t>
        </is>
      </c>
      <c r="BJ109" s="25" t="n"/>
      <c r="BK109" s="26" t="n">
        <v>-614</v>
      </c>
      <c r="BL109" s="27" t="n">
        <v>1.162866</v>
      </c>
      <c r="BM109" s="28" t="n">
        <v>0.859944</v>
      </c>
      <c r="BN109" s="28" t="n">
        <v>0.851485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inlineStr">
        <is>
          <t>0.7673200787</t>
        </is>
      </c>
      <c r="CD109" s="24" t="inlineStr">
        <is>
          <t>-4.164083</t>
        </is>
      </c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379a058550ab4e7b</t>
        </is>
      </c>
      <c r="B110" s="24" t="inlineStr">
        <is>
          <t>2026-07-28T23:38:20.366083Z</t>
        </is>
      </c>
      <c r="C110" s="24" t="inlineStr">
        <is>
          <t>2026-07-28T21:38:00-0400</t>
        </is>
      </c>
      <c r="D110" s="24" t="inlineStr">
        <is>
          <t>401816304</t>
        </is>
      </c>
      <c r="E110" s="24" t="inlineStr">
        <is>
          <t>MLB</t>
        </is>
      </c>
      <c r="F110" s="24" t="inlineStr">
        <is>
          <t>Houston Astros</t>
        </is>
      </c>
      <c r="G110" s="24" t="inlineStr">
        <is>
          <t>Los Angeles Angels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-104</v>
      </c>
      <c r="M110" s="27" t="n">
        <v>1.961538</v>
      </c>
      <c r="N110" s="28" t="n">
        <v>0.509804</v>
      </c>
      <c r="O110" s="28" t="n">
        <v>0.526129</v>
      </c>
      <c r="P110" s="28" t="n"/>
      <c r="Q110" s="28" t="n">
        <v>0.016325</v>
      </c>
      <c r="R110" s="26" t="n">
        <v>29</v>
      </c>
      <c r="S110" s="29" t="n">
        <v>0.75</v>
      </c>
      <c r="T110" s="24" t="inlineStr">
        <is>
          <t>mlb-elo-trend-lr-v6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2</v>
      </c>
      <c r="Y110" s="25" t="n"/>
      <c r="Z110" s="26" t="n">
        <v>-104</v>
      </c>
      <c r="AA110" s="28" t="n">
        <v>0.51</v>
      </c>
      <c r="AB110" s="28" t="n">
        <v>0.000196</v>
      </c>
      <c r="AC110" s="30" t="n">
        <v>0.7212</v>
      </c>
      <c r="AD110" s="24" t="inlineStr">
        <is>
          <t>2026-07-29T05:44:56.422174Z</t>
        </is>
      </c>
      <c r="AE110" s="31" t="inlineStr">
        <is>
          <t>Learned LR call at threshold 0.5690; executable ask 0.5100 (aec-mlb-hou-laa-2026-07-28).</t>
        </is>
      </c>
      <c r="AF110" s="31" t="inlineStr">
        <is>
          <t>Learned model; shadow-qualified via operator override.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mlb-hou</t>
        </is>
      </c>
      <c r="AQ110" s="24" t="inlineStr">
        <is>
          <t>Houston Astros</t>
        </is>
      </c>
      <c r="AR110" s="24" t="inlineStr">
        <is>
          <t>Houston Astros</t>
        </is>
      </c>
      <c r="AS110" s="24" t="inlineStr">
        <is>
          <t>mlb-laa</t>
        </is>
      </c>
      <c r="AT110" s="24" t="inlineStr">
        <is>
          <t>Los Angeles Angels</t>
        </is>
      </c>
      <c r="AU110" s="24" t="inlineStr">
        <is>
          <t>Los Angeles Angels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0633355b1144e4205ca6d08e3f328d99cab0970358846bd77228f3bcbfcd70ee</t>
        </is>
      </c>
      <c r="BB110" s="24" t="inlineStr">
        <is>
          <t>learned_lr</t>
        </is>
      </c>
      <c r="BC110" s="24" t="inlineStr">
        <is>
          <t>mlb-elo-trend-lr-v6</t>
        </is>
      </c>
      <c r="BD110" s="24" t="inlineStr">
        <is>
          <t>0633355b1144e4205ca6d08e3f328d99cab0970358846bd77228f3bcbfcd70ee</t>
        </is>
      </c>
      <c r="BE110" s="24" t="inlineStr">
        <is>
          <t>6339971571300259</t>
        </is>
      </c>
      <c r="BF110" s="24" t="inlineStr">
        <is>
          <t>1</t>
        </is>
      </c>
      <c r="BG110" s="24" t="inlineStr">
        <is>
          <t>mlb-elo-trend-lr-v6</t>
        </is>
      </c>
      <c r="BH110" s="24" t="inlineStr">
        <is>
          <t>2026-07-28T23:37:48.908378Z</t>
        </is>
      </c>
      <c r="BI110" s="24" t="inlineStr">
        <is>
          <t>["same_event","same_team_same_day","same_league_same_day"]</t>
        </is>
      </c>
      <c r="BJ110" s="25" t="n"/>
      <c r="BK110" s="26" t="n">
        <v>-104</v>
      </c>
      <c r="BL110" s="27" t="n">
        <v>1.961538</v>
      </c>
      <c r="BM110" s="28" t="n">
        <v>0.509804</v>
      </c>
      <c r="BN110" s="28" t="n">
        <v>0.507463</v>
      </c>
      <c r="BO110" s="28" t="n"/>
      <c r="BP110" s="25" t="n"/>
      <c r="BQ110" s="27" t="n">
        <v>1.961538</v>
      </c>
      <c r="BR110" s="28" t="n">
        <v>0.51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inlineStr">
        <is>
          <t>0.4559426507</t>
        </is>
      </c>
      <c r="CD110" s="24" t="inlineStr">
        <is>
          <t>-1.582476</t>
        </is>
      </c>
      <c r="CE110" s="24" t="inlineStr">
        <is>
          <t>1.01</t>
        </is>
      </c>
      <c r="CF110" s="24" t="n"/>
      <c r="CG110" s="24" t="n"/>
      <c r="CH110" s="24" t="inlineStr">
        <is>
          <t>1.02</t>
        </is>
      </c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63de2dfbf1a84729</t>
        </is>
      </c>
      <c r="B111" s="24" t="inlineStr">
        <is>
          <t>2026-07-28T23:38:20.366083Z</t>
        </is>
      </c>
      <c r="C111" s="24" t="inlineStr">
        <is>
          <t>2026-07-28T22:00:00-0400</t>
        </is>
      </c>
      <c r="D111" s="24" t="inlineStr">
        <is>
          <t>401857096</t>
        </is>
      </c>
      <c r="E111" s="24" t="inlineStr">
        <is>
          <t>WNBA</t>
        </is>
      </c>
      <c r="F111" s="24" t="inlineStr">
        <is>
          <t>New York Liberty</t>
        </is>
      </c>
      <c r="G111" s="24" t="inlineStr">
        <is>
          <t>Los Angeles Sparks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0.571136</v>
      </c>
      <c r="P111" s="28" t="n"/>
      <c r="Q111" s="28" t="n">
        <v>-0.06915200000000001</v>
      </c>
      <c r="R111" s="26" t="n">
        <v>0</v>
      </c>
      <c r="S111" s="29" t="n">
        <v>1.25</v>
      </c>
      <c r="T111" s="24" t="inlineStr">
        <is>
          <t>wnba-elo-trend-lr-v4</t>
        </is>
      </c>
      <c r="U111" s="24" t="inlineStr">
        <is>
          <t>settled</t>
        </is>
      </c>
      <c r="V111" s="24" t="inlineStr">
        <is>
          <t>win</t>
        </is>
      </c>
      <c r="W111" s="26" t="n">
        <v>113</v>
      </c>
      <c r="X111" s="26" t="n">
        <v>109</v>
      </c>
      <c r="Y111" s="25" t="n"/>
      <c r="Z111" s="26" t="n"/>
      <c r="AA111" s="28" t="n"/>
      <c r="AB111" s="28" t="n"/>
      <c r="AC111" s="30" t="n">
        <v>0.7022</v>
      </c>
      <c r="AD111" s="24" t="inlineStr">
        <is>
          <t>2026-07-29T05:44:56.782128Z</t>
        </is>
      </c>
      <c r="AE111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111" s="31" t="inlineStr">
        <is>
          <t>Learned model; shadow-qualified via operator override.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wnba-nyl</t>
        </is>
      </c>
      <c r="AQ111" s="24" t="inlineStr">
        <is>
          <t>New York Liberty</t>
        </is>
      </c>
      <c r="AR111" s="24" t="inlineStr">
        <is>
          <t>New York Liberty</t>
        </is>
      </c>
      <c r="AS111" s="24" t="inlineStr">
        <is>
          <t>wnba-las</t>
        </is>
      </c>
      <c r="AT111" s="24" t="inlineStr">
        <is>
          <t>Los Angeles Sparks</t>
        </is>
      </c>
      <c r="AU111" s="24" t="inlineStr">
        <is>
          <t>Los Angeles Sparks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7afd5274214b58b7efd7f7febc7be3ab33b92351cda5cc6403c0a39faea0cc8c</t>
        </is>
      </c>
      <c r="BB111" s="24" t="inlineStr">
        <is>
          <t>learned_lr</t>
        </is>
      </c>
      <c r="BC111" s="24" t="inlineStr">
        <is>
          <t>wnba-elo-trend-lr-v4</t>
        </is>
      </c>
      <c r="BD111" s="24" t="inlineStr">
        <is>
          <t>7afd5274214b58b7efd7f7febc7be3ab33b92351cda5cc6403c0a39faea0cc8c</t>
        </is>
      </c>
      <c r="BE111" s="24" t="inlineStr">
        <is>
          <t>cdebf9ad1de7512e</t>
        </is>
      </c>
      <c r="BF111" s="24" t="inlineStr">
        <is>
          <t>1</t>
        </is>
      </c>
      <c r="BG111" s="24" t="inlineStr">
        <is>
          <t>wnba-elo-trend-lr-v4</t>
        </is>
      </c>
      <c r="BH111" s="24" t="inlineStr">
        <is>
          <t>2026-07-28T23:37:58.046318Z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>
        <v>0.633663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inlineStr">
        <is>
          <t>0.4096120487</t>
        </is>
      </c>
      <c r="CD111" s="24" t="inlineStr">
        <is>
          <t>-1.261801</t>
        </is>
      </c>
      <c r="CE111" s="24" t="n"/>
      <c r="CF111" s="24" t="n"/>
      <c r="CG111" s="24" t="n"/>
      <c r="CH111" s="24" t="n"/>
      <c r="CI111" s="24" t="inlineStr">
        <is>
          <t>wnba_availability_source_conflict</t>
        </is>
      </c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5faea5ea2be7499d</t>
        </is>
      </c>
      <c r="B112" s="24" t="inlineStr">
        <is>
          <t>2026-07-28T23:38:20.366083Z</t>
        </is>
      </c>
      <c r="C112" s="24" t="inlineStr">
        <is>
          <t>2026-07-28T21:40:00-0400</t>
        </is>
      </c>
      <c r="D112" s="24" t="inlineStr">
        <is>
          <t>401816302</t>
        </is>
      </c>
      <c r="E112" s="24" t="inlineStr">
        <is>
          <t>MLB</t>
        </is>
      </c>
      <c r="F112" s="24" t="inlineStr">
        <is>
          <t>Boston Red Sox</t>
        </is>
      </c>
      <c r="G112" s="24" t="inlineStr">
        <is>
          <t>Athletics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-138</v>
      </c>
      <c r="M112" s="27" t="n">
        <v>1.724638</v>
      </c>
      <c r="N112" s="28" t="n">
        <v>0.579832</v>
      </c>
      <c r="O112" s="28" t="n">
        <v>0.594494</v>
      </c>
      <c r="P112" s="28" t="n"/>
      <c r="Q112" s="28" t="n">
        <v>0.014662</v>
      </c>
      <c r="R112" s="26" t="n">
        <v>29</v>
      </c>
      <c r="S112" s="29" t="n">
        <v>1.5</v>
      </c>
      <c r="T112" s="24" t="inlineStr">
        <is>
          <t>mlb-elo-trend-lr-v6</t>
        </is>
      </c>
      <c r="U112" s="24" t="inlineStr">
        <is>
          <t>settled</t>
        </is>
      </c>
      <c r="V112" s="24" t="inlineStr">
        <is>
          <t>loss</t>
        </is>
      </c>
      <c r="W112" s="26" t="n">
        <v>3</v>
      </c>
      <c r="X112" s="26" t="n">
        <v>4</v>
      </c>
      <c r="Y112" s="25" t="n"/>
      <c r="Z112" s="26" t="n">
        <v>-138</v>
      </c>
      <c r="AA112" s="28" t="n">
        <v>0.58</v>
      </c>
      <c r="AB112" s="28" t="n">
        <v>0.000168</v>
      </c>
      <c r="AC112" s="30" t="n">
        <v>-1.5</v>
      </c>
      <c r="AD112" s="24" t="inlineStr">
        <is>
          <t>2026-07-29T05:44:57.187491Z</t>
        </is>
      </c>
      <c r="AE112" s="31" t="inlineStr">
        <is>
          <t>Learned LR call at threshold 0.5690; executable ask 0.5800 (aec-mlb-bos-ath-2026-07-28).</t>
        </is>
      </c>
      <c r="AF112" s="31" t="inlineStr">
        <is>
          <t>Learned model; shadow-qualified via operator override.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mlb-bos</t>
        </is>
      </c>
      <c r="AQ112" s="24" t="inlineStr">
        <is>
          <t>Boston Red Sox</t>
        </is>
      </c>
      <c r="AR112" s="24" t="inlineStr">
        <is>
          <t>Boston Red Sox</t>
        </is>
      </c>
      <c r="AS112" s="24" t="inlineStr">
        <is>
          <t>mlb-ath</t>
        </is>
      </c>
      <c r="AT112" s="24" t="inlineStr">
        <is>
          <t>Athletics</t>
        </is>
      </c>
      <c r="AU112" s="24" t="inlineStr">
        <is>
          <t>Athletics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0633355b1144e4205ca6d08e3f328d99cab0970358846bd77228f3bcbfcd70ee</t>
        </is>
      </c>
      <c r="BB112" s="24" t="inlineStr">
        <is>
          <t>learned_lr</t>
        </is>
      </c>
      <c r="BC112" s="24" t="inlineStr">
        <is>
          <t>mlb-elo-trend-lr-v6</t>
        </is>
      </c>
      <c r="BD112" s="24" t="inlineStr">
        <is>
          <t>0633355b1144e4205ca6d08e3f328d99cab0970358846bd77228f3bcbfcd70ee</t>
        </is>
      </c>
      <c r="BE112" s="24" t="inlineStr">
        <is>
          <t>13824f8603c8d612</t>
        </is>
      </c>
      <c r="BF112" s="24" t="inlineStr">
        <is>
          <t>1</t>
        </is>
      </c>
      <c r="BG112" s="24" t="inlineStr">
        <is>
          <t>mlb-elo-trend-lr-v6</t>
        </is>
      </c>
      <c r="BH112" s="24" t="inlineStr">
        <is>
          <t>2026-07-28T23:37:50.802349Z</t>
        </is>
      </c>
      <c r="BI112" s="24" t="inlineStr">
        <is>
          <t>["same_event","same_team_same_day","same_league_same_day"]</t>
        </is>
      </c>
      <c r="BJ112" s="25" t="n"/>
      <c r="BK112" s="26" t="n">
        <v>-138</v>
      </c>
      <c r="BL112" s="27" t="n">
        <v>1.724638</v>
      </c>
      <c r="BM112" s="28" t="n">
        <v>0.579832</v>
      </c>
      <c r="BN112" s="28" t="n">
        <v>0.577114</v>
      </c>
      <c r="BO112" s="28" t="n"/>
      <c r="BP112" s="25" t="n"/>
      <c r="BQ112" s="27" t="n">
        <v>1.724638</v>
      </c>
      <c r="BR112" s="28" t="n">
        <v>0.58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inlineStr">
        <is>
          <t>0.3891185316</t>
        </is>
      </c>
      <c r="CD112" s="24" t="inlineStr">
        <is>
          <t>-1.066043</t>
        </is>
      </c>
      <c r="CE112" s="24" t="inlineStr">
        <is>
          <t>0.98</t>
        </is>
      </c>
      <c r="CF112" s="24" t="n"/>
      <c r="CG112" s="24" t="n"/>
      <c r="CH112" s="24" t="inlineStr">
        <is>
          <t>1.84</t>
        </is>
      </c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1c15d0d764b9471b</t>
        </is>
      </c>
      <c r="B113" s="24" t="inlineStr">
        <is>
          <t>2026-07-28T23:38:20.366083Z</t>
        </is>
      </c>
      <c r="C113" s="24" t="inlineStr">
        <is>
          <t>2026-07-28T21:40:00-0400</t>
        </is>
      </c>
      <c r="D113" s="24" t="inlineStr">
        <is>
          <t>401816303</t>
        </is>
      </c>
      <c r="E113" s="24" t="inlineStr">
        <is>
          <t>MLB</t>
        </is>
      </c>
      <c r="F113" s="24" t="inlineStr">
        <is>
          <t>Colorado Rockies</t>
        </is>
      </c>
      <c r="G113" s="24" t="inlineStr">
        <is>
          <t>San Diego Padres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-213</v>
      </c>
      <c r="M113" s="27" t="n">
        <v>1.469484</v>
      </c>
      <c r="N113" s="28" t="n">
        <v>0.680511</v>
      </c>
      <c r="O113" s="28" t="n">
        <v>0.7310950000000001</v>
      </c>
      <c r="P113" s="28" t="n"/>
      <c r="Q113" s="28" t="n">
        <v>0.050584</v>
      </c>
      <c r="R113" s="26" t="n">
        <v>47</v>
      </c>
      <c r="S113" s="29" t="n">
        <v>2</v>
      </c>
      <c r="T113" s="24" t="inlineStr">
        <is>
          <t>mlb-elo-trend-lr-v6</t>
        </is>
      </c>
      <c r="U113" s="24" t="inlineStr">
        <is>
          <t>settled</t>
        </is>
      </c>
      <c r="V113" s="24" t="inlineStr">
        <is>
          <t>win</t>
        </is>
      </c>
      <c r="W113" s="26" t="n">
        <v>7</v>
      </c>
      <c r="X113" s="26" t="n">
        <v>8</v>
      </c>
      <c r="Y113" s="25" t="n"/>
      <c r="Z113" s="26" t="n">
        <v>-213</v>
      </c>
      <c r="AA113" s="28" t="n">
        <v>0.68</v>
      </c>
      <c r="AB113" s="28" t="n">
        <v>-0.000511</v>
      </c>
      <c r="AC113" s="30" t="n">
        <v>0.9389999999999999</v>
      </c>
      <c r="AD113" s="24" t="inlineStr">
        <is>
          <t>2026-07-29T05:44:57.546424Z</t>
        </is>
      </c>
      <c r="AE113" s="31" t="inlineStr">
        <is>
          <t>Learned LR call at threshold 0.5690; executable ask 0.6800 (aec-mlb-col-sd-2026-07-28).</t>
        </is>
      </c>
      <c r="AF113" s="31" t="inlineStr">
        <is>
          <t>Learned model; shadow-qualified via operator override.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mlb-col</t>
        </is>
      </c>
      <c r="AQ113" s="24" t="inlineStr">
        <is>
          <t>Colorado Rockies</t>
        </is>
      </c>
      <c r="AR113" s="24" t="inlineStr">
        <is>
          <t>Colorado Rockies</t>
        </is>
      </c>
      <c r="AS113" s="24" t="inlineStr">
        <is>
          <t>mlb-sd</t>
        </is>
      </c>
      <c r="AT113" s="24" t="inlineStr">
        <is>
          <t>San Diego Padres</t>
        </is>
      </c>
      <c r="AU113" s="24" t="inlineStr">
        <is>
          <t>San Diego Padres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0633355b1144e4205ca6d08e3f328d99cab0970358846bd77228f3bcbfcd70ee</t>
        </is>
      </c>
      <c r="BB113" s="24" t="inlineStr">
        <is>
          <t>learned_lr</t>
        </is>
      </c>
      <c r="BC113" s="24" t="inlineStr">
        <is>
          <t>mlb-elo-trend-lr-v6</t>
        </is>
      </c>
      <c r="BD113" s="24" t="inlineStr">
        <is>
          <t>0633355b1144e4205ca6d08e3f328d99cab0970358846bd77228f3bcbfcd70ee</t>
        </is>
      </c>
      <c r="BE113" s="24" t="inlineStr">
        <is>
          <t>7af36682a5486cf7</t>
        </is>
      </c>
      <c r="BF113" s="24" t="inlineStr">
        <is>
          <t>1</t>
        </is>
      </c>
      <c r="BG113" s="24" t="inlineStr">
        <is>
          <t>mlb-elo-trend-lr-v6</t>
        </is>
      </c>
      <c r="BH113" s="24" t="inlineStr">
        <is>
          <t>2026-07-28T23:37:49.975579Z</t>
        </is>
      </c>
      <c r="BI113" s="24" t="inlineStr">
        <is>
          <t>["same_event","same_team_same_day","same_league_same_day"]</t>
        </is>
      </c>
      <c r="BJ113" s="25" t="n"/>
      <c r="BK113" s="26" t="n">
        <v>-213</v>
      </c>
      <c r="BL113" s="27" t="n">
        <v>1.469484</v>
      </c>
      <c r="BM113" s="28" t="n">
        <v>0.680511</v>
      </c>
      <c r="BN113" s="28" t="n">
        <v>0.676617</v>
      </c>
      <c r="BO113" s="28" t="n"/>
      <c r="BP113" s="25" t="n"/>
      <c r="BQ113" s="27" t="n">
        <v>1.469484</v>
      </c>
      <c r="BR113" s="28" t="n">
        <v>0.68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inlineStr">
        <is>
          <t>0.6881581363</t>
        </is>
      </c>
      <c r="CD113" s="24" t="inlineStr">
        <is>
          <t>2.156212</t>
        </is>
      </c>
      <c r="CE113" s="24" t="inlineStr">
        <is>
          <t>0.95</t>
        </is>
      </c>
      <c r="CF113" s="24" t="n"/>
      <c r="CG113" s="24" t="n"/>
      <c r="CH113" s="24" t="inlineStr">
        <is>
          <t>-3.29</t>
        </is>
      </c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d33684de464b4cd9</t>
        </is>
      </c>
      <c r="B114" s="24" t="inlineStr">
        <is>
          <t>2026-07-28T23:38:20.366083Z</t>
        </is>
      </c>
      <c r="C114" s="24" t="inlineStr">
        <is>
          <t>2026-07-28T21:45:00-0400</t>
        </is>
      </c>
      <c r="D114" s="24" t="inlineStr">
        <is>
          <t>401816305</t>
        </is>
      </c>
      <c r="E114" s="24" t="inlineStr">
        <is>
          <t>MLB</t>
        </is>
      </c>
      <c r="F114" s="24" t="inlineStr">
        <is>
          <t>Milwaukee Brewers</t>
        </is>
      </c>
      <c r="G114" s="24" t="inlineStr">
        <is>
          <t>San Francisco Giants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-141</v>
      </c>
      <c r="M114" s="27" t="n">
        <v>1.70922</v>
      </c>
      <c r="N114" s="28" t="n">
        <v>0.585062</v>
      </c>
      <c r="O114" s="28" t="n">
        <v>0.551473</v>
      </c>
      <c r="P114" s="28" t="n"/>
      <c r="Q114" s="28" t="n">
        <v>-0.033589</v>
      </c>
      <c r="R114" s="26" t="n">
        <v>5</v>
      </c>
      <c r="S114" s="29" t="n">
        <v>1</v>
      </c>
      <c r="T114" s="24" t="inlineStr">
        <is>
          <t>mlb-elo-trend-lr-v6</t>
        </is>
      </c>
      <c r="U114" s="24" t="inlineStr">
        <is>
          <t>settled</t>
        </is>
      </c>
      <c r="V114" s="24" t="inlineStr">
        <is>
          <t>win</t>
        </is>
      </c>
      <c r="W114" s="26" t="n">
        <v>8</v>
      </c>
      <c r="X114" s="26" t="n">
        <v>2</v>
      </c>
      <c r="Y114" s="25" t="n"/>
      <c r="Z114" s="26" t="n">
        <v>-141</v>
      </c>
      <c r="AA114" s="28" t="n">
        <v>0.585</v>
      </c>
      <c r="AB114" s="28" t="n">
        <v>-6.2e-05</v>
      </c>
      <c r="AC114" s="30" t="n">
        <v>0.7092000000000001</v>
      </c>
      <c r="AD114" s="24" t="inlineStr">
        <is>
          <t>2026-07-29T05:44:57.907166Z</t>
        </is>
      </c>
      <c r="AE114" s="31" t="inlineStr">
        <is>
          <t>Learned LR call at threshold 0.5690; executable ask 0.5850 (aec-mlb-mil-sf-2026-07-28).</t>
        </is>
      </c>
      <c r="AF114" s="31" t="inlineStr">
        <is>
          <t>Learned model; shadow-qualified via operator override.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mlb-mil</t>
        </is>
      </c>
      <c r="AQ114" s="24" t="inlineStr">
        <is>
          <t>Milwaukee Brewers</t>
        </is>
      </c>
      <c r="AR114" s="24" t="inlineStr">
        <is>
          <t>Milwaukee Brewers</t>
        </is>
      </c>
      <c r="AS114" s="24" t="inlineStr">
        <is>
          <t>mlb-sf</t>
        </is>
      </c>
      <c r="AT114" s="24" t="inlineStr">
        <is>
          <t>San Francisco Giants</t>
        </is>
      </c>
      <c r="AU114" s="24" t="inlineStr">
        <is>
          <t>San Francisco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0633355b1144e4205ca6d08e3f328d99cab0970358846bd77228f3bcbfcd70ee</t>
        </is>
      </c>
      <c r="BB114" s="24" t="inlineStr">
        <is>
          <t>learned_lr</t>
        </is>
      </c>
      <c r="BC114" s="24" t="inlineStr">
        <is>
          <t>mlb-elo-trend-lr-v6</t>
        </is>
      </c>
      <c r="BD114" s="24" t="inlineStr">
        <is>
          <t>0633355b1144e4205ca6d08e3f328d99cab0970358846bd77228f3bcbfcd70ee</t>
        </is>
      </c>
      <c r="BE114" s="24" t="inlineStr">
        <is>
          <t>df15ad699cf8d76f</t>
        </is>
      </c>
      <c r="BF114" s="24" t="inlineStr">
        <is>
          <t>1</t>
        </is>
      </c>
      <c r="BG114" s="24" t="inlineStr">
        <is>
          <t>mlb-elo-trend-lr-v6</t>
        </is>
      </c>
      <c r="BH114" s="24" t="inlineStr">
        <is>
          <t>2026-07-28T23:37:51.567023Z</t>
        </is>
      </c>
      <c r="BI114" s="24" t="inlineStr">
        <is>
          <t>["same_event","same_team_same_day","same_league_same_day"]</t>
        </is>
      </c>
      <c r="BJ114" s="25" t="n"/>
      <c r="BK114" s="26" t="n">
        <v>-141</v>
      </c>
      <c r="BL114" s="27" t="n">
        <v>1.70922</v>
      </c>
      <c r="BM114" s="28" t="n">
        <v>0.585062</v>
      </c>
      <c r="BN114" s="28" t="n">
        <v>0.58209</v>
      </c>
      <c r="BO114" s="28" t="n"/>
      <c r="BP114" s="25" t="n"/>
      <c r="BQ114" s="27" t="n">
        <v>1.70922</v>
      </c>
      <c r="BR114" s="28" t="n">
        <v>0.585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inlineStr">
        <is>
          <t>0.386809701</t>
        </is>
      </c>
      <c r="CD114" s="24" t="inlineStr">
        <is>
          <t>0.729859</t>
        </is>
      </c>
      <c r="CE114" s="24" t="inlineStr">
        <is>
          <t>0.96</t>
        </is>
      </c>
      <c r="CF114" s="24" t="n"/>
      <c r="CG114" s="24" t="n"/>
      <c r="CH114" s="24" t="inlineStr">
        <is>
          <t>0.88</t>
        </is>
      </c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b5983394e0834174</t>
        </is>
      </c>
      <c r="B115" s="24" t="inlineStr">
        <is>
          <t>2026-07-28T23:38:20.366083Z</t>
        </is>
      </c>
      <c r="C115" s="24" t="inlineStr">
        <is>
          <t>2026-07-28T22:10:00-0400</t>
        </is>
      </c>
      <c r="D115" s="24" t="inlineStr">
        <is>
          <t>401816306</t>
        </is>
      </c>
      <c r="E115" s="24" t="inlineStr">
        <is>
          <t>MLB</t>
        </is>
      </c>
      <c r="F115" s="24" t="inlineStr">
        <is>
          <t>Seattle Mariners</t>
        </is>
      </c>
      <c r="G115" s="24" t="inlineStr">
        <is>
          <t>Los Angeles Dodgers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-213</v>
      </c>
      <c r="M115" s="27" t="n">
        <v>1.469484</v>
      </c>
      <c r="N115" s="28" t="n">
        <v>0.680511</v>
      </c>
      <c r="O115" s="28" t="n">
        <v>0.690607</v>
      </c>
      <c r="P115" s="28" t="n"/>
      <c r="Q115" s="28" t="n">
        <v>0.010096</v>
      </c>
      <c r="R115" s="26" t="n">
        <v>27</v>
      </c>
      <c r="S115" s="29" t="n">
        <v>2</v>
      </c>
      <c r="T115" s="24" t="inlineStr">
        <is>
          <t>mlb-elo-trend-lr-v6</t>
        </is>
      </c>
      <c r="U115" s="24" t="inlineStr">
        <is>
          <t>settled</t>
        </is>
      </c>
      <c r="V115" s="24" t="inlineStr">
        <is>
          <t>loss</t>
        </is>
      </c>
      <c r="W115" s="26" t="n">
        <v>7</v>
      </c>
      <c r="X115" s="26" t="n">
        <v>6</v>
      </c>
      <c r="Y115" s="25" t="n"/>
      <c r="Z115" s="26" t="n">
        <v>-213</v>
      </c>
      <c r="AA115" s="28" t="n">
        <v>0.68</v>
      </c>
      <c r="AB115" s="28" t="n">
        <v>-0.000511</v>
      </c>
      <c r="AC115" s="30" t="n">
        <v>-2</v>
      </c>
      <c r="AD115" s="24" t="inlineStr">
        <is>
          <t>2026-07-29T05:44:58.269630Z</t>
        </is>
      </c>
      <c r="AE115" s="31" t="inlineStr">
        <is>
          <t>Learned LR call at threshold 0.5690; executable ask 0.6800 (aec-mlb-sea-lad-2026-07-28).</t>
        </is>
      </c>
      <c r="AF115" s="31" t="inlineStr">
        <is>
          <t>Learned model; shadow-qualified via operator override.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mlb-sea</t>
        </is>
      </c>
      <c r="AQ115" s="24" t="inlineStr">
        <is>
          <t>Seattle Mariners</t>
        </is>
      </c>
      <c r="AR115" s="24" t="inlineStr">
        <is>
          <t>Seattle Mariners</t>
        </is>
      </c>
      <c r="AS115" s="24" t="inlineStr">
        <is>
          <t>mlb-lad</t>
        </is>
      </c>
      <c r="AT115" s="24" t="inlineStr">
        <is>
          <t>Los Angeles Dodgers</t>
        </is>
      </c>
      <c r="AU115" s="24" t="inlineStr">
        <is>
          <t>Los Angeles Dodgers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0633355b1144e4205ca6d08e3f328d99cab0970358846bd77228f3bcbfcd70ee</t>
        </is>
      </c>
      <c r="BB115" s="24" t="inlineStr">
        <is>
          <t>learned_lr</t>
        </is>
      </c>
      <c r="BC115" s="24" t="inlineStr">
        <is>
          <t>mlb-elo-trend-lr-v6</t>
        </is>
      </c>
      <c r="BD115" s="24" t="inlineStr">
        <is>
          <t>0633355b1144e4205ca6d08e3f328d99cab0970358846bd77228f3bcbfcd70ee</t>
        </is>
      </c>
      <c r="BE115" s="24" t="inlineStr">
        <is>
          <t>c0be61a1b000c85d</t>
        </is>
      </c>
      <c r="BF115" s="24" t="inlineStr">
        <is>
          <t>1</t>
        </is>
      </c>
      <c r="BG115" s="24" t="inlineStr">
        <is>
          <t>mlb-elo-trend-lr-v6</t>
        </is>
      </c>
      <c r="BH115" s="24" t="inlineStr">
        <is>
          <t>2026-07-28T23:37:52.833077Z</t>
        </is>
      </c>
      <c r="BI115" s="24" t="inlineStr">
        <is>
          <t>["same_event","same_team_same_day","same_league_same_day"]</t>
        </is>
      </c>
      <c r="BJ115" s="25" t="n"/>
      <c r="BK115" s="26" t="n">
        <v>-213</v>
      </c>
      <c r="BL115" s="27" t="n">
        <v>1.469484</v>
      </c>
      <c r="BM115" s="28" t="n">
        <v>0.680511</v>
      </c>
      <c r="BN115" s="28" t="n">
        <v>0.676617</v>
      </c>
      <c r="BO115" s="28" t="n"/>
      <c r="BP115" s="25" t="n"/>
      <c r="BQ115" s="27" t="n">
        <v>1.469484</v>
      </c>
      <c r="BR115" s="28" t="n">
        <v>0.68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inlineStr">
        <is>
          <t>0.6258863376</t>
        </is>
      </c>
      <c r="CD115" s="24" t="inlineStr">
        <is>
          <t>-0.186858</t>
        </is>
      </c>
      <c r="CE115" s="24" t="inlineStr">
        <is>
          <t>0.99</t>
        </is>
      </c>
      <c r="CF115" s="24" t="n"/>
      <c r="CG115" s="24" t="n"/>
      <c r="CH115" s="24" t="inlineStr">
        <is>
          <t>-2.23</t>
        </is>
      </c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0d3535aef651454f</t>
        </is>
      </c>
      <c r="B116" s="24" t="inlineStr">
        <is>
          <t>2026-07-28T23:38:30.230753Z</t>
        </is>
      </c>
      <c r="C116" s="24" t="inlineStr">
        <is>
          <t>2026-07-28T23:40Z</t>
        </is>
      </c>
      <c r="D116" s="24" t="inlineStr">
        <is>
          <t>401816300</t>
        </is>
      </c>
      <c r="E116" s="24" t="inlineStr">
        <is>
          <t>MLB</t>
        </is>
      </c>
      <c r="F116" s="24" t="inlineStr">
        <is>
          <t>Kansas City Royals</t>
        </is>
      </c>
      <c r="G116" s="24" t="inlineStr">
        <is>
          <t>Minnesota Twins</t>
        </is>
      </c>
      <c r="H116" s="24" t="inlineStr">
        <is>
          <t>spread</t>
        </is>
      </c>
      <c r="I116" s="24" t="inlineStr">
        <is>
          <t>home</t>
        </is>
      </c>
      <c r="J116" s="25" t="n">
        <v>-1.5</v>
      </c>
      <c r="K116" s="24" t="inlineStr">
        <is>
          <t>polymarket_us</t>
        </is>
      </c>
      <c r="L116" s="26" t="n">
        <v>120</v>
      </c>
      <c r="M116" s="27" t="n">
        <v>2.2</v>
      </c>
      <c r="N116" s="28" t="n">
        <v>0.454545</v>
      </c>
      <c r="O116" s="28" t="n">
        <v>0.536465</v>
      </c>
      <c r="P116" s="28" t="n">
        <v>0.047697</v>
      </c>
      <c r="Q116" s="28" t="n">
        <v>0.08192000000000001</v>
      </c>
      <c r="R116" s="26" t="n">
        <v>62</v>
      </c>
      <c r="S116" s="29" t="n">
        <v>0</v>
      </c>
      <c r="T116" s="24" t="inlineStr">
        <is>
          <t>measured-edge-margin-v1</t>
        </is>
      </c>
      <c r="U116" s="24" t="inlineStr">
        <is>
          <t>settled</t>
        </is>
      </c>
      <c r="V116" s="24" t="inlineStr">
        <is>
          <t>loss</t>
        </is>
      </c>
      <c r="W116" s="26" t="n">
        <v>2</v>
      </c>
      <c r="X116" s="26" t="n">
        <v>3</v>
      </c>
      <c r="Y116" s="25" t="n">
        <v>-1.5</v>
      </c>
      <c r="Z116" s="26" t="n">
        <v>120</v>
      </c>
      <c r="AA116" s="28" t="n">
        <v>0.455</v>
      </c>
      <c r="AB116" s="28" t="n">
        <v>0.000455</v>
      </c>
      <c r="AC116" s="30" t="n">
        <v>0</v>
      </c>
      <c r="AD116" s="24" t="inlineStr">
        <is>
          <t>2026-07-29T02:41:32.965005Z</t>
        </is>
      </c>
      <c r="AE116" s="31" t="inlineStr">
        <is>
          <t>Measured Edge Margin: Trend Engine projected 3.08-5.15; raw selected-side p=0.5429, calibrated p=0.5365.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mlb-kc</t>
        </is>
      </c>
      <c r="AQ116" s="24" t="inlineStr">
        <is>
          <t>Kansas City Royals</t>
        </is>
      </c>
      <c r="AR116" s="24" t="inlineStr">
        <is>
          <t>Kansas City Royals</t>
        </is>
      </c>
      <c r="AS116" s="24" t="inlineStr">
        <is>
          <t>mlb-min</t>
        </is>
      </c>
      <c r="AT116" s="24" t="inlineStr">
        <is>
          <t>Minnesota Twins</t>
        </is>
      </c>
      <c r="AU116" s="24" t="inlineStr">
        <is>
          <t>Minnesota Twins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bd86494ed21c6a0389ab0efcf4b8a5bb7b9f8f8786b6d5fb9da69d8cf0a70bdc</t>
        </is>
      </c>
      <c r="BB116" s="24" t="inlineStr">
        <is>
          <t>flat_probability_shrinkage_toward_half</t>
        </is>
      </c>
      <c r="BC116" s="24" t="inlineStr">
        <is>
          <t>measured-edge-margin-v1</t>
        </is>
      </c>
      <c r="BD116" s="24" t="inlineStr">
        <is>
          <t>bd86494ed21c6a0389ab0efcf4b8a5bb7b9f8f8786b6d5fb9da69d8cf0a70bdc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2026-07-28T23:38:30.230753Z</t>
        </is>
      </c>
      <c r="BI116" s="24" t="inlineStr">
        <is>
          <t>["same_event","same_team_same_day","same_league_same_day"]</t>
        </is>
      </c>
      <c r="BJ116" s="25" t="n">
        <v>-1.5</v>
      </c>
      <c r="BK116" s="26" t="n">
        <v>120</v>
      </c>
      <c r="BL116" s="27" t="n">
        <v>2.2</v>
      </c>
      <c r="BM116" s="28" t="n">
        <v>0.454545</v>
      </c>
      <c r="BN116" s="28" t="n">
        <v>0.452736</v>
      </c>
      <c r="BO116" s="28" t="n"/>
      <c r="BP116" s="25" t="n"/>
      <c r="BQ116" s="27" t="n">
        <v>2.2</v>
      </c>
      <c r="BR116" s="28" t="n">
        <v>0.455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1b32fcf2e35e4a2f</t>
        </is>
      </c>
      <c r="B117" s="24" t="inlineStr">
        <is>
          <t>2026-07-28T23:38:30.230753Z</t>
        </is>
      </c>
      <c r="C117" s="24" t="inlineStr">
        <is>
          <t>2026-07-28T23:40Z</t>
        </is>
      </c>
      <c r="D117" s="24" t="inlineStr">
        <is>
          <t>401816300</t>
        </is>
      </c>
      <c r="E117" s="24" t="inlineStr">
        <is>
          <t>MLB</t>
        </is>
      </c>
      <c r="F117" s="24" t="inlineStr">
        <is>
          <t>Kansas City Royals</t>
        </is>
      </c>
      <c r="G117" s="24" t="inlineStr">
        <is>
          <t>Minnesota Twins</t>
        </is>
      </c>
      <c r="H117" s="24" t="inlineStr">
        <is>
          <t>total</t>
        </is>
      </c>
      <c r="I117" s="24" t="inlineStr">
        <is>
          <t>under</t>
        </is>
      </c>
      <c r="J117" s="25" t="n">
        <v>8.5</v>
      </c>
      <c r="K117" s="24" t="inlineStr">
        <is>
          <t>polymarket_us</t>
        </is>
      </c>
      <c r="L117" s="26" t="n">
        <v>125</v>
      </c>
      <c r="M117" s="27" t="n">
        <v>2.25</v>
      </c>
      <c r="N117" s="28" t="n">
        <v>0.444444</v>
      </c>
      <c r="O117" s="28" t="n">
        <v>0.54862</v>
      </c>
      <c r="P117" s="28" t="n">
        <v>0.047697</v>
      </c>
      <c r="Q117" s="28" t="n">
        <v>0.104176</v>
      </c>
      <c r="R117" s="26" t="n">
        <v>73</v>
      </c>
      <c r="S117" s="29" t="n">
        <v>0</v>
      </c>
      <c r="T117" s="24" t="inlineStr">
        <is>
          <t>measured-edge-totals-v1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3</v>
      </c>
      <c r="Y117" s="25" t="n">
        <v>8.5</v>
      </c>
      <c r="Z117" s="26" t="n">
        <v>125</v>
      </c>
      <c r="AA117" s="28" t="n">
        <v>0.445</v>
      </c>
      <c r="AB117" s="28" t="n">
        <v>0.000556</v>
      </c>
      <c r="AC117" s="30" t="n">
        <v>0</v>
      </c>
      <c r="AD117" s="24" t="inlineStr">
        <is>
          <t>2026-07-29T02:41:33.333299Z</t>
        </is>
      </c>
      <c r="AE117" s="31" t="inlineStr">
        <is>
          <t>Measured Edge Totals: Trend Engine projected 3.08-5.15; raw selected-side p=0.5572, calibrated p=0.5486.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mlb-kc</t>
        </is>
      </c>
      <c r="AQ117" s="24" t="inlineStr">
        <is>
          <t>Kansas City Royals</t>
        </is>
      </c>
      <c r="AR117" s="24" t="inlineStr">
        <is>
          <t>Kansas City Royals</t>
        </is>
      </c>
      <c r="AS117" s="24" t="inlineStr">
        <is>
          <t>mlb-min</t>
        </is>
      </c>
      <c r="AT117" s="24" t="inlineStr">
        <is>
          <t>Minnesota Twins</t>
        </is>
      </c>
      <c r="AU117" s="24" t="inlineStr">
        <is>
          <t>Minnesota Twins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0aa06c0f065ec20d43901d386280174165e2b07065216b6c7ffe72c98e322706</t>
        </is>
      </c>
      <c r="BB117" s="24" t="inlineStr">
        <is>
          <t>flat_probability_shrinkage_toward_half</t>
        </is>
      </c>
      <c r="BC117" s="24" t="inlineStr">
        <is>
          <t>measured-edge-totals-v1</t>
        </is>
      </c>
      <c r="BD117" s="24" t="inlineStr">
        <is>
          <t>0aa06c0f065ec20d43901d386280174165e2b07065216b6c7ffe72c98e322706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2026-07-28T23:38:30.230753Z</t>
        </is>
      </c>
      <c r="BI117" s="24" t="inlineStr">
        <is>
          <t>["same_event","same_team_same_day","same_league_same_day"]</t>
        </is>
      </c>
      <c r="BJ117" s="25" t="n">
        <v>8.5</v>
      </c>
      <c r="BK117" s="26" t="n">
        <v>125</v>
      </c>
      <c r="BL117" s="27" t="n">
        <v>2.25</v>
      </c>
      <c r="BM117" s="28" t="n">
        <v>0.444444</v>
      </c>
      <c r="BN117" s="28" t="n">
        <v>0.442786</v>
      </c>
      <c r="BO117" s="28" t="n"/>
      <c r="BP117" s="25" t="n"/>
      <c r="BQ117" s="27" t="n">
        <v>2.25</v>
      </c>
      <c r="BR117" s="28" t="n">
        <v>0.445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6268095044154520</t>
        </is>
      </c>
      <c r="B118" s="24" t="inlineStr">
        <is>
          <t>2026-07-28T23:38:30.230753Z</t>
        </is>
      </c>
      <c r="C118" s="24" t="inlineStr">
        <is>
          <t>2026-07-28T23:40Z</t>
        </is>
      </c>
      <c r="D118" s="24" t="inlineStr">
        <is>
          <t>401816301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White Sox</t>
        </is>
      </c>
      <c r="H118" s="24" t="inlineStr">
        <is>
          <t>spread</t>
        </is>
      </c>
      <c r="I118" s="24" t="inlineStr">
        <is>
          <t>home</t>
        </is>
      </c>
      <c r="J118" s="25" t="n">
        <v>1.5</v>
      </c>
      <c r="K118" s="24" t="inlineStr">
        <is>
          <t>polymarket_us</t>
        </is>
      </c>
      <c r="L118" s="26" t="n">
        <v>-156</v>
      </c>
      <c r="M118" s="27" t="n">
        <v>1.641026</v>
      </c>
      <c r="N118" s="28" t="n">
        <v>0.609375</v>
      </c>
      <c r="O118" s="28" t="n">
        <v>0.7085050000000001</v>
      </c>
      <c r="P118" s="28" t="n">
        <v>0.047697</v>
      </c>
      <c r="Q118" s="28" t="n">
        <v>0.09913</v>
      </c>
      <c r="R118" s="26" t="n">
        <v>71</v>
      </c>
      <c r="S118" s="29" t="n">
        <v>0</v>
      </c>
      <c r="T118" s="24" t="inlineStr">
        <is>
          <t>measured-edge-margin-v1</t>
        </is>
      </c>
      <c r="U118" s="24" t="inlineStr">
        <is>
          <t>settled</t>
        </is>
      </c>
      <c r="V118" s="24" t="inlineStr">
        <is>
          <t>win</t>
        </is>
      </c>
      <c r="W118" s="26" t="n">
        <v>3</v>
      </c>
      <c r="X118" s="26" t="n">
        <v>2</v>
      </c>
      <c r="Y118" s="25" t="n">
        <v>1.5</v>
      </c>
      <c r="Z118" s="26" t="n">
        <v>-156</v>
      </c>
      <c r="AA118" s="28" t="n">
        <v>0.61</v>
      </c>
      <c r="AB118" s="28" t="n">
        <v>0.000625</v>
      </c>
      <c r="AC118" s="30" t="n">
        <v>0</v>
      </c>
      <c r="AD118" s="24" t="inlineStr">
        <is>
          <t>2026-07-29T02:41:33.702819Z</t>
        </is>
      </c>
      <c r="AE118" s="31" t="inlineStr">
        <is>
          <t>Measured Edge Margin: Trend Engine projected 4.08-4.82; raw selected-side p=0.7453, calibrated p=0.7085.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mlb-cws</t>
        </is>
      </c>
      <c r="AT118" s="24" t="inlineStr">
        <is>
          <t>Chicago White Sox</t>
        </is>
      </c>
      <c r="AU118" s="24" t="inlineStr">
        <is>
          <t>Chicago White Sox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bd86494ed21c6a0389ab0efcf4b8a5bb7b9f8f8786b6d5fb9da69d8cf0a70bdc</t>
        </is>
      </c>
      <c r="BB118" s="24" t="inlineStr">
        <is>
          <t>flat_probability_shrinkage_toward_half</t>
        </is>
      </c>
      <c r="BC118" s="24" t="inlineStr">
        <is>
          <t>measured-edge-margin-v1</t>
        </is>
      </c>
      <c r="BD118" s="24" t="inlineStr">
        <is>
          <t>bd86494ed21c6a0389ab0efcf4b8a5bb7b9f8f8786b6d5fb9da69d8cf0a70bdc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2026-07-28T23:38:30.230753Z</t>
        </is>
      </c>
      <c r="BI118" s="24" t="inlineStr">
        <is>
          <t>["same_event","same_team_same_day","same_league_same_day"]</t>
        </is>
      </c>
      <c r="BJ118" s="25" t="n">
        <v>1.5</v>
      </c>
      <c r="BK118" s="26" t="n">
        <v>-156</v>
      </c>
      <c r="BL118" s="27" t="n">
        <v>1.641026</v>
      </c>
      <c r="BM118" s="28" t="n">
        <v>0.609375</v>
      </c>
      <c r="BN118" s="28" t="n">
        <v>0.606965</v>
      </c>
      <c r="BO118" s="28" t="n"/>
      <c r="BP118" s="25" t="n"/>
      <c r="BQ118" s="27" t="n">
        <v>1.641026</v>
      </c>
      <c r="BR118" s="28" t="n">
        <v>0.61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f34e3e2e66ed4447</t>
        </is>
      </c>
      <c r="B119" s="24" t="inlineStr">
        <is>
          <t>2026-07-28T23:38:30.230753Z</t>
        </is>
      </c>
      <c r="C119" s="24" t="inlineStr">
        <is>
          <t>2026-07-28T23:40Z</t>
        </is>
      </c>
      <c r="D119" s="24" t="inlineStr">
        <is>
          <t>401816301</t>
        </is>
      </c>
      <c r="E119" s="24" t="inlineStr">
        <is>
          <t>MLB</t>
        </is>
      </c>
      <c r="F119" s="24" t="inlineStr">
        <is>
          <t>New York Yankees</t>
        </is>
      </c>
      <c r="G119" s="24" t="inlineStr">
        <is>
          <t>Chicago White Sox</t>
        </is>
      </c>
      <c r="H119" s="24" t="inlineStr">
        <is>
          <t>total</t>
        </is>
      </c>
      <c r="I119" s="24" t="inlineStr">
        <is>
          <t>over</t>
        </is>
      </c>
      <c r="J119" s="25" t="n">
        <v>7.5</v>
      </c>
      <c r="K119" s="24" t="inlineStr">
        <is>
          <t>polymarket_us</t>
        </is>
      </c>
      <c r="L119" s="26" t="n">
        <v>-111</v>
      </c>
      <c r="M119" s="27" t="n">
        <v>1.900901</v>
      </c>
      <c r="N119" s="28" t="n">
        <v>0.526066</v>
      </c>
      <c r="O119" s="28" t="n">
        <v>0.568765</v>
      </c>
      <c r="P119" s="28" t="n">
        <v>0.047697</v>
      </c>
      <c r="Q119" s="28" t="n">
        <v>0.042699</v>
      </c>
      <c r="R119" s="26" t="n">
        <v>43</v>
      </c>
      <c r="S119" s="29" t="n">
        <v>0</v>
      </c>
      <c r="T119" s="24" t="inlineStr">
        <is>
          <t>measured-edge-totals-v1</t>
        </is>
      </c>
      <c r="U119" s="24" t="inlineStr">
        <is>
          <t>settled</t>
        </is>
      </c>
      <c r="V119" s="24" t="inlineStr">
        <is>
          <t>loss</t>
        </is>
      </c>
      <c r="W119" s="26" t="n">
        <v>3</v>
      </c>
      <c r="X119" s="26" t="n">
        <v>2</v>
      </c>
      <c r="Y119" s="25" t="n">
        <v>7.5</v>
      </c>
      <c r="Z119" s="26" t="n">
        <v>-111</v>
      </c>
      <c r="AA119" s="28" t="n">
        <v>0.525</v>
      </c>
      <c r="AB119" s="28" t="n">
        <v>-0.001066</v>
      </c>
      <c r="AC119" s="30" t="n">
        <v>0</v>
      </c>
      <c r="AD119" s="24" t="inlineStr">
        <is>
          <t>2026-07-29T02:41:34.081263Z</t>
        </is>
      </c>
      <c r="AE119" s="31" t="inlineStr">
        <is>
          <t>Measured Edge Totals: Trend Engine projected 4.08-4.82; raw selected-side p=0.5809, calibrated p=0.5688.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NO_CALL_MODEL_UNVALIDATED</t>
        </is>
      </c>
      <c r="AP119" s="24" t="inlineStr">
        <is>
          <t>mlb-nyy</t>
        </is>
      </c>
      <c r="AQ119" s="24" t="inlineStr">
        <is>
          <t>New York Yankees</t>
        </is>
      </c>
      <c r="AR119" s="24" t="inlineStr">
        <is>
          <t>New York Yankees</t>
        </is>
      </c>
      <c r="AS119" s="24" t="inlineStr">
        <is>
          <t>mlb-cws</t>
        </is>
      </c>
      <c r="AT119" s="24" t="inlineStr">
        <is>
          <t>Chicago White Sox</t>
        </is>
      </c>
      <c r="AU119" s="24" t="inlineStr">
        <is>
          <t>Chicago White Sox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0aa06c0f065ec20d43901d386280174165e2b07065216b6c7ffe72c98e322706</t>
        </is>
      </c>
      <c r="BB119" s="24" t="inlineStr">
        <is>
          <t>flat_probability_shrinkage_toward_half</t>
        </is>
      </c>
      <c r="BC119" s="24" t="inlineStr">
        <is>
          <t>measured-edge-totals-v1</t>
        </is>
      </c>
      <c r="BD119" s="24" t="inlineStr">
        <is>
          <t>0aa06c0f065ec20d43901d386280174165e2b07065216b6c7ffe72c98e322706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2026-07-28T23:38:30.230753Z</t>
        </is>
      </c>
      <c r="BI119" s="24" t="inlineStr">
        <is>
          <t>["same_event","same_team_same_day","same_league_same_day"]</t>
        </is>
      </c>
      <c r="BJ119" s="25" t="n">
        <v>7.5</v>
      </c>
      <c r="BK119" s="26" t="n">
        <v>-111</v>
      </c>
      <c r="BL119" s="27" t="n">
        <v>1.900901</v>
      </c>
      <c r="BM119" s="28" t="n">
        <v>0.526066</v>
      </c>
      <c r="BN119" s="28" t="n">
        <v>0.522388</v>
      </c>
      <c r="BO119" s="28" t="n"/>
      <c r="BP119" s="25" t="n"/>
      <c r="BQ119" s="27" t="n">
        <v>1.900901</v>
      </c>
      <c r="BR119" s="28" t="n">
        <v>0.525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cba8cd9694b04aa5</t>
        </is>
      </c>
      <c r="B120" s="24" t="inlineStr">
        <is>
          <t>2026-07-28T23:38:30.230753Z</t>
        </is>
      </c>
      <c r="C120" s="24" t="inlineStr">
        <is>
          <t>2026-07-28T23:45Z</t>
        </is>
      </c>
      <c r="D120" s="24" t="inlineStr">
        <is>
          <t>401816299</t>
        </is>
      </c>
      <c r="E120" s="24" t="inlineStr">
        <is>
          <t>MLB</t>
        </is>
      </c>
      <c r="F120" s="24" t="inlineStr">
        <is>
          <t>Chicago Cubs</t>
        </is>
      </c>
      <c r="G120" s="24" t="inlineStr">
        <is>
          <t>St. Louis Cardinals</t>
        </is>
      </c>
      <c r="H120" s="24" t="inlineStr">
        <is>
          <t>spread</t>
        </is>
      </c>
      <c r="I120" s="24" t="inlineStr">
        <is>
          <t>home</t>
        </is>
      </c>
      <c r="J120" s="25" t="n">
        <v>1.5</v>
      </c>
      <c r="K120" s="24" t="inlineStr">
        <is>
          <t>polymarket_us</t>
        </is>
      </c>
      <c r="L120" s="26" t="n">
        <v>-160</v>
      </c>
      <c r="M120" s="27" t="n">
        <v>1.625</v>
      </c>
      <c r="N120" s="28" t="n">
        <v>0.615385</v>
      </c>
      <c r="O120" s="28" t="n">
        <v>0.7631599999999999</v>
      </c>
      <c r="P120" s="28" t="n">
        <v>0.047697</v>
      </c>
      <c r="Q120" s="28" t="n">
        <v>0.147775</v>
      </c>
      <c r="R120" s="26" t="n">
        <v>95</v>
      </c>
      <c r="S120" s="29" t="n">
        <v>0</v>
      </c>
      <c r="T120" s="24" t="inlineStr">
        <is>
          <t>measured-edge-margin-v1</t>
        </is>
      </c>
      <c r="U120" s="24" t="inlineStr">
        <is>
          <t>settled</t>
        </is>
      </c>
      <c r="V120" s="24" t="inlineStr">
        <is>
          <t>loss</t>
        </is>
      </c>
      <c r="W120" s="26" t="n">
        <v>10</v>
      </c>
      <c r="X120" s="26" t="n">
        <v>2</v>
      </c>
      <c r="Y120" s="25" t="n">
        <v>1.5</v>
      </c>
      <c r="Z120" s="26" t="n">
        <v>-160</v>
      </c>
      <c r="AA120" s="28" t="n">
        <v>0.615</v>
      </c>
      <c r="AB120" s="28" t="n">
        <v>-0.000385</v>
      </c>
      <c r="AC120" s="30" t="n">
        <v>0</v>
      </c>
      <c r="AD120" s="24" t="inlineStr">
        <is>
          <t>2026-07-29T05:44:58.625594Z</t>
        </is>
      </c>
      <c r="AE120" s="31" t="inlineStr">
        <is>
          <t>Measured Edge Margin: Trend Engine projected 3.27-4.56; raw selected-side p=0.8096, calibrated p=0.7632.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NO_CALL_MODEL_UNVALIDATED</t>
        </is>
      </c>
      <c r="AP120" s="24" t="inlineStr">
        <is>
          <t>mlb-chc</t>
        </is>
      </c>
      <c r="AQ120" s="24" t="inlineStr">
        <is>
          <t>Chicago Cubs</t>
        </is>
      </c>
      <c r="AR120" s="24" t="inlineStr">
        <is>
          <t>Chicago Cubs</t>
        </is>
      </c>
      <c r="AS120" s="24" t="inlineStr">
        <is>
          <t>mlb-stl</t>
        </is>
      </c>
      <c r="AT120" s="24" t="inlineStr">
        <is>
          <t>St. Louis Cardinals</t>
        </is>
      </c>
      <c r="AU120" s="24" t="inlineStr">
        <is>
          <t>St. Louis Cardinals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bd86494ed21c6a0389ab0efcf4b8a5bb7b9f8f8786b6d5fb9da69d8cf0a70bdc</t>
        </is>
      </c>
      <c r="BB120" s="24" t="inlineStr">
        <is>
          <t>flat_probability_shrinkage_toward_half</t>
        </is>
      </c>
      <c r="BC120" s="24" t="inlineStr">
        <is>
          <t>measured-edge-margin-v1</t>
        </is>
      </c>
      <c r="BD120" s="24" t="inlineStr">
        <is>
          <t>bd86494ed21c6a0389ab0efcf4b8a5bb7b9f8f8786b6d5fb9da69d8cf0a70bdc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2026-07-28T23:38:30.230753Z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-160</v>
      </c>
      <c r="BL120" s="27" t="n">
        <v>1.625</v>
      </c>
      <c r="BM120" s="28" t="n">
        <v>0.615385</v>
      </c>
      <c r="BN120" s="28" t="n">
        <v>0.61194</v>
      </c>
      <c r="BO120" s="28" t="n"/>
      <c r="BP120" s="25" t="n"/>
      <c r="BQ120" s="27" t="n">
        <v>1.625</v>
      </c>
      <c r="BR120" s="28" t="n">
        <v>0.615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f2c60b9fd11a4c9a</t>
        </is>
      </c>
      <c r="B121" s="24" t="inlineStr">
        <is>
          <t>2026-07-28T23:38:30.230753Z</t>
        </is>
      </c>
      <c r="C121" s="24" t="inlineStr">
        <is>
          <t>2026-07-28T23:45Z</t>
        </is>
      </c>
      <c r="D121" s="24" t="inlineStr">
        <is>
          <t>401816299</t>
        </is>
      </c>
      <c r="E121" s="24" t="inlineStr">
        <is>
          <t>MLB</t>
        </is>
      </c>
      <c r="F121" s="24" t="inlineStr">
        <is>
          <t>Chicago Cubs</t>
        </is>
      </c>
      <c r="G121" s="24" t="inlineStr">
        <is>
          <t>St. Louis Cardinals</t>
        </is>
      </c>
      <c r="H121" s="24" t="inlineStr">
        <is>
          <t>total</t>
        </is>
      </c>
      <c r="I121" s="24" t="inlineStr">
        <is>
          <t>under</t>
        </is>
      </c>
      <c r="J121" s="25" t="n">
        <v>8.5</v>
      </c>
      <c r="K121" s="24" t="inlineStr">
        <is>
          <t>polymarket_us</t>
        </is>
      </c>
      <c r="L121" s="26" t="n">
        <v>111</v>
      </c>
      <c r="M121" s="27" t="n">
        <v>2.11</v>
      </c>
      <c r="N121" s="28" t="n">
        <v>0.473934</v>
      </c>
      <c r="O121" s="28" t="n">
        <v>0.58245</v>
      </c>
      <c r="P121" s="28" t="n">
        <v>0.047697</v>
      </c>
      <c r="Q121" s="28" t="n">
        <v>0.108516</v>
      </c>
      <c r="R121" s="26" t="n">
        <v>76</v>
      </c>
      <c r="S121" s="29" t="n">
        <v>0</v>
      </c>
      <c r="T121" s="24" t="inlineStr">
        <is>
          <t>measured-edge-totals-v1</t>
        </is>
      </c>
      <c r="U121" s="24" t="inlineStr">
        <is>
          <t>settled</t>
        </is>
      </c>
      <c r="V121" s="24" t="inlineStr">
        <is>
          <t>loss</t>
        </is>
      </c>
      <c r="W121" s="26" t="n">
        <v>10</v>
      </c>
      <c r="X121" s="26" t="n">
        <v>2</v>
      </c>
      <c r="Y121" s="25" t="n">
        <v>8.5</v>
      </c>
      <c r="Z121" s="26" t="n">
        <v>111</v>
      </c>
      <c r="AA121" s="28" t="n">
        <v>0.475</v>
      </c>
      <c r="AB121" s="28" t="n">
        <v>0.001066</v>
      </c>
      <c r="AC121" s="30" t="n">
        <v>0</v>
      </c>
      <c r="AD121" s="24" t="inlineStr">
        <is>
          <t>2026-07-29T05:44:58.999452Z</t>
        </is>
      </c>
      <c r="AE121" s="31" t="inlineStr">
        <is>
          <t>Measured Edge Totals: Trend Engine projected 3.27-4.56; raw selected-side p=0.5970, calibrated p=0.5824.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NO_CALL_MODEL_UNVALIDATED</t>
        </is>
      </c>
      <c r="AP121" s="24" t="inlineStr">
        <is>
          <t>mlb-chc</t>
        </is>
      </c>
      <c r="AQ121" s="24" t="inlineStr">
        <is>
          <t>Chicago Cubs</t>
        </is>
      </c>
      <c r="AR121" s="24" t="inlineStr">
        <is>
          <t>Chicago Cubs</t>
        </is>
      </c>
      <c r="AS121" s="24" t="inlineStr">
        <is>
          <t>mlb-stl</t>
        </is>
      </c>
      <c r="AT121" s="24" t="inlineStr">
        <is>
          <t>St. Louis Cardinals</t>
        </is>
      </c>
      <c r="AU121" s="24" t="inlineStr">
        <is>
          <t>St. Louis Cardinals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0aa06c0f065ec20d43901d386280174165e2b07065216b6c7ffe72c98e322706</t>
        </is>
      </c>
      <c r="BB121" s="24" t="inlineStr">
        <is>
          <t>flat_probability_shrinkage_toward_half</t>
        </is>
      </c>
      <c r="BC121" s="24" t="inlineStr">
        <is>
          <t>measured-edge-totals-v1</t>
        </is>
      </c>
      <c r="BD121" s="24" t="inlineStr">
        <is>
          <t>0aa06c0f065ec20d43901d386280174165e2b07065216b6c7ffe72c98e322706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2026-07-28T23:38:30.230753Z</t>
        </is>
      </c>
      <c r="BI121" s="24" t="inlineStr">
        <is>
          <t>["same_event","same_team_same_day","same_league_same_day"]</t>
        </is>
      </c>
      <c r="BJ121" s="25" t="n">
        <v>8.5</v>
      </c>
      <c r="BK121" s="26" t="n">
        <v>111</v>
      </c>
      <c r="BL121" s="27" t="n">
        <v>2.11</v>
      </c>
      <c r="BM121" s="28" t="n">
        <v>0.473934</v>
      </c>
      <c r="BN121" s="28" t="n">
        <v>0.472637</v>
      </c>
      <c r="BO121" s="28" t="n"/>
      <c r="BP121" s="25" t="n"/>
      <c r="BQ121" s="27" t="n">
        <v>2.11</v>
      </c>
      <c r="BR121" s="28" t="n">
        <v>0.475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c94be94324a44f44</t>
        </is>
      </c>
      <c r="B122" s="24" t="inlineStr">
        <is>
          <t>2026-07-28T23:38:30.230753Z</t>
        </is>
      </c>
      <c r="C122" s="24" t="inlineStr">
        <is>
          <t>2026-07-29T01:38Z</t>
        </is>
      </c>
      <c r="D122" s="24" t="inlineStr">
        <is>
          <t>401816304</t>
        </is>
      </c>
      <c r="E122" s="24" t="inlineStr">
        <is>
          <t>MLB</t>
        </is>
      </c>
      <c r="F122" s="24" t="inlineStr">
        <is>
          <t>Houston Astros</t>
        </is>
      </c>
      <c r="G122" s="24" t="inlineStr">
        <is>
          <t>Los Angeles Angels</t>
        </is>
      </c>
      <c r="H122" s="24" t="inlineStr">
        <is>
          <t>spread</t>
        </is>
      </c>
      <c r="I122" s="24" t="inlineStr">
        <is>
          <t>away</t>
        </is>
      </c>
      <c r="J122" s="25" t="n">
        <v>-1.5</v>
      </c>
      <c r="K122" s="24" t="inlineStr">
        <is>
          <t>polymarket_us</t>
        </is>
      </c>
      <c r="L122" s="26" t="n">
        <v>160</v>
      </c>
      <c r="M122" s="27" t="n">
        <v>2.6</v>
      </c>
      <c r="N122" s="28" t="n">
        <v>0.384615</v>
      </c>
      <c r="O122" s="28" t="n">
        <v>0.565025</v>
      </c>
      <c r="P122" s="28" t="n">
        <v>0.047697</v>
      </c>
      <c r="Q122" s="28" t="n">
        <v>0.18041</v>
      </c>
      <c r="R122" s="26" t="n">
        <v>100</v>
      </c>
      <c r="S122" s="29" t="n">
        <v>0</v>
      </c>
      <c r="T122" s="24" t="inlineStr">
        <is>
          <t>measured-edge-margin-v1</t>
        </is>
      </c>
      <c r="U122" s="24" t="inlineStr">
        <is>
          <t>settled</t>
        </is>
      </c>
      <c r="V122" s="24" t="inlineStr">
        <is>
          <t>loss</t>
        </is>
      </c>
      <c r="W122" s="26" t="n">
        <v>3</v>
      </c>
      <c r="X122" s="26" t="n">
        <v>2</v>
      </c>
      <c r="Y122" s="25" t="n">
        <v>-1.5</v>
      </c>
      <c r="Z122" s="26" t="n">
        <v>160</v>
      </c>
      <c r="AA122" s="28" t="n">
        <v>0.385</v>
      </c>
      <c r="AB122" s="28" t="n">
        <v>0.000385</v>
      </c>
      <c r="AC122" s="30" t="n">
        <v>0</v>
      </c>
      <c r="AD122" s="24" t="inlineStr">
        <is>
          <t>2026-07-29T05:44:59.408140Z</t>
        </is>
      </c>
      <c r="AE122" s="31" t="inlineStr">
        <is>
          <t>Measured Edge Margin: Trend Engine projected 4.81-2.49; raw selected-side p=0.5765, calibrated p=0.5650.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mlb-hou</t>
        </is>
      </c>
      <c r="AQ122" s="24" t="inlineStr">
        <is>
          <t>Houston Astros</t>
        </is>
      </c>
      <c r="AR122" s="24" t="inlineStr">
        <is>
          <t>Houston Astros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bd86494ed21c6a0389ab0efcf4b8a5bb7b9f8f8786b6d5fb9da69d8cf0a70bdc</t>
        </is>
      </c>
      <c r="BB122" s="24" t="inlineStr">
        <is>
          <t>flat_probability_shrinkage_toward_half</t>
        </is>
      </c>
      <c r="BC122" s="24" t="inlineStr">
        <is>
          <t>measured-edge-margin-v1</t>
        </is>
      </c>
      <c r="BD122" s="24" t="inlineStr">
        <is>
          <t>bd86494ed21c6a0389ab0efcf4b8a5bb7b9f8f8786b6d5fb9da69d8cf0a70bdc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2026-07-28T23:38:30.230753Z</t>
        </is>
      </c>
      <c r="BI122" s="24" t="inlineStr">
        <is>
          <t>["same_event","same_team_same_day","same_league_same_day"]</t>
        </is>
      </c>
      <c r="BJ122" s="25" t="n">
        <v>-1.5</v>
      </c>
      <c r="BK122" s="26" t="n">
        <v>160</v>
      </c>
      <c r="BL122" s="27" t="n">
        <v>2.6</v>
      </c>
      <c r="BM122" s="28" t="n">
        <v>0.384615</v>
      </c>
      <c r="BN122" s="28" t="n">
        <v>0.383085</v>
      </c>
      <c r="BO122" s="28" t="n"/>
      <c r="BP122" s="25" t="n"/>
      <c r="BQ122" s="27" t="n">
        <v>2.6</v>
      </c>
      <c r="BR122" s="28" t="n">
        <v>0.385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349938efa6aa4346</t>
        </is>
      </c>
      <c r="B123" s="24" t="inlineStr">
        <is>
          <t>2026-07-28T23:38:30.230753Z</t>
        </is>
      </c>
      <c r="C123" s="24" t="inlineStr">
        <is>
          <t>2026-07-29T01:38Z</t>
        </is>
      </c>
      <c r="D123" s="24" t="inlineStr">
        <is>
          <t>401816304</t>
        </is>
      </c>
      <c r="E123" s="24" t="inlineStr">
        <is>
          <t>MLB</t>
        </is>
      </c>
      <c r="F123" s="24" t="inlineStr">
        <is>
          <t>Houston Astros</t>
        </is>
      </c>
      <c r="G123" s="24" t="inlineStr">
        <is>
          <t>Los Angeles Angels</t>
        </is>
      </c>
      <c r="H123" s="24" t="inlineStr">
        <is>
          <t>total</t>
        </is>
      </c>
      <c r="I123" s="24" t="inlineStr">
        <is>
          <t>under</t>
        </is>
      </c>
      <c r="J123" s="25" t="n">
        <v>8.5</v>
      </c>
      <c r="K123" s="24" t="inlineStr">
        <is>
          <t>polymarket_us</t>
        </is>
      </c>
      <c r="L123" s="26" t="n">
        <v>-106</v>
      </c>
      <c r="M123" s="27" t="n">
        <v>1.943396</v>
      </c>
      <c r="N123" s="28" t="n">
        <v>0.514563</v>
      </c>
      <c r="O123" s="28" t="n">
        <v>0.63345</v>
      </c>
      <c r="P123" s="28" t="n">
        <v>0.047697</v>
      </c>
      <c r="Q123" s="28" t="n">
        <v>0.118887</v>
      </c>
      <c r="R123" s="26" t="n">
        <v>81</v>
      </c>
      <c r="S123" s="29" t="n">
        <v>0</v>
      </c>
      <c r="T123" s="24" t="inlineStr">
        <is>
          <t>measured-edge-totals-v1</t>
        </is>
      </c>
      <c r="U123" s="24" t="inlineStr">
        <is>
          <t>settled</t>
        </is>
      </c>
      <c r="V123" s="24" t="inlineStr">
        <is>
          <t>win</t>
        </is>
      </c>
      <c r="W123" s="26" t="n">
        <v>3</v>
      </c>
      <c r="X123" s="26" t="n">
        <v>2</v>
      </c>
      <c r="Y123" s="25" t="n">
        <v>8.5</v>
      </c>
      <c r="Z123" s="26" t="n">
        <v>-106</v>
      </c>
      <c r="AA123" s="28" t="n">
        <v>0.515</v>
      </c>
      <c r="AB123" s="28" t="n">
        <v>0.000437</v>
      </c>
      <c r="AC123" s="30" t="n">
        <v>0</v>
      </c>
      <c r="AD123" s="24" t="inlineStr">
        <is>
          <t>2026-07-29T05:44:59.772626Z</t>
        </is>
      </c>
      <c r="AE123" s="31" t="inlineStr">
        <is>
          <t>Measured Edge Totals: Trend Engine projected 4.81-2.49; raw selected-side p=0.6570, calibrated p=0.6334.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mlb-hou</t>
        </is>
      </c>
      <c r="AQ123" s="24" t="inlineStr">
        <is>
          <t>Houston Astros</t>
        </is>
      </c>
      <c r="AR123" s="24" t="inlineStr">
        <is>
          <t>Houston Astros</t>
        </is>
      </c>
      <c r="AS123" s="24" t="inlineStr">
        <is>
          <t>mlb-laa</t>
        </is>
      </c>
      <c r="AT123" s="24" t="inlineStr">
        <is>
          <t>Los Angeles Angels</t>
        </is>
      </c>
      <c r="AU123" s="24" t="inlineStr">
        <is>
          <t>Los Angeles Angels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0aa06c0f065ec20d43901d386280174165e2b07065216b6c7ffe72c98e322706</t>
        </is>
      </c>
      <c r="BB123" s="24" t="inlineStr">
        <is>
          <t>flat_probability_shrinkage_toward_half</t>
        </is>
      </c>
      <c r="BC123" s="24" t="inlineStr">
        <is>
          <t>measured-edge-totals-v1</t>
        </is>
      </c>
      <c r="BD123" s="24" t="inlineStr">
        <is>
          <t>0aa06c0f065ec20d43901d386280174165e2b07065216b6c7ffe72c98e322706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2026-07-28T23:38:30.230753Z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-106</v>
      </c>
      <c r="BL123" s="27" t="n">
        <v>1.943396</v>
      </c>
      <c r="BM123" s="28" t="n">
        <v>0.514563</v>
      </c>
      <c r="BN123" s="28" t="n">
        <v>0.5124379999999999</v>
      </c>
      <c r="BO123" s="28" t="n"/>
      <c r="BP123" s="25" t="n"/>
      <c r="BQ123" s="27" t="n">
        <v>1.943396</v>
      </c>
      <c r="BR123" s="28" t="n">
        <v>0.515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1c51d51c16c741d5</t>
        </is>
      </c>
      <c r="B124" s="24" t="inlineStr">
        <is>
          <t>2026-07-28T23:38:30.230753Z</t>
        </is>
      </c>
      <c r="C124" s="24" t="inlineStr">
        <is>
          <t>2026-07-29T01:40Z</t>
        </is>
      </c>
      <c r="D124" s="24" t="inlineStr">
        <is>
          <t>401816302</t>
        </is>
      </c>
      <c r="E124" s="24" t="inlineStr">
        <is>
          <t>MLB</t>
        </is>
      </c>
      <c r="F124" s="24" t="inlineStr">
        <is>
          <t>Boston Red Sox</t>
        </is>
      </c>
      <c r="G124" s="24" t="inlineStr">
        <is>
          <t>Athletics</t>
        </is>
      </c>
      <c r="H124" s="24" t="inlineStr">
        <is>
          <t>spread</t>
        </is>
      </c>
      <c r="I124" s="24" t="inlineStr">
        <is>
          <t>away</t>
        </is>
      </c>
      <c r="J124" s="25" t="n">
        <v>-1.5</v>
      </c>
      <c r="K124" s="24" t="inlineStr">
        <is>
          <t>polymarket_us</t>
        </is>
      </c>
      <c r="L124" s="26" t="n">
        <v>108</v>
      </c>
      <c r="M124" s="27" t="n">
        <v>2.08</v>
      </c>
      <c r="N124" s="28" t="n">
        <v>0.480769</v>
      </c>
      <c r="O124" s="28" t="n">
        <v>0.769875</v>
      </c>
      <c r="P124" s="28" t="n">
        <v>0.047697</v>
      </c>
      <c r="Q124" s="28" t="n">
        <v>0.289106</v>
      </c>
      <c r="R124" s="26" t="n">
        <v>100</v>
      </c>
      <c r="S124" s="29" t="n">
        <v>0</v>
      </c>
      <c r="T124" s="24" t="inlineStr">
        <is>
          <t>measured-edge-margin-v1</t>
        </is>
      </c>
      <c r="U124" s="24" t="inlineStr">
        <is>
          <t>settled</t>
        </is>
      </c>
      <c r="V124" s="24" t="inlineStr">
        <is>
          <t>loss</t>
        </is>
      </c>
      <c r="W124" s="26" t="n">
        <v>3</v>
      </c>
      <c r="X124" s="26" t="n">
        <v>4</v>
      </c>
      <c r="Y124" s="25" t="n">
        <v>-1.5</v>
      </c>
      <c r="Z124" s="26" t="n">
        <v>108</v>
      </c>
      <c r="AA124" s="28" t="n">
        <v>0.48</v>
      </c>
      <c r="AB124" s="28" t="n">
        <v>-0.000769</v>
      </c>
      <c r="AC124" s="30" t="n">
        <v>0</v>
      </c>
      <c r="AD124" s="24" t="inlineStr">
        <is>
          <t>2026-07-29T05:45:00.139707Z</t>
        </is>
      </c>
      <c r="AE124" s="31" t="inlineStr">
        <is>
          <t>Measured Edge Margin: Trend Engine projected 7.52-2.30; raw selected-side p=0.8175, calibrated p=0.7699.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mlb-bos</t>
        </is>
      </c>
      <c r="AQ124" s="24" t="inlineStr">
        <is>
          <t>Boston Red Sox</t>
        </is>
      </c>
      <c r="AR124" s="24" t="inlineStr">
        <is>
          <t>Boston Red Sox</t>
        </is>
      </c>
      <c r="AS124" s="24" t="inlineStr">
        <is>
          <t>mlb-ath</t>
        </is>
      </c>
      <c r="AT124" s="24" t="inlineStr">
        <is>
          <t>Athletics</t>
        </is>
      </c>
      <c r="AU124" s="24" t="inlineStr">
        <is>
          <t>Athletics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bd86494ed21c6a0389ab0efcf4b8a5bb7b9f8f8786b6d5fb9da69d8cf0a70bdc</t>
        </is>
      </c>
      <c r="BB124" s="24" t="inlineStr">
        <is>
          <t>flat_probability_shrinkage_toward_half</t>
        </is>
      </c>
      <c r="BC124" s="24" t="inlineStr">
        <is>
          <t>measured-edge-margin-v1</t>
        </is>
      </c>
      <c r="BD124" s="24" t="inlineStr">
        <is>
          <t>bd86494ed21c6a0389ab0efcf4b8a5bb7b9f8f8786b6d5fb9da69d8cf0a70bdc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2026-07-28T23:38:30.230753Z</t>
        </is>
      </c>
      <c r="BI124" s="24" t="inlineStr">
        <is>
          <t>["same_event","same_team_same_day","same_league_same_day"]</t>
        </is>
      </c>
      <c r="BJ124" s="25" t="n">
        <v>-1.5</v>
      </c>
      <c r="BK124" s="26" t="n">
        <v>108</v>
      </c>
      <c r="BL124" s="27" t="n">
        <v>2.08</v>
      </c>
      <c r="BM124" s="28" t="n">
        <v>0.480769</v>
      </c>
      <c r="BN124" s="28" t="n">
        <v>0.477612</v>
      </c>
      <c r="BO124" s="28" t="n"/>
      <c r="BP124" s="25" t="n"/>
      <c r="BQ124" s="27" t="n">
        <v>2.08</v>
      </c>
      <c r="BR124" s="28" t="n">
        <v>0.48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e1199de067464220</t>
        </is>
      </c>
      <c r="B125" s="24" t="inlineStr">
        <is>
          <t>2026-07-28T23:38:30.230753Z</t>
        </is>
      </c>
      <c r="C125" s="24" t="inlineStr">
        <is>
          <t>2026-07-29T01:40Z</t>
        </is>
      </c>
      <c r="D125" s="24" t="inlineStr">
        <is>
          <t>401816302</t>
        </is>
      </c>
      <c r="E125" s="24" t="inlineStr">
        <is>
          <t>MLB</t>
        </is>
      </c>
      <c r="F125" s="24" t="inlineStr">
        <is>
          <t>Boston Red Sox</t>
        </is>
      </c>
      <c r="G125" s="24" t="inlineStr">
        <is>
          <t>Athletics</t>
        </is>
      </c>
      <c r="H125" s="24" t="inlineStr">
        <is>
          <t>total</t>
        </is>
      </c>
      <c r="I125" s="24" t="inlineStr">
        <is>
          <t>under</t>
        </is>
      </c>
      <c r="J125" s="25" t="n">
        <v>10.5</v>
      </c>
      <c r="K125" s="24" t="inlineStr">
        <is>
          <t>polymarket_us</t>
        </is>
      </c>
      <c r="L125" s="26" t="n">
        <v>-115</v>
      </c>
      <c r="M125" s="27" t="n">
        <v>1.869565</v>
      </c>
      <c r="N125" s="28" t="n">
        <v>0.534884</v>
      </c>
      <c r="O125" s="28" t="n">
        <v>0.58874</v>
      </c>
      <c r="P125" s="28" t="n">
        <v>0.047697</v>
      </c>
      <c r="Q125" s="28" t="n">
        <v>0.053856</v>
      </c>
      <c r="R125" s="26" t="n">
        <v>48</v>
      </c>
      <c r="S125" s="29" t="n">
        <v>0</v>
      </c>
      <c r="T125" s="24" t="inlineStr">
        <is>
          <t>measured-edge-totals-v1</t>
        </is>
      </c>
      <c r="U125" s="24" t="inlineStr">
        <is>
          <t>settled</t>
        </is>
      </c>
      <c r="V125" s="24" t="inlineStr">
        <is>
          <t>win</t>
        </is>
      </c>
      <c r="W125" s="26" t="n">
        <v>3</v>
      </c>
      <c r="X125" s="26" t="n">
        <v>4</v>
      </c>
      <c r="Y125" s="25" t="n">
        <v>10.5</v>
      </c>
      <c r="Z125" s="26" t="n">
        <v>-115</v>
      </c>
      <c r="AA125" s="28" t="n">
        <v>0.535</v>
      </c>
      <c r="AB125" s="28" t="n">
        <v>0.000116</v>
      </c>
      <c r="AC125" s="30" t="n">
        <v>0</v>
      </c>
      <c r="AD125" s="24" t="inlineStr">
        <is>
          <t>2026-07-29T05:45:00.505596Z</t>
        </is>
      </c>
      <c r="AE125" s="31" t="inlineStr">
        <is>
          <t>Measured Edge Totals: Trend Engine projected 7.52-2.30; raw selected-side p=0.6044, calibrated p=0.5887.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mlb-bos</t>
        </is>
      </c>
      <c r="AQ125" s="24" t="inlineStr">
        <is>
          <t>Boston Red Sox</t>
        </is>
      </c>
      <c r="AR125" s="24" t="inlineStr">
        <is>
          <t>Boston Red Sox</t>
        </is>
      </c>
      <c r="AS125" s="24" t="inlineStr">
        <is>
          <t>mlb-ath</t>
        </is>
      </c>
      <c r="AT125" s="24" t="inlineStr">
        <is>
          <t>Athletics</t>
        </is>
      </c>
      <c r="AU125" s="24" t="inlineStr">
        <is>
          <t>Athletics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0aa06c0f065ec20d43901d386280174165e2b07065216b6c7ffe72c98e322706</t>
        </is>
      </c>
      <c r="BB125" s="24" t="inlineStr">
        <is>
          <t>flat_probability_shrinkage_toward_half</t>
        </is>
      </c>
      <c r="BC125" s="24" t="inlineStr">
        <is>
          <t>measured-edge-totals-v1</t>
        </is>
      </c>
      <c r="BD125" s="24" t="inlineStr">
        <is>
          <t>0aa06c0f065ec20d43901d386280174165e2b07065216b6c7ffe72c98e322706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2026-07-28T23:38:30.230753Z</t>
        </is>
      </c>
      <c r="BI125" s="24" t="inlineStr">
        <is>
          <t>["same_event","same_team_same_day","same_league_same_day"]</t>
        </is>
      </c>
      <c r="BJ125" s="25" t="n">
        <v>10.5</v>
      </c>
      <c r="BK125" s="26" t="n">
        <v>-115</v>
      </c>
      <c r="BL125" s="27" t="n">
        <v>1.869565</v>
      </c>
      <c r="BM125" s="28" t="n">
        <v>0.534884</v>
      </c>
      <c r="BN125" s="28" t="n">
        <v>0.532338</v>
      </c>
      <c r="BO125" s="28" t="n"/>
      <c r="BP125" s="25" t="n"/>
      <c r="BQ125" s="27" t="n">
        <v>1.869565</v>
      </c>
      <c r="BR125" s="28" t="n">
        <v>0.535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a884931227d74be6</t>
        </is>
      </c>
      <c r="B126" s="24" t="inlineStr">
        <is>
          <t>2026-07-28T23:38:30.230753Z</t>
        </is>
      </c>
      <c r="C126" s="24" t="inlineStr">
        <is>
          <t>2026-07-29T01:40Z</t>
        </is>
      </c>
      <c r="D126" s="24" t="inlineStr">
        <is>
          <t>401816303</t>
        </is>
      </c>
      <c r="E126" s="24" t="inlineStr">
        <is>
          <t>MLB</t>
        </is>
      </c>
      <c r="F126" s="24" t="inlineStr">
        <is>
          <t>Colorado Rockies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home</t>
        </is>
      </c>
      <c r="J126" s="25" t="n">
        <v>-1.5</v>
      </c>
      <c r="K126" s="24" t="inlineStr">
        <is>
          <t>polymarket_us</t>
        </is>
      </c>
      <c r="L126" s="26" t="n">
        <v>102</v>
      </c>
      <c r="M126" s="27" t="n">
        <v>2.02</v>
      </c>
      <c r="N126" s="28" t="n">
        <v>0.49505</v>
      </c>
      <c r="O126" s="28" t="n">
        <v>0.65521</v>
      </c>
      <c r="P126" s="28" t="n">
        <v>0.047697</v>
      </c>
      <c r="Q126" s="28" t="n">
        <v>0.16016</v>
      </c>
      <c r="R126" s="26" t="n">
        <v>100</v>
      </c>
      <c r="S126" s="29" t="n">
        <v>0</v>
      </c>
      <c r="T126" s="24" t="inlineStr">
        <is>
          <t>measured-edge-margin-v1</t>
        </is>
      </c>
      <c r="U126" s="24" t="inlineStr">
        <is>
          <t>settled</t>
        </is>
      </c>
      <c r="V126" s="24" t="inlineStr">
        <is>
          <t>loss</t>
        </is>
      </c>
      <c r="W126" s="26" t="n">
        <v>7</v>
      </c>
      <c r="X126" s="26" t="n">
        <v>8</v>
      </c>
      <c r="Y126" s="25" t="n">
        <v>-1.5</v>
      </c>
      <c r="Z126" s="26" t="n">
        <v>102</v>
      </c>
      <c r="AA126" s="28" t="n">
        <v>0.495</v>
      </c>
      <c r="AB126" s="28" t="n">
        <v>-5e-05</v>
      </c>
      <c r="AC126" s="30" t="n">
        <v>0</v>
      </c>
      <c r="AD126" s="24" t="inlineStr">
        <is>
          <t>2026-07-29T05:45:00.870063Z</t>
        </is>
      </c>
      <c r="AE126" s="31" t="inlineStr">
        <is>
          <t>Measured Edge Margin: Trend Engine projected 3.01-6.66; raw selected-side p=0.6826, calibrated p=0.6552.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mlb-col</t>
        </is>
      </c>
      <c r="AQ126" s="24" t="inlineStr">
        <is>
          <t>Colorado Rockies</t>
        </is>
      </c>
      <c r="AR126" s="24" t="inlineStr">
        <is>
          <t>Colorado Rockies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bd86494ed21c6a0389ab0efcf4b8a5bb7b9f8f8786b6d5fb9da69d8cf0a70bdc</t>
        </is>
      </c>
      <c r="BB126" s="24" t="inlineStr">
        <is>
          <t>flat_probability_shrinkage_toward_half</t>
        </is>
      </c>
      <c r="BC126" s="24" t="inlineStr">
        <is>
          <t>measured-edge-margin-v1</t>
        </is>
      </c>
      <c r="BD126" s="24" t="inlineStr">
        <is>
          <t>bd86494ed21c6a0389ab0efcf4b8a5bb7b9f8f8786b6d5fb9da69d8cf0a70bdc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2026-07-28T23:38:30.230753Z</t>
        </is>
      </c>
      <c r="BI126" s="24" t="inlineStr">
        <is>
          <t>["same_event","same_team_same_day","same_league_same_day"]</t>
        </is>
      </c>
      <c r="BJ126" s="25" t="n">
        <v>-1.5</v>
      </c>
      <c r="BK126" s="26" t="n">
        <v>102</v>
      </c>
      <c r="BL126" s="27" t="n">
        <v>2.02</v>
      </c>
      <c r="BM126" s="28" t="n">
        <v>0.49505</v>
      </c>
      <c r="BN126" s="28" t="n">
        <v>0.492537</v>
      </c>
      <c r="BO126" s="28" t="n"/>
      <c r="BP126" s="25" t="n"/>
      <c r="BQ126" s="27" t="n">
        <v>2.02</v>
      </c>
      <c r="BR126" s="28" t="n">
        <v>0.495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7dcbb40503024cc8</t>
        </is>
      </c>
      <c r="B127" s="24" t="inlineStr">
        <is>
          <t>2026-07-28T23:38:30.230753Z</t>
        </is>
      </c>
      <c r="C127" s="24" t="inlineStr">
        <is>
          <t>2026-07-29T01:40Z</t>
        </is>
      </c>
      <c r="D127" s="24" t="inlineStr">
        <is>
          <t>401816303</t>
        </is>
      </c>
      <c r="E127" s="24" t="inlineStr">
        <is>
          <t>MLB</t>
        </is>
      </c>
      <c r="F127" s="24" t="inlineStr">
        <is>
          <t>Colorado Rockies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0.55355</v>
      </c>
      <c r="P127" s="28" t="n">
        <v>0.047697</v>
      </c>
      <c r="Q127" s="28" t="n">
        <v>0.072781</v>
      </c>
      <c r="R127" s="26" t="n">
        <v>58</v>
      </c>
      <c r="S127" s="29" t="n">
        <v>0</v>
      </c>
      <c r="T127" s="24" t="inlineStr">
        <is>
          <t>measured-edge-totals-v1</t>
        </is>
      </c>
      <c r="U127" s="24" t="inlineStr">
        <is>
          <t>settled</t>
        </is>
      </c>
      <c r="V127" s="24" t="inlineStr">
        <is>
          <t>win</t>
        </is>
      </c>
      <c r="W127" s="26" t="n">
        <v>7</v>
      </c>
      <c r="X127" s="26" t="n">
        <v>8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0</v>
      </c>
      <c r="AD127" s="24" t="inlineStr">
        <is>
          <t>2026-07-29T05:45:01.233438Z</t>
        </is>
      </c>
      <c r="AE127" s="31" t="inlineStr">
        <is>
          <t>Measured Edge Totals: Trend Engine projected 3.01-6.66; raw selected-side p=0.5630, calibrated p=0.5535.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mlb-col</t>
        </is>
      </c>
      <c r="AQ127" s="24" t="inlineStr">
        <is>
          <t>Colorado Rockies</t>
        </is>
      </c>
      <c r="AR127" s="24" t="inlineStr">
        <is>
          <t>Colorado Rockies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0aa06c0f065ec20d43901d386280174165e2b07065216b6c7ffe72c98e322706</t>
        </is>
      </c>
      <c r="BB127" s="24" t="inlineStr">
        <is>
          <t>flat_probability_shrinkage_toward_half</t>
        </is>
      </c>
      <c r="BC127" s="24" t="inlineStr">
        <is>
          <t>measured-edge-totals-v1</t>
        </is>
      </c>
      <c r="BD127" s="24" t="inlineStr">
        <is>
          <t>0aa06c0f065ec20d43901d386280174165e2b07065216b6c7ffe72c98e322706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2026-07-28T23:38:30.230753Z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30fef590ff6b48b7</t>
        </is>
      </c>
      <c r="B128" s="24" t="inlineStr">
        <is>
          <t>2026-07-28T23:38:30.230753Z</t>
        </is>
      </c>
      <c r="C128" s="24" t="inlineStr">
        <is>
          <t>2026-07-29T01:45Z</t>
        </is>
      </c>
      <c r="D128" s="24" t="inlineStr">
        <is>
          <t>401816305</t>
        </is>
      </c>
      <c r="E128" s="24" t="inlineStr">
        <is>
          <t>MLB</t>
        </is>
      </c>
      <c r="F128" s="24" t="inlineStr">
        <is>
          <t>Milwaukee Brewers</t>
        </is>
      </c>
      <c r="G128" s="24" t="inlineStr">
        <is>
          <t>San Francisco Giants</t>
        </is>
      </c>
      <c r="H128" s="24" t="inlineStr">
        <is>
          <t>spread</t>
        </is>
      </c>
      <c r="I128" s="24" t="inlineStr">
        <is>
          <t>home</t>
        </is>
      </c>
      <c r="J128" s="25" t="n">
        <v>1.5</v>
      </c>
      <c r="K128" s="24" t="inlineStr">
        <is>
          <t>polymarket_us</t>
        </is>
      </c>
      <c r="L128" s="26" t="n">
        <v>-127</v>
      </c>
      <c r="M128" s="27" t="n">
        <v>1.787402</v>
      </c>
      <c r="N128" s="28" t="n">
        <v>0.5594710000000001</v>
      </c>
      <c r="O128" s="28" t="n">
        <v>0.59044</v>
      </c>
      <c r="P128" s="28" t="n">
        <v>0.056347</v>
      </c>
      <c r="Q128" s="28" t="n">
        <v>0.030969</v>
      </c>
      <c r="R128" s="26" t="n">
        <v>32</v>
      </c>
      <c r="S128" s="29" t="n">
        <v>0</v>
      </c>
      <c r="T128" s="24" t="inlineStr">
        <is>
          <t>measured-edge-margin-v1</t>
        </is>
      </c>
      <c r="U128" s="24" t="inlineStr">
        <is>
          <t>settled</t>
        </is>
      </c>
      <c r="V128" s="24" t="inlineStr">
        <is>
          <t>loss</t>
        </is>
      </c>
      <c r="W128" s="26" t="n">
        <v>8</v>
      </c>
      <c r="X128" s="26" t="n">
        <v>2</v>
      </c>
      <c r="Y128" s="25" t="n">
        <v>1.5</v>
      </c>
      <c r="Z128" s="26" t="n">
        <v>-127</v>
      </c>
      <c r="AA128" s="28" t="n">
        <v>0.5600000000000001</v>
      </c>
      <c r="AB128" s="28" t="n">
        <v>0.000529</v>
      </c>
      <c r="AC128" s="30" t="n">
        <v>0</v>
      </c>
      <c r="AD128" s="24" t="inlineStr">
        <is>
          <t>2026-07-29T05:45:01.637986Z</t>
        </is>
      </c>
      <c r="AE128" s="31" t="inlineStr">
        <is>
          <t>Measured Edge Margin: Trend Engine projected 3.69-2.77; raw selected-side p=0.6064, calibrated p=0.5904.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mlb-mil</t>
        </is>
      </c>
      <c r="AQ128" s="24" t="inlineStr">
        <is>
          <t>Milwaukee Brewers</t>
        </is>
      </c>
      <c r="AR128" s="24" t="inlineStr">
        <is>
          <t>Milwaukee Brewers</t>
        </is>
      </c>
      <c r="AS128" s="24" t="inlineStr">
        <is>
          <t>mlb-sf</t>
        </is>
      </c>
      <c r="AT128" s="24" t="inlineStr">
        <is>
          <t>San Francisco Giants</t>
        </is>
      </c>
      <c r="AU128" s="24" t="inlineStr">
        <is>
          <t>San Francisco Giants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bd86494ed21c6a0389ab0efcf4b8a5bb7b9f8f8786b6d5fb9da69d8cf0a70bdc</t>
        </is>
      </c>
      <c r="BB128" s="24" t="inlineStr">
        <is>
          <t>flat_probability_shrinkage_toward_half</t>
        </is>
      </c>
      <c r="BC128" s="24" t="inlineStr">
        <is>
          <t>measured-edge-margin-v1</t>
        </is>
      </c>
      <c r="BD128" s="24" t="inlineStr">
        <is>
          <t>bd86494ed21c6a0389ab0efcf4b8a5bb7b9f8f8786b6d5fb9da69d8cf0a70bdc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2026-07-28T23:38:30.230753Z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-127</v>
      </c>
      <c r="BL128" s="27" t="n">
        <v>1.787402</v>
      </c>
      <c r="BM128" s="28" t="n">
        <v>0.5594710000000001</v>
      </c>
      <c r="BN128" s="28" t="n">
        <v>0.557214</v>
      </c>
      <c r="BO128" s="28" t="n"/>
      <c r="BP128" s="25" t="n"/>
      <c r="BQ128" s="27" t="n">
        <v>1.787402</v>
      </c>
      <c r="BR128" s="28" t="n">
        <v>0.5600000000000001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67d9369db72e4292</t>
        </is>
      </c>
      <c r="B129" s="24" t="inlineStr">
        <is>
          <t>2026-07-28T23:38:30.230753Z</t>
        </is>
      </c>
      <c r="C129" s="24" t="inlineStr">
        <is>
          <t>2026-07-29T01:45Z</t>
        </is>
      </c>
      <c r="D129" s="24" t="inlineStr">
        <is>
          <t>401816305</t>
        </is>
      </c>
      <c r="E129" s="24" t="inlineStr">
        <is>
          <t>MLB</t>
        </is>
      </c>
      <c r="F129" s="24" t="inlineStr">
        <is>
          <t>Milwaukee Brewers</t>
        </is>
      </c>
      <c r="G129" s="24" t="inlineStr">
        <is>
          <t>San Francisco Giants</t>
        </is>
      </c>
      <c r="H129" s="24" t="inlineStr">
        <is>
          <t>total</t>
        </is>
      </c>
      <c r="I129" s="24" t="inlineStr">
        <is>
          <t>under</t>
        </is>
      </c>
      <c r="J129" s="25" t="n">
        <v>7.5</v>
      </c>
      <c r="K129" s="24" t="inlineStr">
        <is>
          <t>polymarket_us</t>
        </is>
      </c>
      <c r="L129" s="26" t="n">
        <v>-115</v>
      </c>
      <c r="M129" s="27" t="n">
        <v>1.869565</v>
      </c>
      <c r="N129" s="28" t="n">
        <v>0.534884</v>
      </c>
      <c r="O129" s="28" t="n">
        <v>0.63923</v>
      </c>
      <c r="P129" s="28" t="n">
        <v>0.056347</v>
      </c>
      <c r="Q129" s="28" t="n">
        <v>0.104346</v>
      </c>
      <c r="R129" s="26" t="n">
        <v>68</v>
      </c>
      <c r="S129" s="29" t="n">
        <v>0</v>
      </c>
      <c r="T129" s="24" t="inlineStr">
        <is>
          <t>measured-edge-totals-v1</t>
        </is>
      </c>
      <c r="U129" s="24" t="inlineStr">
        <is>
          <t>settled</t>
        </is>
      </c>
      <c r="V129" s="24" t="inlineStr">
        <is>
          <t>loss</t>
        </is>
      </c>
      <c r="W129" s="26" t="n">
        <v>8</v>
      </c>
      <c r="X129" s="26" t="n">
        <v>2</v>
      </c>
      <c r="Y129" s="25" t="n">
        <v>7.5</v>
      </c>
      <c r="Z129" s="26" t="n">
        <v>-115</v>
      </c>
      <c r="AA129" s="28" t="n">
        <v>0.535</v>
      </c>
      <c r="AB129" s="28" t="n">
        <v>0.000116</v>
      </c>
      <c r="AC129" s="30" t="n">
        <v>0</v>
      </c>
      <c r="AD129" s="24" t="inlineStr">
        <is>
          <t>2026-07-29T05:45:02.002223Z</t>
        </is>
      </c>
      <c r="AE129" s="31" t="inlineStr">
        <is>
          <t>Measured Edge Totals: Trend Engine projected 3.69-2.77; raw selected-side p=0.6638, calibrated p=0.6392.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mlb-mil</t>
        </is>
      </c>
      <c r="AQ129" s="24" t="inlineStr">
        <is>
          <t>Milwaukee Brewers</t>
        </is>
      </c>
      <c r="AR129" s="24" t="inlineStr">
        <is>
          <t>Milwaukee Brewers</t>
        </is>
      </c>
      <c r="AS129" s="24" t="inlineStr">
        <is>
          <t>mlb-sf</t>
        </is>
      </c>
      <c r="AT129" s="24" t="inlineStr">
        <is>
          <t>San Francisco Giants</t>
        </is>
      </c>
      <c r="AU129" s="24" t="inlineStr">
        <is>
          <t>San Francisco Giants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0aa06c0f065ec20d43901d386280174165e2b07065216b6c7ffe72c98e322706</t>
        </is>
      </c>
      <c r="BB129" s="24" t="inlineStr">
        <is>
          <t>flat_probability_shrinkage_toward_half</t>
        </is>
      </c>
      <c r="BC129" s="24" t="inlineStr">
        <is>
          <t>measured-edge-totals-v1</t>
        </is>
      </c>
      <c r="BD129" s="24" t="inlineStr">
        <is>
          <t>0aa06c0f065ec20d43901d386280174165e2b07065216b6c7ffe72c98e322706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2026-07-28T23:38:30.230753Z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-115</v>
      </c>
      <c r="BL129" s="27" t="n">
        <v>1.869565</v>
      </c>
      <c r="BM129" s="28" t="n">
        <v>0.534884</v>
      </c>
      <c r="BN129" s="28" t="n">
        <v>0.532338</v>
      </c>
      <c r="BO129" s="28" t="n"/>
      <c r="BP129" s="25" t="n"/>
      <c r="BQ129" s="27" t="n">
        <v>1.869565</v>
      </c>
      <c r="BR129" s="28" t="n">
        <v>0.535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74b7db0608724569</t>
        </is>
      </c>
      <c r="B130" s="24" t="inlineStr">
        <is>
          <t>2026-07-28T23:38:30.230753Z</t>
        </is>
      </c>
      <c r="C130" s="24" t="inlineStr">
        <is>
          <t>2026-07-29T02:10Z</t>
        </is>
      </c>
      <c r="D130" s="24" t="inlineStr">
        <is>
          <t>401816306</t>
        </is>
      </c>
      <c r="E130" s="24" t="inlineStr">
        <is>
          <t>MLB</t>
        </is>
      </c>
      <c r="F130" s="24" t="inlineStr">
        <is>
          <t>Seattle Mariners</t>
        </is>
      </c>
      <c r="G130" s="24" t="inlineStr">
        <is>
          <t>Los Angeles Dodgers</t>
        </is>
      </c>
      <c r="H130" s="24" t="inlineStr">
        <is>
          <t>spread</t>
        </is>
      </c>
      <c r="I130" s="24" t="inlineStr">
        <is>
          <t>home</t>
        </is>
      </c>
      <c r="J130" s="25" t="n">
        <v>-1.5</v>
      </c>
      <c r="K130" s="24" t="inlineStr">
        <is>
          <t>polymarket_us</t>
        </is>
      </c>
      <c r="L130" s="26" t="n">
        <v>-111</v>
      </c>
      <c r="M130" s="27" t="n">
        <v>1.900901</v>
      </c>
      <c r="N130" s="28" t="n">
        <v>0.526066</v>
      </c>
      <c r="O130" s="28" t="n">
        <v>0.59214</v>
      </c>
      <c r="P130" s="28" t="n">
        <v>0.047697</v>
      </c>
      <c r="Q130" s="28" t="n">
        <v>0.06607399999999999</v>
      </c>
      <c r="R130" s="26" t="n">
        <v>54</v>
      </c>
      <c r="S130" s="29" t="n">
        <v>0</v>
      </c>
      <c r="T130" s="24" t="inlineStr">
        <is>
          <t>measured-edge-margin-v1</t>
        </is>
      </c>
      <c r="U130" s="24" t="inlineStr">
        <is>
          <t>settled</t>
        </is>
      </c>
      <c r="V130" s="24" t="inlineStr">
        <is>
          <t>loss</t>
        </is>
      </c>
      <c r="W130" s="26" t="n">
        <v>7</v>
      </c>
      <c r="X130" s="26" t="n">
        <v>6</v>
      </c>
      <c r="Y130" s="25" t="n">
        <v>-1.5</v>
      </c>
      <c r="Z130" s="26" t="n">
        <v>-111</v>
      </c>
      <c r="AA130" s="28" t="n">
        <v>0.525</v>
      </c>
      <c r="AB130" s="28" t="n">
        <v>-0.001066</v>
      </c>
      <c r="AC130" s="30" t="n">
        <v>0</v>
      </c>
      <c r="AD130" s="24" t="inlineStr">
        <is>
          <t>2026-07-29T05:45:02.499667Z</t>
        </is>
      </c>
      <c r="AE130" s="31" t="inlineStr">
        <is>
          <t>Measured Edge Margin: Trend Engine projected 2.41-5.02; raw selected-side p=0.6084, calibrated p=0.5921.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mlb-sea</t>
        </is>
      </c>
      <c r="AQ130" s="24" t="inlineStr">
        <is>
          <t>Seattle Mariners</t>
        </is>
      </c>
      <c r="AR130" s="24" t="inlineStr">
        <is>
          <t>Seattle Mariners</t>
        </is>
      </c>
      <c r="AS130" s="24" t="inlineStr">
        <is>
          <t>mlb-lad</t>
        </is>
      </c>
      <c r="AT130" s="24" t="inlineStr">
        <is>
          <t>Los Angeles Dodgers</t>
        </is>
      </c>
      <c r="AU130" s="24" t="inlineStr">
        <is>
          <t>Los Angeles Dodgers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bd86494ed21c6a0389ab0efcf4b8a5bb7b9f8f8786b6d5fb9da69d8cf0a70bdc</t>
        </is>
      </c>
      <c r="BB130" s="24" t="inlineStr">
        <is>
          <t>flat_probability_shrinkage_toward_half</t>
        </is>
      </c>
      <c r="BC130" s="24" t="inlineStr">
        <is>
          <t>measured-edge-margin-v1</t>
        </is>
      </c>
      <c r="BD130" s="24" t="inlineStr">
        <is>
          <t>bd86494ed21c6a0389ab0efcf4b8a5bb7b9f8f8786b6d5fb9da69d8cf0a70bdc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2026-07-28T23:38:30.230753Z</t>
        </is>
      </c>
      <c r="BI130" s="24" t="inlineStr">
        <is>
          <t>["same_event","same_team_same_day","same_league_same_day"]</t>
        </is>
      </c>
      <c r="BJ130" s="25" t="n">
        <v>-1.5</v>
      </c>
      <c r="BK130" s="26" t="n">
        <v>-111</v>
      </c>
      <c r="BL130" s="27" t="n">
        <v>1.900901</v>
      </c>
      <c r="BM130" s="28" t="n">
        <v>0.526066</v>
      </c>
      <c r="BN130" s="28" t="n">
        <v>0.522388</v>
      </c>
      <c r="BO130" s="28" t="n"/>
      <c r="BP130" s="25" t="n"/>
      <c r="BQ130" s="27" t="n">
        <v>1.900901</v>
      </c>
      <c r="BR130" s="28" t="n">
        <v>0.525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cee6ad5cbf45481f</t>
        </is>
      </c>
      <c r="B131" s="24" t="inlineStr">
        <is>
          <t>2026-07-28T23:38:30.230753Z</t>
        </is>
      </c>
      <c r="C131" s="24" t="inlineStr">
        <is>
          <t>2026-07-29T02:10Z</t>
        </is>
      </c>
      <c r="D131" s="24" t="inlineStr">
        <is>
          <t>401816306</t>
        </is>
      </c>
      <c r="E131" s="24" t="inlineStr">
        <is>
          <t>MLB</t>
        </is>
      </c>
      <c r="F131" s="24" t="inlineStr">
        <is>
          <t>Seattle Mariners</t>
        </is>
      </c>
      <c r="G131" s="24" t="inlineStr">
        <is>
          <t>Los Angeles Dodgers</t>
        </is>
      </c>
      <c r="H131" s="24" t="inlineStr">
        <is>
          <t>total</t>
        </is>
      </c>
      <c r="I131" s="24" t="inlineStr">
        <is>
          <t>under</t>
        </is>
      </c>
      <c r="J131" s="25" t="n">
        <v>9.5</v>
      </c>
      <c r="K131" s="24" t="inlineStr">
        <is>
          <t>polymarket_us</t>
        </is>
      </c>
      <c r="L131" s="26" t="n">
        <v>-111</v>
      </c>
      <c r="M131" s="27" t="n">
        <v>1.900901</v>
      </c>
      <c r="N131" s="28" t="n">
        <v>0.526066</v>
      </c>
      <c r="O131" s="28" t="n">
        <v>0.70485</v>
      </c>
      <c r="P131" s="28" t="n">
        <v>0.047697</v>
      </c>
      <c r="Q131" s="28" t="n">
        <v>0.178784</v>
      </c>
      <c r="R131" s="26" t="n">
        <v>100</v>
      </c>
      <c r="S131" s="29" t="n">
        <v>0</v>
      </c>
      <c r="T131" s="24" t="inlineStr">
        <is>
          <t>measured-edge-totals-v1</t>
        </is>
      </c>
      <c r="U131" s="24" t="inlineStr">
        <is>
          <t>settled</t>
        </is>
      </c>
      <c r="V131" s="24" t="inlineStr">
        <is>
          <t>loss</t>
        </is>
      </c>
      <c r="W131" s="26" t="n">
        <v>7</v>
      </c>
      <c r="X131" s="26" t="n">
        <v>6</v>
      </c>
      <c r="Y131" s="25" t="n">
        <v>9.5</v>
      </c>
      <c r="Z131" s="26" t="n">
        <v>-111</v>
      </c>
      <c r="AA131" s="28" t="n">
        <v>0.525</v>
      </c>
      <c r="AB131" s="28" t="n">
        <v>-0.001066</v>
      </c>
      <c r="AC131" s="30" t="n">
        <v>0</v>
      </c>
      <c r="AD131" s="24" t="inlineStr">
        <is>
          <t>2026-07-29T05:45:02.940715Z</t>
        </is>
      </c>
      <c r="AE131" s="31" t="inlineStr">
        <is>
          <t>Measured Edge Totals: Trend Engine projected 2.41-5.02; raw selected-side p=0.7410, calibrated p=0.7048.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mlb-sea</t>
        </is>
      </c>
      <c r="AQ131" s="24" t="inlineStr">
        <is>
          <t>Seattle Mariners</t>
        </is>
      </c>
      <c r="AR131" s="24" t="inlineStr">
        <is>
          <t>Seattle Mariners</t>
        </is>
      </c>
      <c r="AS131" s="24" t="inlineStr">
        <is>
          <t>mlb-lad</t>
        </is>
      </c>
      <c r="AT131" s="24" t="inlineStr">
        <is>
          <t>Los Angeles Dodgers</t>
        </is>
      </c>
      <c r="AU131" s="24" t="inlineStr">
        <is>
          <t>Los Angeles Dodgers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0aa06c0f065ec20d43901d386280174165e2b07065216b6c7ffe72c98e322706</t>
        </is>
      </c>
      <c r="BB131" s="24" t="inlineStr">
        <is>
          <t>flat_probability_shrinkage_toward_half</t>
        </is>
      </c>
      <c r="BC131" s="24" t="inlineStr">
        <is>
          <t>measured-edge-totals-v1</t>
        </is>
      </c>
      <c r="BD131" s="24" t="inlineStr">
        <is>
          <t>0aa06c0f065ec20d43901d386280174165e2b07065216b6c7ffe72c98e322706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2026-07-28T23:38:30.230753Z</t>
        </is>
      </c>
      <c r="BI131" s="24" t="inlineStr">
        <is>
          <t>["same_event","same_team_same_day","same_league_same_day"]</t>
        </is>
      </c>
      <c r="BJ131" s="25" t="n">
        <v>9.5</v>
      </c>
      <c r="BK131" s="26" t="n">
        <v>-111</v>
      </c>
      <c r="BL131" s="27" t="n">
        <v>1.900901</v>
      </c>
      <c r="BM131" s="28" t="n">
        <v>0.526066</v>
      </c>
      <c r="BN131" s="28" t="n">
        <v>0.522388</v>
      </c>
      <c r="BO131" s="28" t="n"/>
      <c r="BP131" s="25" t="n"/>
      <c r="BQ131" s="27" t="n">
        <v>1.900901</v>
      </c>
      <c r="BR131" s="28" t="n">
        <v>0.525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27424d05e09d4892</t>
        </is>
      </c>
      <c r="B132" s="24" t="inlineStr">
        <is>
          <t>2026-07-29T15:06:42.678455Z</t>
        </is>
      </c>
      <c r="C132" s="24" t="inlineStr">
        <is>
          <t>2026-07-29T12:10:00-0400</t>
        </is>
      </c>
      <c r="D132" s="24" t="inlineStr">
        <is>
          <t>401816311</t>
        </is>
      </c>
      <c r="E132" s="24" t="inlineStr">
        <is>
          <t>MLB</t>
        </is>
      </c>
      <c r="F132" s="24" t="inlineStr">
        <is>
          <t>Philadelphia Phillies</t>
        </is>
      </c>
      <c r="G132" s="24" t="inlineStr">
        <is>
          <t>Miami Marlins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-160</v>
      </c>
      <c r="M132" s="27" t="n">
        <v>1.625</v>
      </c>
      <c r="N132" s="28" t="n">
        <v>0.615385</v>
      </c>
      <c r="O132" s="28" t="n">
        <v>0.548878</v>
      </c>
      <c r="P132" s="28" t="n"/>
      <c r="Q132" s="28" t="n">
        <v>-0.066507</v>
      </c>
      <c r="R132" s="26" t="n">
        <v>0</v>
      </c>
      <c r="S132" s="29" t="n">
        <v>1</v>
      </c>
      <c r="T132" s="24" t="inlineStr">
        <is>
          <t>mlb-elo-trend-lr-v6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Learned LR call at threshold 0.5690; executable ask 0.6150 (aec-mlb-phi-mia-2026-07-29).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mlb-phi</t>
        </is>
      </c>
      <c r="AQ132" s="24" t="inlineStr">
        <is>
          <t>Philadelphia Phillies</t>
        </is>
      </c>
      <c r="AR132" s="24" t="inlineStr">
        <is>
          <t>Philadelphia Phillies</t>
        </is>
      </c>
      <c r="AS132" s="24" t="inlineStr">
        <is>
          <t>mlb-mia</t>
        </is>
      </c>
      <c r="AT132" s="24" t="inlineStr">
        <is>
          <t>Miami Marlins</t>
        </is>
      </c>
      <c r="AU132" s="24" t="inlineStr">
        <is>
          <t>Miami Marlins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0633355b1144e4205ca6d08e3f328d99cab0970358846bd77228f3bcbfcd70ee</t>
        </is>
      </c>
      <c r="BB132" s="24" t="inlineStr">
        <is>
          <t>learned_lr</t>
        </is>
      </c>
      <c r="BC132" s="24" t="inlineStr">
        <is>
          <t>mlb-elo-trend-lr-v6</t>
        </is>
      </c>
      <c r="BD132" s="24" t="inlineStr">
        <is>
          <t>0633355b1144e4205ca6d08e3f328d99cab0970358846bd77228f3bcbfcd70ee</t>
        </is>
      </c>
      <c r="BE132" s="24" t="inlineStr">
        <is>
          <t>717e55f4f258c65e</t>
        </is>
      </c>
      <c r="BF132" s="24" t="inlineStr">
        <is>
          <t>1</t>
        </is>
      </c>
      <c r="BG132" s="24" t="inlineStr">
        <is>
          <t>mlb-elo-trend-lr-v6</t>
        </is>
      </c>
      <c r="BH132" s="24" t="inlineStr">
        <is>
          <t>2026-07-29T15:05:36.117663Z</t>
        </is>
      </c>
      <c r="BI132" s="24" t="inlineStr">
        <is>
          <t>["same_event","same_team_same_day","same_league_same_day"]</t>
        </is>
      </c>
      <c r="BJ132" s="25" t="n"/>
      <c r="BK132" s="26" t="n">
        <v>-160</v>
      </c>
      <c r="BL132" s="27" t="n">
        <v>1.625</v>
      </c>
      <c r="BM132" s="28" t="n">
        <v>0.615385</v>
      </c>
      <c r="BN132" s="28" t="n">
        <v>0.61194</v>
      </c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0.477817603</t>
        </is>
      </c>
      <c r="CD132" s="24" t="inlineStr">
        <is>
          <t>-0.644046</t>
        </is>
      </c>
      <c r="CE132" s="24" t="inlineStr">
        <is>
          <t>0.99</t>
        </is>
      </c>
      <c r="CF132" s="24" t="n"/>
      <c r="CG132" s="24" t="n"/>
      <c r="CH132" s="24" t="inlineStr">
        <is>
          <t>1.19</t>
        </is>
      </c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8be148fc5c784cd1</t>
        </is>
      </c>
      <c r="B133" s="24" t="inlineStr">
        <is>
          <t>2026-07-29T15:06:42.678455Z</t>
        </is>
      </c>
      <c r="C133" s="24" t="inlineStr">
        <is>
          <t>2026-07-29T12:35:00-0400</t>
        </is>
      </c>
      <c r="D133" s="24" t="inlineStr">
        <is>
          <t>401816307</t>
        </is>
      </c>
      <c r="E133" s="24" t="inlineStr">
        <is>
          <t>MLB</t>
        </is>
      </c>
      <c r="F133" s="24" t="inlineStr">
        <is>
          <t>Arizona Diamondbacks</t>
        </is>
      </c>
      <c r="G133" s="24" t="inlineStr">
        <is>
          <t>Pittsburgh Pirates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122</v>
      </c>
      <c r="M133" s="27" t="n">
        <v>2.22</v>
      </c>
      <c r="N133" s="28" t="n">
        <v>0.45045</v>
      </c>
      <c r="O133" s="28" t="n">
        <v>0.5174299999999999</v>
      </c>
      <c r="P133" s="28" t="n"/>
      <c r="Q133" s="28" t="n">
        <v>0.06698</v>
      </c>
      <c r="R133" s="26" t="n">
        <v>55</v>
      </c>
      <c r="S133" s="29" t="n">
        <v>0.75</v>
      </c>
      <c r="T133" s="24" t="inlineStr">
        <is>
          <t>mlb-elo-trend-lr-v6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Learned LR call at threshold 0.5690; executable ask 0.4500 (aec-mlb-az-pit-2026-07-29).</t>
        </is>
      </c>
      <c r="AF133" s="31" t="inlineStr">
        <is>
          <t>Learned model; shadow-qualified via operator override.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mlb-ari</t>
        </is>
      </c>
      <c r="AQ133" s="24" t="inlineStr">
        <is>
          <t>Arizona Diamondbacks</t>
        </is>
      </c>
      <c r="AR133" s="24" t="inlineStr">
        <is>
          <t>Arizona Diamondbacks</t>
        </is>
      </c>
      <c r="AS133" s="24" t="inlineStr">
        <is>
          <t>mlb-pit</t>
        </is>
      </c>
      <c r="AT133" s="24" t="inlineStr">
        <is>
          <t>Pittsburgh Pirates</t>
        </is>
      </c>
      <c r="AU133" s="24" t="inlineStr">
        <is>
          <t>Pittsburgh Pirates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0633355b1144e4205ca6d08e3f328d99cab0970358846bd77228f3bcbfcd70ee</t>
        </is>
      </c>
      <c r="BB133" s="24" t="inlineStr">
        <is>
          <t>learned_lr</t>
        </is>
      </c>
      <c r="BC133" s="24" t="inlineStr">
        <is>
          <t>mlb-elo-trend-lr-v6</t>
        </is>
      </c>
      <c r="BD133" s="24" t="inlineStr">
        <is>
          <t>0633355b1144e4205ca6d08e3f328d99cab0970358846bd77228f3bcbfcd70ee</t>
        </is>
      </c>
      <c r="BE133" s="24" t="inlineStr">
        <is>
          <t>db85a23370f340ed</t>
        </is>
      </c>
      <c r="BF133" s="24" t="inlineStr">
        <is>
          <t>1</t>
        </is>
      </c>
      <c r="BG133" s="24" t="inlineStr">
        <is>
          <t>mlb-elo-trend-lr-v6</t>
        </is>
      </c>
      <c r="BH133" s="24" t="inlineStr">
        <is>
          <t>2026-07-29T15:05:37.241286Z</t>
        </is>
      </c>
      <c r="BI133" s="24" t="inlineStr">
        <is>
          <t>["same_event","same_team_same_day","same_league_same_day"]</t>
        </is>
      </c>
      <c r="BJ133" s="25" t="n"/>
      <c r="BK133" s="26" t="n">
        <v>122</v>
      </c>
      <c r="BL133" s="27" t="n">
        <v>2.22</v>
      </c>
      <c r="BM133" s="28" t="n">
        <v>0.45045</v>
      </c>
      <c r="BN133" s="28" t="n">
        <v>0.447761</v>
      </c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0.5377279767</t>
        </is>
      </c>
      <c r="CD133" s="24" t="inlineStr">
        <is>
          <t>-2.019377</t>
        </is>
      </c>
      <c r="CE133" s="24" t="inlineStr">
        <is>
          <t>1.0</t>
        </is>
      </c>
      <c r="CF133" s="24" t="n"/>
      <c r="CG133" s="24" t="n"/>
      <c r="CH133" s="24" t="inlineStr">
        <is>
          <t>1.08</t>
        </is>
      </c>
      <c r="CI133" s="24" t="n"/>
      <c r="CJ133" s="24" t="n"/>
      <c r="CK133" s="24" t="n"/>
      <c r="CL133" s="24" t="n"/>
      <c r="CM133" s="24" t="n"/>
      <c r="CN133" s="24" t="n"/>
      <c r="CO133" s="24" t="n"/>
    </row>
    <row r="134" ht="36" customHeight="1">
      <c r="A134" s="24" t="inlineStr">
        <is>
          <t>29b8b05a115b4ecc</t>
        </is>
      </c>
      <c r="B134" s="24" t="inlineStr">
        <is>
          <t>2026-07-29T15:06:42.678455Z</t>
        </is>
      </c>
      <c r="C134" s="24" t="inlineStr">
        <is>
          <t>2026-07-29T13:05:00-0400</t>
        </is>
      </c>
      <c r="D134" s="24" t="inlineStr">
        <is>
          <t>401816313</t>
        </is>
      </c>
      <c r="E134" s="24" t="inlineStr">
        <is>
          <t>MLB</t>
        </is>
      </c>
      <c r="F134" s="24" t="inlineStr">
        <is>
          <t>Toronto Blue Jays</t>
        </is>
      </c>
      <c r="G134" s="24" t="inlineStr">
        <is>
          <t>Washington Nationals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-108</v>
      </c>
      <c r="M134" s="27" t="n">
        <v>1.925926</v>
      </c>
      <c r="N134" s="28" t="n">
        <v>0.519231</v>
      </c>
      <c r="O134" s="28" t="n">
        <v>0.568727</v>
      </c>
      <c r="P134" s="28" t="n"/>
      <c r="Q134" s="28" t="n">
        <v>0.049496</v>
      </c>
      <c r="R134" s="26" t="n">
        <v>46</v>
      </c>
      <c r="S134" s="29" t="n">
        <v>1.25</v>
      </c>
      <c r="T134" s="24" t="inlineStr">
        <is>
          <t>mlb-elo-trend-lr-v6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Learned LR call at threshold 0.5690; executable ask 0.5200 (aec-mlb-tor-wsh-2026-07-29).</t>
        </is>
      </c>
      <c r="AF134" s="31" t="inlineStr">
        <is>
          <t>Learned model; shadow-qualified via operator override.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mlb-tor</t>
        </is>
      </c>
      <c r="AQ134" s="24" t="inlineStr">
        <is>
          <t>Toronto Blue Jays</t>
        </is>
      </c>
      <c r="AR134" s="24" t="inlineStr">
        <is>
          <t>Toronto Blue Jays</t>
        </is>
      </c>
      <c r="AS134" s="24" t="inlineStr">
        <is>
          <t>mlb-wsh</t>
        </is>
      </c>
      <c r="AT134" s="24" t="inlineStr">
        <is>
          <t>Washington Nationals</t>
        </is>
      </c>
      <c r="AU134" s="24" t="inlineStr">
        <is>
          <t>Washington Nationals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0633355b1144e4205ca6d08e3f328d99cab0970358846bd77228f3bcbfcd70ee</t>
        </is>
      </c>
      <c r="BB134" s="24" t="inlineStr">
        <is>
          <t>learned_lr</t>
        </is>
      </c>
      <c r="BC134" s="24" t="inlineStr">
        <is>
          <t>mlb-elo-trend-lr-v6</t>
        </is>
      </c>
      <c r="BD134" s="24" t="inlineStr">
        <is>
          <t>0633355b1144e4205ca6d08e3f328d99cab0970358846bd77228f3bcbfcd70ee</t>
        </is>
      </c>
      <c r="BE134" s="24" t="inlineStr">
        <is>
          <t>ecd462118636cdbb</t>
        </is>
      </c>
      <c r="BF134" s="24" t="inlineStr">
        <is>
          <t>1</t>
        </is>
      </c>
      <c r="BG134" s="24" t="inlineStr">
        <is>
          <t>mlb-elo-trend-lr-v6</t>
        </is>
      </c>
      <c r="BH134" s="24" t="inlineStr">
        <is>
          <t>2026-07-29T15:05:38.084258Z</t>
        </is>
      </c>
      <c r="BI134" s="24" t="inlineStr">
        <is>
          <t>["same_event","same_team_same_day","same_league_same_day"]</t>
        </is>
      </c>
      <c r="BJ134" s="25" t="n"/>
      <c r="BK134" s="26" t="n">
        <v>-108</v>
      </c>
      <c r="BL134" s="27" t="n">
        <v>1.925926</v>
      </c>
      <c r="BM134" s="28" t="n">
        <v>0.519231</v>
      </c>
      <c r="BN134" s="28" t="n">
        <v>0.517413</v>
      </c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0.5019196627</t>
        </is>
      </c>
      <c r="CD134" s="24" t="inlineStr">
        <is>
          <t>0.540593</t>
        </is>
      </c>
      <c r="CE134" s="24" t="inlineStr">
        <is>
          <t>1.0</t>
        </is>
      </c>
      <c r="CF134" s="24" t="n"/>
      <c r="CG134" s="24" t="n"/>
      <c r="CH134" s="24" t="inlineStr">
        <is>
          <t>1.25</t>
        </is>
      </c>
      <c r="CI134" s="24" t="n"/>
      <c r="CJ134" s="24" t="n"/>
      <c r="CK134" s="24" t="n"/>
      <c r="CL134" s="24" t="n"/>
      <c r="CM134" s="24" t="n"/>
      <c r="CN134" s="24" t="n"/>
      <c r="CO134" s="24" t="n"/>
    </row>
    <row r="135" ht="36" customHeight="1">
      <c r="A135" s="24" t="inlineStr">
        <is>
          <t>efd8a619949a4cfe</t>
        </is>
      </c>
      <c r="B135" s="24" t="inlineStr">
        <is>
          <t>2026-07-29T15:06:42.678455Z</t>
        </is>
      </c>
      <c r="C135" s="24" t="inlineStr">
        <is>
          <t>2026-07-29T13:10:00-0400</t>
        </is>
      </c>
      <c r="D135" s="24" t="inlineStr">
        <is>
          <t>401816308</t>
        </is>
      </c>
      <c r="E135" s="24" t="inlineStr">
        <is>
          <t>MLB</t>
        </is>
      </c>
      <c r="F135" s="24" t="inlineStr">
        <is>
          <t>Atlanta Braves</t>
        </is>
      </c>
      <c r="G135" s="24" t="inlineStr">
        <is>
          <t>New York Mets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espn</t>
        </is>
      </c>
      <c r="L135" s="26" t="n">
        <v>-110</v>
      </c>
      <c r="M135" s="27" t="n">
        <v>1.909091</v>
      </c>
      <c r="N135" s="28" t="n">
        <v>0.52381</v>
      </c>
      <c r="O135" s="28" t="n">
        <v>0.556021</v>
      </c>
      <c r="P135" s="28" t="n"/>
      <c r="Q135" s="28" t="n">
        <v>0.032211</v>
      </c>
      <c r="R135" s="26" t="n">
        <v>66</v>
      </c>
      <c r="S135" s="29" t="n">
        <v>0</v>
      </c>
      <c r="T135" s="24" t="inlineStr">
        <is>
          <t>mlb-elo-trend-lr-v6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Learned LR call at threshold 0.5690; no Polymarket quote available — using -110 default odds. NOTE: probable_starter_era_gap unavailable for this game — defaulted to neutral, other features used normally.</t>
        </is>
      </c>
      <c r="AF135" s="31" t="inlineStr">
        <is>
          <t>Learned model; shadow-qualified via operator override.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mlb-atl</t>
        </is>
      </c>
      <c r="AQ135" s="24" t="inlineStr">
        <is>
          <t>Atlanta Braves</t>
        </is>
      </c>
      <c r="AR135" s="24" t="inlineStr">
        <is>
          <t>Atlanta Braves</t>
        </is>
      </c>
      <c r="AS135" s="24" t="inlineStr">
        <is>
          <t>mlb-nym</t>
        </is>
      </c>
      <c r="AT135" s="24" t="inlineStr">
        <is>
          <t>New York Mets</t>
        </is>
      </c>
      <c r="AU135" s="24" t="inlineStr">
        <is>
          <t>New York Mets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0633355b1144e4205ca6d08e3f328d99cab0970358846bd77228f3bcbfcd70ee</t>
        </is>
      </c>
      <c r="BB135" s="24" t="inlineStr">
        <is>
          <t>learned_lr</t>
        </is>
      </c>
      <c r="BC135" s="24" t="inlineStr">
        <is>
          <t>mlb-elo-trend-lr-v6</t>
        </is>
      </c>
      <c r="BD135" s="24" t="inlineStr">
        <is>
          <t>0633355b1144e4205ca6d08e3f328d99cab0970358846bd77228f3bcbfcd70ee</t>
        </is>
      </c>
      <c r="BE135" s="24" t="inlineStr">
        <is>
          <t>14612466cc229dc0</t>
        </is>
      </c>
      <c r="BF135" s="24" t="inlineStr">
        <is>
          <t>1</t>
        </is>
      </c>
      <c r="BG135" s="24" t="inlineStr">
        <is>
          <t>mlb-elo-trend-lr-v6</t>
        </is>
      </c>
      <c r="BH135" s="24" t="inlineStr">
        <is>
          <t>2026-07-29T15:06:42.678455Z</t>
        </is>
      </c>
      <c r="BI135" s="24" t="inlineStr">
        <is>
          <t>["same_event","same_team_same_day","same_league_same_day"]</t>
        </is>
      </c>
      <c r="BJ135" s="25" t="n"/>
      <c r="BK135" s="26" t="n">
        <v>-110</v>
      </c>
      <c r="BL135" s="27" t="n">
        <v>1.909091</v>
      </c>
      <c r="BM135" s="28" t="n">
        <v>0.52381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0.4315693087</t>
        </is>
      </c>
      <c r="CD135" s="24" t="inlineStr">
        <is>
          <t>-2.190624</t>
        </is>
      </c>
      <c r="CE135" s="24" t="inlineStr">
        <is>
          <t>0.97</t>
        </is>
      </c>
      <c r="CF135" s="24" t="n"/>
      <c r="CG135" s="24" t="n"/>
      <c r="CH135" s="24" t="inlineStr">
        <is>
          <t>0.0</t>
        </is>
      </c>
      <c r="CI135" s="24" t="inlineStr">
        <is>
          <t>probable_starter_era_gap</t>
        </is>
      </c>
      <c r="CJ135" s="24" t="n"/>
      <c r="CK135" s="24" t="n"/>
      <c r="CL135" s="24" t="n"/>
      <c r="CM135" s="24" t="n"/>
      <c r="CN135" s="24" t="n"/>
      <c r="CO135" s="24" t="n"/>
    </row>
    <row r="136" ht="36" customHeight="1">
      <c r="A136" s="24" t="inlineStr">
        <is>
          <t>93dd5c5333984967</t>
        </is>
      </c>
      <c r="B136" s="24" t="inlineStr">
        <is>
          <t>2026-07-29T15:06:42.678455Z</t>
        </is>
      </c>
      <c r="C136" s="24" t="inlineStr">
        <is>
          <t>2026-07-29T13:10:00-0400</t>
        </is>
      </c>
      <c r="D136" s="24" t="inlineStr">
        <is>
          <t>401816309</t>
        </is>
      </c>
      <c r="E136" s="24" t="inlineStr">
        <is>
          <t>MLB</t>
        </is>
      </c>
      <c r="F136" s="24" t="inlineStr">
        <is>
          <t>Baltimore Orioles</t>
        </is>
      </c>
      <c r="G136" s="24" t="inlineStr">
        <is>
          <t>Detroit Tigers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-163</v>
      </c>
      <c r="M136" s="27" t="n">
        <v>1.613497</v>
      </c>
      <c r="N136" s="28" t="n">
        <v>0.619772</v>
      </c>
      <c r="O136" s="28" t="n">
        <v>0.642577</v>
      </c>
      <c r="P136" s="28" t="n"/>
      <c r="Q136" s="28" t="n">
        <v>0.022805</v>
      </c>
      <c r="R136" s="26" t="n">
        <v>33</v>
      </c>
      <c r="S136" s="29" t="n">
        <v>2</v>
      </c>
      <c r="T136" s="24" t="inlineStr">
        <is>
          <t>mlb-elo-trend-lr-v6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Learned LR call at threshold 0.5690; executable ask 0.6200 (aec-mlb-bal-det-2026-07-29).</t>
        </is>
      </c>
      <c r="AF136" s="31" t="inlineStr">
        <is>
          <t>Learned model; shadow-qualified via operator override.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mlb-bal</t>
        </is>
      </c>
      <c r="AQ136" s="24" t="inlineStr">
        <is>
          <t>Baltimore Orioles</t>
        </is>
      </c>
      <c r="AR136" s="24" t="inlineStr">
        <is>
          <t>Baltimore Orioles</t>
        </is>
      </c>
      <c r="AS136" s="24" t="inlineStr">
        <is>
          <t>mlb-det</t>
        </is>
      </c>
      <c r="AT136" s="24" t="inlineStr">
        <is>
          <t>Detroit Tigers</t>
        </is>
      </c>
      <c r="AU136" s="24" t="inlineStr">
        <is>
          <t>Detroit Tigers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0633355b1144e4205ca6d08e3f328d99cab0970358846bd77228f3bcbfcd70ee</t>
        </is>
      </c>
      <c r="BB136" s="24" t="inlineStr">
        <is>
          <t>learned_lr</t>
        </is>
      </c>
      <c r="BC136" s="24" t="inlineStr">
        <is>
          <t>mlb-elo-trend-lr-v6</t>
        </is>
      </c>
      <c r="BD136" s="24" t="inlineStr">
        <is>
          <t>0633355b1144e4205ca6d08e3f328d99cab0970358846bd77228f3bcbfcd70ee</t>
        </is>
      </c>
      <c r="BE136" s="24" t="inlineStr">
        <is>
          <t>737a4d0bea1eb67e</t>
        </is>
      </c>
      <c r="BF136" s="24" t="inlineStr">
        <is>
          <t>1</t>
        </is>
      </c>
      <c r="BG136" s="24" t="inlineStr">
        <is>
          <t>mlb-elo-trend-lr-v6</t>
        </is>
      </c>
      <c r="BH136" s="24" t="inlineStr">
        <is>
          <t>2026-07-29T15:05:40.058477Z</t>
        </is>
      </c>
      <c r="BI136" s="24" t="inlineStr">
        <is>
          <t>["same_event","same_team_same_day","same_league_same_day"]</t>
        </is>
      </c>
      <c r="BJ136" s="25" t="n"/>
      <c r="BK136" s="26" t="n">
        <v>-163</v>
      </c>
      <c r="BL136" s="27" t="n">
        <v>1.613497</v>
      </c>
      <c r="BM136" s="28" t="n">
        <v>0.619772</v>
      </c>
      <c r="BN136" s="28" t="n">
        <v>0.616915</v>
      </c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inlineStr">
        <is>
          <t>0.5578182793</t>
        </is>
      </c>
      <c r="CD136" s="24" t="inlineStr">
        <is>
          <t>-0.528912</t>
        </is>
      </c>
      <c r="CE136" s="24" t="inlineStr">
        <is>
          <t>0.98</t>
        </is>
      </c>
      <c r="CF136" s="24" t="n"/>
      <c r="CG136" s="24" t="n"/>
      <c r="CH136" s="24" t="inlineStr">
        <is>
          <t>-1.47</t>
        </is>
      </c>
      <c r="CI136" s="24" t="n"/>
      <c r="CJ136" s="24" t="n"/>
      <c r="CK136" s="24" t="n"/>
      <c r="CL136" s="24" t="n"/>
      <c r="CM136" s="24" t="n"/>
      <c r="CN136" s="24" t="n"/>
      <c r="CO136" s="24" t="n"/>
    </row>
    <row r="137" ht="36" customHeight="1">
      <c r="A137" s="24" t="inlineStr">
        <is>
          <t>9729768851cd4ce0</t>
        </is>
      </c>
      <c r="B137" s="24" t="inlineStr">
        <is>
          <t>2026-07-29T17:43:50.913671Z</t>
        </is>
      </c>
      <c r="C137" s="24" t="inlineStr">
        <is>
          <t>2026-07-29T20:00:00-0400</t>
        </is>
      </c>
      <c r="D137" s="24" t="inlineStr">
        <is>
          <t>401857097</t>
        </is>
      </c>
      <c r="E137" s="24" t="inlineStr">
        <is>
          <t>WNBA</t>
        </is>
      </c>
      <c r="F137" s="24" t="inlineStr">
        <is>
          <t>Atlanta Dream</t>
        </is>
      </c>
      <c r="G137" s="24" t="inlineStr">
        <is>
          <t>Dallas Wings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108</v>
      </c>
      <c r="M137" s="27" t="n">
        <v>2.08</v>
      </c>
      <c r="N137" s="28" t="n">
        <v>0.480769</v>
      </c>
      <c r="O137" s="28" t="n">
        <v>0.66476</v>
      </c>
      <c r="P137" s="28" t="n"/>
      <c r="Q137" s="28" t="n">
        <v>0.183991</v>
      </c>
      <c r="R137" s="26" t="n">
        <v>100</v>
      </c>
      <c r="S137" s="29" t="n">
        <v>2</v>
      </c>
      <c r="T137" s="24" t="inlineStr">
        <is>
          <t>wnba-elo-trend-lr-v4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137" s="31" t="inlineStr">
        <is>
          <t>Learned model; shadow-qualified via operator override.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wnba-atl</t>
        </is>
      </c>
      <c r="AQ137" s="24" t="inlineStr">
        <is>
          <t>Atlanta Dream</t>
        </is>
      </c>
      <c r="AR137" s="24" t="inlineStr">
        <is>
          <t>Atlanta Dream</t>
        </is>
      </c>
      <c r="AS137" s="24" t="inlineStr">
        <is>
          <t>wnba-dal</t>
        </is>
      </c>
      <c r="AT137" s="24" t="inlineStr">
        <is>
          <t>Dallas Wings</t>
        </is>
      </c>
      <c r="AU137" s="24" t="inlineStr">
        <is>
          <t>Dallas Wings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7afd5274214b58b7efd7f7febc7be3ab33b92351cda5cc6403c0a39faea0cc8c</t>
        </is>
      </c>
      <c r="BB137" s="24" t="inlineStr">
        <is>
          <t>learned_lr</t>
        </is>
      </c>
      <c r="BC137" s="24" t="inlineStr">
        <is>
          <t>wnba-elo-trend-lr-v4</t>
        </is>
      </c>
      <c r="BD137" s="24" t="inlineStr">
        <is>
          <t>7afd5274214b58b7efd7f7febc7be3ab33b92351cda5cc6403c0a39faea0cc8c</t>
        </is>
      </c>
      <c r="BE137" s="24" t="inlineStr">
        <is>
          <t>f25936b561e6d355</t>
        </is>
      </c>
      <c r="BF137" s="24" t="inlineStr">
        <is>
          <t>1</t>
        </is>
      </c>
      <c r="BG137" s="24" t="inlineStr">
        <is>
          <t>wnba-elo-trend-lr-v4</t>
        </is>
      </c>
      <c r="BH137" s="24" t="inlineStr">
        <is>
          <t>2026-07-29T17:43:12.551208Z</t>
        </is>
      </c>
      <c r="BI137" s="24" t="inlineStr">
        <is>
          <t>["same_event","same_team_same_day","same_league_same_day"]</t>
        </is>
      </c>
      <c r="BJ137" s="25" t="n"/>
      <c r="BK137" s="26" t="n">
        <v>108</v>
      </c>
      <c r="BL137" s="27" t="n">
        <v>2.08</v>
      </c>
      <c r="BM137" s="28" t="n">
        <v>0.480769</v>
      </c>
      <c r="BN137" s="28" t="n">
        <v>0.475248</v>
      </c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inlineStr">
        <is>
          <t>0.7229749194</t>
        </is>
      </c>
      <c r="CD137" s="24" t="inlineStr">
        <is>
          <t>-2.425932</t>
        </is>
      </c>
      <c r="CE137" s="24" t="n"/>
      <c r="CF137" s="24" t="n"/>
      <c r="CG137" s="24" t="n"/>
      <c r="CH137" s="24" t="n"/>
      <c r="CI137" s="24" t="inlineStr">
        <is>
          <t>wnba_availability_source_conflict</t>
        </is>
      </c>
      <c r="CJ137" s="24" t="n"/>
      <c r="CK137" s="24" t="n"/>
      <c r="CL137" s="24" t="n"/>
      <c r="CM137" s="24" t="n"/>
      <c r="CN137" s="24" t="n"/>
      <c r="CO137" s="24" t="n"/>
    </row>
    <row r="138" ht="36" customHeight="1">
      <c r="A138" s="24" t="inlineStr">
        <is>
          <t>f623bc49e7fc48bb</t>
        </is>
      </c>
      <c r="B138" s="24" t="inlineStr">
        <is>
          <t>2026-07-29T17:43:50.913671Z</t>
        </is>
      </c>
      <c r="C138" s="24" t="inlineStr">
        <is>
          <t>2026-07-29T15:45:00-0400</t>
        </is>
      </c>
      <c r="D138" s="24" t="inlineStr">
        <is>
          <t>401816320</t>
        </is>
      </c>
      <c r="E138" s="24" t="inlineStr">
        <is>
          <t>MLB</t>
        </is>
      </c>
      <c r="F138" s="24" t="inlineStr">
        <is>
          <t>Milwaukee Brewers</t>
        </is>
      </c>
      <c r="G138" s="24" t="inlineStr">
        <is>
          <t>San Francisco Giants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106</v>
      </c>
      <c r="M138" s="27" t="n">
        <v>2.06</v>
      </c>
      <c r="N138" s="28" t="n">
        <v>0.485437</v>
      </c>
      <c r="O138" s="28" t="n">
        <v>0.51027</v>
      </c>
      <c r="P138" s="28" t="n"/>
      <c r="Q138" s="28" t="n">
        <v>0.024833</v>
      </c>
      <c r="R138" s="26" t="n">
        <v>34</v>
      </c>
      <c r="S138" s="29" t="n">
        <v>0.5</v>
      </c>
      <c r="T138" s="24" t="inlineStr">
        <is>
          <t>mlb-elo-trend-lr-v6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Learned LR call at threshold 0.5690; executable ask 0.4850 (aec-mlb-mil-sf-2026-07-29). NOTE: probable_starter_era_gap unavailable for this game — defaulted to neutral, other features used normally.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mlb-mil</t>
        </is>
      </c>
      <c r="AQ138" s="24" t="inlineStr">
        <is>
          <t>Milwaukee Brewers</t>
        </is>
      </c>
      <c r="AR138" s="24" t="inlineStr">
        <is>
          <t>Milwaukee Brewers</t>
        </is>
      </c>
      <c r="AS138" s="24" t="inlineStr">
        <is>
          <t>mlb-sf</t>
        </is>
      </c>
      <c r="AT138" s="24" t="inlineStr">
        <is>
          <t>San Francisco Giants</t>
        </is>
      </c>
      <c r="AU138" s="24" t="inlineStr">
        <is>
          <t>San Francisco Giants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0633355b1144e4205ca6d08e3f328d99cab0970358846bd77228f3bcbfcd70ee</t>
        </is>
      </c>
      <c r="BB138" s="24" t="inlineStr">
        <is>
          <t>learned_lr</t>
        </is>
      </c>
      <c r="BC138" s="24" t="inlineStr">
        <is>
          <t>mlb-elo-trend-lr-v6</t>
        </is>
      </c>
      <c r="BD138" s="24" t="inlineStr">
        <is>
          <t>0633355b1144e4205ca6d08e3f328d99cab0970358846bd77228f3bcbfcd70ee</t>
        </is>
      </c>
      <c r="BE138" s="24" t="inlineStr">
        <is>
          <t>342fabfbd8598d31</t>
        </is>
      </c>
      <c r="BF138" s="24" t="inlineStr">
        <is>
          <t>1</t>
        </is>
      </c>
      <c r="BG138" s="24" t="inlineStr">
        <is>
          <t>mlb-elo-trend-lr-v6</t>
        </is>
      </c>
      <c r="BH138" s="24" t="inlineStr">
        <is>
          <t>2026-07-29T17:43:01.153431Z</t>
        </is>
      </c>
      <c r="BI138" s="24" t="inlineStr">
        <is>
          <t>["same_event","same_team_same_day","same_league_same_day"]</t>
        </is>
      </c>
      <c r="BJ138" s="25" t="n"/>
      <c r="BK138" s="26" t="n">
        <v>106</v>
      </c>
      <c r="BL138" s="27" t="n">
        <v>2.06</v>
      </c>
      <c r="BM138" s="28" t="n">
        <v>0.485437</v>
      </c>
      <c r="BN138" s="28" t="n">
        <v>0.482587</v>
      </c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0.386809701</t>
        </is>
      </c>
      <c r="CD138" s="24" t="inlineStr">
        <is>
          <t>0.729859</t>
        </is>
      </c>
      <c r="CE138" s="24" t="inlineStr">
        <is>
          <t>0.98</t>
        </is>
      </c>
      <c r="CF138" s="24" t="n"/>
      <c r="CG138" s="24" t="n"/>
      <c r="CH138" s="24" t="inlineStr">
        <is>
          <t>0.0</t>
        </is>
      </c>
      <c r="CI138" s="24" t="inlineStr">
        <is>
          <t>probable_starter_era_gap</t>
        </is>
      </c>
      <c r="CJ138" s="24" t="n"/>
      <c r="CK138" s="24" t="n"/>
      <c r="CL138" s="24" t="n"/>
      <c r="CM138" s="24" t="n"/>
      <c r="CN138" s="24" t="n"/>
      <c r="CO138" s="24" t="n"/>
    </row>
    <row r="139" ht="36" customHeight="1">
      <c r="A139" s="24" t="inlineStr">
        <is>
          <t>78b993466b62448a</t>
        </is>
      </c>
      <c r="B139" s="24" t="inlineStr">
        <is>
          <t>2026-07-29T17:43:50.913671Z</t>
        </is>
      </c>
      <c r="C139" s="24" t="inlineStr">
        <is>
          <t>2026-07-29T22:00:00-0400</t>
        </is>
      </c>
      <c r="D139" s="24" t="inlineStr">
        <is>
          <t>401857098</t>
        </is>
      </c>
      <c r="E139" s="24" t="inlineStr">
        <is>
          <t>WNBA</t>
        </is>
      </c>
      <c r="F139" s="24" t="inlineStr">
        <is>
          <t>Golden State Valkyries</t>
        </is>
      </c>
      <c r="G139" s="24" t="inlineStr">
        <is>
          <t>Phoenix Mercury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-156</v>
      </c>
      <c r="M139" s="27" t="n">
        <v>1.641026</v>
      </c>
      <c r="N139" s="28" t="n">
        <v>0.609375</v>
      </c>
      <c r="O139" s="28" t="n">
        <v>0.7219989999999999</v>
      </c>
      <c r="P139" s="28" t="n"/>
      <c r="Q139" s="28" t="n">
        <v>0.112624</v>
      </c>
      <c r="R139" s="26" t="n">
        <v>79</v>
      </c>
      <c r="S139" s="29" t="n">
        <v>2</v>
      </c>
      <c r="T139" s="24" t="inlineStr">
        <is>
          <t>wnba-elo-trend-lr-v4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Learned LR call at threshold 0.5001; executable ask 0.6100 (aec-wnba-gsv-phx-2026-07-29).</t>
        </is>
      </c>
      <c r="AF139" s="31" t="inlineStr">
        <is>
          <t>Learned model; shadow-qualified via operator override.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wnba-gsv</t>
        </is>
      </c>
      <c r="AQ139" s="24" t="inlineStr">
        <is>
          <t>Golden State Valkyries</t>
        </is>
      </c>
      <c r="AR139" s="24" t="inlineStr">
        <is>
          <t>Golden State Valkyries</t>
        </is>
      </c>
      <c r="AS139" s="24" t="inlineStr">
        <is>
          <t>wnba-phx</t>
        </is>
      </c>
      <c r="AT139" s="24" t="inlineStr">
        <is>
          <t>Phoenix Mercury</t>
        </is>
      </c>
      <c r="AU139" s="24" t="inlineStr">
        <is>
          <t>Phoenix Mercury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7afd5274214b58b7efd7f7febc7be3ab33b92351cda5cc6403c0a39faea0cc8c</t>
        </is>
      </c>
      <c r="BB139" s="24" t="inlineStr">
        <is>
          <t>learned_lr</t>
        </is>
      </c>
      <c r="BC139" s="24" t="inlineStr">
        <is>
          <t>wnba-elo-trend-lr-v4</t>
        </is>
      </c>
      <c r="BD139" s="24" t="inlineStr">
        <is>
          <t>7afd5274214b58b7efd7f7febc7be3ab33b92351cda5cc6403c0a39faea0cc8c</t>
        </is>
      </c>
      <c r="BE139" s="24" t="inlineStr">
        <is>
          <t>5ba5847b783e4237</t>
        </is>
      </c>
      <c r="BF139" s="24" t="inlineStr">
        <is>
          <t>1</t>
        </is>
      </c>
      <c r="BG139" s="24" t="inlineStr">
        <is>
          <t>wnba-elo-trend-lr-v4</t>
        </is>
      </c>
      <c r="BH139" s="24" t="inlineStr">
        <is>
          <t>2026-07-29T17:43:13.575889Z</t>
        </is>
      </c>
      <c r="BI139" s="24" t="inlineStr">
        <is>
          <t>["same_event","same_team_same_day","same_league_same_day"]</t>
        </is>
      </c>
      <c r="BJ139" s="25" t="n"/>
      <c r="BK139" s="26" t="n">
        <v>-156</v>
      </c>
      <c r="BL139" s="27" t="n">
        <v>1.641026</v>
      </c>
      <c r="BM139" s="28" t="n">
        <v>0.609375</v>
      </c>
      <c r="BN139" s="28" t="n">
        <v>0.6039600000000001</v>
      </c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0.1902656067</t>
        </is>
      </c>
      <c r="CD139" s="24" t="inlineStr">
        <is>
          <t>-0.399848</t>
        </is>
      </c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</row>
    <row r="140" ht="36" customHeight="1">
      <c r="A140" s="24" t="inlineStr">
        <is>
          <t>9df6e40145814083</t>
        </is>
      </c>
      <c r="B140" s="24" t="inlineStr">
        <is>
          <t>2026-07-29T17:43:50.913671Z</t>
        </is>
      </c>
      <c r="C140" s="24" t="inlineStr">
        <is>
          <t>2026-07-29T16:10:00-0400</t>
        </is>
      </c>
      <c r="D140" s="24" t="inlineStr">
        <is>
          <t>401816318</t>
        </is>
      </c>
      <c r="E140" s="24" t="inlineStr">
        <is>
          <t>MLB</t>
        </is>
      </c>
      <c r="F140" s="24" t="inlineStr">
        <is>
          <t>Colorado Rockies</t>
        </is>
      </c>
      <c r="G140" s="24" t="inlineStr">
        <is>
          <t>San Diego Padres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150</v>
      </c>
      <c r="M140" s="27" t="n">
        <v>2.5</v>
      </c>
      <c r="N140" s="28" t="n">
        <v>0.4</v>
      </c>
      <c r="O140" s="28" t="n">
        <v>0.65394</v>
      </c>
      <c r="P140" s="28" t="n"/>
      <c r="Q140" s="28" t="n">
        <v>0.25394</v>
      </c>
      <c r="R140" s="26" t="n">
        <v>100</v>
      </c>
      <c r="S140" s="29" t="n">
        <v>2</v>
      </c>
      <c r="T140" s="24" t="inlineStr">
        <is>
          <t>mlb-elo-trend-lr-v6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Learned LR call at threshold 0.5690; executable ask 0.4000 (aec-mlb-col-sd-2026-07-29).</t>
        </is>
      </c>
      <c r="AF140" s="31" t="inlineStr">
        <is>
          <t>Learned model; shadow-qualified via operator override.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mlb-col</t>
        </is>
      </c>
      <c r="AQ140" s="24" t="inlineStr">
        <is>
          <t>Colorado Rockies</t>
        </is>
      </c>
      <c r="AR140" s="24" t="inlineStr">
        <is>
          <t>Colorado Rockies</t>
        </is>
      </c>
      <c r="AS140" s="24" t="inlineStr">
        <is>
          <t>mlb-sd</t>
        </is>
      </c>
      <c r="AT140" s="24" t="inlineStr">
        <is>
          <t>San Diego Padres</t>
        </is>
      </c>
      <c r="AU140" s="24" t="inlineStr">
        <is>
          <t>San Diego Padres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0633355b1144e4205ca6d08e3f328d99cab0970358846bd77228f3bcbfcd70ee</t>
        </is>
      </c>
      <c r="BB140" s="24" t="inlineStr">
        <is>
          <t>learned_lr</t>
        </is>
      </c>
      <c r="BC140" s="24" t="inlineStr">
        <is>
          <t>mlb-elo-trend-lr-v6</t>
        </is>
      </c>
      <c r="BD140" s="24" t="inlineStr">
        <is>
          <t>0633355b1144e4205ca6d08e3f328d99cab0970358846bd77228f3bcbfcd70ee</t>
        </is>
      </c>
      <c r="BE140" s="24" t="inlineStr">
        <is>
          <t>60e5bdc1faca52aa</t>
        </is>
      </c>
      <c r="BF140" s="24" t="inlineStr">
        <is>
          <t>1</t>
        </is>
      </c>
      <c r="BG140" s="24" t="inlineStr">
        <is>
          <t>mlb-elo-trend-lr-v6</t>
        </is>
      </c>
      <c r="BH140" s="24" t="inlineStr">
        <is>
          <t>2026-07-29T17:43:02.309112Z</t>
        </is>
      </c>
      <c r="BI140" s="24" t="inlineStr">
        <is>
          <t>["same_event","same_team_same_day","same_league_same_day"]</t>
        </is>
      </c>
      <c r="BJ140" s="25" t="n"/>
      <c r="BK140" s="26" t="n">
        <v>150</v>
      </c>
      <c r="BL140" s="27" t="n">
        <v>2.5</v>
      </c>
      <c r="BM140" s="28" t="n">
        <v>0.4</v>
      </c>
      <c r="BN140" s="28" t="n">
        <v>0.39801</v>
      </c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inlineStr">
        <is>
          <t>0.6881581363</t>
        </is>
      </c>
      <c r="CD140" s="24" t="inlineStr">
        <is>
          <t>2.156212</t>
        </is>
      </c>
      <c r="CE140" s="24" t="inlineStr">
        <is>
          <t>0.945</t>
        </is>
      </c>
      <c r="CF140" s="24" t="n"/>
      <c r="CG140" s="24" t="n"/>
      <c r="CH140" s="24" t="inlineStr">
        <is>
          <t>2.42</t>
        </is>
      </c>
      <c r="CI140" s="24" t="n"/>
      <c r="CJ140" s="24" t="n"/>
      <c r="CK140" s="24" t="n"/>
      <c r="CL140" s="24" t="n"/>
      <c r="CM140" s="24" t="n"/>
      <c r="CN140" s="24" t="n"/>
      <c r="CO140" s="24" t="n"/>
    </row>
    <row r="141" ht="36" customHeight="1">
      <c r="A141" s="24" t="inlineStr">
        <is>
          <t>7be23c700b09481b</t>
        </is>
      </c>
      <c r="B141" s="24" t="inlineStr">
        <is>
          <t>2026-07-29T17:43:50.913671Z</t>
        </is>
      </c>
      <c r="C141" s="24" t="inlineStr">
        <is>
          <t>2026-07-29T18:40:00-0400</t>
        </is>
      </c>
      <c r="D141" s="24" t="inlineStr">
        <is>
          <t>401816312</t>
        </is>
      </c>
      <c r="E141" s="24" t="inlineStr">
        <is>
          <t>MLB</t>
        </is>
      </c>
      <c r="F141" s="24" t="inlineStr">
        <is>
          <t>Texas Rangers</t>
        </is>
      </c>
      <c r="G141" s="24" t="inlineStr">
        <is>
          <t>Tampa Bay Rays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-135</v>
      </c>
      <c r="M141" s="27" t="n">
        <v>1.740741</v>
      </c>
      <c r="N141" s="28" t="n">
        <v>0.574468</v>
      </c>
      <c r="O141" s="28" t="n">
        <v>0.579668</v>
      </c>
      <c r="P141" s="28" t="n"/>
      <c r="Q141" s="28" t="n">
        <v>0.0052</v>
      </c>
      <c r="R141" s="26" t="n">
        <v>24</v>
      </c>
      <c r="S141" s="29" t="n">
        <v>1.25</v>
      </c>
      <c r="T141" s="24" t="inlineStr">
        <is>
          <t>mlb-elo-trend-lr-v6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Learned LR call at threshold 0.5690; executable ask 0.5750 (aec-mlb-tex-tb-2026-07-29).</t>
        </is>
      </c>
      <c r="AF141" s="31" t="inlineStr">
        <is>
          <t>Learned model; shadow-qualified via operator override.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mlb-tex</t>
        </is>
      </c>
      <c r="AQ141" s="24" t="inlineStr">
        <is>
          <t>Texas Rangers</t>
        </is>
      </c>
      <c r="AR141" s="24" t="inlineStr">
        <is>
          <t>Texas Rangers</t>
        </is>
      </c>
      <c r="AS141" s="24" t="inlineStr">
        <is>
          <t>mlb-tb</t>
        </is>
      </c>
      <c r="AT141" s="24" t="inlineStr">
        <is>
          <t>Tampa Bay Rays</t>
        </is>
      </c>
      <c r="AU141" s="24" t="inlineStr">
        <is>
          <t>Tampa Bay Rays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0633355b1144e4205ca6d08e3f328d99cab0970358846bd77228f3bcbfcd70ee</t>
        </is>
      </c>
      <c r="BB141" s="24" t="inlineStr">
        <is>
          <t>learned_lr</t>
        </is>
      </c>
      <c r="BC141" s="24" t="inlineStr">
        <is>
          <t>mlb-elo-trend-lr-v6</t>
        </is>
      </c>
      <c r="BD141" s="24" t="inlineStr">
        <is>
          <t>0633355b1144e4205ca6d08e3f328d99cab0970358846bd77228f3bcbfcd70ee</t>
        </is>
      </c>
      <c r="BE141" s="24" t="inlineStr">
        <is>
          <t>e8d9fef3d12bbec6</t>
        </is>
      </c>
      <c r="BF141" s="24" t="inlineStr">
        <is>
          <t>1</t>
        </is>
      </c>
      <c r="BG141" s="24" t="inlineStr">
        <is>
          <t>mlb-elo-trend-lr-v6</t>
        </is>
      </c>
      <c r="BH141" s="24" t="inlineStr">
        <is>
          <t>2026-07-29T17:43:03.157904Z</t>
        </is>
      </c>
      <c r="BI141" s="24" t="inlineStr">
        <is>
          <t>["same_event","same_team_same_day","same_league_same_day"]</t>
        </is>
      </c>
      <c r="BJ141" s="25" t="n"/>
      <c r="BK141" s="26" t="n">
        <v>-135</v>
      </c>
      <c r="BL141" s="27" t="n">
        <v>1.740741</v>
      </c>
      <c r="BM141" s="28" t="n">
        <v>0.574468</v>
      </c>
      <c r="BN141" s="28" t="n">
        <v>0.572139</v>
      </c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inlineStr">
        <is>
          <t>0.5812862212</t>
        </is>
      </c>
      <c r="CD141" s="24" t="inlineStr">
        <is>
          <t>1.271016</t>
        </is>
      </c>
      <c r="CE141" s="24" t="inlineStr">
        <is>
          <t>0.965</t>
        </is>
      </c>
      <c r="CF141" s="24" t="n"/>
      <c r="CG141" s="24" t="n"/>
      <c r="CH141" s="24" t="inlineStr">
        <is>
          <t>-0.87</t>
        </is>
      </c>
      <c r="CI141" s="24" t="n"/>
      <c r="CJ141" s="24" t="n"/>
      <c r="CK141" s="24" t="n"/>
      <c r="CL141" s="24" t="n"/>
      <c r="CM141" s="24" t="n"/>
      <c r="CN141" s="24" t="n"/>
      <c r="CO141" s="24" t="n"/>
    </row>
    <row r="142" ht="36" customHeight="1">
      <c r="A142" s="24" t="inlineStr">
        <is>
          <t>ac680f132e45447f</t>
        </is>
      </c>
      <c r="B142" s="24" t="inlineStr">
        <is>
          <t>2026-07-29T17:43:50.913671Z</t>
        </is>
      </c>
      <c r="C142" s="24" t="inlineStr">
        <is>
          <t>2026-07-29T19:10:00-0400</t>
        </is>
      </c>
      <c r="D142" s="24" t="inlineStr">
        <is>
          <t>401816310</t>
        </is>
      </c>
      <c r="E142" s="24" t="inlineStr">
        <is>
          <t>MLB</t>
        </is>
      </c>
      <c r="F142" s="24" t="inlineStr">
        <is>
          <t>Cleveland Guardians</t>
        </is>
      </c>
      <c r="G142" s="24" t="inlineStr">
        <is>
          <t>Cincinnati Reds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125</v>
      </c>
      <c r="M142" s="27" t="n">
        <v>2.25</v>
      </c>
      <c r="N142" s="28" t="n">
        <v>0.444444</v>
      </c>
      <c r="O142" s="28" t="n">
        <v>0.501367</v>
      </c>
      <c r="P142" s="28" t="n"/>
      <c r="Q142" s="28" t="n">
        <v>0.056923</v>
      </c>
      <c r="R142" s="26" t="n">
        <v>49</v>
      </c>
      <c r="S142" s="29" t="n">
        <v>0.5</v>
      </c>
      <c r="T142" s="24" t="inlineStr">
        <is>
          <t>mlb-elo-trend-lr-v6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Learned LR call at threshold 0.5690; executable ask 0.4450 (aec-mlb-cle-cin-2026-07-29).</t>
        </is>
      </c>
      <c r="AF142" s="31" t="inlineStr">
        <is>
          <t>Learned model; shadow-qualified via operator override.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mlb-cle</t>
        </is>
      </c>
      <c r="AQ142" s="24" t="inlineStr">
        <is>
          <t>Cleveland Guardians</t>
        </is>
      </c>
      <c r="AR142" s="24" t="inlineStr">
        <is>
          <t>Cleveland Guardians</t>
        </is>
      </c>
      <c r="AS142" s="24" t="inlineStr">
        <is>
          <t>mlb-cin</t>
        </is>
      </c>
      <c r="AT142" s="24" t="inlineStr">
        <is>
          <t>Cincinnati Reds</t>
        </is>
      </c>
      <c r="AU142" s="24" t="inlineStr">
        <is>
          <t>Cincinnati Reds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0633355b1144e4205ca6d08e3f328d99cab0970358846bd77228f3bcbfcd70ee</t>
        </is>
      </c>
      <c r="BB142" s="24" t="inlineStr">
        <is>
          <t>learned_lr</t>
        </is>
      </c>
      <c r="BC142" s="24" t="inlineStr">
        <is>
          <t>mlb-elo-trend-lr-v6</t>
        </is>
      </c>
      <c r="BD142" s="24" t="inlineStr">
        <is>
          <t>0633355b1144e4205ca6d08e3f328d99cab0970358846bd77228f3bcbfcd70ee</t>
        </is>
      </c>
      <c r="BE142" s="24" t="inlineStr">
        <is>
          <t>e774f4b7ddda37cd</t>
        </is>
      </c>
      <c r="BF142" s="24" t="inlineStr">
        <is>
          <t>1</t>
        </is>
      </c>
      <c r="BG142" s="24" t="inlineStr">
        <is>
          <t>mlb-elo-trend-lr-v6</t>
        </is>
      </c>
      <c r="BH142" s="24" t="inlineStr">
        <is>
          <t>2026-07-29T17:43:04.032577Z</t>
        </is>
      </c>
      <c r="BI142" s="24" t="inlineStr">
        <is>
          <t>["same_event","same_team_same_day","same_league_same_day"]</t>
        </is>
      </c>
      <c r="BJ142" s="25" t="n"/>
      <c r="BK142" s="26" t="n">
        <v>125</v>
      </c>
      <c r="BL142" s="27" t="n">
        <v>2.25</v>
      </c>
      <c r="BM142" s="28" t="n">
        <v>0.444444</v>
      </c>
      <c r="BN142" s="28" t="n">
        <v>0.442786</v>
      </c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inlineStr">
        <is>
          <t>0.4926827475</t>
        </is>
      </c>
      <c r="CD142" s="24" t="inlineStr">
        <is>
          <t>-0.86802</t>
        </is>
      </c>
      <c r="CE142" s="24" t="inlineStr">
        <is>
          <t>1.036</t>
        </is>
      </c>
      <c r="CF142" s="24" t="n"/>
      <c r="CG142" s="24" t="n"/>
      <c r="CH142" s="24" t="inlineStr">
        <is>
          <t>0.51</t>
        </is>
      </c>
      <c r="CI142" s="24" t="n"/>
      <c r="CJ142" s="24" t="n"/>
      <c r="CK142" s="24" t="n"/>
      <c r="CL142" s="24" t="n"/>
      <c r="CM142" s="24" t="n"/>
      <c r="CN142" s="24" t="n"/>
      <c r="CO142" s="24" t="n"/>
    </row>
    <row r="143" ht="36" customHeight="1">
      <c r="A143" s="24" t="inlineStr">
        <is>
          <t>ff0a6a65344540fb</t>
        </is>
      </c>
      <c r="B143" s="24" t="inlineStr">
        <is>
          <t>2026-07-29T17:43:50.913671Z</t>
        </is>
      </c>
      <c r="C143" s="24" t="inlineStr">
        <is>
          <t>2026-07-29T19:10:00-0400</t>
        </is>
      </c>
      <c r="D143" s="24" t="inlineStr">
        <is>
          <t>401902545</t>
        </is>
      </c>
      <c r="E143" s="24" t="inlineStr">
        <is>
          <t>MLB</t>
        </is>
      </c>
      <c r="F143" s="24" t="inlineStr">
        <is>
          <t>Atlanta Braves</t>
        </is>
      </c>
      <c r="G143" s="24" t="inlineStr">
        <is>
          <t>New York Mets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espn</t>
        </is>
      </c>
      <c r="L143" s="26" t="n">
        <v>-110</v>
      </c>
      <c r="M143" s="27" t="n">
        <v>1.909091</v>
      </c>
      <c r="N143" s="28" t="n">
        <v>0.52381</v>
      </c>
      <c r="O143" s="28" t="n">
        <v>0.511613</v>
      </c>
      <c r="P143" s="28" t="n"/>
      <c r="Q143" s="28" t="n">
        <v>-0.012197</v>
      </c>
      <c r="R143" s="26" t="n">
        <v>44</v>
      </c>
      <c r="S143" s="29" t="n">
        <v>0</v>
      </c>
      <c r="T143" s="24" t="inlineStr">
        <is>
          <t>mlb-elo-trend-lr-v6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Learned LR call at threshold 0.5690; no Polymarket quote available — using -110 default odds.</t>
        </is>
      </c>
      <c r="AF143" s="31" t="inlineStr">
        <is>
          <t>Learned model; shadow-qualified via operator override.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mlb-atl</t>
        </is>
      </c>
      <c r="AQ143" s="24" t="inlineStr">
        <is>
          <t>Atlanta Braves</t>
        </is>
      </c>
      <c r="AR143" s="24" t="inlineStr">
        <is>
          <t>Atlanta Braves</t>
        </is>
      </c>
      <c r="AS143" s="24" t="inlineStr">
        <is>
          <t>mlb-nym</t>
        </is>
      </c>
      <c r="AT143" s="24" t="inlineStr">
        <is>
          <t>New York Mets</t>
        </is>
      </c>
      <c r="AU143" s="24" t="inlineStr">
        <is>
          <t>New York Mets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0633355b1144e4205ca6d08e3f328d99cab0970358846bd77228f3bcbfcd70ee</t>
        </is>
      </c>
      <c r="BB143" s="24" t="inlineStr">
        <is>
          <t>learned_lr</t>
        </is>
      </c>
      <c r="BC143" s="24" t="inlineStr">
        <is>
          <t>mlb-elo-trend-lr-v6</t>
        </is>
      </c>
      <c r="BD143" s="24" t="inlineStr">
        <is>
          <t>0633355b1144e4205ca6d08e3f328d99cab0970358846bd77228f3bcbfcd70ee</t>
        </is>
      </c>
      <c r="BE143" s="24" t="inlineStr">
        <is>
          <t>b6d5a60d5f153c6e</t>
        </is>
      </c>
      <c r="BF143" s="24" t="inlineStr">
        <is>
          <t>1</t>
        </is>
      </c>
      <c r="BG143" s="24" t="inlineStr">
        <is>
          <t>mlb-elo-trend-lr-v6</t>
        </is>
      </c>
      <c r="BH143" s="24" t="inlineStr">
        <is>
          <t>2026-07-29T17:43:50.913671Z</t>
        </is>
      </c>
      <c r="BI143" s="24" t="inlineStr">
        <is>
          <t>["same_event","same_team_same_day","same_league_same_day"]</t>
        </is>
      </c>
      <c r="BJ143" s="25" t="n"/>
      <c r="BK143" s="26" t="n">
        <v>-110</v>
      </c>
      <c r="BL143" s="27" t="n">
        <v>1.909091</v>
      </c>
      <c r="BM143" s="28" t="n">
        <v>0.52381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inlineStr">
        <is>
          <t>0.4315693087</t>
        </is>
      </c>
      <c r="CD143" s="24" t="inlineStr">
        <is>
          <t>-2.190624</t>
        </is>
      </c>
      <c r="CE143" s="24" t="inlineStr">
        <is>
          <t>0.978</t>
        </is>
      </c>
      <c r="CF143" s="24" t="n"/>
      <c r="CG143" s="24" t="n"/>
      <c r="CH143" s="24" t="inlineStr">
        <is>
          <t>0.94</t>
        </is>
      </c>
      <c r="CI143" s="24" t="n"/>
      <c r="CJ143" s="24" t="n"/>
      <c r="CK143" s="24" t="n"/>
      <c r="CL143" s="24" t="n"/>
      <c r="CM143" s="24" t="n"/>
      <c r="CN143" s="24" t="n"/>
      <c r="CO143" s="24" t="n"/>
    </row>
    <row r="144" ht="36" customHeight="1">
      <c r="A144" s="24" t="inlineStr">
        <is>
          <t>48bdce5ad7fe4c72</t>
        </is>
      </c>
      <c r="B144" s="24" t="inlineStr">
        <is>
          <t>2026-07-29T17:43:50.913671Z</t>
        </is>
      </c>
      <c r="C144" s="24" t="inlineStr">
        <is>
          <t>2026-07-29T19:40:00-0400</t>
        </is>
      </c>
      <c r="D144" s="24" t="inlineStr">
        <is>
          <t>401816315</t>
        </is>
      </c>
      <c r="E144" s="24" t="inlineStr">
        <is>
          <t>MLB</t>
        </is>
      </c>
      <c r="F144" s="24" t="inlineStr">
        <is>
          <t>Kansas City Royals</t>
        </is>
      </c>
      <c r="G144" s="24" t="inlineStr">
        <is>
          <t>Minnesota Twins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178</v>
      </c>
      <c r="M144" s="27" t="n">
        <v>2.78</v>
      </c>
      <c r="N144" s="28" t="n">
        <v>0.359712</v>
      </c>
      <c r="O144" s="28" t="n">
        <v>0.60967</v>
      </c>
      <c r="P144" s="28" t="n"/>
      <c r="Q144" s="28" t="n">
        <v>0.249958</v>
      </c>
      <c r="R144" s="26" t="n">
        <v>100</v>
      </c>
      <c r="S144" s="29" t="n">
        <v>1.5</v>
      </c>
      <c r="T144" s="24" t="inlineStr">
        <is>
          <t>mlb-elo-trend-lr-v6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Learned LR call at threshold 0.5690; executable ask 0.3600 (aec-mlb-kc-min-2026-07-29).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mlb-kc</t>
        </is>
      </c>
      <c r="AQ144" s="24" t="inlineStr">
        <is>
          <t>Kansas City Royals</t>
        </is>
      </c>
      <c r="AR144" s="24" t="inlineStr">
        <is>
          <t>Kansas City Royals</t>
        </is>
      </c>
      <c r="AS144" s="24" t="inlineStr">
        <is>
          <t>mlb-min</t>
        </is>
      </c>
      <c r="AT144" s="24" t="inlineStr">
        <is>
          <t>Minnesota Twins</t>
        </is>
      </c>
      <c r="AU144" s="24" t="inlineStr">
        <is>
          <t>Minnesota Twins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0633355b1144e4205ca6d08e3f328d99cab0970358846bd77228f3bcbfcd70ee</t>
        </is>
      </c>
      <c r="BB144" s="24" t="inlineStr">
        <is>
          <t>learned_lr</t>
        </is>
      </c>
      <c r="BC144" s="24" t="inlineStr">
        <is>
          <t>mlb-elo-trend-lr-v6</t>
        </is>
      </c>
      <c r="BD144" s="24" t="inlineStr">
        <is>
          <t>0633355b1144e4205ca6d08e3f328d99cab0970358846bd77228f3bcbfcd70ee</t>
        </is>
      </c>
      <c r="BE144" s="24" t="inlineStr">
        <is>
          <t>b93a857ee5bf807e</t>
        </is>
      </c>
      <c r="BF144" s="24" t="inlineStr">
        <is>
          <t>1</t>
        </is>
      </c>
      <c r="BG144" s="24" t="inlineStr">
        <is>
          <t>mlb-elo-trend-lr-v6</t>
        </is>
      </c>
      <c r="BH144" s="24" t="inlineStr">
        <is>
          <t>2026-07-29T17:43:06.195384Z</t>
        </is>
      </c>
      <c r="BI144" s="24" t="inlineStr">
        <is>
          <t>["same_event","same_team_same_day","same_league_same_day"]</t>
        </is>
      </c>
      <c r="BJ144" s="25" t="n"/>
      <c r="BK144" s="26" t="n">
        <v>178</v>
      </c>
      <c r="BL144" s="27" t="n">
        <v>2.78</v>
      </c>
      <c r="BM144" s="28" t="n">
        <v>0.359712</v>
      </c>
      <c r="BN144" s="28" t="n">
        <v>0.358209</v>
      </c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0.5494442227</t>
        </is>
      </c>
      <c r="CD144" s="24" t="inlineStr">
        <is>
          <t>0.040618</t>
        </is>
      </c>
      <c r="CE144" s="24" t="inlineStr">
        <is>
          <t>1.037</t>
        </is>
      </c>
      <c r="CF144" s="24" t="n"/>
      <c r="CG144" s="24" t="n"/>
      <c r="CH144" s="24" t="inlineStr">
        <is>
          <t>1.96</t>
        </is>
      </c>
      <c r="CI144" s="24" t="n"/>
      <c r="CJ144" s="24" t="n"/>
      <c r="CK144" s="24" t="n"/>
      <c r="CL144" s="24" t="n"/>
      <c r="CM144" s="24" t="n"/>
      <c r="CN144" s="24" t="n"/>
      <c r="CO144" s="24" t="n"/>
    </row>
    <row r="145" ht="36" customHeight="1">
      <c r="A145" s="24" t="inlineStr">
        <is>
          <t>7464351e100c40d8</t>
        </is>
      </c>
      <c r="B145" s="24" t="inlineStr">
        <is>
          <t>2026-07-29T17:43:50.913671Z</t>
        </is>
      </c>
      <c r="C145" s="24" t="inlineStr">
        <is>
          <t>2026-07-29T19:40:00-0400</t>
        </is>
      </c>
      <c r="D145" s="24" t="inlineStr">
        <is>
          <t>401816316</t>
        </is>
      </c>
      <c r="E145" s="24" t="inlineStr">
        <is>
          <t>MLB</t>
        </is>
      </c>
      <c r="F145" s="24" t="inlineStr">
        <is>
          <t>New York Yankees</t>
        </is>
      </c>
      <c r="G145" s="24" t="inlineStr">
        <is>
          <t>Chicago White Sox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-135</v>
      </c>
      <c r="M145" s="27" t="n">
        <v>1.740741</v>
      </c>
      <c r="N145" s="28" t="n">
        <v>0.574468</v>
      </c>
      <c r="O145" s="28" t="n">
        <v>0.592337</v>
      </c>
      <c r="P145" s="28" t="n"/>
      <c r="Q145" s="28" t="n">
        <v>0.017869</v>
      </c>
      <c r="R145" s="26" t="n">
        <v>30</v>
      </c>
      <c r="S145" s="29" t="n">
        <v>1.5</v>
      </c>
      <c r="T145" s="24" t="inlineStr">
        <is>
          <t>mlb-elo-trend-lr-v6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Learned LR call at threshold 0.5690; executable ask 0.5750 (aec-mlb-nyy-cws-2026-07-29).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mlb-nyy</t>
        </is>
      </c>
      <c r="AQ145" s="24" t="inlineStr">
        <is>
          <t>New York Yankees</t>
        </is>
      </c>
      <c r="AR145" s="24" t="inlineStr">
        <is>
          <t>New York Yankees</t>
        </is>
      </c>
      <c r="AS145" s="24" t="inlineStr">
        <is>
          <t>mlb-cws</t>
        </is>
      </c>
      <c r="AT145" s="24" t="inlineStr">
        <is>
          <t>Chicago White Sox</t>
        </is>
      </c>
      <c r="AU145" s="24" t="inlineStr">
        <is>
          <t>Chicago White Sox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0633355b1144e4205ca6d08e3f328d99cab0970358846bd77228f3bcbfcd70ee</t>
        </is>
      </c>
      <c r="BB145" s="24" t="inlineStr">
        <is>
          <t>learned_lr</t>
        </is>
      </c>
      <c r="BC145" s="24" t="inlineStr">
        <is>
          <t>mlb-elo-trend-lr-v6</t>
        </is>
      </c>
      <c r="BD145" s="24" t="inlineStr">
        <is>
          <t>0633355b1144e4205ca6d08e3f328d99cab0970358846bd77228f3bcbfcd70ee</t>
        </is>
      </c>
      <c r="BE145" s="24" t="inlineStr">
        <is>
          <t>2708454a801f68cb</t>
        </is>
      </c>
      <c r="BF145" s="24" t="inlineStr">
        <is>
          <t>1</t>
        </is>
      </c>
      <c r="BG145" s="24" t="inlineStr">
        <is>
          <t>mlb-elo-trend-lr-v6</t>
        </is>
      </c>
      <c r="BH145" s="24" t="inlineStr">
        <is>
          <t>2026-07-29T17:43:06.767370Z</t>
        </is>
      </c>
      <c r="BI145" s="24" t="inlineStr">
        <is>
          <t>["same_event","same_team_same_day","same_league_same_day"]</t>
        </is>
      </c>
      <c r="BJ145" s="25" t="n"/>
      <c r="BK145" s="26" t="n">
        <v>-135</v>
      </c>
      <c r="BL145" s="27" t="n">
        <v>1.740741</v>
      </c>
      <c r="BM145" s="28" t="n">
        <v>0.574468</v>
      </c>
      <c r="BN145" s="28" t="n">
        <v>0.572139</v>
      </c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0.4761494151</t>
        </is>
      </c>
      <c r="CD145" s="24" t="inlineStr">
        <is>
          <t>1.500354</t>
        </is>
      </c>
      <c r="CE145" s="24" t="inlineStr">
        <is>
          <t>0.937</t>
        </is>
      </c>
      <c r="CF145" s="24" t="n"/>
      <c r="CG145" s="24" t="n"/>
      <c r="CH145" s="24" t="inlineStr">
        <is>
          <t>1.42</t>
        </is>
      </c>
      <c r="CI145" s="24" t="n"/>
      <c r="CJ145" s="24" t="n"/>
      <c r="CK145" s="24" t="n"/>
      <c r="CL145" s="24" t="n"/>
      <c r="CM145" s="24" t="n"/>
      <c r="CN145" s="24" t="n"/>
      <c r="CO145" s="24" t="n"/>
    </row>
    <row r="146" ht="36" customHeight="1">
      <c r="A146" s="24" t="inlineStr">
        <is>
          <t>f2238d557e5a43da</t>
        </is>
      </c>
      <c r="B146" s="24" t="inlineStr">
        <is>
          <t>2026-07-29T17:43:50.913671Z</t>
        </is>
      </c>
      <c r="C146" s="24" t="inlineStr">
        <is>
          <t>2026-07-29T19:45:00-0400</t>
        </is>
      </c>
      <c r="D146" s="24" t="inlineStr">
        <is>
          <t>401816314</t>
        </is>
      </c>
      <c r="E146" s="24" t="inlineStr">
        <is>
          <t>MLB</t>
        </is>
      </c>
      <c r="F146" s="24" t="inlineStr">
        <is>
          <t>Chicago Cubs</t>
        </is>
      </c>
      <c r="G146" s="24" t="inlineStr">
        <is>
          <t>St. Louis Cardinals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0.516613</v>
      </c>
      <c r="P146" s="28" t="n"/>
      <c r="Q146" s="28" t="n">
        <v>0.011663</v>
      </c>
      <c r="R146" s="26" t="n">
        <v>27</v>
      </c>
      <c r="S146" s="29" t="n">
        <v>0.75</v>
      </c>
      <c r="T146" s="24" t="inlineStr">
        <is>
          <t>mlb-elo-trend-lr-v6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Learned LR call at threshold 0.5690; executable ask 0.5050 (aec-mlb-chc-stl-2026-07-29).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mlb-chc</t>
        </is>
      </c>
      <c r="AQ146" s="24" t="inlineStr">
        <is>
          <t>Chicago Cubs</t>
        </is>
      </c>
      <c r="AR146" s="24" t="inlineStr">
        <is>
          <t>Chicago Cubs</t>
        </is>
      </c>
      <c r="AS146" s="24" t="inlineStr">
        <is>
          <t>mlb-stl</t>
        </is>
      </c>
      <c r="AT146" s="24" t="inlineStr">
        <is>
          <t>St. Louis Cardinals</t>
        </is>
      </c>
      <c r="AU146" s="24" t="inlineStr">
        <is>
          <t>St. Louis Cardinals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0633355b1144e4205ca6d08e3f328d99cab0970358846bd77228f3bcbfcd70ee</t>
        </is>
      </c>
      <c r="BB146" s="24" t="inlineStr">
        <is>
          <t>learned_lr</t>
        </is>
      </c>
      <c r="BC146" s="24" t="inlineStr">
        <is>
          <t>mlb-elo-trend-lr-v6</t>
        </is>
      </c>
      <c r="BD146" s="24" t="inlineStr">
        <is>
          <t>0633355b1144e4205ca6d08e3f328d99cab0970358846bd77228f3bcbfcd70ee</t>
        </is>
      </c>
      <c r="BE146" s="24" t="inlineStr">
        <is>
          <t>2298fd52a6606830</t>
        </is>
      </c>
      <c r="BF146" s="24" t="inlineStr">
        <is>
          <t>1</t>
        </is>
      </c>
      <c r="BG146" s="24" t="inlineStr">
        <is>
          <t>mlb-elo-trend-lr-v6</t>
        </is>
      </c>
      <c r="BH146" s="24" t="inlineStr">
        <is>
          <t>2026-07-29T17:43:08.069605Z</t>
        </is>
      </c>
      <c r="BI146" s="24" t="inlineStr">
        <is>
          <t>["same_event","same_team_same_day","same_league_same_day"]</t>
        </is>
      </c>
      <c r="BJ146" s="25" t="n"/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0.4644554475</t>
        </is>
      </c>
      <c r="CD146" s="24" t="inlineStr">
        <is>
          <t>-0.743911</t>
        </is>
      </c>
      <c r="CE146" s="24" t="inlineStr">
        <is>
          <t>0.946</t>
        </is>
      </c>
      <c r="CF146" s="24" t="n"/>
      <c r="CG146" s="24" t="n"/>
      <c r="CH146" s="24" t="inlineStr">
        <is>
          <t>0.78</t>
        </is>
      </c>
      <c r="CI146" s="24" t="n"/>
      <c r="CJ146" s="24" t="n"/>
      <c r="CK146" s="24" t="n"/>
      <c r="CL146" s="24" t="n"/>
      <c r="CM146" s="24" t="n"/>
      <c r="CN146" s="24" t="n"/>
      <c r="CO146" s="24" t="n"/>
    </row>
    <row r="147" ht="36" customHeight="1">
      <c r="A147" s="24" t="inlineStr">
        <is>
          <t>05fad9950fbc4ef1</t>
        </is>
      </c>
      <c r="B147" s="24" t="inlineStr">
        <is>
          <t>2026-07-29T17:43:50.913671Z</t>
        </is>
      </c>
      <c r="C147" s="24" t="inlineStr">
        <is>
          <t>2026-07-29T21:38:00-0400</t>
        </is>
      </c>
      <c r="D147" s="24" t="inlineStr">
        <is>
          <t>401816319</t>
        </is>
      </c>
      <c r="E147" s="24" t="inlineStr">
        <is>
          <t>MLB</t>
        </is>
      </c>
      <c r="F147" s="24" t="inlineStr">
        <is>
          <t>Houston Astros</t>
        </is>
      </c>
      <c r="G147" s="24" t="inlineStr">
        <is>
          <t>Los Angeles Angels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122</v>
      </c>
      <c r="M147" s="27" t="n">
        <v>2.22</v>
      </c>
      <c r="N147" s="28" t="n">
        <v>0.45045</v>
      </c>
      <c r="O147" s="28" t="n">
        <v>0.546849</v>
      </c>
      <c r="P147" s="28" t="n"/>
      <c r="Q147" s="28" t="n">
        <v>0.096399</v>
      </c>
      <c r="R147" s="26" t="n">
        <v>70</v>
      </c>
      <c r="S147" s="29" t="n">
        <v>1</v>
      </c>
      <c r="T147" s="24" t="inlineStr">
        <is>
          <t>mlb-elo-trend-lr-v6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Learned LR call at threshold 0.5690; executable ask 0.4500 (aec-mlb-hou-laa-2026-07-29). NOTE: probable_starter_era_gap unavailable for this game — defaulted to neutral, other features used normally.</t>
        </is>
      </c>
      <c r="AF147" s="31" t="inlineStr">
        <is>
          <t>Learned model; shadow-qualified via operator override.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mlb-hou</t>
        </is>
      </c>
      <c r="AQ147" s="24" t="inlineStr">
        <is>
          <t>Houston Astros</t>
        </is>
      </c>
      <c r="AR147" s="24" t="inlineStr">
        <is>
          <t>Houston Astros</t>
        </is>
      </c>
      <c r="AS147" s="24" t="inlineStr">
        <is>
          <t>mlb-laa</t>
        </is>
      </c>
      <c r="AT147" s="24" t="inlineStr">
        <is>
          <t>Los Angeles Angels</t>
        </is>
      </c>
      <c r="AU147" s="24" t="inlineStr">
        <is>
          <t>Los Angeles Angels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0633355b1144e4205ca6d08e3f328d99cab0970358846bd77228f3bcbfcd70ee</t>
        </is>
      </c>
      <c r="BB147" s="24" t="inlineStr">
        <is>
          <t>learned_lr</t>
        </is>
      </c>
      <c r="BC147" s="24" t="inlineStr">
        <is>
          <t>mlb-elo-trend-lr-v6</t>
        </is>
      </c>
      <c r="BD147" s="24" t="inlineStr">
        <is>
          <t>0633355b1144e4205ca6d08e3f328d99cab0970358846bd77228f3bcbfcd70ee</t>
        </is>
      </c>
      <c r="BE147" s="24" t="inlineStr">
        <is>
          <t>c4008e41e879ce00</t>
        </is>
      </c>
      <c r="BF147" s="24" t="inlineStr">
        <is>
          <t>1</t>
        </is>
      </c>
      <c r="BG147" s="24" t="inlineStr">
        <is>
          <t>mlb-elo-trend-lr-v6</t>
        </is>
      </c>
      <c r="BH147" s="24" t="inlineStr">
        <is>
          <t>2026-07-29T17:43:09.108714Z</t>
        </is>
      </c>
      <c r="BI147" s="24" t="inlineStr">
        <is>
          <t>["same_event","same_team_same_day","same_league_same_day"]</t>
        </is>
      </c>
      <c r="BJ147" s="25" t="n"/>
      <c r="BK147" s="26" t="n">
        <v>122</v>
      </c>
      <c r="BL147" s="27" t="n">
        <v>2.22</v>
      </c>
      <c r="BM147" s="28" t="n">
        <v>0.45045</v>
      </c>
      <c r="BN147" s="28" t="n">
        <v>0.447761</v>
      </c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inlineStr">
        <is>
          <t>0.4559426507</t>
        </is>
      </c>
      <c r="CD147" s="24" t="inlineStr">
        <is>
          <t>-1.582476</t>
        </is>
      </c>
      <c r="CE147" s="24" t="inlineStr">
        <is>
          <t>1.01</t>
        </is>
      </c>
      <c r="CF147" s="24" t="n"/>
      <c r="CG147" s="24" t="n"/>
      <c r="CH147" s="24" t="inlineStr">
        <is>
          <t>0.0</t>
        </is>
      </c>
      <c r="CI147" s="24" t="inlineStr">
        <is>
          <t>probable_starter_era_gap</t>
        </is>
      </c>
      <c r="CJ147" s="24" t="n"/>
      <c r="CK147" s="24" t="n"/>
      <c r="CL147" s="24" t="n"/>
      <c r="CM147" s="24" t="n"/>
      <c r="CN147" s="24" t="n"/>
      <c r="CO147" s="24" t="n"/>
    </row>
    <row r="148" ht="36" customHeight="1">
      <c r="A148" s="24" t="inlineStr">
        <is>
          <t>09cb6bed8b394f5b</t>
        </is>
      </c>
      <c r="B148" s="24" t="inlineStr">
        <is>
          <t>2026-07-29T17:43:50.913671Z</t>
        </is>
      </c>
      <c r="C148" s="24" t="inlineStr">
        <is>
          <t>2026-07-29T21:40:00-0400</t>
        </is>
      </c>
      <c r="D148" s="24" t="inlineStr">
        <is>
          <t>401816317</t>
        </is>
      </c>
      <c r="E148" s="24" t="inlineStr">
        <is>
          <t>MLB</t>
        </is>
      </c>
      <c r="F148" s="24" t="inlineStr">
        <is>
          <t>Boston Red Sox</t>
        </is>
      </c>
      <c r="G148" s="24" t="inlineStr">
        <is>
          <t>Athletics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-141</v>
      </c>
      <c r="M148" s="27" t="n">
        <v>1.70922</v>
      </c>
      <c r="N148" s="28" t="n">
        <v>0.585062</v>
      </c>
      <c r="O148" s="28" t="n">
        <v>0.674823</v>
      </c>
      <c r="P148" s="28" t="n"/>
      <c r="Q148" s="28" t="n">
        <v>0.08976099999999999</v>
      </c>
      <c r="R148" s="26" t="n">
        <v>66</v>
      </c>
      <c r="S148" s="29" t="n">
        <v>2</v>
      </c>
      <c r="T148" s="24" t="inlineStr">
        <is>
          <t>mlb-elo-trend-lr-v6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Learned LR call at threshold 0.5690; executable ask 0.5850 (aec-mlb-bos-ath-2026-07-29).</t>
        </is>
      </c>
      <c r="AF148" s="31" t="inlineStr">
        <is>
          <t>Learned model; shadow-qualified via operator override.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mlb-bos</t>
        </is>
      </c>
      <c r="AQ148" s="24" t="inlineStr">
        <is>
          <t>Boston Red Sox</t>
        </is>
      </c>
      <c r="AR148" s="24" t="inlineStr">
        <is>
          <t>Boston Red Sox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0633355b1144e4205ca6d08e3f328d99cab0970358846bd77228f3bcbfcd70ee</t>
        </is>
      </c>
      <c r="BB148" s="24" t="inlineStr">
        <is>
          <t>learned_lr</t>
        </is>
      </c>
      <c r="BC148" s="24" t="inlineStr">
        <is>
          <t>mlb-elo-trend-lr-v6</t>
        </is>
      </c>
      <c r="BD148" s="24" t="inlineStr">
        <is>
          <t>0633355b1144e4205ca6d08e3f328d99cab0970358846bd77228f3bcbfcd70ee</t>
        </is>
      </c>
      <c r="BE148" s="24" t="inlineStr">
        <is>
          <t>93cfc12c40e6d755</t>
        </is>
      </c>
      <c r="BF148" s="24" t="inlineStr">
        <is>
          <t>1</t>
        </is>
      </c>
      <c r="BG148" s="24" t="inlineStr">
        <is>
          <t>mlb-elo-trend-lr-v6</t>
        </is>
      </c>
      <c r="BH148" s="24" t="inlineStr">
        <is>
          <t>2026-07-29T17:43:10.028043Z</t>
        </is>
      </c>
      <c r="BI148" s="24" t="inlineStr">
        <is>
          <t>["same_event","same_team_same_day","same_league_same_day"]</t>
        </is>
      </c>
      <c r="BJ148" s="25" t="n"/>
      <c r="BK148" s="26" t="n">
        <v>-141</v>
      </c>
      <c r="BL148" s="27" t="n">
        <v>1.70922</v>
      </c>
      <c r="BM148" s="28" t="n">
        <v>0.585062</v>
      </c>
      <c r="BN148" s="28" t="n">
        <v>0.58209</v>
      </c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inlineStr">
        <is>
          <t>0.3891185316</t>
        </is>
      </c>
      <c r="CD148" s="24" t="inlineStr">
        <is>
          <t>-1.066043</t>
        </is>
      </c>
      <c r="CE148" s="24" t="inlineStr">
        <is>
          <t>1.153</t>
        </is>
      </c>
      <c r="CF148" s="24" t="n"/>
      <c r="CG148" s="24" t="n"/>
      <c r="CH148" s="24" t="inlineStr">
        <is>
          <t>2.91</t>
        </is>
      </c>
      <c r="CI148" s="24" t="n"/>
      <c r="CJ148" s="24" t="n"/>
      <c r="CK148" s="24" t="n"/>
      <c r="CL148" s="24" t="n"/>
      <c r="CM148" s="24" t="n"/>
      <c r="CN148" s="24" t="n"/>
      <c r="CO148" s="24" t="n"/>
    </row>
    <row r="149" ht="36" customHeight="1">
      <c r="A149" s="24" t="inlineStr">
        <is>
          <t>9b757e601728451d</t>
        </is>
      </c>
      <c r="B149" s="24" t="inlineStr">
        <is>
          <t>2026-07-29T17:43:50.913671Z</t>
        </is>
      </c>
      <c r="C149" s="24" t="inlineStr">
        <is>
          <t>2026-07-29T22:10:00-0400</t>
        </is>
      </c>
      <c r="D149" s="24" t="inlineStr">
        <is>
          <t>401816321</t>
        </is>
      </c>
      <c r="E149" s="24" t="inlineStr">
        <is>
          <t>MLB</t>
        </is>
      </c>
      <c r="F149" s="24" t="inlineStr">
        <is>
          <t>Seattle Mariners</t>
        </is>
      </c>
      <c r="G149" s="24" t="inlineStr">
        <is>
          <t>Los Angeles Dodgers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153</v>
      </c>
      <c r="M149" s="27" t="n">
        <v>2.53</v>
      </c>
      <c r="N149" s="28" t="n">
        <v>0.395257</v>
      </c>
      <c r="O149" s="28" t="n">
        <v>0.580323</v>
      </c>
      <c r="P149" s="28" t="n"/>
      <c r="Q149" s="28" t="n">
        <v>0.185066</v>
      </c>
      <c r="R149" s="26" t="n">
        <v>100</v>
      </c>
      <c r="S149" s="29" t="n">
        <v>1.25</v>
      </c>
      <c r="T149" s="24" t="inlineStr">
        <is>
          <t>mlb-elo-trend-lr-v6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Learned LR call at threshold 0.5690; executable ask 0.3950 (aec-mlb-sea-lad-2026-07-29).</t>
        </is>
      </c>
      <c r="AF149" s="31" t="inlineStr">
        <is>
          <t>Learned model; shadow-qualified via operator override.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mlb-sea</t>
        </is>
      </c>
      <c r="AQ149" s="24" t="inlineStr">
        <is>
          <t>Seattle Mariners</t>
        </is>
      </c>
      <c r="AR149" s="24" t="inlineStr">
        <is>
          <t>Seattle Mariners</t>
        </is>
      </c>
      <c r="AS149" s="24" t="inlineStr">
        <is>
          <t>mlb-lad</t>
        </is>
      </c>
      <c r="AT149" s="24" t="inlineStr">
        <is>
          <t>Los Angeles Dodgers</t>
        </is>
      </c>
      <c r="AU149" s="24" t="inlineStr">
        <is>
          <t>Los Angeles Dodgers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0633355b1144e4205ca6d08e3f328d99cab0970358846bd77228f3bcbfcd70ee</t>
        </is>
      </c>
      <c r="BB149" s="24" t="inlineStr">
        <is>
          <t>learned_lr</t>
        </is>
      </c>
      <c r="BC149" s="24" t="inlineStr">
        <is>
          <t>mlb-elo-trend-lr-v6</t>
        </is>
      </c>
      <c r="BD149" s="24" t="inlineStr">
        <is>
          <t>0633355b1144e4205ca6d08e3f328d99cab0970358846bd77228f3bcbfcd70ee</t>
        </is>
      </c>
      <c r="BE149" s="24" t="inlineStr">
        <is>
          <t>cef2fcdedc4d9995</t>
        </is>
      </c>
      <c r="BF149" s="24" t="inlineStr">
        <is>
          <t>1</t>
        </is>
      </c>
      <c r="BG149" s="24" t="inlineStr">
        <is>
          <t>mlb-elo-trend-lr-v6</t>
        </is>
      </c>
      <c r="BH149" s="24" t="inlineStr">
        <is>
          <t>2026-07-29T17:43:11.216934Z</t>
        </is>
      </c>
      <c r="BI149" s="24" t="inlineStr">
        <is>
          <t>["same_event","same_team_same_day","same_league_same_day"]</t>
        </is>
      </c>
      <c r="BJ149" s="25" t="n"/>
      <c r="BK149" s="26" t="n">
        <v>153</v>
      </c>
      <c r="BL149" s="27" t="n">
        <v>2.53</v>
      </c>
      <c r="BM149" s="28" t="n">
        <v>0.395257</v>
      </c>
      <c r="BN149" s="28" t="n">
        <v>0.393035</v>
      </c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inlineStr">
        <is>
          <t>0.6258863376</t>
        </is>
      </c>
      <c r="CD149" s="24" t="inlineStr">
        <is>
          <t>-0.186858</t>
        </is>
      </c>
      <c r="CE149" s="24" t="inlineStr">
        <is>
          <t>1.026</t>
        </is>
      </c>
      <c r="CF149" s="24" t="n"/>
      <c r="CG149" s="24" t="n"/>
      <c r="CH149" s="24" t="inlineStr">
        <is>
          <t>1.67</t>
        </is>
      </c>
      <c r="CI149" s="24" t="n"/>
      <c r="CJ149" s="24" t="n"/>
      <c r="CK149" s="24" t="n"/>
      <c r="CL149" s="24" t="n"/>
      <c r="CM149" s="24" t="n"/>
      <c r="CN149" s="24" t="n"/>
      <c r="CO149" s="24" t="n"/>
    </row>
    <row r="150" ht="36" customHeight="1">
      <c r="A150" s="24" t="inlineStr">
        <is>
          <t>8f7594e6c4424f9a</t>
        </is>
      </c>
      <c r="B150" s="24" t="inlineStr">
        <is>
          <t>2026-07-29T17:44:02.507912Z</t>
        </is>
      </c>
      <c r="C150" s="24" t="inlineStr">
        <is>
          <t>2026-07-29T19:45Z</t>
        </is>
      </c>
      <c r="D150" s="24" t="inlineStr">
        <is>
          <t>401816320</t>
        </is>
      </c>
      <c r="E150" s="24" t="inlineStr">
        <is>
          <t>MLB</t>
        </is>
      </c>
      <c r="F150" s="24" t="inlineStr">
        <is>
          <t>Milwaukee Brewers</t>
        </is>
      </c>
      <c r="G150" s="24" t="inlineStr">
        <is>
          <t>San Francisco Giants</t>
        </is>
      </c>
      <c r="H150" s="24" t="inlineStr">
        <is>
          <t>spread</t>
        </is>
      </c>
      <c r="I150" s="24" t="inlineStr">
        <is>
          <t>home</t>
        </is>
      </c>
      <c r="J150" s="25" t="n">
        <v>1.5</v>
      </c>
      <c r="K150" s="24" t="inlineStr">
        <is>
          <t>polymarket_us</t>
        </is>
      </c>
      <c r="L150" s="26" t="n">
        <v>-163</v>
      </c>
      <c r="M150" s="27" t="n">
        <v>1.613497</v>
      </c>
      <c r="N150" s="28" t="n">
        <v>0.619772</v>
      </c>
      <c r="O150" s="28" t="n">
        <v>0.528993</v>
      </c>
      <c r="P150" s="28" t="n">
        <v>0.05172</v>
      </c>
      <c r="Q150" s="28" t="n">
        <v>-0.090779</v>
      </c>
      <c r="R150" s="26" t="n">
        <v>0</v>
      </c>
      <c r="S150" s="29" t="n">
        <v>0</v>
      </c>
      <c r="T150" s="24" t="inlineStr">
        <is>
          <t>measured-edge-margin-v1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Measured Edge Margin: Trend Engine projected 4.96-4.57; raw selected-side p=0.6186, calibrated p=0.5290.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mlb-mil</t>
        </is>
      </c>
      <c r="AQ150" s="24" t="inlineStr">
        <is>
          <t>Milwaukee Brewers</t>
        </is>
      </c>
      <c r="AR150" s="24" t="inlineStr">
        <is>
          <t>Milwaukee Brewers</t>
        </is>
      </c>
      <c r="AS150" s="24" t="inlineStr">
        <is>
          <t>mlb-sf</t>
        </is>
      </c>
      <c r="AT150" s="24" t="inlineStr">
        <is>
          <t>San Francisco Giants</t>
        </is>
      </c>
      <c r="AU150" s="24" t="inlineStr">
        <is>
          <t>San Francisco Giants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c05bda6086190b5b398519d3b57b0edba8160090cd5e3c9cb0614cecfbf03f01</t>
        </is>
      </c>
      <c r="BB150" s="24" t="inlineStr">
        <is>
          <t>flat_probability_shrinkage_toward_half</t>
        </is>
      </c>
      <c r="BC150" s="24" t="inlineStr">
        <is>
          <t>measured-edge-margin-v1</t>
        </is>
      </c>
      <c r="BD150" s="24" t="inlineStr">
        <is>
          <t>c05bda6086190b5b398519d3b57b0edba8160090cd5e3c9cb0614cecfbf03f01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2026-07-29T17:44:02.507912Z</t>
        </is>
      </c>
      <c r="BI150" s="24" t="inlineStr">
        <is>
          <t>["same_event","same_team_same_day","same_league_same_day"]</t>
        </is>
      </c>
      <c r="BJ150" s="25" t="n">
        <v>1.5</v>
      </c>
      <c r="BK150" s="26" t="n">
        <v>-163</v>
      </c>
      <c r="BL150" s="27" t="n">
        <v>1.613497</v>
      </c>
      <c r="BM150" s="28" t="n">
        <v>0.619772</v>
      </c>
      <c r="BN150" s="28" t="n">
        <v>0.616915</v>
      </c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</row>
    <row r="151" ht="36" customHeight="1">
      <c r="A151" s="24" t="inlineStr">
        <is>
          <t>0a34b288a75b4af8</t>
        </is>
      </c>
      <c r="B151" s="24" t="inlineStr">
        <is>
          <t>2026-07-29T17:44:02.507912Z</t>
        </is>
      </c>
      <c r="C151" s="24" t="inlineStr">
        <is>
          <t>2026-07-29T19:45Z</t>
        </is>
      </c>
      <c r="D151" s="24" t="inlineStr">
        <is>
          <t>401816320</t>
        </is>
      </c>
      <c r="E151" s="24" t="inlineStr">
        <is>
          <t>MLB</t>
        </is>
      </c>
      <c r="F151" s="24" t="inlineStr">
        <is>
          <t>Milwaukee Brewers</t>
        </is>
      </c>
      <c r="G151" s="24" t="inlineStr">
        <is>
          <t>San Francisco Giants</t>
        </is>
      </c>
      <c r="H151" s="24" t="inlineStr">
        <is>
          <t>total</t>
        </is>
      </c>
      <c r="I151" s="24" t="inlineStr">
        <is>
          <t>over</t>
        </is>
      </c>
      <c r="J151" s="25" t="n">
        <v>7.5</v>
      </c>
      <c r="K151" s="24" t="inlineStr">
        <is>
          <t>polymarket_us</t>
        </is>
      </c>
      <c r="L151" s="26" t="n">
        <v>-106</v>
      </c>
      <c r="M151" s="27" t="n">
        <v>1.943396</v>
      </c>
      <c r="N151" s="28" t="n">
        <v>0.514563</v>
      </c>
      <c r="O151" s="28" t="n">
        <v>0.51432</v>
      </c>
      <c r="P151" s="28" t="n">
        <v>0.05172</v>
      </c>
      <c r="Q151" s="28" t="n">
        <v>-0.000243</v>
      </c>
      <c r="R151" s="26" t="n">
        <v>19</v>
      </c>
      <c r="S151" s="29" t="n">
        <v>0</v>
      </c>
      <c r="T151" s="24" t="inlineStr">
        <is>
          <t>measured-edge-totals-v1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Measured Edge Totals: Trend Engine projected 4.96-4.57; raw selected-side p=0.6427, calibrated p=0.5143.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mlb-mil</t>
        </is>
      </c>
      <c r="AQ151" s="24" t="inlineStr">
        <is>
          <t>Milwaukee Brewers</t>
        </is>
      </c>
      <c r="AR151" s="24" t="inlineStr">
        <is>
          <t>Milwaukee Brewers</t>
        </is>
      </c>
      <c r="AS151" s="24" t="inlineStr">
        <is>
          <t>mlb-sf</t>
        </is>
      </c>
      <c r="AT151" s="24" t="inlineStr">
        <is>
          <t>San Francisco Giants</t>
        </is>
      </c>
      <c r="AU151" s="24" t="inlineStr">
        <is>
          <t>San Francisco Giants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57de3d47944562994a5b1afaec1ed80c7d895d39fce98e14c1dee1a330df60d1</t>
        </is>
      </c>
      <c r="BB151" s="24" t="inlineStr">
        <is>
          <t>flat_probability_shrinkage_toward_half</t>
        </is>
      </c>
      <c r="BC151" s="24" t="inlineStr">
        <is>
          <t>measured-edge-totals-v1</t>
        </is>
      </c>
      <c r="BD151" s="24" t="inlineStr">
        <is>
          <t>57de3d47944562994a5b1afaec1ed80c7d895d39fce98e14c1dee1a330df60d1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2026-07-29T17:44:02.507912Z</t>
        </is>
      </c>
      <c r="BI151" s="24" t="inlineStr">
        <is>
          <t>["same_event","same_team_same_day","same_league_same_day"]</t>
        </is>
      </c>
      <c r="BJ151" s="25" t="n">
        <v>7.5</v>
      </c>
      <c r="BK151" s="26" t="n">
        <v>-106</v>
      </c>
      <c r="BL151" s="27" t="n">
        <v>1.943396</v>
      </c>
      <c r="BM151" s="28" t="n">
        <v>0.514563</v>
      </c>
      <c r="BN151" s="28" t="n">
        <v>0.5124379999999999</v>
      </c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</row>
    <row r="152" ht="36" customHeight="1">
      <c r="A152" s="24" t="inlineStr">
        <is>
          <t>8f1af0aca0df41e2</t>
        </is>
      </c>
      <c r="B152" s="24" t="inlineStr">
        <is>
          <t>2026-07-29T17:44:02.507912Z</t>
        </is>
      </c>
      <c r="C152" s="24" t="inlineStr">
        <is>
          <t>2026-07-29T20:10Z</t>
        </is>
      </c>
      <c r="D152" s="24" t="inlineStr">
        <is>
          <t>401816318</t>
        </is>
      </c>
      <c r="E152" s="24" t="inlineStr">
        <is>
          <t>MLB</t>
        </is>
      </c>
      <c r="F152" s="24" t="inlineStr">
        <is>
          <t>Colorado Rockies</t>
        </is>
      </c>
      <c r="G152" s="24" t="inlineStr">
        <is>
          <t>San Diego Padres</t>
        </is>
      </c>
      <c r="H152" s="24" t="inlineStr">
        <is>
          <t>spread</t>
        </is>
      </c>
      <c r="I152" s="24" t="inlineStr">
        <is>
          <t>away</t>
        </is>
      </c>
      <c r="J152" s="25" t="n">
        <v>1.5</v>
      </c>
      <c r="K152" s="24" t="inlineStr">
        <is>
          <t>polymarket_us</t>
        </is>
      </c>
      <c r="L152" s="26" t="n">
        <v>-144</v>
      </c>
      <c r="M152" s="27" t="n">
        <v>1.694444</v>
      </c>
      <c r="N152" s="28" t="n">
        <v>0.590164</v>
      </c>
      <c r="O152" s="28" t="n">
        <v>0.5385490000000001</v>
      </c>
      <c r="P152" s="28" t="n">
        <v>0.05172</v>
      </c>
      <c r="Q152" s="28" t="n">
        <v>-0.051615</v>
      </c>
      <c r="R152" s="26" t="n">
        <v>0</v>
      </c>
      <c r="S152" s="29" t="n">
        <v>0</v>
      </c>
      <c r="T152" s="24" t="inlineStr">
        <is>
          <t>measured-edge-margin-v1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Measured Edge Margin: Trend Engine projected 4.41-4.02; raw selected-side p=0.7135, calibrated p=0.5385.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mlb-col</t>
        </is>
      </c>
      <c r="AQ152" s="24" t="inlineStr">
        <is>
          <t>Colorado Rockies</t>
        </is>
      </c>
      <c r="AR152" s="24" t="inlineStr">
        <is>
          <t>Colorado Rockies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c05bda6086190b5b398519d3b57b0edba8160090cd5e3c9cb0614cecfbf03f01</t>
        </is>
      </c>
      <c r="BB152" s="24" t="inlineStr">
        <is>
          <t>flat_probability_shrinkage_toward_half</t>
        </is>
      </c>
      <c r="BC152" s="24" t="inlineStr">
        <is>
          <t>measured-edge-margin-v1</t>
        </is>
      </c>
      <c r="BD152" s="24" t="inlineStr">
        <is>
          <t>c05bda6086190b5b398519d3b57b0edba8160090cd5e3c9cb0614cecfbf03f01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2026-07-29T17:44:02.507912Z</t>
        </is>
      </c>
      <c r="BI152" s="24" t="inlineStr">
        <is>
          <t>["same_event","same_team_same_day","same_league_same_day"]</t>
        </is>
      </c>
      <c r="BJ152" s="25" t="n">
        <v>1.5</v>
      </c>
      <c r="BK152" s="26" t="n">
        <v>-144</v>
      </c>
      <c r="BL152" s="27" t="n">
        <v>1.694444</v>
      </c>
      <c r="BM152" s="28" t="n">
        <v>0.590164</v>
      </c>
      <c r="BN152" s="28" t="n">
        <v>0.5870649999999999</v>
      </c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</row>
    <row r="153" ht="36" customHeight="1">
      <c r="A153" s="24" t="inlineStr">
        <is>
          <t>b01ee298fc454312</t>
        </is>
      </c>
      <c r="B153" s="24" t="inlineStr">
        <is>
          <t>2026-07-29T17:44:02.507912Z</t>
        </is>
      </c>
      <c r="C153" s="24" t="inlineStr">
        <is>
          <t>2026-07-29T20:10Z</t>
        </is>
      </c>
      <c r="D153" s="24" t="inlineStr">
        <is>
          <t>401816318</t>
        </is>
      </c>
      <c r="E153" s="24" t="inlineStr">
        <is>
          <t>MLB</t>
        </is>
      </c>
      <c r="F153" s="24" t="inlineStr">
        <is>
          <t>Colorado Rockies</t>
        </is>
      </c>
      <c r="G153" s="24" t="inlineStr">
        <is>
          <t>San Diego Padres</t>
        </is>
      </c>
      <c r="H153" s="24" t="inlineStr">
        <is>
          <t>total</t>
        </is>
      </c>
      <c r="I153" s="24" t="inlineStr">
        <is>
          <t>under</t>
        </is>
      </c>
      <c r="J153" s="25" t="n">
        <v>8.5</v>
      </c>
      <c r="K153" s="24" t="inlineStr">
        <is>
          <t>polymarket_us</t>
        </is>
      </c>
      <c r="L153" s="26" t="n">
        <v>-111</v>
      </c>
      <c r="M153" s="27" t="n">
        <v>1.900901</v>
      </c>
      <c r="N153" s="28" t="n">
        <v>0.526066</v>
      </c>
      <c r="O153" s="28" t="n">
        <v>0.503364</v>
      </c>
      <c r="P153" s="28" t="n">
        <v>0.05172</v>
      </c>
      <c r="Q153" s="28" t="n">
        <v>-0.022702</v>
      </c>
      <c r="R153" s="26" t="n">
        <v>8</v>
      </c>
      <c r="S153" s="29" t="n">
        <v>0</v>
      </c>
      <c r="T153" s="24" t="inlineStr">
        <is>
          <t>measured-edge-totals-v1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Measured Edge Totals: Trend Engine projected 4.41-4.02; raw selected-side p=0.5339, calibrated p=0.5034.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mlb-col</t>
        </is>
      </c>
      <c r="AQ153" s="24" t="inlineStr">
        <is>
          <t>Colorado Rockies</t>
        </is>
      </c>
      <c r="AR153" s="24" t="inlineStr">
        <is>
          <t>Colorado Rockies</t>
        </is>
      </c>
      <c r="AS153" s="24" t="inlineStr">
        <is>
          <t>mlb-sd</t>
        </is>
      </c>
      <c r="AT153" s="24" t="inlineStr">
        <is>
          <t>San Diego Padres</t>
        </is>
      </c>
      <c r="AU153" s="24" t="inlineStr">
        <is>
          <t>San Diego Padres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57de3d47944562994a5b1afaec1ed80c7d895d39fce98e14c1dee1a330df60d1</t>
        </is>
      </c>
      <c r="BB153" s="24" t="inlineStr">
        <is>
          <t>flat_probability_shrinkage_toward_half</t>
        </is>
      </c>
      <c r="BC153" s="24" t="inlineStr">
        <is>
          <t>measured-edge-totals-v1</t>
        </is>
      </c>
      <c r="BD153" s="24" t="inlineStr">
        <is>
          <t>57de3d47944562994a5b1afaec1ed80c7d895d39fce98e14c1dee1a330df60d1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2026-07-29T17:44:02.507912Z</t>
        </is>
      </c>
      <c r="BI153" s="24" t="inlineStr">
        <is>
          <t>["same_event","same_team_same_day","same_league_same_day"]</t>
        </is>
      </c>
      <c r="BJ153" s="25" t="n">
        <v>8.5</v>
      </c>
      <c r="BK153" s="26" t="n">
        <v>-111</v>
      </c>
      <c r="BL153" s="27" t="n">
        <v>1.900901</v>
      </c>
      <c r="BM153" s="28" t="n">
        <v>0.526066</v>
      </c>
      <c r="BN153" s="28" t="n">
        <v>0.522388</v>
      </c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</row>
    <row r="154" ht="36" customHeight="1">
      <c r="A154" s="24" t="inlineStr">
        <is>
          <t>b0bf634ea00b44b1</t>
        </is>
      </c>
      <c r="B154" s="24" t="inlineStr">
        <is>
          <t>2026-07-29T17:44:02.507912Z</t>
        </is>
      </c>
      <c r="C154" s="24" t="inlineStr">
        <is>
          <t>2026-07-29T22:40Z</t>
        </is>
      </c>
      <c r="D154" s="24" t="inlineStr">
        <is>
          <t>401816312</t>
        </is>
      </c>
      <c r="E154" s="24" t="inlineStr">
        <is>
          <t>MLB</t>
        </is>
      </c>
      <c r="F154" s="24" t="inlineStr">
        <is>
          <t>Texas Rangers</t>
        </is>
      </c>
      <c r="G154" s="24" t="inlineStr">
        <is>
          <t>Tampa Bay Rays</t>
        </is>
      </c>
      <c r="H154" s="24" t="inlineStr">
        <is>
          <t>spread</t>
        </is>
      </c>
      <c r="I154" s="24" t="inlineStr">
        <is>
          <t>home</t>
        </is>
      </c>
      <c r="J154" s="25" t="n">
        <v>-1.5</v>
      </c>
      <c r="K154" s="24" t="inlineStr">
        <is>
          <t>polymarket_us</t>
        </is>
      </c>
      <c r="L154" s="26" t="n">
        <v>160</v>
      </c>
      <c r="M154" s="27" t="n">
        <v>2.6</v>
      </c>
      <c r="N154" s="28" t="n">
        <v>0.384615</v>
      </c>
      <c r="O154" s="28" t="n">
        <v>0.540392</v>
      </c>
      <c r="P154" s="28" t="n">
        <v>0.042131</v>
      </c>
      <c r="Q154" s="28" t="n">
        <v>0.155777</v>
      </c>
      <c r="R154" s="26" t="n">
        <v>100</v>
      </c>
      <c r="S154" s="29" t="n">
        <v>0</v>
      </c>
      <c r="T154" s="24" t="inlineStr">
        <is>
          <t>measured-edge-margin-v1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Measured Edge Margin: Trend Engine projected 4.44-9.39; raw selected-side p=0.7318, calibrated p=0.5404.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mlb-tex</t>
        </is>
      </c>
      <c r="AQ154" s="24" t="inlineStr">
        <is>
          <t>Texas Rangers</t>
        </is>
      </c>
      <c r="AR154" s="24" t="inlineStr">
        <is>
          <t>Texas Rangers</t>
        </is>
      </c>
      <c r="AS154" s="24" t="inlineStr">
        <is>
          <t>mlb-tb</t>
        </is>
      </c>
      <c r="AT154" s="24" t="inlineStr">
        <is>
          <t>Tampa Bay Rays</t>
        </is>
      </c>
      <c r="AU154" s="24" t="inlineStr">
        <is>
          <t>Tampa Bay Rays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c05bda6086190b5b398519d3b57b0edba8160090cd5e3c9cb0614cecfbf03f01</t>
        </is>
      </c>
      <c r="BB154" s="24" t="inlineStr">
        <is>
          <t>flat_probability_shrinkage_toward_half</t>
        </is>
      </c>
      <c r="BC154" s="24" t="inlineStr">
        <is>
          <t>measured-edge-margin-v1</t>
        </is>
      </c>
      <c r="BD154" s="24" t="inlineStr">
        <is>
          <t>c05bda6086190b5b398519d3b57b0edba8160090cd5e3c9cb0614cecfbf03f01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2026-07-29T17:44:02.507912Z</t>
        </is>
      </c>
      <c r="BI154" s="24" t="inlineStr">
        <is>
          <t>["same_event","same_team_same_day","same_league_same_day"]</t>
        </is>
      </c>
      <c r="BJ154" s="25" t="n">
        <v>-1.5</v>
      </c>
      <c r="BK154" s="26" t="n">
        <v>160</v>
      </c>
      <c r="BL154" s="27" t="n">
        <v>2.6</v>
      </c>
      <c r="BM154" s="28" t="n">
        <v>0.384615</v>
      </c>
      <c r="BN154" s="28" t="n">
        <v>0.383085</v>
      </c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</row>
    <row r="155" ht="36" customHeight="1">
      <c r="A155" s="24" t="inlineStr">
        <is>
          <t>c2d6c2e3daa14e86</t>
        </is>
      </c>
      <c r="B155" s="24" t="inlineStr">
        <is>
          <t>2026-07-29T17:44:02.507912Z</t>
        </is>
      </c>
      <c r="C155" s="24" t="inlineStr">
        <is>
          <t>2026-07-29T22:40Z</t>
        </is>
      </c>
      <c r="D155" s="24" t="inlineStr">
        <is>
          <t>401816312</t>
        </is>
      </c>
      <c r="E155" s="24" t="inlineStr">
        <is>
          <t>MLB</t>
        </is>
      </c>
      <c r="F155" s="24" t="inlineStr">
        <is>
          <t>Texas Rangers</t>
        </is>
      </c>
      <c r="G155" s="24" t="inlineStr">
        <is>
          <t>Tampa Bay Rays</t>
        </is>
      </c>
      <c r="H155" s="24" t="inlineStr">
        <is>
          <t>total</t>
        </is>
      </c>
      <c r="I155" s="24" t="inlineStr">
        <is>
          <t>over</t>
        </is>
      </c>
      <c r="J155" s="25" t="n">
        <v>7.5</v>
      </c>
      <c r="K155" s="24" t="inlineStr">
        <is>
          <t>polymarket_us</t>
        </is>
      </c>
      <c r="L155" s="26" t="n">
        <v>-106</v>
      </c>
      <c r="M155" s="27" t="n">
        <v>1.943396</v>
      </c>
      <c r="N155" s="28" t="n">
        <v>0.514563</v>
      </c>
      <c r="O155" s="28" t="n">
        <v>0.536293</v>
      </c>
      <c r="P155" s="28" t="n">
        <v>0.042131</v>
      </c>
      <c r="Q155" s="28" t="n">
        <v>0.02173</v>
      </c>
      <c r="R155" s="26" t="n">
        <v>36</v>
      </c>
      <c r="S155" s="29" t="n">
        <v>0</v>
      </c>
      <c r="T155" s="24" t="inlineStr">
        <is>
          <t>measured-edge-totals-v1</t>
        </is>
      </c>
      <c r="U155" s="24" t="inlineStr">
        <is>
          <t>open</t>
        </is>
      </c>
      <c r="V155" s="24" t="n"/>
      <c r="W155" s="26" t="n"/>
      <c r="X155" s="26" t="n"/>
      <c r="Y155" s="25" t="n"/>
      <c r="Z155" s="26" t="n"/>
      <c r="AA155" s="28" t="n"/>
      <c r="AB155" s="28" t="n"/>
      <c r="AC155" s="30" t="n"/>
      <c r="AD155" s="24" t="n"/>
      <c r="AE155" s="31" t="inlineStr">
        <is>
          <t>Measured Edge Totals: Trend Engine projected 4.44-9.39; raw selected-side p=0.8609, calibrated p=0.5363.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mlb-tex</t>
        </is>
      </c>
      <c r="AQ155" s="24" t="inlineStr">
        <is>
          <t>Texas Rangers</t>
        </is>
      </c>
      <c r="AR155" s="24" t="inlineStr">
        <is>
          <t>Texas Rangers</t>
        </is>
      </c>
      <c r="AS155" s="24" t="inlineStr">
        <is>
          <t>mlb-tb</t>
        </is>
      </c>
      <c r="AT155" s="24" t="inlineStr">
        <is>
          <t>Tampa Bay Rays</t>
        </is>
      </c>
      <c r="AU155" s="24" t="inlineStr">
        <is>
          <t>Tampa Bay Rays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57de3d47944562994a5b1afaec1ed80c7d895d39fce98e14c1dee1a330df60d1</t>
        </is>
      </c>
      <c r="BB155" s="24" t="inlineStr">
        <is>
          <t>flat_probability_shrinkage_toward_half</t>
        </is>
      </c>
      <c r="BC155" s="24" t="inlineStr">
        <is>
          <t>measured-edge-totals-v1</t>
        </is>
      </c>
      <c r="BD155" s="24" t="inlineStr">
        <is>
          <t>57de3d47944562994a5b1afaec1ed80c7d895d39fce98e14c1dee1a330df60d1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2026-07-29T17:44:02.507912Z</t>
        </is>
      </c>
      <c r="BI155" s="24" t="inlineStr">
        <is>
          <t>["same_event","same_team_same_day","same_league_same_day"]</t>
        </is>
      </c>
      <c r="BJ155" s="25" t="n">
        <v>7.5</v>
      </c>
      <c r="BK155" s="26" t="n">
        <v>-106</v>
      </c>
      <c r="BL155" s="27" t="n">
        <v>1.943396</v>
      </c>
      <c r="BM155" s="28" t="n">
        <v>0.514563</v>
      </c>
      <c r="BN155" s="28" t="n">
        <v>0.5124379999999999</v>
      </c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</row>
    <row r="156" ht="36" customHeight="1">
      <c r="A156" s="24" t="inlineStr">
        <is>
          <t>826a903c9f17486c</t>
        </is>
      </c>
      <c r="B156" s="24" t="inlineStr">
        <is>
          <t>2026-07-29T17:44:02.507912Z</t>
        </is>
      </c>
      <c r="C156" s="24" t="inlineStr">
        <is>
          <t>2026-07-29T23:10Z</t>
        </is>
      </c>
      <c r="D156" s="24" t="inlineStr">
        <is>
          <t>401816310</t>
        </is>
      </c>
      <c r="E156" s="24" t="inlineStr">
        <is>
          <t>MLB</t>
        </is>
      </c>
      <c r="F156" s="24" t="inlineStr">
        <is>
          <t>Cleveland Guardians</t>
        </is>
      </c>
      <c r="G156" s="24" t="inlineStr">
        <is>
          <t>Cincinnati Reds</t>
        </is>
      </c>
      <c r="H156" s="24" t="inlineStr">
        <is>
          <t>spread</t>
        </is>
      </c>
      <c r="I156" s="24" t="inlineStr">
        <is>
          <t>home</t>
        </is>
      </c>
      <c r="J156" s="25" t="n">
        <v>1.5</v>
      </c>
      <c r="K156" s="24" t="inlineStr">
        <is>
          <t>polymarket_us</t>
        </is>
      </c>
      <c r="L156" s="26" t="n">
        <v>-133</v>
      </c>
      <c r="M156" s="27" t="n">
        <v>1.75188</v>
      </c>
      <c r="N156" s="28" t="n">
        <v>0.570815</v>
      </c>
      <c r="O156" s="28" t="n">
        <v>0.53139</v>
      </c>
      <c r="P156" s="28" t="n">
        <v>0.042131</v>
      </c>
      <c r="Q156" s="28" t="n">
        <v>-0.039425</v>
      </c>
      <c r="R156" s="26" t="n">
        <v>5</v>
      </c>
      <c r="S156" s="29" t="n">
        <v>0</v>
      </c>
      <c r="T156" s="24" t="inlineStr">
        <is>
          <t>measured-edge-margin-v1</t>
        </is>
      </c>
      <c r="U156" s="24" t="inlineStr">
        <is>
          <t>open</t>
        </is>
      </c>
      <c r="V156" s="24" t="n"/>
      <c r="W156" s="26" t="n"/>
      <c r="X156" s="26" t="n"/>
      <c r="Y156" s="25" t="n"/>
      <c r="Z156" s="26" t="n"/>
      <c r="AA156" s="28" t="n"/>
      <c r="AB156" s="28" t="n"/>
      <c r="AC156" s="30" t="n"/>
      <c r="AD156" s="24" t="n"/>
      <c r="AE156" s="31" t="inlineStr">
        <is>
          <t>Measured Edge Margin: Trend Engine projected 4.23-3.85; raw selected-side p=0.6424, calibrated p=0.5314.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mlb-cle</t>
        </is>
      </c>
      <c r="AQ156" s="24" t="inlineStr">
        <is>
          <t>Cleveland Guardians</t>
        </is>
      </c>
      <c r="AR156" s="24" t="inlineStr">
        <is>
          <t>Cleveland Guardians</t>
        </is>
      </c>
      <c r="AS156" s="24" t="inlineStr">
        <is>
          <t>mlb-cin</t>
        </is>
      </c>
      <c r="AT156" s="24" t="inlineStr">
        <is>
          <t>Cincinnati Reds</t>
        </is>
      </c>
      <c r="AU156" s="24" t="inlineStr">
        <is>
          <t>Cincinnati Reds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c05bda6086190b5b398519d3b57b0edba8160090cd5e3c9cb0614cecfbf03f01</t>
        </is>
      </c>
      <c r="BB156" s="24" t="inlineStr">
        <is>
          <t>flat_probability_shrinkage_toward_half</t>
        </is>
      </c>
      <c r="BC156" s="24" t="inlineStr">
        <is>
          <t>measured-edge-margin-v1</t>
        </is>
      </c>
      <c r="BD156" s="24" t="inlineStr">
        <is>
          <t>c05bda6086190b5b398519d3b57b0edba8160090cd5e3c9cb0614cecfbf03f01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2026-07-29T17:44:02.507912Z</t>
        </is>
      </c>
      <c r="BI156" s="24" t="inlineStr">
        <is>
          <t>["same_event","same_team_same_day","same_league_same_day"]</t>
        </is>
      </c>
      <c r="BJ156" s="25" t="n">
        <v>1.5</v>
      </c>
      <c r="BK156" s="26" t="n">
        <v>-133</v>
      </c>
      <c r="BL156" s="27" t="n">
        <v>1.75188</v>
      </c>
      <c r="BM156" s="28" t="n">
        <v>0.570815</v>
      </c>
      <c r="BN156" s="28" t="n">
        <v>0.567164</v>
      </c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</row>
    <row r="157" ht="36" customHeight="1">
      <c r="A157" s="24" t="inlineStr">
        <is>
          <t>e8556edfcfd048c0</t>
        </is>
      </c>
      <c r="B157" s="24" t="inlineStr">
        <is>
          <t>2026-07-29T17:44:02.507912Z</t>
        </is>
      </c>
      <c r="C157" s="24" t="inlineStr">
        <is>
          <t>2026-07-29T23:10Z</t>
        </is>
      </c>
      <c r="D157" s="24" t="inlineStr">
        <is>
          <t>401816310</t>
        </is>
      </c>
      <c r="E157" s="24" t="inlineStr">
        <is>
          <t>MLB</t>
        </is>
      </c>
      <c r="F157" s="24" t="inlineStr">
        <is>
          <t>Cleveland Guardians</t>
        </is>
      </c>
      <c r="G157" s="24" t="inlineStr">
        <is>
          <t>Cincinnati Reds</t>
        </is>
      </c>
      <c r="H157" s="24" t="inlineStr">
        <is>
          <t>total</t>
        </is>
      </c>
      <c r="I157" s="24" t="inlineStr">
        <is>
          <t>under</t>
        </is>
      </c>
      <c r="J157" s="25" t="n">
        <v>8.5</v>
      </c>
      <c r="K157" s="24" t="inlineStr">
        <is>
          <t>polymarket_us</t>
        </is>
      </c>
      <c r="L157" s="26" t="n">
        <v>115</v>
      </c>
      <c r="M157" s="27" t="n">
        <v>2.15</v>
      </c>
      <c r="N157" s="28" t="n">
        <v>0.465116</v>
      </c>
      <c r="O157" s="28" t="n">
        <v>0.506274</v>
      </c>
      <c r="P157" s="28" t="n">
        <v>0.042131</v>
      </c>
      <c r="Q157" s="28" t="n">
        <v>0.041158</v>
      </c>
      <c r="R157" s="26" t="n">
        <v>45</v>
      </c>
      <c r="S157" s="29" t="n">
        <v>0</v>
      </c>
      <c r="T157" s="24" t="inlineStr">
        <is>
          <t>measured-edge-totals-v1</t>
        </is>
      </c>
      <c r="U157" s="24" t="inlineStr">
        <is>
          <t>open</t>
        </is>
      </c>
      <c r="V157" s="24" t="n"/>
      <c r="W157" s="26" t="n"/>
      <c r="X157" s="26" t="n"/>
      <c r="Y157" s="25" t="n"/>
      <c r="Z157" s="26" t="n"/>
      <c r="AA157" s="28" t="n"/>
      <c r="AB157" s="28" t="n"/>
      <c r="AC157" s="30" t="n"/>
      <c r="AD157" s="24" t="n"/>
      <c r="AE157" s="31" t="inlineStr">
        <is>
          <t>Measured Edge Totals: Trend Engine projected 4.23-3.85; raw selected-side p=0.5628, calibrated p=0.5063.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mlb-cle</t>
        </is>
      </c>
      <c r="AQ157" s="24" t="inlineStr">
        <is>
          <t>Cleveland Guardians</t>
        </is>
      </c>
      <c r="AR157" s="24" t="inlineStr">
        <is>
          <t>Cleveland Guardians</t>
        </is>
      </c>
      <c r="AS157" s="24" t="inlineStr">
        <is>
          <t>mlb-cin</t>
        </is>
      </c>
      <c r="AT157" s="24" t="inlineStr">
        <is>
          <t>Cincinnati Reds</t>
        </is>
      </c>
      <c r="AU157" s="24" t="inlineStr">
        <is>
          <t>Cincinnati Reds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57de3d47944562994a5b1afaec1ed80c7d895d39fce98e14c1dee1a330df60d1</t>
        </is>
      </c>
      <c r="BB157" s="24" t="inlineStr">
        <is>
          <t>flat_probability_shrinkage_toward_half</t>
        </is>
      </c>
      <c r="BC157" s="24" t="inlineStr">
        <is>
          <t>measured-edge-totals-v1</t>
        </is>
      </c>
      <c r="BD157" s="24" t="inlineStr">
        <is>
          <t>57de3d47944562994a5b1afaec1ed80c7d895d39fce98e14c1dee1a330df60d1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2026-07-29T17:44:02.507912Z</t>
        </is>
      </c>
      <c r="BI157" s="24" t="inlineStr">
        <is>
          <t>["same_event","same_team_same_day","same_league_same_day"]</t>
        </is>
      </c>
      <c r="BJ157" s="25" t="n">
        <v>8.5</v>
      </c>
      <c r="BK157" s="26" t="n">
        <v>115</v>
      </c>
      <c r="BL157" s="27" t="n">
        <v>2.15</v>
      </c>
      <c r="BM157" s="28" t="n">
        <v>0.465116</v>
      </c>
      <c r="BN157" s="28" t="n">
        <v>0.462687</v>
      </c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</row>
    <row r="158" ht="36" customHeight="1">
      <c r="A158" s="24" t="inlineStr">
        <is>
          <t>d78dbe0e68d04b17</t>
        </is>
      </c>
      <c r="B158" s="24" t="inlineStr">
        <is>
          <t>2026-07-29T17:44:02.507912Z</t>
        </is>
      </c>
      <c r="C158" s="24" t="inlineStr">
        <is>
          <t>2026-07-29T23:10Z</t>
        </is>
      </c>
      <c r="D158" s="24" t="inlineStr">
        <is>
          <t>401902545</t>
        </is>
      </c>
      <c r="E158" s="24" t="inlineStr">
        <is>
          <t>MLB</t>
        </is>
      </c>
      <c r="F158" s="24" t="inlineStr">
        <is>
          <t>Atlanta Braves</t>
        </is>
      </c>
      <c r="G158" s="24" t="inlineStr">
        <is>
          <t>New York Mets</t>
        </is>
      </c>
      <c r="H158" s="24" t="inlineStr">
        <is>
          <t>spread</t>
        </is>
      </c>
      <c r="I158" s="24" t="inlineStr">
        <is>
          <t>away</t>
        </is>
      </c>
      <c r="J158" s="25" t="n">
        <v>-1.5</v>
      </c>
      <c r="K158" s="24" t="inlineStr">
        <is>
          <t>polymarket_us</t>
        </is>
      </c>
      <c r="L158" s="26" t="n">
        <v>141</v>
      </c>
      <c r="M158" s="27" t="n">
        <v>2.41</v>
      </c>
      <c r="N158" s="28" t="n">
        <v>0.414938</v>
      </c>
      <c r="O158" s="28" t="n">
        <v>0.52142</v>
      </c>
      <c r="P158" s="28" t="n">
        <v>0.042131</v>
      </c>
      <c r="Q158" s="28" t="n">
        <v>0.106482</v>
      </c>
      <c r="R158" s="26" t="n">
        <v>78</v>
      </c>
      <c r="S158" s="29" t="n">
        <v>0</v>
      </c>
      <c r="T158" s="24" t="inlineStr">
        <is>
          <t>measured-edge-margin-v1</t>
        </is>
      </c>
      <c r="U158" s="24" t="inlineStr">
        <is>
          <t>open</t>
        </is>
      </c>
      <c r="V158" s="24" t="n"/>
      <c r="W158" s="26" t="n"/>
      <c r="X158" s="26" t="n"/>
      <c r="Y158" s="25" t="n"/>
      <c r="Z158" s="26" t="n"/>
      <c r="AA158" s="28" t="n"/>
      <c r="AB158" s="28" t="n"/>
      <c r="AC158" s="30" t="n"/>
      <c r="AD158" s="24" t="n"/>
      <c r="AE158" s="31" t="inlineStr">
        <is>
          <t>Measured Edge Margin: Trend Engine projected 5.12-3.06; raw selected-side p=0.5434, calibrated p=0.5214.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mlb-atl</t>
        </is>
      </c>
      <c r="AQ158" s="24" t="inlineStr">
        <is>
          <t>Atlanta Braves</t>
        </is>
      </c>
      <c r="AR158" s="24" t="inlineStr">
        <is>
          <t>Atlanta Braves</t>
        </is>
      </c>
      <c r="AS158" s="24" t="inlineStr">
        <is>
          <t>mlb-nym</t>
        </is>
      </c>
      <c r="AT158" s="24" t="inlineStr">
        <is>
          <t>New York Mets</t>
        </is>
      </c>
      <c r="AU158" s="24" t="inlineStr">
        <is>
          <t>New York Mets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c05bda6086190b5b398519d3b57b0edba8160090cd5e3c9cb0614cecfbf03f01</t>
        </is>
      </c>
      <c r="BB158" s="24" t="inlineStr">
        <is>
          <t>flat_probability_shrinkage_toward_half</t>
        </is>
      </c>
      <c r="BC158" s="24" t="inlineStr">
        <is>
          <t>measured-edge-margin-v1</t>
        </is>
      </c>
      <c r="BD158" s="24" t="inlineStr">
        <is>
          <t>c05bda6086190b5b398519d3b57b0edba8160090cd5e3c9cb0614cecfbf03f01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2026-07-29T17:44:02.507912Z</t>
        </is>
      </c>
      <c r="BI158" s="24" t="inlineStr">
        <is>
          <t>["same_event","same_team_same_day","same_league_same_day"]</t>
        </is>
      </c>
      <c r="BJ158" s="25" t="n">
        <v>-1.5</v>
      </c>
      <c r="BK158" s="26" t="n">
        <v>141</v>
      </c>
      <c r="BL158" s="27" t="n">
        <v>2.41</v>
      </c>
      <c r="BM158" s="28" t="n">
        <v>0.414938</v>
      </c>
      <c r="BN158" s="28" t="n">
        <v>0.412935</v>
      </c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</row>
    <row r="159" ht="36" customHeight="1">
      <c r="A159" s="24" t="inlineStr">
        <is>
          <t>35b6711d75374b24</t>
        </is>
      </c>
      <c r="B159" s="24" t="inlineStr">
        <is>
          <t>2026-07-29T17:44:02.507912Z</t>
        </is>
      </c>
      <c r="C159" s="24" t="inlineStr">
        <is>
          <t>2026-07-29T23:10Z</t>
        </is>
      </c>
      <c r="D159" s="24" t="inlineStr">
        <is>
          <t>401902545</t>
        </is>
      </c>
      <c r="E159" s="24" t="inlineStr">
        <is>
          <t>MLB</t>
        </is>
      </c>
      <c r="F159" s="24" t="inlineStr">
        <is>
          <t>Atlanta Braves</t>
        </is>
      </c>
      <c r="G159" s="24" t="inlineStr">
        <is>
          <t>New York Mets</t>
        </is>
      </c>
      <c r="H159" s="24" t="inlineStr">
        <is>
          <t>total</t>
        </is>
      </c>
      <c r="I159" s="24" t="inlineStr">
        <is>
          <t>over</t>
        </is>
      </c>
      <c r="J159" s="25" t="n">
        <v>7.5</v>
      </c>
      <c r="K159" s="24" t="inlineStr">
        <is>
          <t>polymarket_us</t>
        </is>
      </c>
      <c r="L159" s="26" t="n">
        <v>133</v>
      </c>
      <c r="M159" s="27" t="n">
        <v>2.33</v>
      </c>
      <c r="N159" s="28" t="n">
        <v>0.429185</v>
      </c>
      <c r="O159" s="28" t="n">
        <v>0.501883</v>
      </c>
      <c r="P159" s="28" t="n">
        <v>0.042131</v>
      </c>
      <c r="Q159" s="28" t="n">
        <v>0.072698</v>
      </c>
      <c r="R159" s="26" t="n">
        <v>61</v>
      </c>
      <c r="S159" s="29" t="n">
        <v>0</v>
      </c>
      <c r="T159" s="24" t="inlineStr">
        <is>
          <t>measured-edge-totals-v1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Measured Edge Totals: Trend Engine projected 5.12-3.06; raw selected-side p=0.5192, calibrated p=0.5019.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mlb-atl</t>
        </is>
      </c>
      <c r="AQ159" s="24" t="inlineStr">
        <is>
          <t>Atlanta Braves</t>
        </is>
      </c>
      <c r="AR159" s="24" t="inlineStr">
        <is>
          <t>Atlanta Braves</t>
        </is>
      </c>
      <c r="AS159" s="24" t="inlineStr">
        <is>
          <t>mlb-nym</t>
        </is>
      </c>
      <c r="AT159" s="24" t="inlineStr">
        <is>
          <t>New York Mets</t>
        </is>
      </c>
      <c r="AU159" s="24" t="inlineStr">
        <is>
          <t>New York Mets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57de3d47944562994a5b1afaec1ed80c7d895d39fce98e14c1dee1a330df60d1</t>
        </is>
      </c>
      <c r="BB159" s="24" t="inlineStr">
        <is>
          <t>flat_probability_shrinkage_toward_half</t>
        </is>
      </c>
      <c r="BC159" s="24" t="inlineStr">
        <is>
          <t>measured-edge-totals-v1</t>
        </is>
      </c>
      <c r="BD159" s="24" t="inlineStr">
        <is>
          <t>57de3d47944562994a5b1afaec1ed80c7d895d39fce98e14c1dee1a330df60d1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2026-07-29T17:44:02.507912Z</t>
        </is>
      </c>
      <c r="BI159" s="24" t="inlineStr">
        <is>
          <t>["same_event","same_team_same_day","same_league_same_day"]</t>
        </is>
      </c>
      <c r="BJ159" s="25" t="n">
        <v>7.5</v>
      </c>
      <c r="BK159" s="26" t="n">
        <v>133</v>
      </c>
      <c r="BL159" s="27" t="n">
        <v>2.33</v>
      </c>
      <c r="BM159" s="28" t="n">
        <v>0.429185</v>
      </c>
      <c r="BN159" s="28" t="n">
        <v>0.427861</v>
      </c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</row>
    <row r="160" ht="36" customHeight="1">
      <c r="A160" s="24" t="inlineStr">
        <is>
          <t>83456450550e45d0</t>
        </is>
      </c>
      <c r="B160" s="24" t="inlineStr">
        <is>
          <t>2026-07-29T17:44:02.507912Z</t>
        </is>
      </c>
      <c r="C160" s="24" t="inlineStr">
        <is>
          <t>2026-07-29T23:40Z</t>
        </is>
      </c>
      <c r="D160" s="24" t="inlineStr">
        <is>
          <t>401816315</t>
        </is>
      </c>
      <c r="E160" s="24" t="inlineStr">
        <is>
          <t>MLB</t>
        </is>
      </c>
      <c r="F160" s="24" t="inlineStr">
        <is>
          <t>Kansas City Royals</t>
        </is>
      </c>
      <c r="G160" s="24" t="inlineStr">
        <is>
          <t>Minnesota Twins</t>
        </is>
      </c>
      <c r="H160" s="24" t="inlineStr">
        <is>
          <t>spread</t>
        </is>
      </c>
      <c r="I160" s="24" t="inlineStr">
        <is>
          <t>away</t>
        </is>
      </c>
      <c r="J160" s="25" t="n">
        <v>1.5</v>
      </c>
      <c r="K160" s="24" t="inlineStr">
        <is>
          <t>polymarket_us</t>
        </is>
      </c>
      <c r="L160" s="26" t="n">
        <v>-117</v>
      </c>
      <c r="M160" s="27" t="n">
        <v>1.854701</v>
      </c>
      <c r="N160" s="28" t="n">
        <v>0.539171</v>
      </c>
      <c r="O160" s="28" t="n">
        <v>0.525146</v>
      </c>
      <c r="P160" s="28" t="n">
        <v>0.05172</v>
      </c>
      <c r="Q160" s="28" t="n">
        <v>-0.014025</v>
      </c>
      <c r="R160" s="26" t="n">
        <v>12</v>
      </c>
      <c r="S160" s="29" t="n">
        <v>0</v>
      </c>
      <c r="T160" s="24" t="inlineStr">
        <is>
          <t>measured-edge-margin-v1</t>
        </is>
      </c>
      <c r="U160" s="24" t="inlineStr">
        <is>
          <t>open</t>
        </is>
      </c>
      <c r="V160" s="24" t="n"/>
      <c r="W160" s="26" t="n"/>
      <c r="X160" s="26" t="n"/>
      <c r="Y160" s="25" t="n"/>
      <c r="Z160" s="26" t="n"/>
      <c r="AA160" s="28" t="n"/>
      <c r="AB160" s="28" t="n"/>
      <c r="AC160" s="30" t="n"/>
      <c r="AD160" s="24" t="n"/>
      <c r="AE160" s="31" t="inlineStr">
        <is>
          <t>Measured Edge Margin: Trend Engine projected 3.05-4.10; raw selected-side p=0.5804, calibrated p=0.5251.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mlb-kc</t>
        </is>
      </c>
      <c r="AQ160" s="24" t="inlineStr">
        <is>
          <t>Kansas City Royals</t>
        </is>
      </c>
      <c r="AR160" s="24" t="inlineStr">
        <is>
          <t>Kansas City Royals</t>
        </is>
      </c>
      <c r="AS160" s="24" t="inlineStr">
        <is>
          <t>mlb-min</t>
        </is>
      </c>
      <c r="AT160" s="24" t="inlineStr">
        <is>
          <t>Minnesota Twins</t>
        </is>
      </c>
      <c r="AU160" s="24" t="inlineStr">
        <is>
          <t>Minnesota Twins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c05bda6086190b5b398519d3b57b0edba8160090cd5e3c9cb0614cecfbf03f01</t>
        </is>
      </c>
      <c r="BB160" s="24" t="inlineStr">
        <is>
          <t>flat_probability_shrinkage_toward_half</t>
        </is>
      </c>
      <c r="BC160" s="24" t="inlineStr">
        <is>
          <t>measured-edge-margin-v1</t>
        </is>
      </c>
      <c r="BD160" s="24" t="inlineStr">
        <is>
          <t>c05bda6086190b5b398519d3b57b0edba8160090cd5e3c9cb0614cecfbf03f01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2026-07-29T17:44:02.507912Z</t>
        </is>
      </c>
      <c r="BI160" s="24" t="inlineStr">
        <is>
          <t>["same_event","same_team_same_day","same_league_same_day"]</t>
        </is>
      </c>
      <c r="BJ160" s="25" t="n">
        <v>1.5</v>
      </c>
      <c r="BK160" s="26" t="n">
        <v>-117</v>
      </c>
      <c r="BL160" s="27" t="n">
        <v>1.854701</v>
      </c>
      <c r="BM160" s="28" t="n">
        <v>0.539171</v>
      </c>
      <c r="BN160" s="28" t="n">
        <v>0.537313</v>
      </c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</row>
    <row r="161" ht="36" customHeight="1">
      <c r="A161" s="24" t="inlineStr">
        <is>
          <t>eec5642710d04001</t>
        </is>
      </c>
      <c r="B161" s="24" t="inlineStr">
        <is>
          <t>2026-07-29T17:44:02.507912Z</t>
        </is>
      </c>
      <c r="C161" s="24" t="inlineStr">
        <is>
          <t>2026-07-29T23:40Z</t>
        </is>
      </c>
      <c r="D161" s="24" t="inlineStr">
        <is>
          <t>401816315</t>
        </is>
      </c>
      <c r="E161" s="24" t="inlineStr">
        <is>
          <t>MLB</t>
        </is>
      </c>
      <c r="F161" s="24" t="inlineStr">
        <is>
          <t>Kansas City Royals</t>
        </is>
      </c>
      <c r="G161" s="24" t="inlineStr">
        <is>
          <t>Minnesota Twins</t>
        </is>
      </c>
      <c r="H161" s="24" t="inlineStr">
        <is>
          <t>total</t>
        </is>
      </c>
      <c r="I161" s="24" t="inlineStr">
        <is>
          <t>under</t>
        </is>
      </c>
      <c r="J161" s="25" t="n">
        <v>8.5</v>
      </c>
      <c r="K161" s="24" t="inlineStr">
        <is>
          <t>polymarket_us</t>
        </is>
      </c>
      <c r="L161" s="26" t="n">
        <v>115</v>
      </c>
      <c r="M161" s="27" t="n">
        <v>2.15</v>
      </c>
      <c r="N161" s="28" t="n">
        <v>0.465116</v>
      </c>
      <c r="O161" s="28" t="n">
        <v>0.516535</v>
      </c>
      <c r="P161" s="28" t="n">
        <v>0.05172</v>
      </c>
      <c r="Q161" s="28" t="n">
        <v>0.051419</v>
      </c>
      <c r="R161" s="26" t="n">
        <v>45</v>
      </c>
      <c r="S161" s="29" t="n">
        <v>0</v>
      </c>
      <c r="T161" s="24" t="inlineStr">
        <is>
          <t>measured-edge-totals-v1</t>
        </is>
      </c>
      <c r="U161" s="24" t="inlineStr">
        <is>
          <t>open</t>
        </is>
      </c>
      <c r="V161" s="24" t="n"/>
      <c r="W161" s="26" t="n"/>
      <c r="X161" s="26" t="n"/>
      <c r="Y161" s="25" t="n"/>
      <c r="Z161" s="26" t="n"/>
      <c r="AA161" s="28" t="n"/>
      <c r="AB161" s="28" t="n"/>
      <c r="AC161" s="30" t="n"/>
      <c r="AD161" s="24" t="n"/>
      <c r="AE161" s="31" t="inlineStr">
        <is>
          <t>Measured Edge Totals: Trend Engine projected 3.05-4.10; raw selected-side p=0.6647, calibrated p=0.5165.</t>
        </is>
      </c>
      <c r="AF161" s="31" t="inlineStr">
        <is>
          <t>Research-only; lineup, bullpen, park, weather, xFIP, and wRC+ may be neutral fallbacks; market availability and BBO depth may change before first pitch.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mlb-kc</t>
        </is>
      </c>
      <c r="AQ161" s="24" t="inlineStr">
        <is>
          <t>Kansas City Royals</t>
        </is>
      </c>
      <c r="AR161" s="24" t="inlineStr">
        <is>
          <t>Kansas City Royals</t>
        </is>
      </c>
      <c r="AS161" s="24" t="inlineStr">
        <is>
          <t>mlb-min</t>
        </is>
      </c>
      <c r="AT161" s="24" t="inlineStr">
        <is>
          <t>Minnesota Twins</t>
        </is>
      </c>
      <c r="AU161" s="24" t="inlineStr">
        <is>
          <t>Minnesota Twins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57de3d47944562994a5b1afaec1ed80c7d895d39fce98e14c1dee1a330df60d1</t>
        </is>
      </c>
      <c r="BB161" s="24" t="inlineStr">
        <is>
          <t>flat_probability_shrinkage_toward_half</t>
        </is>
      </c>
      <c r="BC161" s="24" t="inlineStr">
        <is>
          <t>measured-edge-totals-v1</t>
        </is>
      </c>
      <c r="BD161" s="24" t="inlineStr">
        <is>
          <t>57de3d47944562994a5b1afaec1ed80c7d895d39fce98e14c1dee1a330df60d1</t>
        </is>
      </c>
      <c r="BE161" s="24" t="inlineStr">
        <is>
          <t>v3</t>
        </is>
      </c>
      <c r="BF161" s="24" t="inlineStr">
        <is>
          <t>1</t>
        </is>
      </c>
      <c r="BG161" s="24" t="inlineStr">
        <is>
          <t>measured-edge-paired-v1</t>
        </is>
      </c>
      <c r="BH161" s="24" t="inlineStr">
        <is>
          <t>2026-07-29T17:44:02.507912Z</t>
        </is>
      </c>
      <c r="BI161" s="24" t="inlineStr">
        <is>
          <t>["same_event","same_team_same_day","same_league_same_day"]</t>
        </is>
      </c>
      <c r="BJ161" s="25" t="n">
        <v>8.5</v>
      </c>
      <c r="BK161" s="26" t="n">
        <v>115</v>
      </c>
      <c r="BL161" s="27" t="n">
        <v>2.15</v>
      </c>
      <c r="BM161" s="28" t="n">
        <v>0.465116</v>
      </c>
      <c r="BN161" s="28" t="n">
        <v>0.462687</v>
      </c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</row>
    <row r="162" ht="36" customHeight="1">
      <c r="A162" s="24" t="inlineStr">
        <is>
          <t>d595e8582c8a4477</t>
        </is>
      </c>
      <c r="B162" s="24" t="inlineStr">
        <is>
          <t>2026-07-29T17:44:02.507912Z</t>
        </is>
      </c>
      <c r="C162" s="24" t="inlineStr">
        <is>
          <t>2026-07-29T23:40Z</t>
        </is>
      </c>
      <c r="D162" s="24" t="inlineStr">
        <is>
          <t>401816316</t>
        </is>
      </c>
      <c r="E162" s="24" t="inlineStr">
        <is>
          <t>MLB</t>
        </is>
      </c>
      <c r="F162" s="24" t="inlineStr">
        <is>
          <t>New York Yankees</t>
        </is>
      </c>
      <c r="G162" s="24" t="inlineStr">
        <is>
          <t>Chicago White Sox</t>
        </is>
      </c>
      <c r="H162" s="24" t="inlineStr">
        <is>
          <t>spread</t>
        </is>
      </c>
      <c r="I162" s="24" t="inlineStr">
        <is>
          <t>home</t>
        </is>
      </c>
      <c r="J162" s="25" t="n">
        <v>1.5</v>
      </c>
      <c r="K162" s="24" t="inlineStr">
        <is>
          <t>polymarket_us</t>
        </is>
      </c>
      <c r="L162" s="26" t="n">
        <v>-127</v>
      </c>
      <c r="M162" s="27" t="n">
        <v>1.787402</v>
      </c>
      <c r="N162" s="28" t="n">
        <v>0.5594710000000001</v>
      </c>
      <c r="O162" s="28" t="n">
        <v>0.5421240000000001</v>
      </c>
      <c r="P162" s="28" t="n">
        <v>0.042131</v>
      </c>
      <c r="Q162" s="28" t="n">
        <v>-0.017347</v>
      </c>
      <c r="R162" s="26" t="n">
        <v>16</v>
      </c>
      <c r="S162" s="29" t="n">
        <v>0</v>
      </c>
      <c r="T162" s="24" t="inlineStr">
        <is>
          <t>measured-edge-margin-v1</t>
        </is>
      </c>
      <c r="U162" s="24" t="inlineStr">
        <is>
          <t>open</t>
        </is>
      </c>
      <c r="V162" s="24" t="n"/>
      <c r="W162" s="26" t="n"/>
      <c r="X162" s="26" t="n"/>
      <c r="Y162" s="25" t="n"/>
      <c r="Z162" s="26" t="n"/>
      <c r="AA162" s="28" t="n"/>
      <c r="AB162" s="28" t="n"/>
      <c r="AC162" s="30" t="n"/>
      <c r="AD162" s="24" t="n"/>
      <c r="AE162" s="31" t="inlineStr">
        <is>
          <t>Measured Edge Margin: Trend Engine projected 2.46-2.55; raw selected-side p=0.7490, calibrated p=0.5421.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mlb-nyy</t>
        </is>
      </c>
      <c r="AQ162" s="24" t="inlineStr">
        <is>
          <t>New York Yankees</t>
        </is>
      </c>
      <c r="AR162" s="24" t="inlineStr">
        <is>
          <t>New York Yankees</t>
        </is>
      </c>
      <c r="AS162" s="24" t="inlineStr">
        <is>
          <t>mlb-cws</t>
        </is>
      </c>
      <c r="AT162" s="24" t="inlineStr">
        <is>
          <t>Chicago White Sox</t>
        </is>
      </c>
      <c r="AU162" s="24" t="inlineStr">
        <is>
          <t>Chicago White Sox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c05bda6086190b5b398519d3b57b0edba8160090cd5e3c9cb0614cecfbf03f01</t>
        </is>
      </c>
      <c r="BB162" s="24" t="inlineStr">
        <is>
          <t>flat_probability_shrinkage_toward_half</t>
        </is>
      </c>
      <c r="BC162" s="24" t="inlineStr">
        <is>
          <t>measured-edge-margin-v1</t>
        </is>
      </c>
      <c r="BD162" s="24" t="inlineStr">
        <is>
          <t>c05bda6086190b5b398519d3b57b0edba8160090cd5e3c9cb0614cecfbf03f01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2026-07-29T17:44:02.507912Z</t>
        </is>
      </c>
      <c r="BI162" s="24" t="inlineStr">
        <is>
          <t>["same_event","same_team_same_day","same_league_same_day"]</t>
        </is>
      </c>
      <c r="BJ162" s="25" t="n">
        <v>1.5</v>
      </c>
      <c r="BK162" s="26" t="n">
        <v>-127</v>
      </c>
      <c r="BL162" s="27" t="n">
        <v>1.787402</v>
      </c>
      <c r="BM162" s="28" t="n">
        <v>0.5594710000000001</v>
      </c>
      <c r="BN162" s="28" t="n">
        <v>0.557214</v>
      </c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</row>
    <row r="163" ht="36" customHeight="1">
      <c r="A163" s="24" t="inlineStr">
        <is>
          <t>a83b68ad5dfd4ad7</t>
        </is>
      </c>
      <c r="B163" s="24" t="inlineStr">
        <is>
          <t>2026-07-29T17:44:02.507912Z</t>
        </is>
      </c>
      <c r="C163" s="24" t="inlineStr">
        <is>
          <t>2026-07-29T23:40Z</t>
        </is>
      </c>
      <c r="D163" s="24" t="inlineStr">
        <is>
          <t>401816316</t>
        </is>
      </c>
      <c r="E163" s="24" t="inlineStr">
        <is>
          <t>MLB</t>
        </is>
      </c>
      <c r="F163" s="24" t="inlineStr">
        <is>
          <t>New York Yankees</t>
        </is>
      </c>
      <c r="G163" s="24" t="inlineStr">
        <is>
          <t>Chicago White Sox</t>
        </is>
      </c>
      <c r="H163" s="24" t="inlineStr">
        <is>
          <t>total</t>
        </is>
      </c>
      <c r="I163" s="24" t="inlineStr">
        <is>
          <t>under</t>
        </is>
      </c>
      <c r="J163" s="25" t="n">
        <v>7.5</v>
      </c>
      <c r="K163" s="24" t="inlineStr">
        <is>
          <t>polymarket_us</t>
        </is>
      </c>
      <c r="L163" s="26" t="n">
        <v>100</v>
      </c>
      <c r="M163" s="27" t="n">
        <v>2</v>
      </c>
      <c r="N163" s="28" t="n">
        <v>0.5</v>
      </c>
      <c r="O163" s="28" t="n">
        <v>0.532305</v>
      </c>
      <c r="P163" s="28" t="n">
        <v>0.042131</v>
      </c>
      <c r="Q163" s="28" t="n">
        <v>0.032305</v>
      </c>
      <c r="R163" s="26" t="n">
        <v>41</v>
      </c>
      <c r="S163" s="29" t="n">
        <v>0</v>
      </c>
      <c r="T163" s="24" t="inlineStr">
        <is>
          <t>measured-edge-totals-v1</t>
        </is>
      </c>
      <c r="U163" s="24" t="inlineStr">
        <is>
          <t>open</t>
        </is>
      </c>
      <c r="V163" s="24" t="n"/>
      <c r="W163" s="26" t="n"/>
      <c r="X163" s="26" t="n"/>
      <c r="Y163" s="25" t="n"/>
      <c r="Z163" s="26" t="n"/>
      <c r="AA163" s="28" t="n"/>
      <c r="AB163" s="28" t="n"/>
      <c r="AC163" s="30" t="n"/>
      <c r="AD163" s="24" t="n"/>
      <c r="AE163" s="31" t="inlineStr">
        <is>
          <t>Measured Edge Totals: Trend Engine projected 2.46-2.55; raw selected-side p=0.8213, calibrated p=0.5323.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mlb-nyy</t>
        </is>
      </c>
      <c r="AQ163" s="24" t="inlineStr">
        <is>
          <t>New York Yankees</t>
        </is>
      </c>
      <c r="AR163" s="24" t="inlineStr">
        <is>
          <t>New York Yankees</t>
        </is>
      </c>
      <c r="AS163" s="24" t="inlineStr">
        <is>
          <t>mlb-cws</t>
        </is>
      </c>
      <c r="AT163" s="24" t="inlineStr">
        <is>
          <t>Chicago White Sox</t>
        </is>
      </c>
      <c r="AU163" s="24" t="inlineStr">
        <is>
          <t>Chicago White Sox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57de3d47944562994a5b1afaec1ed80c7d895d39fce98e14c1dee1a330df60d1</t>
        </is>
      </c>
      <c r="BB163" s="24" t="inlineStr">
        <is>
          <t>flat_probability_shrinkage_toward_half</t>
        </is>
      </c>
      <c r="BC163" s="24" t="inlineStr">
        <is>
          <t>measured-edge-totals-v1</t>
        </is>
      </c>
      <c r="BD163" s="24" t="inlineStr">
        <is>
          <t>57de3d47944562994a5b1afaec1ed80c7d895d39fce98e14c1dee1a330df60d1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2026-07-29T17:44:02.507912Z</t>
        </is>
      </c>
      <c r="BI163" s="24" t="inlineStr">
        <is>
          <t>["same_event","same_team_same_day","same_league_same_day"]</t>
        </is>
      </c>
      <c r="BJ163" s="25" t="n">
        <v>7.5</v>
      </c>
      <c r="BK163" s="26" t="n">
        <v>100</v>
      </c>
      <c r="BL163" s="27" t="n">
        <v>2</v>
      </c>
      <c r="BM163" s="28" t="n">
        <v>0.5</v>
      </c>
      <c r="BN163" s="28" t="n">
        <v>0.497512</v>
      </c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</row>
    <row r="164" ht="36" customHeight="1">
      <c r="A164" s="24" t="inlineStr">
        <is>
          <t>2aab26aaaf1848ff</t>
        </is>
      </c>
      <c r="B164" s="24" t="inlineStr">
        <is>
          <t>2026-07-29T17:44:02.507912Z</t>
        </is>
      </c>
      <c r="C164" s="24" t="inlineStr">
        <is>
          <t>2026-07-29T23:45Z</t>
        </is>
      </c>
      <c r="D164" s="24" t="inlineStr">
        <is>
          <t>401816314</t>
        </is>
      </c>
      <c r="E164" s="24" t="inlineStr">
        <is>
          <t>MLB</t>
        </is>
      </c>
      <c r="F164" s="24" t="inlineStr">
        <is>
          <t>Chicago Cubs</t>
        </is>
      </c>
      <c r="G164" s="24" t="inlineStr">
        <is>
          <t>St. Louis Cardinals</t>
        </is>
      </c>
      <c r="H164" s="24" t="inlineStr">
        <is>
          <t>spread</t>
        </is>
      </c>
      <c r="I164" s="24" t="inlineStr">
        <is>
          <t>away</t>
        </is>
      </c>
      <c r="J164" s="25" t="n">
        <v>-1.5</v>
      </c>
      <c r="K164" s="24" t="inlineStr">
        <is>
          <t>polymarket_us</t>
        </is>
      </c>
      <c r="L164" s="26" t="n">
        <v>163</v>
      </c>
      <c r="M164" s="27" t="n">
        <v>2.63</v>
      </c>
      <c r="N164" s="28" t="n">
        <v>0.380228</v>
      </c>
      <c r="O164" s="28" t="n">
        <v>0.53145</v>
      </c>
      <c r="P164" s="28" t="n">
        <v>0.042131</v>
      </c>
      <c r="Q164" s="28" t="n">
        <v>0.151222</v>
      </c>
      <c r="R164" s="26" t="n">
        <v>100</v>
      </c>
      <c r="S164" s="29" t="n">
        <v>0</v>
      </c>
      <c r="T164" s="24" t="inlineStr">
        <is>
          <t>measured-edge-margin-v1</t>
        </is>
      </c>
      <c r="U164" s="24" t="inlineStr">
        <is>
          <t>open</t>
        </is>
      </c>
      <c r="V164" s="24" t="n"/>
      <c r="W164" s="26" t="n"/>
      <c r="X164" s="26" t="n"/>
      <c r="Y164" s="25" t="n"/>
      <c r="Z164" s="26" t="n"/>
      <c r="AA164" s="28" t="n"/>
      <c r="AB164" s="28" t="n"/>
      <c r="AC164" s="30" t="n"/>
      <c r="AD164" s="24" t="n"/>
      <c r="AE164" s="31" t="inlineStr">
        <is>
          <t>Measured Edge Margin: Trend Engine projected 7.10-3.84; raw selected-side p=0.6430, calibrated p=0.5315.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mlb-chc</t>
        </is>
      </c>
      <c r="AQ164" s="24" t="inlineStr">
        <is>
          <t>Chicago Cubs</t>
        </is>
      </c>
      <c r="AR164" s="24" t="inlineStr">
        <is>
          <t>Chicago Cubs</t>
        </is>
      </c>
      <c r="AS164" s="24" t="inlineStr">
        <is>
          <t>mlb-stl</t>
        </is>
      </c>
      <c r="AT164" s="24" t="inlineStr">
        <is>
          <t>St. Louis Cardinals</t>
        </is>
      </c>
      <c r="AU164" s="24" t="inlineStr">
        <is>
          <t>St. Louis Cardinals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c05bda6086190b5b398519d3b57b0edba8160090cd5e3c9cb0614cecfbf03f01</t>
        </is>
      </c>
      <c r="BB164" s="24" t="inlineStr">
        <is>
          <t>flat_probability_shrinkage_toward_half</t>
        </is>
      </c>
      <c r="BC164" s="24" t="inlineStr">
        <is>
          <t>measured-edge-margin-v1</t>
        </is>
      </c>
      <c r="BD164" s="24" t="inlineStr">
        <is>
          <t>c05bda6086190b5b398519d3b57b0edba8160090cd5e3c9cb0614cecfbf03f01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2026-07-29T17:44:02.507912Z</t>
        </is>
      </c>
      <c r="BI164" s="24" t="inlineStr">
        <is>
          <t>["same_event","same_team_same_day","same_league_same_day"]</t>
        </is>
      </c>
      <c r="BJ164" s="25" t="n">
        <v>-1.5</v>
      </c>
      <c r="BK164" s="26" t="n">
        <v>163</v>
      </c>
      <c r="BL164" s="27" t="n">
        <v>2.63</v>
      </c>
      <c r="BM164" s="28" t="n">
        <v>0.380228</v>
      </c>
      <c r="BN164" s="28" t="n">
        <v>0.378109</v>
      </c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</row>
    <row r="165" ht="36" customHeight="1">
      <c r="A165" s="24" t="inlineStr">
        <is>
          <t>15696d1bda0a4f4c</t>
        </is>
      </c>
      <c r="B165" s="24" t="inlineStr">
        <is>
          <t>2026-07-29T17:44:02.507912Z</t>
        </is>
      </c>
      <c r="C165" s="24" t="inlineStr">
        <is>
          <t>2026-07-29T23:45Z</t>
        </is>
      </c>
      <c r="D165" s="24" t="inlineStr">
        <is>
          <t>401816314</t>
        </is>
      </c>
      <c r="E165" s="24" t="inlineStr">
        <is>
          <t>MLB</t>
        </is>
      </c>
      <c r="F165" s="24" t="inlineStr">
        <is>
          <t>Chicago Cubs</t>
        </is>
      </c>
      <c r="G165" s="24" t="inlineStr">
        <is>
          <t>St. Louis Cardinals</t>
        </is>
      </c>
      <c r="H165" s="24" t="inlineStr">
        <is>
          <t>total</t>
        </is>
      </c>
      <c r="I165" s="24" t="inlineStr">
        <is>
          <t>over</t>
        </is>
      </c>
      <c r="J165" s="25" t="n">
        <v>7.5</v>
      </c>
      <c r="K165" s="24" t="inlineStr">
        <is>
          <t>polymarket_us</t>
        </is>
      </c>
      <c r="L165" s="26" t="n">
        <v>-113</v>
      </c>
      <c r="M165" s="27" t="n">
        <v>1.884956</v>
      </c>
      <c r="N165" s="28" t="n">
        <v>0.530516</v>
      </c>
      <c r="O165" s="28" t="n">
        <v>0.52295</v>
      </c>
      <c r="P165" s="28" t="n">
        <v>0.042131</v>
      </c>
      <c r="Q165" s="28" t="n">
        <v>-0.007566</v>
      </c>
      <c r="R165" s="26" t="n">
        <v>21</v>
      </c>
      <c r="S165" s="29" t="n">
        <v>0</v>
      </c>
      <c r="T165" s="24" t="inlineStr">
        <is>
          <t>measured-edge-totals-v1</t>
        </is>
      </c>
      <c r="U165" s="24" t="inlineStr">
        <is>
          <t>open</t>
        </is>
      </c>
      <c r="V165" s="24" t="n"/>
      <c r="W165" s="26" t="n"/>
      <c r="X165" s="26" t="n"/>
      <c r="Y165" s="25" t="n"/>
      <c r="Z165" s="26" t="n"/>
      <c r="AA165" s="28" t="n"/>
      <c r="AB165" s="28" t="n"/>
      <c r="AC165" s="30" t="n"/>
      <c r="AD165" s="24" t="n"/>
      <c r="AE165" s="31" t="inlineStr">
        <is>
          <t>Measured Edge Totals: Trend Engine projected 7.10-3.84; raw selected-side p=0.7284, calibrated p=0.5229.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mlb-chc</t>
        </is>
      </c>
      <c r="AQ165" s="24" t="inlineStr">
        <is>
          <t>Chicago Cubs</t>
        </is>
      </c>
      <c r="AR165" s="24" t="inlineStr">
        <is>
          <t>Chicago Cubs</t>
        </is>
      </c>
      <c r="AS165" s="24" t="inlineStr">
        <is>
          <t>mlb-stl</t>
        </is>
      </c>
      <c r="AT165" s="24" t="inlineStr">
        <is>
          <t>St. Louis Cardinals</t>
        </is>
      </c>
      <c r="AU165" s="24" t="inlineStr">
        <is>
          <t>St. Louis Cardinals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57de3d47944562994a5b1afaec1ed80c7d895d39fce98e14c1dee1a330df60d1</t>
        </is>
      </c>
      <c r="BB165" s="24" t="inlineStr">
        <is>
          <t>flat_probability_shrinkage_toward_half</t>
        </is>
      </c>
      <c r="BC165" s="24" t="inlineStr">
        <is>
          <t>measured-edge-totals-v1</t>
        </is>
      </c>
      <c r="BD165" s="24" t="inlineStr">
        <is>
          <t>57de3d47944562994a5b1afaec1ed80c7d895d39fce98e14c1dee1a330df60d1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2026-07-29T17:44:02.507912Z</t>
        </is>
      </c>
      <c r="BI165" s="24" t="inlineStr">
        <is>
          <t>["same_event","same_team_same_day","same_league_same_day"]</t>
        </is>
      </c>
      <c r="BJ165" s="25" t="n">
        <v>7.5</v>
      </c>
      <c r="BK165" s="26" t="n">
        <v>-113</v>
      </c>
      <c r="BL165" s="27" t="n">
        <v>1.884956</v>
      </c>
      <c r="BM165" s="28" t="n">
        <v>0.530516</v>
      </c>
      <c r="BN165" s="28" t="n">
        <v>0.527363</v>
      </c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</row>
    <row r="166" ht="36" customHeight="1">
      <c r="A166" s="24" t="inlineStr">
        <is>
          <t>45895537fb5b41d8</t>
        </is>
      </c>
      <c r="B166" s="24" t="inlineStr">
        <is>
          <t>2026-07-29T17:44:02.507912Z</t>
        </is>
      </c>
      <c r="C166" s="24" t="inlineStr">
        <is>
          <t>2026-07-30T01:38Z</t>
        </is>
      </c>
      <c r="D166" s="24" t="inlineStr">
        <is>
          <t>401816319</t>
        </is>
      </c>
      <c r="E166" s="24" t="inlineStr">
        <is>
          <t>MLB</t>
        </is>
      </c>
      <c r="F166" s="24" t="inlineStr">
        <is>
          <t>Houston Astros</t>
        </is>
      </c>
      <c r="G166" s="24" t="inlineStr">
        <is>
          <t>Los Angeles Angels</t>
        </is>
      </c>
      <c r="H166" s="24" t="inlineStr">
        <is>
          <t>spread</t>
        </is>
      </c>
      <c r="I166" s="24" t="inlineStr">
        <is>
          <t>away</t>
        </is>
      </c>
      <c r="J166" s="25" t="n">
        <v>-1.5</v>
      </c>
      <c r="K166" s="24" t="inlineStr">
        <is>
          <t>polymarket_us</t>
        </is>
      </c>
      <c r="L166" s="26" t="n">
        <v>125</v>
      </c>
      <c r="M166" s="27" t="n">
        <v>2.25</v>
      </c>
      <c r="N166" s="28" t="n">
        <v>0.444444</v>
      </c>
      <c r="O166" s="28" t="n">
        <v>0.537059</v>
      </c>
      <c r="P166" s="28" t="n">
        <v>0.05172</v>
      </c>
      <c r="Q166" s="28" t="n">
        <v>0.092615</v>
      </c>
      <c r="R166" s="26" t="n">
        <v>65</v>
      </c>
      <c r="S166" s="29" t="n">
        <v>0</v>
      </c>
      <c r="T166" s="24" t="inlineStr">
        <is>
          <t>measured-edge-margin-v1</t>
        </is>
      </c>
      <c r="U166" s="24" t="inlineStr">
        <is>
          <t>open</t>
        </is>
      </c>
      <c r="V166" s="24" t="n"/>
      <c r="W166" s="26" t="n"/>
      <c r="X166" s="26" t="n"/>
      <c r="Y166" s="25" t="n"/>
      <c r="Z166" s="26" t="n"/>
      <c r="AA166" s="28" t="n"/>
      <c r="AB166" s="28" t="n"/>
      <c r="AC166" s="30" t="n"/>
      <c r="AD166" s="24" t="n"/>
      <c r="AE166" s="31" t="inlineStr">
        <is>
          <t>Measured Edge Margin: Trend Engine projected 7.94-3.81; raw selected-side p=0.6987, calibrated p=0.5371.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mlb-hou</t>
        </is>
      </c>
      <c r="AQ166" s="24" t="inlineStr">
        <is>
          <t>Houston Astros</t>
        </is>
      </c>
      <c r="AR166" s="24" t="inlineStr">
        <is>
          <t>Houston Astros</t>
        </is>
      </c>
      <c r="AS166" s="24" t="inlineStr">
        <is>
          <t>mlb-laa</t>
        </is>
      </c>
      <c r="AT166" s="24" t="inlineStr">
        <is>
          <t>Los Angeles Angels</t>
        </is>
      </c>
      <c r="AU166" s="24" t="inlineStr">
        <is>
          <t>Los Angeles Angels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c05bda6086190b5b398519d3b57b0edba8160090cd5e3c9cb0614cecfbf03f01</t>
        </is>
      </c>
      <c r="BB166" s="24" t="inlineStr">
        <is>
          <t>flat_probability_shrinkage_toward_half</t>
        </is>
      </c>
      <c r="BC166" s="24" t="inlineStr">
        <is>
          <t>measured-edge-margin-v1</t>
        </is>
      </c>
      <c r="BD166" s="24" t="inlineStr">
        <is>
          <t>c05bda6086190b5b398519d3b57b0edba8160090cd5e3c9cb0614cecfbf03f01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2026-07-29T17:44:02.507912Z</t>
        </is>
      </c>
      <c r="BI166" s="24" t="inlineStr">
        <is>
          <t>["same_event","same_team_same_day","same_league_same_day"]</t>
        </is>
      </c>
      <c r="BJ166" s="25" t="n">
        <v>-1.5</v>
      </c>
      <c r="BK166" s="26" t="n">
        <v>125</v>
      </c>
      <c r="BL166" s="27" t="n">
        <v>2.25</v>
      </c>
      <c r="BM166" s="28" t="n">
        <v>0.444444</v>
      </c>
      <c r="BN166" s="28" t="n">
        <v>0.442786</v>
      </c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</row>
    <row r="167" ht="36" customHeight="1">
      <c r="A167" s="24" t="inlineStr">
        <is>
          <t>ca4b6bfe47e54013</t>
        </is>
      </c>
      <c r="B167" s="24" t="inlineStr">
        <is>
          <t>2026-07-29T17:44:02.507912Z</t>
        </is>
      </c>
      <c r="C167" s="24" t="inlineStr">
        <is>
          <t>2026-07-30T01:38Z</t>
        </is>
      </c>
      <c r="D167" s="24" t="inlineStr">
        <is>
          <t>401816319</t>
        </is>
      </c>
      <c r="E167" s="24" t="inlineStr">
        <is>
          <t>MLB</t>
        </is>
      </c>
      <c r="F167" s="24" t="inlineStr">
        <is>
          <t>Houston Astros</t>
        </is>
      </c>
      <c r="G167" s="24" t="inlineStr">
        <is>
          <t>Los Angeles Angels</t>
        </is>
      </c>
      <c r="H167" s="24" t="inlineStr">
        <is>
          <t>total</t>
        </is>
      </c>
      <c r="I167" s="24" t="inlineStr">
        <is>
          <t>over</t>
        </is>
      </c>
      <c r="J167" s="25" t="n">
        <v>9.5</v>
      </c>
      <c r="K167" s="24" t="inlineStr">
        <is>
          <t>polymarket_us</t>
        </is>
      </c>
      <c r="L167" s="26" t="n">
        <v>-106</v>
      </c>
      <c r="M167" s="27" t="n">
        <v>1.943396</v>
      </c>
      <c r="N167" s="28" t="n">
        <v>0.514563</v>
      </c>
      <c r="O167" s="28" t="n">
        <v>0.512034</v>
      </c>
      <c r="P167" s="28" t="n">
        <v>0.05172</v>
      </c>
      <c r="Q167" s="28" t="n">
        <v>-0.002529</v>
      </c>
      <c r="R167" s="26" t="n">
        <v>18</v>
      </c>
      <c r="S167" s="29" t="n">
        <v>0</v>
      </c>
      <c r="T167" s="24" t="inlineStr">
        <is>
          <t>measured-edge-totals-v1</t>
        </is>
      </c>
      <c r="U167" s="24" t="inlineStr">
        <is>
          <t>open</t>
        </is>
      </c>
      <c r="V167" s="24" t="n"/>
      <c r="W167" s="26" t="n"/>
      <c r="X167" s="26" t="n"/>
      <c r="Y167" s="25" t="n"/>
      <c r="Z167" s="26" t="n"/>
      <c r="AA167" s="28" t="n"/>
      <c r="AB167" s="28" t="n"/>
      <c r="AC167" s="30" t="n"/>
      <c r="AD167" s="24" t="n"/>
      <c r="AE167" s="31" t="inlineStr">
        <is>
          <t>Measured Edge Totals: Trend Engine projected 7.94-3.81; raw selected-side p=0.6200, calibrated p=0.5120.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mlb-hou</t>
        </is>
      </c>
      <c r="AQ167" s="24" t="inlineStr">
        <is>
          <t>Houston Astros</t>
        </is>
      </c>
      <c r="AR167" s="24" t="inlineStr">
        <is>
          <t>Houston Astros</t>
        </is>
      </c>
      <c r="AS167" s="24" t="inlineStr">
        <is>
          <t>mlb-laa</t>
        </is>
      </c>
      <c r="AT167" s="24" t="inlineStr">
        <is>
          <t>Los Angeles Angels</t>
        </is>
      </c>
      <c r="AU167" s="24" t="inlineStr">
        <is>
          <t>Los Angeles Angels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57de3d47944562994a5b1afaec1ed80c7d895d39fce98e14c1dee1a330df60d1</t>
        </is>
      </c>
      <c r="BB167" s="24" t="inlineStr">
        <is>
          <t>flat_probability_shrinkage_toward_half</t>
        </is>
      </c>
      <c r="BC167" s="24" t="inlineStr">
        <is>
          <t>measured-edge-totals-v1</t>
        </is>
      </c>
      <c r="BD167" s="24" t="inlineStr">
        <is>
          <t>57de3d47944562994a5b1afaec1ed80c7d895d39fce98e14c1dee1a330df60d1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2026-07-29T17:44:02.507912Z</t>
        </is>
      </c>
      <c r="BI167" s="24" t="inlineStr">
        <is>
          <t>["same_event","same_team_same_day","same_league_same_day"]</t>
        </is>
      </c>
      <c r="BJ167" s="25" t="n">
        <v>9.5</v>
      </c>
      <c r="BK167" s="26" t="n">
        <v>-106</v>
      </c>
      <c r="BL167" s="27" t="n">
        <v>1.943396</v>
      </c>
      <c r="BM167" s="28" t="n">
        <v>0.514563</v>
      </c>
      <c r="BN167" s="28" t="n">
        <v>0.5124379999999999</v>
      </c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</row>
    <row r="168" ht="36" customHeight="1">
      <c r="A168" s="24" t="inlineStr">
        <is>
          <t>989039912f594b19</t>
        </is>
      </c>
      <c r="B168" s="24" t="inlineStr">
        <is>
          <t>2026-07-29T17:44:02.507912Z</t>
        </is>
      </c>
      <c r="C168" s="24" t="inlineStr">
        <is>
          <t>2026-07-30T01:40Z</t>
        </is>
      </c>
      <c r="D168" s="24" t="inlineStr">
        <is>
          <t>401816317</t>
        </is>
      </c>
      <c r="E168" s="24" t="inlineStr">
        <is>
          <t>MLB</t>
        </is>
      </c>
      <c r="F168" s="24" t="inlineStr">
        <is>
          <t>Boston Red Sox</t>
        </is>
      </c>
      <c r="G168" s="24" t="inlineStr">
        <is>
          <t>Athletics</t>
        </is>
      </c>
      <c r="H168" s="24" t="inlineStr">
        <is>
          <t>spread</t>
        </is>
      </c>
      <c r="I168" s="24" t="inlineStr">
        <is>
          <t>away</t>
        </is>
      </c>
      <c r="J168" s="25" t="n">
        <v>-1.5</v>
      </c>
      <c r="K168" s="24" t="inlineStr">
        <is>
          <t>polymarket_us</t>
        </is>
      </c>
      <c r="L168" s="26" t="n">
        <v>108</v>
      </c>
      <c r="M168" s="27" t="n">
        <v>2.08</v>
      </c>
      <c r="N168" s="28" t="n">
        <v>0.480769</v>
      </c>
      <c r="O168" s="28" t="n">
        <v>0.56164</v>
      </c>
      <c r="P168" s="28" t="n">
        <v>0.05172</v>
      </c>
      <c r="Q168" s="28" t="n">
        <v>0.080871</v>
      </c>
      <c r="R168" s="26" t="n">
        <v>59</v>
      </c>
      <c r="S168" s="29" t="n">
        <v>0</v>
      </c>
      <c r="T168" s="24" t="inlineStr">
        <is>
          <t>measured-edge-margin-v1</t>
        </is>
      </c>
      <c r="U168" s="24" t="inlineStr">
        <is>
          <t>open</t>
        </is>
      </c>
      <c r="V168" s="24" t="n"/>
      <c r="W168" s="26" t="n"/>
      <c r="X168" s="26" t="n"/>
      <c r="Y168" s="25" t="n"/>
      <c r="Z168" s="26" t="n"/>
      <c r="AA168" s="28" t="n"/>
      <c r="AB168" s="28" t="n"/>
      <c r="AC168" s="30" t="n"/>
      <c r="AD168" s="24" t="n"/>
      <c r="AE168" s="31" t="inlineStr">
        <is>
          <t>Measured Edge Margin: Trend Engine projected 12.99-2.64; raw selected-side p=0.9428, calibrated p=0.5616.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mlb-bos</t>
        </is>
      </c>
      <c r="AQ168" s="24" t="inlineStr">
        <is>
          <t>Boston Red Sox</t>
        </is>
      </c>
      <c r="AR168" s="24" t="inlineStr">
        <is>
          <t>Boston Red Sox</t>
        </is>
      </c>
      <c r="AS168" s="24" t="inlineStr">
        <is>
          <t>mlb-ath</t>
        </is>
      </c>
      <c r="AT168" s="24" t="inlineStr">
        <is>
          <t>Athletics</t>
        </is>
      </c>
      <c r="AU168" s="24" t="inlineStr">
        <is>
          <t>Athletics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c05bda6086190b5b398519d3b57b0edba8160090cd5e3c9cb0614cecfbf03f01</t>
        </is>
      </c>
      <c r="BB168" s="24" t="inlineStr">
        <is>
          <t>flat_probability_shrinkage_toward_half</t>
        </is>
      </c>
      <c r="BC168" s="24" t="inlineStr">
        <is>
          <t>measured-edge-margin-v1</t>
        </is>
      </c>
      <c r="BD168" s="24" t="inlineStr">
        <is>
          <t>c05bda6086190b5b398519d3b57b0edba8160090cd5e3c9cb0614cecfbf03f01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2026-07-29T17:44:02.507912Z</t>
        </is>
      </c>
      <c r="BI168" s="24" t="inlineStr">
        <is>
          <t>["same_event","same_team_same_day","same_league_same_day"]</t>
        </is>
      </c>
      <c r="BJ168" s="25" t="n">
        <v>-1.5</v>
      </c>
      <c r="BK168" s="26" t="n">
        <v>108</v>
      </c>
      <c r="BL168" s="27" t="n">
        <v>2.08</v>
      </c>
      <c r="BM168" s="28" t="n">
        <v>0.480769</v>
      </c>
      <c r="BN168" s="28" t="n">
        <v>0.477612</v>
      </c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</row>
    <row r="169" ht="36" customHeight="1">
      <c r="A169" s="24" t="inlineStr">
        <is>
          <t>63dce3278e144a96</t>
        </is>
      </c>
      <c r="B169" s="24" t="inlineStr">
        <is>
          <t>2026-07-29T17:44:02.507912Z</t>
        </is>
      </c>
      <c r="C169" s="24" t="inlineStr">
        <is>
          <t>2026-07-30T01:40Z</t>
        </is>
      </c>
      <c r="D169" s="24" t="inlineStr">
        <is>
          <t>401816317</t>
        </is>
      </c>
      <c r="E169" s="24" t="inlineStr">
        <is>
          <t>MLB</t>
        </is>
      </c>
      <c r="F169" s="24" t="inlineStr">
        <is>
          <t>Boston Red Sox</t>
        </is>
      </c>
      <c r="G169" s="24" t="inlineStr">
        <is>
          <t>Athletics</t>
        </is>
      </c>
      <c r="H169" s="24" t="inlineStr">
        <is>
          <t>total</t>
        </is>
      </c>
      <c r="I169" s="24" t="inlineStr">
        <is>
          <t>over</t>
        </is>
      </c>
      <c r="J169" s="25" t="n">
        <v>10.5</v>
      </c>
      <c r="K169" s="24" t="inlineStr">
        <is>
          <t>polymarket_us</t>
        </is>
      </c>
      <c r="L169" s="26" t="n">
        <v>100</v>
      </c>
      <c r="M169" s="27" t="n">
        <v>2</v>
      </c>
      <c r="N169" s="28" t="n">
        <v>0.5</v>
      </c>
      <c r="O169" s="28" t="n">
        <v>0.5249740000000001</v>
      </c>
      <c r="P169" s="28" t="n">
        <v>0.05172</v>
      </c>
      <c r="Q169" s="28" t="n">
        <v>0.024974</v>
      </c>
      <c r="R169" s="26" t="n">
        <v>31</v>
      </c>
      <c r="S169" s="29" t="n">
        <v>0</v>
      </c>
      <c r="T169" s="24" t="inlineStr">
        <is>
          <t>measured-edge-totals-v1</t>
        </is>
      </c>
      <c r="U169" s="24" t="inlineStr">
        <is>
          <t>open</t>
        </is>
      </c>
      <c r="V169" s="24" t="n"/>
      <c r="W169" s="26" t="n"/>
      <c r="X169" s="26" t="n"/>
      <c r="Y169" s="25" t="n"/>
      <c r="Z169" s="26" t="n"/>
      <c r="AA169" s="28" t="n"/>
      <c r="AB169" s="28" t="n"/>
      <c r="AC169" s="30" t="n"/>
      <c r="AD169" s="24" t="n"/>
      <c r="AE169" s="31" t="inlineStr">
        <is>
          <t>Measured Edge Totals: Trend Engine projected 12.99-2.64; raw selected-side p=0.7485, calibrated p=0.5250.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mlb-bos</t>
        </is>
      </c>
      <c r="AQ169" s="24" t="inlineStr">
        <is>
          <t>Boston Red Sox</t>
        </is>
      </c>
      <c r="AR169" s="24" t="inlineStr">
        <is>
          <t>Boston Red Sox</t>
        </is>
      </c>
      <c r="AS169" s="24" t="inlineStr">
        <is>
          <t>mlb-ath</t>
        </is>
      </c>
      <c r="AT169" s="24" t="inlineStr">
        <is>
          <t>Athletics</t>
        </is>
      </c>
      <c r="AU169" s="24" t="inlineStr">
        <is>
          <t>Athletics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57de3d47944562994a5b1afaec1ed80c7d895d39fce98e14c1dee1a330df60d1</t>
        </is>
      </c>
      <c r="BB169" s="24" t="inlineStr">
        <is>
          <t>flat_probability_shrinkage_toward_half</t>
        </is>
      </c>
      <c r="BC169" s="24" t="inlineStr">
        <is>
          <t>measured-edge-totals-v1</t>
        </is>
      </c>
      <c r="BD169" s="24" t="inlineStr">
        <is>
          <t>57de3d47944562994a5b1afaec1ed80c7d895d39fce98e14c1dee1a330df60d1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2026-07-29T17:44:02.507912Z</t>
        </is>
      </c>
      <c r="BI169" s="24" t="inlineStr">
        <is>
          <t>["same_event","same_team_same_day","same_league_same_day"]</t>
        </is>
      </c>
      <c r="BJ169" s="25" t="n">
        <v>10.5</v>
      </c>
      <c r="BK169" s="26" t="n">
        <v>100</v>
      </c>
      <c r="BL169" s="27" t="n">
        <v>2</v>
      </c>
      <c r="BM169" s="28" t="n">
        <v>0.5</v>
      </c>
      <c r="BN169" s="28" t="n">
        <v>0.497512</v>
      </c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</row>
    <row r="170" ht="36" customHeight="1">
      <c r="A170" s="24" t="inlineStr">
        <is>
          <t>ef3973b03761488e</t>
        </is>
      </c>
      <c r="B170" s="24" t="inlineStr">
        <is>
          <t>2026-07-29T17:44:02.507912Z</t>
        </is>
      </c>
      <c r="C170" s="24" t="inlineStr">
        <is>
          <t>2026-07-30T02:10Z</t>
        </is>
      </c>
      <c r="D170" s="24" t="inlineStr">
        <is>
          <t>401816321</t>
        </is>
      </c>
      <c r="E170" s="24" t="inlineStr">
        <is>
          <t>MLB</t>
        </is>
      </c>
      <c r="F170" s="24" t="inlineStr">
        <is>
          <t>Seattle Mariners</t>
        </is>
      </c>
      <c r="G170" s="24" t="inlineStr">
        <is>
          <t>Los Angeles Dodgers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-133</v>
      </c>
      <c r="M170" s="27" t="n">
        <v>1.75188</v>
      </c>
      <c r="N170" s="28" t="n">
        <v>0.570815</v>
      </c>
      <c r="O170" s="28" t="n">
        <v>0.545206</v>
      </c>
      <c r="P170" s="28" t="n">
        <v>0.042131</v>
      </c>
      <c r="Q170" s="28" t="n">
        <v>-0.025609</v>
      </c>
      <c r="R170" s="26" t="n">
        <v>12</v>
      </c>
      <c r="S170" s="29" t="n">
        <v>0</v>
      </c>
      <c r="T170" s="24" t="inlineStr">
        <is>
          <t>measured-edge-margin-v1</t>
        </is>
      </c>
      <c r="U170" s="24" t="inlineStr">
        <is>
          <t>open</t>
        </is>
      </c>
      <c r="V170" s="24" t="n"/>
      <c r="W170" s="26" t="n"/>
      <c r="X170" s="26" t="n"/>
      <c r="Y170" s="25" t="n"/>
      <c r="Z170" s="26" t="n"/>
      <c r="AA170" s="28" t="n"/>
      <c r="AB170" s="28" t="n"/>
      <c r="AC170" s="30" t="n"/>
      <c r="AD170" s="24" t="n"/>
      <c r="AE170" s="31" t="inlineStr">
        <is>
          <t>Measured Edge Margin: Trend Engine projected 4.46-3.48; raw selected-side p=0.7796, calibrated p=0.5452.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mlb-sea</t>
        </is>
      </c>
      <c r="AQ170" s="24" t="inlineStr">
        <is>
          <t>Seattle Mariners</t>
        </is>
      </c>
      <c r="AR170" s="24" t="inlineStr">
        <is>
          <t>Seattle Mariners</t>
        </is>
      </c>
      <c r="AS170" s="24" t="inlineStr">
        <is>
          <t>mlb-lad</t>
        </is>
      </c>
      <c r="AT170" s="24" t="inlineStr">
        <is>
          <t>Los Angeles Dodgers</t>
        </is>
      </c>
      <c r="AU170" s="24" t="inlineStr">
        <is>
          <t>Los Angeles Dodgers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c05bda6086190b5b398519d3b57b0edba8160090cd5e3c9cb0614cecfbf03f01</t>
        </is>
      </c>
      <c r="BB170" s="24" t="inlineStr">
        <is>
          <t>flat_probability_shrinkage_toward_half</t>
        </is>
      </c>
      <c r="BC170" s="24" t="inlineStr">
        <is>
          <t>measured-edge-margin-v1</t>
        </is>
      </c>
      <c r="BD170" s="24" t="inlineStr">
        <is>
          <t>c05bda6086190b5b398519d3b57b0edba8160090cd5e3c9cb0614cecfbf03f01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2026-07-29T17:44:02.507912Z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-133</v>
      </c>
      <c r="BL170" s="27" t="n">
        <v>1.75188</v>
      </c>
      <c r="BM170" s="28" t="n">
        <v>0.570815</v>
      </c>
      <c r="BN170" s="28" t="n">
        <v>0.567164</v>
      </c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</row>
    <row r="171" ht="36" customHeight="1">
      <c r="A171" s="24" t="inlineStr">
        <is>
          <t>9a1925c0f61e4364</t>
        </is>
      </c>
      <c r="B171" s="24" t="inlineStr">
        <is>
          <t>2026-07-29T17:44:02.507912Z</t>
        </is>
      </c>
      <c r="C171" s="24" t="inlineStr">
        <is>
          <t>2026-07-30T02:10Z</t>
        </is>
      </c>
      <c r="D171" s="24" t="inlineStr">
        <is>
          <t>401816321</t>
        </is>
      </c>
      <c r="E171" s="24" t="inlineStr">
        <is>
          <t>MLB</t>
        </is>
      </c>
      <c r="F171" s="24" t="inlineStr">
        <is>
          <t>Seattle Mariners</t>
        </is>
      </c>
      <c r="G171" s="24" t="inlineStr">
        <is>
          <t>Los Angeles Dodgers</t>
        </is>
      </c>
      <c r="H171" s="24" t="inlineStr">
        <is>
          <t>total</t>
        </is>
      </c>
      <c r="I171" s="24" t="inlineStr">
        <is>
          <t>under</t>
        </is>
      </c>
      <c r="J171" s="25" t="n">
        <v>9.5</v>
      </c>
      <c r="K171" s="24" t="inlineStr">
        <is>
          <t>polymarket_us</t>
        </is>
      </c>
      <c r="L171" s="26" t="n">
        <v>100</v>
      </c>
      <c r="M171" s="27" t="n">
        <v>2</v>
      </c>
      <c r="N171" s="28" t="n">
        <v>0.5</v>
      </c>
      <c r="O171" s="28" t="n">
        <v>0.519143</v>
      </c>
      <c r="P171" s="28" t="n">
        <v>0.042131</v>
      </c>
      <c r="Q171" s="28" t="n">
        <v>0.019143</v>
      </c>
      <c r="R171" s="26" t="n">
        <v>34</v>
      </c>
      <c r="S171" s="29" t="n">
        <v>0</v>
      </c>
      <c r="T171" s="24" t="inlineStr">
        <is>
          <t>measured-edge-totals-v1</t>
        </is>
      </c>
      <c r="U171" s="24" t="inlineStr">
        <is>
          <t>open</t>
        </is>
      </c>
      <c r="V171" s="24" t="n"/>
      <c r="W171" s="26" t="n"/>
      <c r="X171" s="26" t="n"/>
      <c r="Y171" s="25" t="n"/>
      <c r="Z171" s="26" t="n"/>
      <c r="AA171" s="28" t="n"/>
      <c r="AB171" s="28" t="n"/>
      <c r="AC171" s="30" t="n"/>
      <c r="AD171" s="24" t="n"/>
      <c r="AE171" s="31" t="inlineStr">
        <is>
          <t>Measured Edge Totals: Trend Engine projected 4.46-3.48; raw selected-side p=0.6906, calibrated p=0.5191.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mlb-sea</t>
        </is>
      </c>
      <c r="AQ171" s="24" t="inlineStr">
        <is>
          <t>Seattle Mariners</t>
        </is>
      </c>
      <c r="AR171" s="24" t="inlineStr">
        <is>
          <t>Seattle Mariners</t>
        </is>
      </c>
      <c r="AS171" s="24" t="inlineStr">
        <is>
          <t>mlb-lad</t>
        </is>
      </c>
      <c r="AT171" s="24" t="inlineStr">
        <is>
          <t>Los Angeles Dodgers</t>
        </is>
      </c>
      <c r="AU171" s="24" t="inlineStr">
        <is>
          <t>Los Angeles Dodgers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57de3d47944562994a5b1afaec1ed80c7d895d39fce98e14c1dee1a330df60d1</t>
        </is>
      </c>
      <c r="BB171" s="24" t="inlineStr">
        <is>
          <t>flat_probability_shrinkage_toward_half</t>
        </is>
      </c>
      <c r="BC171" s="24" t="inlineStr">
        <is>
          <t>measured-edge-totals-v1</t>
        </is>
      </c>
      <c r="BD171" s="24" t="inlineStr">
        <is>
          <t>57de3d47944562994a5b1afaec1ed80c7d895d39fce98e14c1dee1a330df60d1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2026-07-29T17:44:02.507912Z</t>
        </is>
      </c>
      <c r="BI171" s="24" t="inlineStr">
        <is>
          <t>["same_event","same_team_same_day","same_league_same_day"]</t>
        </is>
      </c>
      <c r="BJ171" s="25" t="n">
        <v>9.5</v>
      </c>
      <c r="BK171" s="26" t="n">
        <v>100</v>
      </c>
      <c r="BL171" s="27" t="n">
        <v>2</v>
      </c>
      <c r="BM171" s="28" t="n">
        <v>0.5</v>
      </c>
      <c r="BN171" s="28" t="n">
        <v>0.497512</v>
      </c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2026-07-29T17:45:07Z</dcterms:created>
  <dcterms:modified xsi:type="dcterms:W3CDTF">2026-07-29T17:45:07Z</dcterms:modified>
</cp:coreProperties>
</file>