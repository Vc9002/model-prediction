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157" headerRowCount="1">
  <autoFilter ref="A1:CM157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COUNTA('Picks'!$A$2:$A$157)</f>
        <v/>
      </c>
      <c r="C4" s="6">
        <f>COUNTIF('Picks'!$U$2:$U$157,"open")</f>
        <v/>
      </c>
      <c r="E4" s="6">
        <f>COUNTIF('Picks'!$U$2:$U$157,"settled")</f>
        <v/>
      </c>
      <c r="G4" s="6">
        <f>IF(COUNTIFS('Picks'!$U$2:$U$157,"settled",'Picks'!$V$2:$V$157,"win")+COUNTIFS('Picks'!$U$2:$U$157,"settled",'Picks'!$V$2:$V$157,"loss")&gt;=$L$2,"Ready","Insufficient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COUNTIF('Picks'!$BX$2:$BX$157,"&gt;0")</f>
        <v/>
      </c>
      <c r="C7" s="6">
        <f>COUNTIFS('Picks'!$BX$2:$BX$157,"&gt;0",'Picks'!$V$2:$V$157,"win")&amp;"-"&amp;COUNTIFS('Picks'!$BX$2:$BX$157,"&gt;0",'Picks'!$V$2:$V$157,"loss")</f>
        <v/>
      </c>
      <c r="E7" s="7">
        <f>IFERROR(COUNTIFS('Picks'!$BX$2:$BX$157,"&gt;0",'Picks'!$V$2:$V$157,"win")/(COUNTIFS('Picks'!$BX$2:$BX$157,"&gt;0",'Picks'!$V$2:$V$157,"win")+COUNTIFS('Picks'!$BX$2:$BX$157,"&gt;0",'Picks'!$V$2:$V$157,"loss")),0)</f>
        <v/>
      </c>
      <c r="G7" s="7">
        <f>IFERROR(SUM('Picks'!$BY$2:$BY$157)/SUM('Picks'!$BX$2:$BX$157),0)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SUM('Picks'!$BY$2:$BY$157)</f>
        <v/>
      </c>
      <c r="C10" s="9">
        <f>IFERROR(AVERAGEIF('Picks'!$AB$2:$AB$157,"&lt;&gt;",'Picks'!$AB$2:$AB$157),0)</f>
        <v/>
      </c>
      <c r="E10" s="6">
        <f>COUNTIFS('Picks'!$AM$2:$AM$157,"QUALIFIED_SHADOW_CALL",'Picks'!$U$2:$U$157,"settled")</f>
        <v/>
      </c>
      <c r="G10" s="8">
        <f>SUMIFS('Picks'!$AC$2:$AC$157,'Picks'!$AM$2:$AM$157,"QUALIFIED_SHADOW_CALL")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COUNTIFS('Picks'!$H$2:$H$157,$A14,'Picks'!$U$2:$U$157,"settled")</f>
        <v/>
      </c>
      <c r="C14" s="13">
        <f>COUNTIFS('Picks'!$H$2:$H$157,$A14,'Picks'!$U$2:$U$157,"settled",'Picks'!$V$2:$V$157,"win")</f>
        <v/>
      </c>
      <c r="D14" s="13">
        <f>COUNTIFS('Picks'!$H$2:$H$157,$A14,'Picks'!$U$2:$U$157,"settled",'Picks'!$V$2:$V$157,"loss")</f>
        <v/>
      </c>
      <c r="E14" s="14">
        <f>IFERROR(C14/(C14+D14),0)</f>
        <v/>
      </c>
      <c r="F14" s="15">
        <f>SUMIFS('Picks'!$BY$2:$BY$157,'Picks'!$H$2:$H$157,$A14)</f>
        <v/>
      </c>
      <c r="G14" s="16">
        <f>IFERROR(AVERAGEIFS('Picks'!$AB$2:$AB$157,'Picks'!$H$2:$H$157,$A14,'Picks'!$U$2:$U$157,"settled"),0)</f>
        <v/>
      </c>
    </row>
    <row r="15">
      <c r="A15" s="17" t="inlineStr">
        <is>
          <t>spread</t>
        </is>
      </c>
      <c r="B15" s="18">
        <f>COUNTIFS('Picks'!$H$2:$H$157,$A15,'Picks'!$U$2:$U$157,"settled")</f>
        <v/>
      </c>
      <c r="C15" s="18">
        <f>COUNTIFS('Picks'!$H$2:$H$157,$A15,'Picks'!$U$2:$U$157,"settled",'Picks'!$V$2:$V$157,"win")</f>
        <v/>
      </c>
      <c r="D15" s="18">
        <f>COUNTIFS('Picks'!$H$2:$H$157,$A15,'Picks'!$U$2:$U$157,"settled",'Picks'!$V$2:$V$157,"loss")</f>
        <v/>
      </c>
      <c r="E15" s="19">
        <f>IFERROR(C15/(C15+D15),0)</f>
        <v/>
      </c>
      <c r="F15" s="20">
        <f>SUMIFS('Picks'!$BY$2:$BY$157,'Picks'!$H$2:$H$157,$A15)</f>
        <v/>
      </c>
      <c r="G15" s="21">
        <f>IFERROR(AVERAGEIFS('Picks'!$AB$2:$AB$157,'Picks'!$H$2:$H$157,$A15,'Picks'!$U$2:$U$157,"settled"),0)</f>
        <v/>
      </c>
    </row>
    <row r="16">
      <c r="A16" s="12" t="inlineStr">
        <is>
          <t>total</t>
        </is>
      </c>
      <c r="B16" s="13">
        <f>COUNTIFS('Picks'!$H$2:$H$157,$A16,'Picks'!$U$2:$U$157,"settled")</f>
        <v/>
      </c>
      <c r="C16" s="13">
        <f>COUNTIFS('Picks'!$H$2:$H$157,$A16,'Picks'!$U$2:$U$157,"settled",'Picks'!$V$2:$V$157,"win")</f>
        <v/>
      </c>
      <c r="D16" s="13">
        <f>COUNTIFS('Picks'!$H$2:$H$157,$A16,'Picks'!$U$2:$U$157,"settled",'Picks'!$V$2:$V$157,"loss")</f>
        <v/>
      </c>
      <c r="E16" s="14">
        <f>IFERROR(C16/(C16+D16),0)</f>
        <v/>
      </c>
      <c r="F16" s="15">
        <f>SUMIFS('Picks'!$BY$2:$BY$157,'Picks'!$H$2:$H$157,$A16)</f>
        <v/>
      </c>
      <c r="G16" s="16">
        <f>IFERROR(AVERAGEIFS('Picks'!$AB$2:$AB$157,'Picks'!$H$2:$H$157,$A16,'Picks'!$U$2:$U$157,"settled"),0)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18" customHeight="1">
      <c r="A2" s="24" t="inlineStr">
        <is>
          <t>641b2f88aa274ffe</t>
        </is>
      </c>
      <c r="B2" s="24" t="inlineStr">
        <is>
          <t>2026-07-22T22:42:56Z</t>
        </is>
      </c>
      <c r="C2" s="24" t="inlineStr">
        <is>
          <t>2026-07-17T17:35Z</t>
        </is>
      </c>
      <c r="D2" s="24" t="inlineStr">
        <is>
          <t>401872178</t>
        </is>
      </c>
      <c r="E2" s="24" t="inlineStr">
        <is>
          <t>MLB</t>
        </is>
      </c>
      <c r="F2" s="24" t="inlineStr">
        <is>
          <t>Tampa Bay Rays</t>
        </is>
      </c>
      <c r="G2" s="24" t="inlineStr">
        <is>
          <t>Boston Red Sox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-110</v>
      </c>
      <c r="M2" s="27" t="n">
        <v>1.909091</v>
      </c>
      <c r="N2" s="28" t="n">
        <v>0.52381</v>
      </c>
      <c r="O2" s="28" t="n">
        <v>0.493352</v>
      </c>
      <c r="P2" s="28" t="n">
        <v>0.05</v>
      </c>
      <c r="Q2" s="28" t="n">
        <v>-0.030457</v>
      </c>
      <c r="R2" s="26" t="n">
        <v>5</v>
      </c>
      <c r="S2" s="29" t="n">
        <v>0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10</v>
      </c>
      <c r="Y2" s="25" t="n"/>
      <c r="Z2" s="26" t="n">
        <v>-113</v>
      </c>
      <c r="AA2" s="28" t="n">
        <v>0.53</v>
      </c>
      <c r="AB2" s="28" t="n">
        <v>0.006166</v>
      </c>
      <c r="AC2" s="30" t="n">
        <v>0.4545</v>
      </c>
      <c r="AD2" s="24" t="inlineStr">
        <is>
          <t>2026-07-22T23:40:06.393127Z</t>
        </is>
      </c>
      <c r="AE2" s="31" t="n"/>
      <c r="AF2" s="31" t="n"/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RESEARCH_OBSERVATION</t>
        </is>
      </c>
      <c r="AO2" s="24" t="inlineStr">
        <is>
          <t>NO_CALL_MODEL_UNVALIDATED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identity</t>
        </is>
      </c>
      <c r="BC2" s="24" t="inlineStr">
        <is>
          <t>identity-v1</t>
        </is>
      </c>
      <c r="BD2" s="24" t="n"/>
      <c r="BE2" s="24" t="inlineStr">
        <is>
          <t>1</t>
        </is>
      </c>
      <c r="BF2" s="24" t="inlineStr">
        <is>
          <t>1</t>
        </is>
      </c>
      <c r="BG2" s="24" t="n"/>
      <c r="BH2" s="24" t="inlineStr">
        <is>
          <t>2026-07-22T22:42:56Z</t>
        </is>
      </c>
      <c r="BI2" s="24" t="n"/>
      <c r="BJ2" s="25" t="n"/>
      <c r="BK2" s="26" t="n">
        <v>-110</v>
      </c>
      <c r="BL2" s="27" t="n">
        <v>1.909</v>
      </c>
      <c r="BM2" s="28" t="n">
        <v>0.523834</v>
      </c>
      <c r="BN2" s="28" t="n">
        <v>0.523834</v>
      </c>
      <c r="BO2" s="28" t="n">
        <v>0.523834</v>
      </c>
      <c r="BP2" s="25" t="n"/>
      <c r="BQ2" s="27" t="n">
        <v>1.884956</v>
      </c>
      <c r="BR2" s="28" t="n">
        <v>0.53</v>
      </c>
      <c r="BS2" s="28" t="n"/>
      <c r="BT2" s="28" t="n"/>
      <c r="BU2" s="25" t="n"/>
      <c r="BV2" s="29" t="n">
        <v>0.5</v>
      </c>
      <c r="BW2" s="24" t="n"/>
      <c r="BX2" s="30" t="n"/>
      <c r="BY2" s="27" t="n"/>
      <c r="BZ2" s="24" t="n"/>
      <c r="CA2" s="31" t="n"/>
      <c r="CB2" s="24" t="n"/>
      <c r="CC2" s="24" t="inlineStr">
        <is>
          <t>0.565523</t>
        </is>
      </c>
      <c r="CD2" s="24" t="inlineStr">
        <is>
          <t>-0.194017</t>
        </is>
      </c>
      <c r="CE2" s="24" t="inlineStr">
        <is>
          <t>1.04</t>
        </is>
      </c>
      <c r="CF2" s="24" t="inlineStr">
        <is>
          <t>1.007</t>
        </is>
      </c>
      <c r="CG2" s="24" t="inlineStr">
        <is>
          <t>-3.6</t>
        </is>
      </c>
      <c r="CH2" s="24" t="n"/>
      <c r="CI2" s="24" t="n"/>
      <c r="CJ2" s="24" t="n"/>
      <c r="CK2" s="24" t="n"/>
      <c r="CL2" s="24" t="n"/>
      <c r="CM2" s="24" t="n"/>
    </row>
    <row r="3" ht="18" customHeight="1">
      <c r="A3" s="24" t="inlineStr">
        <is>
          <t>969aaf3064a54770</t>
        </is>
      </c>
      <c r="B3" s="24" t="inlineStr">
        <is>
          <t>2026-07-22T22:42:56Z</t>
        </is>
      </c>
      <c r="C3" s="24" t="inlineStr">
        <is>
          <t>2026-07-17T23:05Z</t>
        </is>
      </c>
      <c r="D3" s="24" t="inlineStr">
        <is>
          <t>401816142</t>
        </is>
      </c>
      <c r="E3" s="24" t="inlineStr">
        <is>
          <t>MLB</t>
        </is>
      </c>
      <c r="F3" s="24" t="inlineStr">
        <is>
          <t>Los Angeles Dodgers</t>
        </is>
      </c>
      <c r="G3" s="24" t="inlineStr">
        <is>
          <t>New York Yankees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-110</v>
      </c>
      <c r="M3" s="27" t="n">
        <v>1.909091</v>
      </c>
      <c r="N3" s="28" t="n">
        <v>0.52381</v>
      </c>
      <c r="O3" s="28" t="n">
        <v>0.415907</v>
      </c>
      <c r="P3" s="28" t="n">
        <v>0.05</v>
      </c>
      <c r="Q3" s="28" t="n">
        <v>-0.107902</v>
      </c>
      <c r="R3" s="26" t="n">
        <v>0</v>
      </c>
      <c r="S3" s="29" t="n">
        <v>0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1</v>
      </c>
      <c r="Y3" s="25" t="n"/>
      <c r="Z3" s="26" t="n">
        <v>-106</v>
      </c>
      <c r="AA3" s="28" t="n">
        <v>0.515</v>
      </c>
      <c r="AB3" s="28" t="n">
        <v>-0.008834</v>
      </c>
      <c r="AC3" s="30" t="n">
        <v>0.4545</v>
      </c>
      <c r="AD3" s="24" t="inlineStr">
        <is>
          <t>2026-07-22T23:40:07.081394Z</t>
        </is>
      </c>
      <c r="AE3" s="31" t="n"/>
      <c r="AF3" s="31" t="n"/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RESEARCH_OBSERVATION</t>
        </is>
      </c>
      <c r="AO3" s="24" t="inlineStr">
        <is>
          <t>NO_CALL_MODEL_UNVALIDATED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identity</t>
        </is>
      </c>
      <c r="BC3" s="24" t="inlineStr">
        <is>
          <t>identity-v1</t>
        </is>
      </c>
      <c r="BD3" s="24" t="n"/>
      <c r="BE3" s="24" t="inlineStr">
        <is>
          <t>1</t>
        </is>
      </c>
      <c r="BF3" s="24" t="inlineStr">
        <is>
          <t>1</t>
        </is>
      </c>
      <c r="BG3" s="24" t="n"/>
      <c r="BH3" s="24" t="inlineStr">
        <is>
          <t>2026-07-22T22:42:56Z</t>
        </is>
      </c>
      <c r="BI3" s="24" t="n"/>
      <c r="BJ3" s="25" t="n"/>
      <c r="BK3" s="26" t="n">
        <v>-110</v>
      </c>
      <c r="BL3" s="27" t="n">
        <v>1.909</v>
      </c>
      <c r="BM3" s="28" t="n">
        <v>0.523834</v>
      </c>
      <c r="BN3" s="28" t="n">
        <v>0.523834</v>
      </c>
      <c r="BO3" s="28" t="n">
        <v>0.523834</v>
      </c>
      <c r="BP3" s="25" t="n"/>
      <c r="BQ3" s="27" t="n">
        <v>1.943396</v>
      </c>
      <c r="BR3" s="28" t="n">
        <v>0.515</v>
      </c>
      <c r="BS3" s="28" t="n"/>
      <c r="BT3" s="28" t="n"/>
      <c r="BU3" s="25" t="n"/>
      <c r="BV3" s="29" t="n">
        <v>0.5</v>
      </c>
      <c r="BW3" s="24" t="n"/>
      <c r="BX3" s="30" t="n"/>
      <c r="BY3" s="27" t="n"/>
      <c r="BZ3" s="24" t="n"/>
      <c r="CA3" s="31" t="n"/>
      <c r="CB3" s="24" t="n"/>
      <c r="CC3" s="24" t="inlineStr">
        <is>
          <t>0.486595</t>
        </is>
      </c>
      <c r="CD3" s="24" t="inlineStr">
        <is>
          <t>1.310583</t>
        </is>
      </c>
      <c r="CE3" s="24" t="inlineStr">
        <is>
          <t>0.99</t>
        </is>
      </c>
      <c r="CF3" s="24" t="inlineStr">
        <is>
          <t>1.025</t>
        </is>
      </c>
      <c r="CG3" s="24" t="inlineStr">
        <is>
          <t>-3.0</t>
        </is>
      </c>
      <c r="CH3" s="24" t="n"/>
      <c r="CI3" s="24" t="n"/>
      <c r="CJ3" s="24" t="n"/>
      <c r="CK3" s="24" t="n"/>
      <c r="CL3" s="24" t="n"/>
      <c r="CM3" s="24" t="n"/>
    </row>
    <row r="4" ht="18" customHeight="1">
      <c r="A4" s="24" t="inlineStr">
        <is>
          <t>6fda83ee05254cdf</t>
        </is>
      </c>
      <c r="B4" s="24" t="inlineStr">
        <is>
          <t>2026-07-22T22:42:56Z</t>
        </is>
      </c>
      <c r="C4" s="24" t="inlineStr">
        <is>
          <t>2026-07-17T23:10Z</t>
        </is>
      </c>
      <c r="D4" s="24" t="inlineStr">
        <is>
          <t>401816144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-110</v>
      </c>
      <c r="M4" s="27" t="n">
        <v>1.909091</v>
      </c>
      <c r="N4" s="28" t="n">
        <v>0.52381</v>
      </c>
      <c r="O4" s="28" t="n">
        <v>0.563038</v>
      </c>
      <c r="P4" s="28" t="n">
        <v>0.05</v>
      </c>
      <c r="Q4" s="28" t="n">
        <v>0.039229</v>
      </c>
      <c r="R4" s="26" t="n">
        <v>40</v>
      </c>
      <c r="S4" s="29" t="n">
        <v>0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>
        <v>-110</v>
      </c>
      <c r="AA4" s="28" t="n">
        <v>0.523834</v>
      </c>
      <c r="AB4" s="28" t="n"/>
      <c r="AC4" s="30" t="n">
        <v>-0.65</v>
      </c>
      <c r="AD4" s="24" t="inlineStr">
        <is>
          <t>2026-07-23T00:01:14Z</t>
        </is>
      </c>
      <c r="AE4" s="31" t="n"/>
      <c r="AF4" s="31" t="n"/>
      <c r="AG4" s="24" t="n"/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RESEARCH_OBSERVATION</t>
        </is>
      </c>
      <c r="AO4" s="24" t="inlineStr">
        <is>
          <t>NO_CALL_MODEL_UNVALIDATED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identity</t>
        </is>
      </c>
      <c r="BC4" s="24" t="inlineStr">
        <is>
          <t>identity-v1</t>
        </is>
      </c>
      <c r="BD4" s="24" t="n"/>
      <c r="BE4" s="24" t="inlineStr">
        <is>
          <t>1</t>
        </is>
      </c>
      <c r="BF4" s="24" t="inlineStr">
        <is>
          <t>1</t>
        </is>
      </c>
      <c r="BG4" s="24" t="n"/>
      <c r="BH4" s="24" t="inlineStr">
        <is>
          <t>2026-07-22T22:42:56Z</t>
        </is>
      </c>
      <c r="BI4" s="24" t="n"/>
      <c r="BJ4" s="25" t="n"/>
      <c r="BK4" s="26" t="n">
        <v>-110</v>
      </c>
      <c r="BL4" s="27" t="n">
        <v>1.909</v>
      </c>
      <c r="BM4" s="28" t="n">
        <v>0.523834</v>
      </c>
      <c r="BN4" s="28" t="n">
        <v>0.523834</v>
      </c>
      <c r="BO4" s="28" t="n">
        <v>0.523834</v>
      </c>
      <c r="BP4" s="25" t="n"/>
      <c r="BQ4" s="27" t="n">
        <v>1.909</v>
      </c>
      <c r="BR4" s="28" t="n"/>
      <c r="BS4" s="28" t="n"/>
      <c r="BT4" s="28" t="n"/>
      <c r="BU4" s="25" t="n"/>
      <c r="BV4" s="29" t="n">
        <v>0.65</v>
      </c>
      <c r="BW4" s="24" t="n"/>
      <c r="BX4" s="30" t="n"/>
      <c r="BY4" s="27" t="n"/>
      <c r="BZ4" s="24" t="n"/>
      <c r="CA4" s="31" t="n"/>
      <c r="CB4" s="24" t="n"/>
      <c r="CC4" s="24" t="inlineStr">
        <is>
          <t>0.548901</t>
        </is>
      </c>
      <c r="CD4" s="24" t="inlineStr">
        <is>
          <t>-2.309671</t>
        </is>
      </c>
      <c r="CE4" s="24" t="inlineStr">
        <is>
          <t>0.97</t>
        </is>
      </c>
      <c r="CF4" s="24" t="inlineStr">
        <is>
          <t>0.9986</t>
        </is>
      </c>
      <c r="CG4" s="24" t="inlineStr">
        <is>
          <t>-2.6</t>
        </is>
      </c>
      <c r="CH4" s="24" t="n"/>
      <c r="CI4" s="24" t="n"/>
      <c r="CJ4" s="24" t="n"/>
      <c r="CK4" s="24" t="n"/>
      <c r="CL4" s="24" t="n"/>
      <c r="CM4" s="24" t="n"/>
    </row>
    <row r="5" ht="18" customHeight="1">
      <c r="A5" s="24" t="inlineStr">
        <is>
          <t>1b86d69a63184c7b</t>
        </is>
      </c>
      <c r="B5" s="24" t="inlineStr">
        <is>
          <t>2026-07-22T22:42:56Z</t>
        </is>
      </c>
      <c r="C5" s="24" t="inlineStr">
        <is>
          <t>2026-07-17T23:10Z</t>
        </is>
      </c>
      <c r="D5" s="24" t="inlineStr">
        <is>
          <t>401816145</t>
        </is>
      </c>
      <c r="E5" s="24" t="inlineStr">
        <is>
          <t>MLB</t>
        </is>
      </c>
      <c r="F5" s="24" t="inlineStr">
        <is>
          <t>Tampa Bay Rays</t>
        </is>
      </c>
      <c r="G5" s="24" t="inlineStr">
        <is>
          <t>Boston Red Sox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-110</v>
      </c>
      <c r="M5" s="27" t="n">
        <v>1.909091</v>
      </c>
      <c r="N5" s="28" t="n">
        <v>0.52381</v>
      </c>
      <c r="O5" s="28" t="n">
        <v>0.493352</v>
      </c>
      <c r="P5" s="28" t="n">
        <v>0.05</v>
      </c>
      <c r="Q5" s="28" t="n">
        <v>-0.030457</v>
      </c>
      <c r="R5" s="26" t="n">
        <v>5</v>
      </c>
      <c r="S5" s="29" t="n">
        <v>0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5</v>
      </c>
      <c r="Y5" s="25" t="n"/>
      <c r="Z5" s="26" t="n">
        <v>-110</v>
      </c>
      <c r="AA5" s="28" t="n">
        <v>0.523834</v>
      </c>
      <c r="AB5" s="28" t="n"/>
      <c r="AC5" s="30" t="n">
        <v>0.4545</v>
      </c>
      <c r="AD5" s="24" t="inlineStr">
        <is>
          <t>2026-07-22T23:44:22Z</t>
        </is>
      </c>
      <c r="AE5" s="31" t="n"/>
      <c r="AF5" s="31" t="n"/>
      <c r="AG5" s="24" t="n"/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RESEARCH_OBSERVATION</t>
        </is>
      </c>
      <c r="AO5" s="24" t="inlineStr">
        <is>
          <t>NO_CALL_MODEL_UNVALIDATED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identity</t>
        </is>
      </c>
      <c r="BC5" s="24" t="inlineStr">
        <is>
          <t>identity-v1</t>
        </is>
      </c>
      <c r="BD5" s="24" t="n"/>
      <c r="BE5" s="24" t="inlineStr">
        <is>
          <t>1</t>
        </is>
      </c>
      <c r="BF5" s="24" t="inlineStr">
        <is>
          <t>1</t>
        </is>
      </c>
      <c r="BG5" s="24" t="n"/>
      <c r="BH5" s="24" t="inlineStr">
        <is>
          <t>2026-07-22T22:42:56Z</t>
        </is>
      </c>
      <c r="BI5" s="24" t="n"/>
      <c r="BJ5" s="25" t="n"/>
      <c r="BK5" s="26" t="n">
        <v>-110</v>
      </c>
      <c r="BL5" s="27" t="n">
        <v>1.909</v>
      </c>
      <c r="BM5" s="28" t="n">
        <v>0.523834</v>
      </c>
      <c r="BN5" s="28" t="n">
        <v>0.523834</v>
      </c>
      <c r="BO5" s="28" t="n">
        <v>0.523834</v>
      </c>
      <c r="BP5" s="25" t="n"/>
      <c r="BQ5" s="27" t="n">
        <v>1.909</v>
      </c>
      <c r="BR5" s="28" t="n"/>
      <c r="BS5" s="28" t="n"/>
      <c r="BT5" s="28" t="n"/>
      <c r="BU5" s="25" t="n"/>
      <c r="BV5" s="29" t="n">
        <v>0.5</v>
      </c>
      <c r="BW5" s="24" t="n"/>
      <c r="BX5" s="30" t="n"/>
      <c r="BY5" s="27" t="n"/>
      <c r="BZ5" s="24" t="n"/>
      <c r="CA5" s="31" t="n"/>
      <c r="CB5" s="24" t="n"/>
      <c r="CC5" s="24" t="inlineStr">
        <is>
          <t>0.565523</t>
        </is>
      </c>
      <c r="CD5" s="24" t="inlineStr">
        <is>
          <t>-0.194017</t>
        </is>
      </c>
      <c r="CE5" s="24" t="inlineStr">
        <is>
          <t>1.04</t>
        </is>
      </c>
      <c r="CF5" s="24" t="inlineStr">
        <is>
          <t>1.007</t>
        </is>
      </c>
      <c r="CG5" s="24" t="inlineStr">
        <is>
          <t>-3.6</t>
        </is>
      </c>
      <c r="CH5" s="24" t="n"/>
      <c r="CI5" s="24" t="n"/>
      <c r="CJ5" s="24" t="n"/>
      <c r="CK5" s="24" t="n"/>
      <c r="CL5" s="24" t="n"/>
      <c r="CM5" s="24" t="n"/>
    </row>
    <row r="6" ht="18" customHeight="1">
      <c r="A6" s="24" t="inlineStr">
        <is>
          <t>0db9f178a2b04ff3</t>
        </is>
      </c>
      <c r="B6" s="24" t="inlineStr">
        <is>
          <t>2026-07-22T22:42:56Z</t>
        </is>
      </c>
      <c r="C6" s="24" t="inlineStr">
        <is>
          <t>2026-07-17T23:15Z</t>
        </is>
      </c>
      <c r="D6" s="24" t="inlineStr">
        <is>
          <t>401816141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-110</v>
      </c>
      <c r="M6" s="27" t="n">
        <v>1.909091</v>
      </c>
      <c r="N6" s="28" t="n">
        <v>0.52381</v>
      </c>
      <c r="O6" s="28" t="n">
        <v>0.566207</v>
      </c>
      <c r="P6" s="28" t="n">
        <v>0.05</v>
      </c>
      <c r="Q6" s="28" t="n">
        <v>0.042397</v>
      </c>
      <c r="R6" s="26" t="n">
        <v>41</v>
      </c>
      <c r="S6" s="29" t="n">
        <v>0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loss</t>
        </is>
      </c>
      <c r="W6" s="26" t="n">
        <v>12</v>
      </c>
      <c r="X6" s="26" t="n">
        <v>4</v>
      </c>
      <c r="Y6" s="25" t="n"/>
      <c r="Z6" s="26" t="n">
        <v>-110</v>
      </c>
      <c r="AA6" s="28" t="n">
        <v>0.523834</v>
      </c>
      <c r="AB6" s="28" t="n"/>
      <c r="AC6" s="30" t="n">
        <v>-0.75</v>
      </c>
      <c r="AD6" s="24" t="inlineStr">
        <is>
          <t>2026-07-22T23:44:22Z</t>
        </is>
      </c>
      <c r="AE6" s="31" t="n"/>
      <c r="AF6" s="31" t="n"/>
      <c r="AG6" s="24" t="n"/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RESEARCH_OBSERVATION</t>
        </is>
      </c>
      <c r="AO6" s="24" t="inlineStr">
        <is>
          <t>NO_CALL_MODEL_UNVALIDATED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identity</t>
        </is>
      </c>
      <c r="BC6" s="24" t="inlineStr">
        <is>
          <t>identity-v1</t>
        </is>
      </c>
      <c r="BD6" s="24" t="n"/>
      <c r="BE6" s="24" t="inlineStr">
        <is>
          <t>1</t>
        </is>
      </c>
      <c r="BF6" s="24" t="inlineStr">
        <is>
          <t>1</t>
        </is>
      </c>
      <c r="BG6" s="24" t="n"/>
      <c r="BH6" s="24" t="inlineStr">
        <is>
          <t>2026-07-22T22:42:56Z</t>
        </is>
      </c>
      <c r="BI6" s="24" t="n"/>
      <c r="BJ6" s="25" t="n"/>
      <c r="BK6" s="26" t="n">
        <v>-110</v>
      </c>
      <c r="BL6" s="27" t="n">
        <v>1.909</v>
      </c>
      <c r="BM6" s="28" t="n">
        <v>0.523834</v>
      </c>
      <c r="BN6" s="28" t="n">
        <v>0.523834</v>
      </c>
      <c r="BO6" s="28" t="n">
        <v>0.523834</v>
      </c>
      <c r="BP6" s="25" t="n"/>
      <c r="BQ6" s="27" t="n">
        <v>1.909</v>
      </c>
      <c r="BR6" s="28" t="n"/>
      <c r="BS6" s="28" t="n"/>
      <c r="BT6" s="28" t="n"/>
      <c r="BU6" s="25" t="n"/>
      <c r="BV6" s="29" t="n">
        <v>0.75</v>
      </c>
      <c r="BW6" s="24" t="n"/>
      <c r="BX6" s="30" t="n"/>
      <c r="BY6" s="27" t="n"/>
      <c r="BZ6" s="24" t="n"/>
      <c r="CA6" s="31" t="n"/>
      <c r="CB6" s="24" t="n"/>
      <c r="CC6" s="24" t="inlineStr">
        <is>
          <t>0.564953</t>
        </is>
      </c>
      <c r="CD6" s="24" t="inlineStr">
        <is>
          <t>1.105074</t>
        </is>
      </c>
      <c r="CE6" s="24" t="inlineStr">
        <is>
          <t>1.0</t>
        </is>
      </c>
      <c r="CF6" s="24" t="inlineStr">
        <is>
          <t>1.0</t>
        </is>
      </c>
      <c r="CG6" s="24" t="inlineStr">
        <is>
          <t>2.0</t>
        </is>
      </c>
      <c r="CH6" s="24" t="n"/>
      <c r="CI6" s="24" t="n"/>
      <c r="CJ6" s="24" t="n"/>
      <c r="CK6" s="24" t="n"/>
      <c r="CL6" s="24" t="n"/>
      <c r="CM6" s="24" t="n"/>
    </row>
    <row r="7" ht="18" customHeight="1">
      <c r="A7" s="24" t="inlineStr">
        <is>
          <t>034445c0046a4832</t>
        </is>
      </c>
      <c r="B7" s="24" t="inlineStr">
        <is>
          <t>2026-07-22T22:42:56Z</t>
        </is>
      </c>
      <c r="C7" s="24" t="inlineStr">
        <is>
          <t>2026-07-17T23:15Z</t>
        </is>
      </c>
      <c r="D7" s="24" t="inlineStr">
        <is>
          <t>401816146</t>
        </is>
      </c>
      <c r="E7" s="24" t="inlineStr">
        <is>
          <t>MLB</t>
        </is>
      </c>
      <c r="F7" s="24" t="inlineStr">
        <is>
          <t>Texas Rangers</t>
        </is>
      </c>
      <c r="G7" s="24" t="inlineStr">
        <is>
          <t>Atlanta Braves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-110</v>
      </c>
      <c r="M7" s="27" t="n">
        <v>1.909091</v>
      </c>
      <c r="N7" s="28" t="n">
        <v>0.52381</v>
      </c>
      <c r="O7" s="28" t="n">
        <v>0.517571</v>
      </c>
      <c r="P7" s="28" t="n">
        <v>0.05</v>
      </c>
      <c r="Q7" s="28" t="n">
        <v>-0.006238</v>
      </c>
      <c r="R7" s="26" t="n">
        <v>17</v>
      </c>
      <c r="S7" s="29" t="n">
        <v>0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15</v>
      </c>
      <c r="Y7" s="25" t="n"/>
      <c r="Z7" s="26" t="n">
        <v>-110</v>
      </c>
      <c r="AA7" s="28" t="n">
        <v>0.523834</v>
      </c>
      <c r="AB7" s="28" t="n"/>
      <c r="AC7" s="30" t="n">
        <v>0.5181</v>
      </c>
      <c r="AD7" s="24" t="inlineStr">
        <is>
          <t>2026-07-22T23:44:22Z</t>
        </is>
      </c>
      <c r="AE7" s="31" t="n"/>
      <c r="AF7" s="31" t="n"/>
      <c r="AG7" s="24" t="n"/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RESEARCH_OBSERVATION</t>
        </is>
      </c>
      <c r="AO7" s="24" t="inlineStr">
        <is>
          <t>NO_CALL_MODEL_UNVALIDATED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identity</t>
        </is>
      </c>
      <c r="BC7" s="24" t="inlineStr">
        <is>
          <t>identity-v1</t>
        </is>
      </c>
      <c r="BD7" s="24" t="n"/>
      <c r="BE7" s="24" t="inlineStr">
        <is>
          <t>1</t>
        </is>
      </c>
      <c r="BF7" s="24" t="inlineStr">
        <is>
          <t>1</t>
        </is>
      </c>
      <c r="BG7" s="24" t="n"/>
      <c r="BH7" s="24" t="inlineStr">
        <is>
          <t>2026-07-22T22:42:56Z</t>
        </is>
      </c>
      <c r="BI7" s="24" t="n"/>
      <c r="BJ7" s="25" t="n"/>
      <c r="BK7" s="26" t="n">
        <v>-110</v>
      </c>
      <c r="BL7" s="27" t="n">
        <v>1.909</v>
      </c>
      <c r="BM7" s="28" t="n">
        <v>0.523834</v>
      </c>
      <c r="BN7" s="28" t="n">
        <v>0.523834</v>
      </c>
      <c r="BO7" s="28" t="n">
        <v>0.523834</v>
      </c>
      <c r="BP7" s="25" t="n"/>
      <c r="BQ7" s="27" t="n">
        <v>1.909</v>
      </c>
      <c r="BR7" s="28" t="n"/>
      <c r="BS7" s="28" t="n"/>
      <c r="BT7" s="28" t="n"/>
      <c r="BU7" s="25" t="n"/>
      <c r="BV7" s="29" t="n">
        <v>0.57</v>
      </c>
      <c r="BW7" s="24" t="n"/>
      <c r="BX7" s="30" t="n"/>
      <c r="BY7" s="27" t="n"/>
      <c r="BZ7" s="24" t="n"/>
      <c r="CA7" s="31" t="n"/>
      <c r="CB7" s="24" t="n"/>
      <c r="CC7" s="24" t="inlineStr">
        <is>
          <t>0.58358</t>
        </is>
      </c>
      <c r="CD7" s="24" t="inlineStr">
        <is>
          <t>-0.868271</t>
        </is>
      </c>
      <c r="CE7" s="24" t="inlineStr">
        <is>
          <t>1.01</t>
        </is>
      </c>
      <c r="CF7" s="24" t="inlineStr">
        <is>
          <t>1.0175</t>
        </is>
      </c>
      <c r="CG7" s="24" t="inlineStr">
        <is>
          <t>-4.4</t>
        </is>
      </c>
      <c r="CH7" s="24" t="n"/>
      <c r="CI7" s="24" t="n"/>
      <c r="CJ7" s="24" t="n"/>
      <c r="CK7" s="24" t="n"/>
      <c r="CL7" s="24" t="n"/>
      <c r="CM7" s="24" t="n"/>
    </row>
    <row r="8" ht="18" customHeight="1">
      <c r="A8" s="24" t="inlineStr">
        <is>
          <t>d07a5f0e9b154f8d</t>
        </is>
      </c>
      <c r="B8" s="24" t="inlineStr">
        <is>
          <t>2026-07-22T22:42:56Z</t>
        </is>
      </c>
      <c r="C8" s="24" t="inlineStr">
        <is>
          <t>2026-07-17T23:40Z</t>
        </is>
      </c>
      <c r="D8" s="24" t="inlineStr">
        <is>
          <t>401816148</t>
        </is>
      </c>
      <c r="E8" s="24" t="inlineStr">
        <is>
          <t>MLB</t>
        </is>
      </c>
      <c r="F8" s="24" t="inlineStr">
        <is>
          <t>Miami Marlins</t>
        </is>
      </c>
      <c r="G8" s="24" t="inlineStr">
        <is>
          <t>Milwaukee Brewers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-110</v>
      </c>
      <c r="M8" s="27" t="n">
        <v>1.909091</v>
      </c>
      <c r="N8" s="28" t="n">
        <v>0.52381</v>
      </c>
      <c r="O8" s="28" t="n">
        <v>0.661872</v>
      </c>
      <c r="P8" s="28" t="n">
        <v>0.05</v>
      </c>
      <c r="Q8" s="28" t="n">
        <v>0.138062</v>
      </c>
      <c r="R8" s="26" t="n">
        <v>89</v>
      </c>
      <c r="S8" s="29" t="n">
        <v>0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2</v>
      </c>
      <c r="Y8" s="25" t="n"/>
      <c r="Z8" s="26" t="n">
        <v>-110</v>
      </c>
      <c r="AA8" s="28" t="n">
        <v>0.523834</v>
      </c>
      <c r="AB8" s="28" t="n"/>
      <c r="AC8" s="30" t="n">
        <v>1.818</v>
      </c>
      <c r="AD8" s="24" t="inlineStr">
        <is>
          <t>2026-07-22T23:44:22Z</t>
        </is>
      </c>
      <c r="AE8" s="31" t="n"/>
      <c r="AF8" s="31" t="n"/>
      <c r="AG8" s="24" t="n"/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RESEARCH_OBSERVATION</t>
        </is>
      </c>
      <c r="AO8" s="24" t="inlineStr">
        <is>
          <t>NO_CALL_MODEL_UNVALIDATED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identity</t>
        </is>
      </c>
      <c r="BC8" s="24" t="inlineStr">
        <is>
          <t>identity-v1</t>
        </is>
      </c>
      <c r="BD8" s="24" t="n"/>
      <c r="BE8" s="24" t="inlineStr">
        <is>
          <t>1</t>
        </is>
      </c>
      <c r="BF8" s="24" t="inlineStr">
        <is>
          <t>1</t>
        </is>
      </c>
      <c r="BG8" s="24" t="n"/>
      <c r="BH8" s="24" t="inlineStr">
        <is>
          <t>2026-07-22T22:42:56Z</t>
        </is>
      </c>
      <c r="BI8" s="24" t="n"/>
      <c r="BJ8" s="25" t="n"/>
      <c r="BK8" s="26" t="n">
        <v>-110</v>
      </c>
      <c r="BL8" s="27" t="n">
        <v>1.909</v>
      </c>
      <c r="BM8" s="28" t="n">
        <v>0.523834</v>
      </c>
      <c r="BN8" s="28" t="n">
        <v>0.523834</v>
      </c>
      <c r="BO8" s="28" t="n">
        <v>0.523834</v>
      </c>
      <c r="BP8" s="25" t="n"/>
      <c r="BQ8" s="27" t="n">
        <v>1.909</v>
      </c>
      <c r="BR8" s="28" t="n"/>
      <c r="BS8" s="28" t="n"/>
      <c r="BT8" s="28" t="n"/>
      <c r="BU8" s="25" t="n"/>
      <c r="BV8" s="29" t="n">
        <v>2</v>
      </c>
      <c r="BW8" s="24" t="n"/>
      <c r="BX8" s="30" t="n"/>
      <c r="BY8" s="27" t="n"/>
      <c r="BZ8" s="24" t="n"/>
      <c r="CA8" s="31" t="n"/>
      <c r="CB8" s="24" t="n"/>
      <c r="CC8" s="24" t="inlineStr">
        <is>
          <t>0.632316</t>
        </is>
      </c>
      <c r="CD8" s="24" t="inlineStr">
        <is>
          <t>0.356445</t>
        </is>
      </c>
      <c r="CE8" s="24" t="inlineStr">
        <is>
          <t>0.98</t>
        </is>
      </c>
      <c r="CF8" s="24" t="inlineStr">
        <is>
          <t>1.0</t>
        </is>
      </c>
      <c r="CG8" s="24" t="inlineStr">
        <is>
          <t>3.4</t>
        </is>
      </c>
      <c r="CH8" s="24" t="n"/>
      <c r="CI8" s="24" t="n"/>
      <c r="CJ8" s="24" t="n"/>
      <c r="CK8" s="24" t="n"/>
      <c r="CL8" s="24" t="n"/>
      <c r="CM8" s="24" t="n"/>
    </row>
    <row r="9" ht="18" customHeight="1">
      <c r="A9" s="24" t="inlineStr">
        <is>
          <t>a6259349bcc1408c</t>
        </is>
      </c>
      <c r="B9" s="24" t="inlineStr">
        <is>
          <t>2026-07-22T22:42:56Z</t>
        </is>
      </c>
      <c r="C9" s="24" t="inlineStr">
        <is>
          <t>2026-07-18T00:05Z</t>
        </is>
      </c>
      <c r="D9" s="24" t="inlineStr">
        <is>
          <t>401816149</t>
        </is>
      </c>
      <c r="E9" s="24" t="inlineStr">
        <is>
          <t>MLB</t>
        </is>
      </c>
      <c r="F9" s="24" t="inlineStr">
        <is>
          <t>Minnesota Twins</t>
        </is>
      </c>
      <c r="G9" s="24" t="inlineStr">
        <is>
          <t>Chicago Cubs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-110</v>
      </c>
      <c r="M9" s="27" t="n">
        <v>1.909091</v>
      </c>
      <c r="N9" s="28" t="n">
        <v>0.52381</v>
      </c>
      <c r="O9" s="28" t="n">
        <v>0.597579</v>
      </c>
      <c r="P9" s="28" t="n">
        <v>0.05</v>
      </c>
      <c r="Q9" s="28" t="n">
        <v>0.073769</v>
      </c>
      <c r="R9" s="26" t="n">
        <v>57</v>
      </c>
      <c r="S9" s="29" t="n">
        <v>0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6</v>
      </c>
      <c r="Y9" s="25" t="n"/>
      <c r="Z9" s="26" t="n">
        <v>-110</v>
      </c>
      <c r="AA9" s="28" t="n">
        <v>0.523834</v>
      </c>
      <c r="AB9" s="28" t="n"/>
      <c r="AC9" s="30" t="n">
        <v>1.4453</v>
      </c>
      <c r="AD9" s="24" t="inlineStr">
        <is>
          <t>2026-07-22T23:44:22Z</t>
        </is>
      </c>
      <c r="AE9" s="31" t="n"/>
      <c r="AF9" s="31" t="n"/>
      <c r="AG9" s="24" t="n"/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RESEARCH_OBSERVATION</t>
        </is>
      </c>
      <c r="AO9" s="24" t="inlineStr">
        <is>
          <t>NO_CALL_MODEL_UNVALIDATED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identity</t>
        </is>
      </c>
      <c r="BC9" s="24" t="inlineStr">
        <is>
          <t>identity-v1</t>
        </is>
      </c>
      <c r="BD9" s="24" t="n"/>
      <c r="BE9" s="24" t="inlineStr">
        <is>
          <t>1</t>
        </is>
      </c>
      <c r="BF9" s="24" t="inlineStr">
        <is>
          <t>1</t>
        </is>
      </c>
      <c r="BG9" s="24" t="n"/>
      <c r="BH9" s="24" t="inlineStr">
        <is>
          <t>2026-07-22T22:42:56Z</t>
        </is>
      </c>
      <c r="BI9" s="24" t="n"/>
      <c r="BJ9" s="25" t="n"/>
      <c r="BK9" s="26" t="n">
        <v>-110</v>
      </c>
      <c r="BL9" s="27" t="n">
        <v>1.909</v>
      </c>
      <c r="BM9" s="28" t="n">
        <v>0.523834</v>
      </c>
      <c r="BN9" s="28" t="n">
        <v>0.523834</v>
      </c>
      <c r="BO9" s="28" t="n">
        <v>0.523834</v>
      </c>
      <c r="BP9" s="25" t="n"/>
      <c r="BQ9" s="27" t="n">
        <v>1.909</v>
      </c>
      <c r="BR9" s="28" t="n"/>
      <c r="BS9" s="28" t="n"/>
      <c r="BT9" s="28" t="n"/>
      <c r="BU9" s="25" t="n"/>
      <c r="BV9" s="29" t="n">
        <v>1.59</v>
      </c>
      <c r="BW9" s="24" t="n"/>
      <c r="BX9" s="30" t="n"/>
      <c r="BY9" s="27" t="n"/>
      <c r="BZ9" s="24" t="n"/>
      <c r="CA9" s="31" t="n"/>
      <c r="CB9" s="24" t="n"/>
      <c r="CC9" s="24" t="inlineStr">
        <is>
          <t>0.624392</t>
        </is>
      </c>
      <c r="CD9" s="24" t="inlineStr">
        <is>
          <t>0.696168</t>
        </is>
      </c>
      <c r="CE9" s="24" t="inlineStr">
        <is>
          <t>1.0</t>
        </is>
      </c>
      <c r="CF9" s="24" t="inlineStr">
        <is>
          <t>1.0004</t>
        </is>
      </c>
      <c r="CG9" s="24" t="inlineStr">
        <is>
          <t>0.4</t>
        </is>
      </c>
      <c r="CH9" s="24" t="n"/>
      <c r="CI9" s="24" t="n"/>
      <c r="CJ9" s="24" t="n"/>
      <c r="CK9" s="24" t="n"/>
      <c r="CL9" s="24" t="n"/>
      <c r="CM9" s="24" t="n"/>
    </row>
    <row r="10" ht="18" customHeight="1">
      <c r="A10" s="24" t="inlineStr">
        <is>
          <t>52aad41daeea4ca5</t>
        </is>
      </c>
      <c r="B10" s="24" t="inlineStr">
        <is>
          <t>2026-07-22T22:42:56Z</t>
        </is>
      </c>
      <c r="C10" s="24" t="inlineStr">
        <is>
          <t>2026-07-18T00:10Z</t>
        </is>
      </c>
      <c r="D10" s="24" t="inlineStr">
        <is>
          <t>401816147</t>
        </is>
      </c>
      <c r="E10" s="24" t="inlineStr">
        <is>
          <t>MLB</t>
        </is>
      </c>
      <c r="F10" s="24" t="inlineStr">
        <is>
          <t>Baltimore Orioles</t>
        </is>
      </c>
      <c r="G10" s="24" t="inlineStr">
        <is>
          <t>Houston Astros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-110</v>
      </c>
      <c r="M10" s="27" t="n">
        <v>1.909091</v>
      </c>
      <c r="N10" s="28" t="n">
        <v>0.52381</v>
      </c>
      <c r="O10" s="28" t="n">
        <v>0.557637</v>
      </c>
      <c r="P10" s="28" t="n">
        <v>0.05</v>
      </c>
      <c r="Q10" s="28" t="n">
        <v>0.033827</v>
      </c>
      <c r="R10" s="26" t="n">
        <v>37</v>
      </c>
      <c r="S10" s="29" t="n">
        <v>0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loss</t>
        </is>
      </c>
      <c r="W10" s="26" t="n">
        <v>4</v>
      </c>
      <c r="X10" s="26" t="n">
        <v>2</v>
      </c>
      <c r="Y10" s="25" t="n"/>
      <c r="Z10" s="26" t="n">
        <v>-110</v>
      </c>
      <c r="AA10" s="28" t="n">
        <v>0.523834</v>
      </c>
      <c r="AB10" s="28" t="n"/>
      <c r="AC10" s="30" t="n">
        <v>-0.5</v>
      </c>
      <c r="AD10" s="24" t="inlineStr">
        <is>
          <t>2026-07-22T23:44:22Z</t>
        </is>
      </c>
      <c r="AE10" s="31" t="n"/>
      <c r="AF10" s="31" t="n"/>
      <c r="AG10" s="24" t="n"/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RESEARCH_OBSERVATION</t>
        </is>
      </c>
      <c r="AO10" s="24" t="inlineStr">
        <is>
          <t>NO_CALL_MODEL_UNVALIDATED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identity</t>
        </is>
      </c>
      <c r="BC10" s="24" t="inlineStr">
        <is>
          <t>identity-v1</t>
        </is>
      </c>
      <c r="BD10" s="24" t="n"/>
      <c r="BE10" s="24" t="inlineStr">
        <is>
          <t>1</t>
        </is>
      </c>
      <c r="BF10" s="24" t="inlineStr">
        <is>
          <t>1</t>
        </is>
      </c>
      <c r="BG10" s="24" t="n"/>
      <c r="BH10" s="24" t="inlineStr">
        <is>
          <t>2026-07-22T22:42:56Z</t>
        </is>
      </c>
      <c r="BI10" s="24" t="n"/>
      <c r="BJ10" s="25" t="n"/>
      <c r="BK10" s="26" t="n">
        <v>-110</v>
      </c>
      <c r="BL10" s="27" t="n">
        <v>1.909</v>
      </c>
      <c r="BM10" s="28" t="n">
        <v>0.523834</v>
      </c>
      <c r="BN10" s="28" t="n">
        <v>0.523834</v>
      </c>
      <c r="BO10" s="28" t="n">
        <v>0.523834</v>
      </c>
      <c r="BP10" s="25" t="n"/>
      <c r="BQ10" s="27" t="n">
        <v>1.909</v>
      </c>
      <c r="BR10" s="28" t="n"/>
      <c r="BS10" s="28" t="n"/>
      <c r="BT10" s="28" t="n"/>
      <c r="BU10" s="25" t="n"/>
      <c r="BV10" s="29" t="n">
        <v>0.5</v>
      </c>
      <c r="BW10" s="24" t="n"/>
      <c r="BX10" s="30" t="n"/>
      <c r="BY10" s="27" t="n"/>
      <c r="BZ10" s="24" t="n"/>
      <c r="CA10" s="31" t="n"/>
      <c r="CB10" s="24" t="n"/>
      <c r="CC10" s="24" t="inlineStr">
        <is>
          <t>0.523362</t>
        </is>
      </c>
      <c r="CD10" s="24" t="inlineStr">
        <is>
          <t>-0.025676</t>
        </is>
      </c>
      <c r="CE10" s="24" t="inlineStr">
        <is>
          <t>1.0</t>
        </is>
      </c>
      <c r="CF10" s="24" t="inlineStr">
        <is>
          <t>1.0</t>
        </is>
      </c>
      <c r="CG10" s="24" t="inlineStr">
        <is>
          <t>2.0</t>
        </is>
      </c>
      <c r="CH10" s="24" t="n"/>
      <c r="CI10" s="24" t="n"/>
      <c r="CJ10" s="24" t="n"/>
      <c r="CK10" s="24" t="n"/>
      <c r="CL10" s="24" t="n"/>
      <c r="CM10" s="24" t="n"/>
    </row>
    <row r="11" ht="18" customHeight="1">
      <c r="A11" s="24" t="inlineStr">
        <is>
          <t>45ddabc86e8d4a32</t>
        </is>
      </c>
      <c r="B11" s="24" t="inlineStr">
        <is>
          <t>2026-07-22T22:42:56Z</t>
        </is>
      </c>
      <c r="C11" s="24" t="inlineStr">
        <is>
          <t>2026-07-18T00:10Z</t>
        </is>
      </c>
      <c r="D11" s="24" t="inlineStr">
        <is>
          <t>401816150</t>
        </is>
      </c>
      <c r="E11" s="24" t="inlineStr">
        <is>
          <t>MLB</t>
        </is>
      </c>
      <c r="F11" s="24" t="inlineStr">
        <is>
          <t>San Diego Padres</t>
        </is>
      </c>
      <c r="G11" s="24" t="inlineStr">
        <is>
          <t>Kansas City Royals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-110</v>
      </c>
      <c r="M11" s="27" t="n">
        <v>1.909091</v>
      </c>
      <c r="N11" s="28" t="n">
        <v>0.52381</v>
      </c>
      <c r="O11" s="28" t="n">
        <v>0.527076</v>
      </c>
      <c r="P11" s="28" t="n">
        <v>0.05</v>
      </c>
      <c r="Q11" s="28" t="n">
        <v>0.003267</v>
      </c>
      <c r="R11" s="26" t="n">
        <v>22</v>
      </c>
      <c r="S11" s="29" t="n">
        <v>0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loss</t>
        </is>
      </c>
      <c r="W11" s="26" t="n">
        <v>6</v>
      </c>
      <c r="X11" s="26" t="n">
        <v>7</v>
      </c>
      <c r="Y11" s="25" t="n"/>
      <c r="Z11" s="26" t="n">
        <v>100</v>
      </c>
      <c r="AA11" s="28" t="n">
        <v>0.5</v>
      </c>
      <c r="AB11" s="28" t="n">
        <v>-0.023834</v>
      </c>
      <c r="AC11" s="30" t="n">
        <v>0</v>
      </c>
      <c r="AD11" s="24" t="inlineStr">
        <is>
          <t>2026-07-22T23:40:08.923818Z</t>
        </is>
      </c>
      <c r="AE11" s="31" t="n"/>
      <c r="AF11" s="31" t="n"/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RESEARCH_OBSERVATION</t>
        </is>
      </c>
      <c r="AO11" s="24" t="inlineStr">
        <is>
          <t>NO_CALL_MODEL_UNVALIDATED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identity</t>
        </is>
      </c>
      <c r="BC11" s="24" t="inlineStr">
        <is>
          <t>identity-v1</t>
        </is>
      </c>
      <c r="BD11" s="24" t="n"/>
      <c r="BE11" s="24" t="inlineStr">
        <is>
          <t>1</t>
        </is>
      </c>
      <c r="BF11" s="24" t="inlineStr">
        <is>
          <t>1</t>
        </is>
      </c>
      <c r="BG11" s="24" t="n"/>
      <c r="BH11" s="24" t="inlineStr">
        <is>
          <t>2026-07-22T22:42:56Z</t>
        </is>
      </c>
      <c r="BI11" s="24" t="n"/>
      <c r="BJ11" s="25" t="n"/>
      <c r="BK11" s="26" t="n">
        <v>-110</v>
      </c>
      <c r="BL11" s="27" t="n">
        <v>1.909</v>
      </c>
      <c r="BM11" s="28" t="n">
        <v>0.523834</v>
      </c>
      <c r="BN11" s="28" t="n">
        <v>0.523834</v>
      </c>
      <c r="BO11" s="28" t="n">
        <v>0.523834</v>
      </c>
      <c r="BP11" s="25" t="n"/>
      <c r="BQ11" s="27" t="n">
        <v>2</v>
      </c>
      <c r="BR11" s="28" t="n">
        <v>0.5</v>
      </c>
      <c r="BS11" s="28" t="n"/>
      <c r="BT11" s="28" t="n"/>
      <c r="BU11" s="25" t="n"/>
      <c r="BV11" s="29" t="n">
        <v>0.5</v>
      </c>
      <c r="BW11" s="24" t="n"/>
      <c r="BX11" s="30" t="n"/>
      <c r="BY11" s="27" t="n"/>
      <c r="BZ11" s="24" t="n"/>
      <c r="CA11" s="31" t="n"/>
      <c r="CB11" s="24" t="n"/>
      <c r="CC11" s="24" t="inlineStr">
        <is>
          <t>0.468431</t>
        </is>
      </c>
      <c r="CD11" s="24" t="inlineStr">
        <is>
          <t>-1.203555</t>
        </is>
      </c>
      <c r="CE11" s="24" t="inlineStr">
        <is>
          <t>1.03</t>
        </is>
      </c>
      <c r="CF11" s="24" t="inlineStr">
        <is>
          <t>1.0116</t>
        </is>
      </c>
      <c r="CG11" s="24" t="inlineStr">
        <is>
          <t>1.8</t>
        </is>
      </c>
      <c r="CH11" s="24" t="n"/>
      <c r="CI11" s="24" t="n"/>
      <c r="CJ11" s="24" t="n"/>
      <c r="CK11" s="24" t="n"/>
      <c r="CL11" s="24" t="n"/>
      <c r="CM11" s="24" t="n"/>
    </row>
    <row r="12" ht="18" customHeight="1">
      <c r="A12" s="24" t="inlineStr">
        <is>
          <t>1c2dbc0836a94aac</t>
        </is>
      </c>
      <c r="B12" s="24" t="inlineStr">
        <is>
          <t>2026-07-22T22:42:56Z</t>
        </is>
      </c>
      <c r="C12" s="24" t="inlineStr">
        <is>
          <t>2026-07-18T00:40Z</t>
        </is>
      </c>
      <c r="D12" s="24" t="inlineStr">
        <is>
          <t>401816151</t>
        </is>
      </c>
      <c r="E12" s="24" t="inlineStr">
        <is>
          <t>MLB</t>
        </is>
      </c>
      <c r="F12" s="24" t="inlineStr">
        <is>
          <t>Cincinnati Reds</t>
        </is>
      </c>
      <c r="G12" s="24" t="inlineStr">
        <is>
          <t>Colorado Rockies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-110</v>
      </c>
      <c r="M12" s="27" t="n">
        <v>1.909091</v>
      </c>
      <c r="N12" s="28" t="n">
        <v>0.52381</v>
      </c>
      <c r="O12" s="28" t="n">
        <v>0.441733</v>
      </c>
      <c r="P12" s="28" t="n">
        <v>0.05</v>
      </c>
      <c r="Q12" s="28" t="n">
        <v>-0.082076</v>
      </c>
      <c r="R12" s="26" t="n">
        <v>0</v>
      </c>
      <c r="S12" s="29" t="n">
        <v>0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loss</t>
        </is>
      </c>
      <c r="W12" s="26" t="n">
        <v>3</v>
      </c>
      <c r="X12" s="26" t="n">
        <v>10</v>
      </c>
      <c r="Y12" s="25" t="n"/>
      <c r="Z12" s="26" t="n">
        <v>-110</v>
      </c>
      <c r="AA12" s="28" t="n">
        <v>0.523834</v>
      </c>
      <c r="AB12" s="28" t="n"/>
      <c r="AC12" s="30" t="n">
        <v>-1.12</v>
      </c>
      <c r="AD12" s="24" t="inlineStr">
        <is>
          <t>2026-07-22T23:44:22Z</t>
        </is>
      </c>
      <c r="AE12" s="31" t="n"/>
      <c r="AF12" s="31" t="n"/>
      <c r="AG12" s="24" t="n"/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RESEARCH_OBSERVATION</t>
        </is>
      </c>
      <c r="AO12" s="24" t="inlineStr">
        <is>
          <t>NO_CALL_MODEL_UNVALIDATED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identity</t>
        </is>
      </c>
      <c r="BC12" s="24" t="inlineStr">
        <is>
          <t>identity-v1</t>
        </is>
      </c>
      <c r="BD12" s="24" t="n"/>
      <c r="BE12" s="24" t="inlineStr">
        <is>
          <t>1</t>
        </is>
      </c>
      <c r="BF12" s="24" t="inlineStr">
        <is>
          <t>1</t>
        </is>
      </c>
      <c r="BG12" s="24" t="n"/>
      <c r="BH12" s="24" t="inlineStr">
        <is>
          <t>2026-07-22T22:42:56Z</t>
        </is>
      </c>
      <c r="BI12" s="24" t="n"/>
      <c r="BJ12" s="25" t="n"/>
      <c r="BK12" s="26" t="n">
        <v>-110</v>
      </c>
      <c r="BL12" s="27" t="n">
        <v>1.909</v>
      </c>
      <c r="BM12" s="28" t="n">
        <v>0.523834</v>
      </c>
      <c r="BN12" s="28" t="n">
        <v>0.523834</v>
      </c>
      <c r="BO12" s="28" t="n">
        <v>0.523834</v>
      </c>
      <c r="BP12" s="25" t="n"/>
      <c r="BQ12" s="27" t="n">
        <v>1.909</v>
      </c>
      <c r="BR12" s="28" t="n"/>
      <c r="BS12" s="28" t="n"/>
      <c r="BT12" s="28" t="n"/>
      <c r="BU12" s="25" t="n"/>
      <c r="BV12" s="29" t="n">
        <v>1.12</v>
      </c>
      <c r="BW12" s="24" t="n"/>
      <c r="BX12" s="30" t="n"/>
      <c r="BY12" s="27" t="n"/>
      <c r="BZ12" s="24" t="n"/>
      <c r="CA12" s="31" t="n"/>
      <c r="CB12" s="24" t="n"/>
      <c r="CC12" s="24" t="inlineStr">
        <is>
          <t>0.423418</t>
        </is>
      </c>
      <c r="CD12" s="24" t="inlineStr">
        <is>
          <t>-1.026105</t>
        </is>
      </c>
      <c r="CE12" s="24" t="inlineStr">
        <is>
          <t>1.12</t>
        </is>
      </c>
      <c r="CF12" s="24" t="inlineStr">
        <is>
          <t>1.022</t>
        </is>
      </c>
      <c r="CG12" s="24" t="inlineStr">
        <is>
          <t>0.6</t>
        </is>
      </c>
      <c r="CH12" s="24" t="n"/>
      <c r="CI12" s="24" t="n"/>
      <c r="CJ12" s="24" t="n"/>
      <c r="CK12" s="24" t="n"/>
      <c r="CL12" s="24" t="n"/>
      <c r="CM12" s="24" t="n"/>
    </row>
    <row r="13" ht="18" customHeight="1">
      <c r="A13" s="24" t="inlineStr">
        <is>
          <t>4fde6df2a1504353</t>
        </is>
      </c>
      <c r="B13" s="24" t="inlineStr">
        <is>
          <t>2026-07-22T22:42:56Z</t>
        </is>
      </c>
      <c r="C13" s="24" t="inlineStr">
        <is>
          <t>2026-07-18T01:38Z</t>
        </is>
      </c>
      <c r="D13" s="24" t="inlineStr">
        <is>
          <t>401816152</t>
        </is>
      </c>
      <c r="E13" s="24" t="inlineStr">
        <is>
          <t>MLB</t>
        </is>
      </c>
      <c r="F13" s="24" t="inlineStr">
        <is>
          <t>Detroit Tigers</t>
        </is>
      </c>
      <c r="G13" s="24" t="inlineStr">
        <is>
          <t>Los Angeles Angels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-110</v>
      </c>
      <c r="M13" s="27" t="n">
        <v>1.909091</v>
      </c>
      <c r="N13" s="28" t="n">
        <v>0.52381</v>
      </c>
      <c r="O13" s="28" t="n">
        <v>0.471425</v>
      </c>
      <c r="P13" s="28" t="n">
        <v>0.05</v>
      </c>
      <c r="Q13" s="28" t="n">
        <v>-0.052385</v>
      </c>
      <c r="R13" s="26" t="n">
        <v>0</v>
      </c>
      <c r="S13" s="29" t="n">
        <v>0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win</t>
        </is>
      </c>
      <c r="W13" s="26" t="n">
        <v>7</v>
      </c>
      <c r="X13" s="26" t="n">
        <v>0</v>
      </c>
      <c r="Y13" s="25" t="n"/>
      <c r="Z13" s="26" t="n">
        <v>-110</v>
      </c>
      <c r="AA13" s="28" t="n">
        <v>0.523834</v>
      </c>
      <c r="AB13" s="28" t="n"/>
      <c r="AC13" s="30" t="n">
        <v>0.4545</v>
      </c>
      <c r="AD13" s="24" t="inlineStr">
        <is>
          <t>2026-07-22T23:44:22Z</t>
        </is>
      </c>
      <c r="AE13" s="31" t="n"/>
      <c r="AF13" s="31" t="n"/>
      <c r="AG13" s="24" t="n"/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RESEARCH_OBSERVATION</t>
        </is>
      </c>
      <c r="AO13" s="24" t="inlineStr">
        <is>
          <t>NO_CALL_MODEL_UNVALIDATED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identity</t>
        </is>
      </c>
      <c r="BC13" s="24" t="inlineStr">
        <is>
          <t>identity-v1</t>
        </is>
      </c>
      <c r="BD13" s="24" t="n"/>
      <c r="BE13" s="24" t="inlineStr">
        <is>
          <t>1</t>
        </is>
      </c>
      <c r="BF13" s="24" t="inlineStr">
        <is>
          <t>1</t>
        </is>
      </c>
      <c r="BG13" s="24" t="n"/>
      <c r="BH13" s="24" t="inlineStr">
        <is>
          <t>2026-07-22T22:42:56Z</t>
        </is>
      </c>
      <c r="BI13" s="24" t="n"/>
      <c r="BJ13" s="25" t="n"/>
      <c r="BK13" s="26" t="n">
        <v>-110</v>
      </c>
      <c r="BL13" s="27" t="n">
        <v>1.909</v>
      </c>
      <c r="BM13" s="28" t="n">
        <v>0.523834</v>
      </c>
      <c r="BN13" s="28" t="n">
        <v>0.523834</v>
      </c>
      <c r="BO13" s="28" t="n">
        <v>0.523834</v>
      </c>
      <c r="BP13" s="25" t="n"/>
      <c r="BQ13" s="27" t="n">
        <v>1.909</v>
      </c>
      <c r="BR13" s="28" t="n"/>
      <c r="BS13" s="28" t="n"/>
      <c r="BT13" s="28" t="n"/>
      <c r="BU13" s="25" t="n"/>
      <c r="BV13" s="29" t="n">
        <v>0.5</v>
      </c>
      <c r="BW13" s="24" t="n"/>
      <c r="BX13" s="30" t="n"/>
      <c r="BY13" s="27" t="n"/>
      <c r="BZ13" s="24" t="n"/>
      <c r="CA13" s="31" t="n"/>
      <c r="CB13" s="24" t="n"/>
      <c r="CC13" s="24" t="inlineStr">
        <is>
          <t>0.437094</t>
        </is>
      </c>
      <c r="CD13" s="24" t="inlineStr">
        <is>
          <t>0.024066</t>
        </is>
      </c>
      <c r="CE13" s="24" t="inlineStr">
        <is>
          <t>1.01</t>
        </is>
      </c>
      <c r="CF13" s="24" t="inlineStr">
        <is>
          <t>1.0159</t>
        </is>
      </c>
      <c r="CG13" s="24" t="inlineStr">
        <is>
          <t>1.4</t>
        </is>
      </c>
      <c r="CH13" s="24" t="n"/>
      <c r="CI13" s="24" t="n"/>
      <c r="CJ13" s="24" t="n"/>
      <c r="CK13" s="24" t="n"/>
      <c r="CL13" s="24" t="n"/>
      <c r="CM13" s="24" t="n"/>
    </row>
    <row r="14" ht="18" customHeight="1">
      <c r="A14" s="24" t="inlineStr">
        <is>
          <t>751d21a46db04e6e</t>
        </is>
      </c>
      <c r="B14" s="24" t="inlineStr">
        <is>
          <t>2026-07-22T22:42:56Z</t>
        </is>
      </c>
      <c r="C14" s="24" t="inlineStr">
        <is>
          <t>2026-07-18T01:40Z</t>
        </is>
      </c>
      <c r="D14" s="24" t="inlineStr">
        <is>
          <t>401816154</t>
        </is>
      </c>
      <c r="E14" s="24" t="inlineStr">
        <is>
          <t>MLB</t>
        </is>
      </c>
      <c r="F14" s="24" t="inlineStr">
        <is>
          <t>St. Louis Cardinals</t>
        </is>
      </c>
      <c r="G14" s="24" t="inlineStr">
        <is>
          <t>Arizona Diamondbacks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-110</v>
      </c>
      <c r="M14" s="27" t="n">
        <v>1.909091</v>
      </c>
      <c r="N14" s="28" t="n">
        <v>0.52381</v>
      </c>
      <c r="O14" s="28" t="n">
        <v>0.505733</v>
      </c>
      <c r="P14" s="28" t="n">
        <v>0.05</v>
      </c>
      <c r="Q14" s="28" t="n">
        <v>-0.018077</v>
      </c>
      <c r="R14" s="26" t="n">
        <v>11</v>
      </c>
      <c r="S14" s="29" t="n">
        <v>0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5</v>
      </c>
      <c r="Y14" s="25" t="n"/>
      <c r="Z14" s="26" t="n">
        <v>-110</v>
      </c>
      <c r="AA14" s="28" t="n">
        <v>0.523834</v>
      </c>
      <c r="AB14" s="28" t="n"/>
      <c r="AC14" s="30" t="n">
        <v>0.4545</v>
      </c>
      <c r="AD14" s="24" t="inlineStr">
        <is>
          <t>2026-07-22T23:44:22Z</t>
        </is>
      </c>
      <c r="AE14" s="31" t="n"/>
      <c r="AF14" s="31" t="n"/>
      <c r="AG14" s="24" t="n"/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RESEARCH_OBSERVATION</t>
        </is>
      </c>
      <c r="AO14" s="24" t="inlineStr">
        <is>
          <t>NO_CALL_MODEL_UNVALIDATED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identity</t>
        </is>
      </c>
      <c r="BC14" s="24" t="inlineStr">
        <is>
          <t>identity-v1</t>
        </is>
      </c>
      <c r="BD14" s="24" t="n"/>
      <c r="BE14" s="24" t="inlineStr">
        <is>
          <t>1</t>
        </is>
      </c>
      <c r="BF14" s="24" t="inlineStr">
        <is>
          <t>1</t>
        </is>
      </c>
      <c r="BG14" s="24" t="n"/>
      <c r="BH14" s="24" t="inlineStr">
        <is>
          <t>2026-07-22T22:42:56Z</t>
        </is>
      </c>
      <c r="BI14" s="24" t="n"/>
      <c r="BJ14" s="25" t="n"/>
      <c r="BK14" s="26" t="n">
        <v>-110</v>
      </c>
      <c r="BL14" s="27" t="n">
        <v>1.909</v>
      </c>
      <c r="BM14" s="28" t="n">
        <v>0.523834</v>
      </c>
      <c r="BN14" s="28" t="n">
        <v>0.523834</v>
      </c>
      <c r="BO14" s="28" t="n">
        <v>0.523834</v>
      </c>
      <c r="BP14" s="25" t="n"/>
      <c r="BQ14" s="27" t="n">
        <v>1.909</v>
      </c>
      <c r="BR14" s="28" t="n"/>
      <c r="BS14" s="28" t="n"/>
      <c r="BT14" s="28" t="n"/>
      <c r="BU14" s="25" t="n"/>
      <c r="BV14" s="29" t="n">
        <v>0.5</v>
      </c>
      <c r="BW14" s="24" t="n"/>
      <c r="BX14" s="30" t="n"/>
      <c r="BY14" s="27" t="n"/>
      <c r="BZ14" s="24" t="n"/>
      <c r="CA14" s="31" t="n"/>
      <c r="CB14" s="24" t="n"/>
      <c r="CC14" s="24" t="inlineStr">
        <is>
          <t>0.547152</t>
        </is>
      </c>
      <c r="CD14" s="24" t="inlineStr">
        <is>
          <t>2.027825</t>
        </is>
      </c>
      <c r="CE14" s="24" t="inlineStr">
        <is>
          <t>1.02</t>
        </is>
      </c>
      <c r="CF14" s="24" t="inlineStr">
        <is>
          <t>1.0</t>
        </is>
      </c>
      <c r="CG14" s="24" t="inlineStr">
        <is>
          <t>0.8</t>
        </is>
      </c>
      <c r="CH14" s="24" t="n"/>
      <c r="CI14" s="24" t="n"/>
      <c r="CJ14" s="24" t="n"/>
      <c r="CK14" s="24" t="n"/>
      <c r="CL14" s="24" t="n"/>
      <c r="CM14" s="24" t="n"/>
    </row>
    <row r="15" ht="18" customHeight="1">
      <c r="A15" s="24" t="inlineStr">
        <is>
          <t>45729c873fa64cfb</t>
        </is>
      </c>
      <c r="B15" s="24" t="inlineStr">
        <is>
          <t>2026-07-22T22:42:56Z</t>
        </is>
      </c>
      <c r="C15" s="24" t="inlineStr">
        <is>
          <t>2026-07-18T01:40Z</t>
        </is>
      </c>
      <c r="D15" s="24" t="inlineStr">
        <is>
          <t>401816155</t>
        </is>
      </c>
      <c r="E15" s="24" t="inlineStr">
        <is>
          <t>MLB</t>
        </is>
      </c>
      <c r="F15" s="24" t="inlineStr">
        <is>
          <t>Washington Nationals</t>
        </is>
      </c>
      <c r="G15" s="24" t="inlineStr">
        <is>
          <t>Athletics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-110</v>
      </c>
      <c r="M15" s="27" t="n">
        <v>1.909091</v>
      </c>
      <c r="N15" s="28" t="n">
        <v>0.52381</v>
      </c>
      <c r="O15" s="28" t="n">
        <v>0.595782</v>
      </c>
      <c r="P15" s="28" t="n">
        <v>0.05</v>
      </c>
      <c r="Q15" s="28" t="n">
        <v>0.071973</v>
      </c>
      <c r="R15" s="26" t="n">
        <v>56</v>
      </c>
      <c r="S15" s="29" t="n">
        <v>0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15</v>
      </c>
      <c r="Y15" s="25" t="n"/>
      <c r="Z15" s="26" t="n">
        <v>-110</v>
      </c>
      <c r="AA15" s="28" t="n">
        <v>0.523834</v>
      </c>
      <c r="AB15" s="28" t="n"/>
      <c r="AC15" s="30" t="n">
        <v>0.4545</v>
      </c>
      <c r="AD15" s="24" t="inlineStr">
        <is>
          <t>2026-07-22T23:44:22Z</t>
        </is>
      </c>
      <c r="AE15" s="31" t="n"/>
      <c r="AF15" s="31" t="n"/>
      <c r="AG15" s="24" t="n"/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RESEARCH_OBSERVATION</t>
        </is>
      </c>
      <c r="AO15" s="24" t="inlineStr">
        <is>
          <t>NO_CALL_MODEL_UNVALIDATED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identity</t>
        </is>
      </c>
      <c r="BC15" s="24" t="inlineStr">
        <is>
          <t>identity-v1</t>
        </is>
      </c>
      <c r="BD15" s="24" t="n"/>
      <c r="BE15" s="24" t="inlineStr">
        <is>
          <t>1</t>
        </is>
      </c>
      <c r="BF15" s="24" t="inlineStr">
        <is>
          <t>1</t>
        </is>
      </c>
      <c r="BG15" s="24" t="n"/>
      <c r="BH15" s="24" t="inlineStr">
        <is>
          <t>2026-07-22T22:42:56Z</t>
        </is>
      </c>
      <c r="BI15" s="24" t="n"/>
      <c r="BJ15" s="25" t="n"/>
      <c r="BK15" s="26" t="n">
        <v>-110</v>
      </c>
      <c r="BL15" s="27" t="n">
        <v>1.909</v>
      </c>
      <c r="BM15" s="28" t="n">
        <v>0.523834</v>
      </c>
      <c r="BN15" s="28" t="n">
        <v>0.523834</v>
      </c>
      <c r="BO15" s="28" t="n">
        <v>0.523834</v>
      </c>
      <c r="BP15" s="25" t="n"/>
      <c r="BQ15" s="27" t="n">
        <v>1.909</v>
      </c>
      <c r="BR15" s="28" t="n"/>
      <c r="BS15" s="28" t="n"/>
      <c r="BT15" s="28" t="n"/>
      <c r="BU15" s="25" t="n"/>
      <c r="BV15" s="29" t="n">
        <v>0.5</v>
      </c>
      <c r="BW15" s="24" t="n"/>
      <c r="BX15" s="30" t="n"/>
      <c r="BY15" s="27" t="n"/>
      <c r="BZ15" s="24" t="n"/>
      <c r="CA15" s="31" t="n"/>
      <c r="CB15" s="24" t="n"/>
      <c r="CC15" s="24" t="inlineStr">
        <is>
          <t>0.510455</t>
        </is>
      </c>
      <c r="CD15" s="24" t="inlineStr">
        <is>
          <t>-1.688456</t>
        </is>
      </c>
      <c r="CE15" s="24" t="inlineStr">
        <is>
          <t>0.98</t>
        </is>
      </c>
      <c r="CF15" s="24" t="inlineStr">
        <is>
          <t>1.0</t>
        </is>
      </c>
      <c r="CG15" s="24" t="inlineStr">
        <is>
          <t>2.4</t>
        </is>
      </c>
      <c r="CH15" s="24" t="n"/>
      <c r="CI15" s="24" t="n"/>
      <c r="CJ15" s="24" t="n"/>
      <c r="CK15" s="24" t="n"/>
      <c r="CL15" s="24" t="n"/>
      <c r="CM15" s="24" t="n"/>
    </row>
    <row r="16" ht="18" customHeight="1">
      <c r="A16" s="24" t="inlineStr">
        <is>
          <t>85ac558fcc0f468b</t>
        </is>
      </c>
      <c r="B16" s="24" t="inlineStr">
        <is>
          <t>2026-07-22T22:42:56Z</t>
        </is>
      </c>
      <c r="C16" s="24" t="inlineStr">
        <is>
          <t>2026-07-18T02:10Z</t>
        </is>
      </c>
      <c r="D16" s="24" t="inlineStr">
        <is>
          <t>401816153</t>
        </is>
      </c>
      <c r="E16" s="24" t="inlineStr">
        <is>
          <t>MLB</t>
        </is>
      </c>
      <c r="F16" s="24" t="inlineStr">
        <is>
          <t>San Francisco Giants</t>
        </is>
      </c>
      <c r="G16" s="24" t="inlineStr">
        <is>
          <t>Seattle Mariners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-110</v>
      </c>
      <c r="M16" s="27" t="n">
        <v>1.909091</v>
      </c>
      <c r="N16" s="28" t="n">
        <v>0.52381</v>
      </c>
      <c r="O16" s="28" t="n">
        <v>0.603011</v>
      </c>
      <c r="P16" s="28" t="n">
        <v>0.05</v>
      </c>
      <c r="Q16" s="28" t="n">
        <v>0.07920099999999999</v>
      </c>
      <c r="R16" s="26" t="n">
        <v>60</v>
      </c>
      <c r="S16" s="29" t="n">
        <v>0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3</v>
      </c>
      <c r="X16" s="26" t="n">
        <v>4</v>
      </c>
      <c r="Y16" s="25" t="n"/>
      <c r="Z16" s="26" t="n">
        <v>-110</v>
      </c>
      <c r="AA16" s="28" t="n">
        <v>0.523834</v>
      </c>
      <c r="AB16" s="28" t="n"/>
      <c r="AC16" s="30" t="n">
        <v>1.4362</v>
      </c>
      <c r="AD16" s="24" t="inlineStr">
        <is>
          <t>2026-07-22T23:44:22Z</t>
        </is>
      </c>
      <c r="AE16" s="31" t="n"/>
      <c r="AF16" s="31" t="n"/>
      <c r="AG16" s="24" t="n"/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RESEARCH_OBSERVATION</t>
        </is>
      </c>
      <c r="AO16" s="24" t="inlineStr">
        <is>
          <t>NO_CALL_MODEL_UNVALIDATED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identity</t>
        </is>
      </c>
      <c r="BC16" s="24" t="inlineStr">
        <is>
          <t>identity-v1</t>
        </is>
      </c>
      <c r="BD16" s="24" t="n"/>
      <c r="BE16" s="24" t="inlineStr">
        <is>
          <t>1</t>
        </is>
      </c>
      <c r="BF16" s="24" t="inlineStr">
        <is>
          <t>1</t>
        </is>
      </c>
      <c r="BG16" s="24" t="n"/>
      <c r="BH16" s="24" t="inlineStr">
        <is>
          <t>2026-07-22T22:42:56Z</t>
        </is>
      </c>
      <c r="BI16" s="24" t="n"/>
      <c r="BJ16" s="25" t="n"/>
      <c r="BK16" s="26" t="n">
        <v>-110</v>
      </c>
      <c r="BL16" s="27" t="n">
        <v>1.909</v>
      </c>
      <c r="BM16" s="28" t="n">
        <v>0.523834</v>
      </c>
      <c r="BN16" s="28" t="n">
        <v>0.523834</v>
      </c>
      <c r="BO16" s="28" t="n">
        <v>0.523834</v>
      </c>
      <c r="BP16" s="25" t="n"/>
      <c r="BQ16" s="27" t="n">
        <v>1.909</v>
      </c>
      <c r="BR16" s="28" t="n"/>
      <c r="BS16" s="28" t="n"/>
      <c r="BT16" s="28" t="n"/>
      <c r="BU16" s="25" t="n"/>
      <c r="BV16" s="29" t="n">
        <v>1.58</v>
      </c>
      <c r="BW16" s="24" t="n"/>
      <c r="BX16" s="30" t="n"/>
      <c r="BY16" s="27" t="n"/>
      <c r="BZ16" s="24" t="n"/>
      <c r="CA16" s="31" t="n"/>
      <c r="CB16" s="24" t="n"/>
      <c r="CC16" s="24" t="inlineStr">
        <is>
          <t>0.594036</t>
        </is>
      </c>
      <c r="CD16" s="24" t="inlineStr">
        <is>
          <t>0.843822</t>
        </is>
      </c>
      <c r="CE16" s="24" t="inlineStr">
        <is>
          <t>0.92</t>
        </is>
      </c>
      <c r="CF16" s="24" t="inlineStr">
        <is>
          <t>1.0</t>
        </is>
      </c>
      <c r="CG16" s="24" t="inlineStr">
        <is>
          <t>1.2</t>
        </is>
      </c>
      <c r="CH16" s="24" t="n"/>
      <c r="CI16" s="24" t="n"/>
      <c r="CJ16" s="24" t="n"/>
      <c r="CK16" s="24" t="n"/>
      <c r="CL16" s="24" t="n"/>
      <c r="CM16" s="24" t="n"/>
    </row>
    <row r="17" ht="18" customHeight="1">
      <c r="A17" s="24" t="inlineStr">
        <is>
          <t>c16c407e58af4f8b</t>
        </is>
      </c>
      <c r="B17" s="24" t="inlineStr">
        <is>
          <t>2026-07-22T22:42:56Z</t>
        </is>
      </c>
      <c r="C17" s="24" t="inlineStr">
        <is>
          <t>2026-07-18T17:10Z</t>
        </is>
      </c>
      <c r="D17" s="24" t="inlineStr">
        <is>
          <t>401896568</t>
        </is>
      </c>
      <c r="E17" s="24" t="inlineStr">
        <is>
          <t>MLB</t>
        </is>
      </c>
      <c r="F17" s="24" t="inlineStr">
        <is>
          <t>Pittsburgh Pirates</t>
        </is>
      </c>
      <c r="G17" s="24" t="inlineStr">
        <is>
          <t>Cleveland Guardians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-110</v>
      </c>
      <c r="M17" s="27" t="n">
        <v>1.909091</v>
      </c>
      <c r="N17" s="28" t="n">
        <v>0.52381</v>
      </c>
      <c r="O17" s="28" t="n">
        <v>0.563219</v>
      </c>
      <c r="P17" s="28" t="n">
        <v>0.05</v>
      </c>
      <c r="Q17" s="28" t="n">
        <v>0.039409</v>
      </c>
      <c r="R17" s="26" t="n">
        <v>40</v>
      </c>
      <c r="S17" s="29" t="n">
        <v>0</v>
      </c>
      <c r="T17" s="24" t="inlineStr">
        <is>
          <t>mlb-elo-trend-lr-v5</t>
        </is>
      </c>
      <c r="U17" s="24" t="inlineStr">
        <is>
          <t>settled</t>
        </is>
      </c>
      <c r="V17" s="24" t="inlineStr">
        <is>
          <t>loss</t>
        </is>
      </c>
      <c r="W17" s="26" t="n">
        <v>7</v>
      </c>
      <c r="X17" s="26" t="n">
        <v>1</v>
      </c>
      <c r="Y17" s="25" t="n"/>
      <c r="Z17" s="26" t="n"/>
      <c r="AA17" s="28" t="n"/>
      <c r="AB17" s="28" t="n"/>
      <c r="AC17" s="30" t="n">
        <v>-0.66</v>
      </c>
      <c r="AD17" s="24" t="inlineStr">
        <is>
          <t>2026-07-22T23:40:10.838505Z</t>
        </is>
      </c>
      <c r="AE17" s="31" t="n"/>
      <c r="AF17" s="31" t="n"/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RESEARCH_OBSERVATION</t>
        </is>
      </c>
      <c r="AO17" s="24" t="inlineStr">
        <is>
          <t>NO_CALL_MODEL_UNVALIDATED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8a12d027cf1d2c206cb369c47da80e014f8ac4dfc414ffee96ae34656c46fef5</t>
        </is>
      </c>
      <c r="BB17" s="24" t="inlineStr">
        <is>
          <t>identity</t>
        </is>
      </c>
      <c r="BC17" s="24" t="inlineStr">
        <is>
          <t>identity-v1</t>
        </is>
      </c>
      <c r="BD17" s="24" t="n"/>
      <c r="BE17" s="24" t="inlineStr">
        <is>
          <t>1</t>
        </is>
      </c>
      <c r="BF17" s="24" t="inlineStr">
        <is>
          <t>1</t>
        </is>
      </c>
      <c r="BG17" s="24" t="n"/>
      <c r="BH17" s="24" t="inlineStr">
        <is>
          <t>2026-07-22T22:42:56Z</t>
        </is>
      </c>
      <c r="BI17" s="24" t="n"/>
      <c r="BJ17" s="25" t="n"/>
      <c r="BK17" s="26" t="n">
        <v>-110</v>
      </c>
      <c r="BL17" s="27" t="n">
        <v>1.909</v>
      </c>
      <c r="BM17" s="28" t="n">
        <v>0.523834</v>
      </c>
      <c r="BN17" s="28" t="n">
        <v>0.523834</v>
      </c>
      <c r="BO17" s="28" t="n">
        <v>0.523834</v>
      </c>
      <c r="BP17" s="25" t="n"/>
      <c r="BQ17" s="27" t="n"/>
      <c r="BR17" s="28" t="n"/>
      <c r="BS17" s="28" t="n"/>
      <c r="BT17" s="28" t="n"/>
      <c r="BU17" s="25" t="n"/>
      <c r="BV17" s="29" t="n">
        <v>0.66</v>
      </c>
      <c r="BW17" s="24" t="n"/>
      <c r="BX17" s="30" t="n"/>
      <c r="BY17" s="27" t="n"/>
      <c r="BZ17" s="24" t="n"/>
      <c r="CA17" s="31" t="n"/>
      <c r="CB17" s="24" t="n"/>
      <c r="CC17" s="24" t="inlineStr">
        <is>
          <t>0.548901</t>
        </is>
      </c>
      <c r="CD17" s="24" t="inlineStr">
        <is>
          <t>-2.317718</t>
        </is>
      </c>
      <c r="CE17" s="24" t="inlineStr">
        <is>
          <t>0.97</t>
        </is>
      </c>
      <c r="CF17" s="24" t="inlineStr">
        <is>
          <t>0.9986</t>
        </is>
      </c>
      <c r="CG17" s="24" t="inlineStr">
        <is>
          <t>-2.6</t>
        </is>
      </c>
      <c r="CH17" s="24" t="n"/>
      <c r="CI17" s="24" t="n"/>
      <c r="CJ17" s="24" t="n"/>
      <c r="CK17" s="24" t="n"/>
      <c r="CL17" s="24" t="n"/>
      <c r="CM17" s="24" t="n"/>
    </row>
    <row r="18" ht="18" customHeight="1">
      <c r="A18" s="24" t="inlineStr">
        <is>
          <t>9bf820193f1b4b7c</t>
        </is>
      </c>
      <c r="B18" s="24" t="inlineStr">
        <is>
          <t>2026-07-22T22:42:56Z</t>
        </is>
      </c>
      <c r="C18" s="24" t="inlineStr">
        <is>
          <t>2026-07-18T18:20Z</t>
        </is>
      </c>
      <c r="D18" s="24" t="inlineStr">
        <is>
          <t>401816164</t>
        </is>
      </c>
      <c r="E18" s="24" t="inlineStr">
        <is>
          <t>MLB</t>
        </is>
      </c>
      <c r="F18" s="24" t="inlineStr">
        <is>
          <t>Minnesota Twins</t>
        </is>
      </c>
      <c r="G18" s="24" t="inlineStr">
        <is>
          <t>Chicago Cubs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-110</v>
      </c>
      <c r="M18" s="27" t="n">
        <v>1.909091</v>
      </c>
      <c r="N18" s="28" t="n">
        <v>0.52381</v>
      </c>
      <c r="O18" s="28" t="n">
        <v>0.610546</v>
      </c>
      <c r="P18" s="28" t="n">
        <v>0.05</v>
      </c>
      <c r="Q18" s="28" t="n">
        <v>0.08673699999999999</v>
      </c>
      <c r="R18" s="26" t="n">
        <v>63</v>
      </c>
      <c r="S18" s="29" t="n">
        <v>0</v>
      </c>
      <c r="T18" s="24" t="inlineStr">
        <is>
          <t>mlb-elo-trend-lr-v5</t>
        </is>
      </c>
      <c r="U18" s="24" t="inlineStr">
        <is>
          <t>settled</t>
        </is>
      </c>
      <c r="V18" s="24" t="inlineStr">
        <is>
          <t>win</t>
        </is>
      </c>
      <c r="W18" s="26" t="n">
        <v>2</v>
      </c>
      <c r="X18" s="26" t="n">
        <v>6</v>
      </c>
      <c r="Y18" s="25" t="n"/>
      <c r="Z18" s="26" t="n"/>
      <c r="AA18" s="28" t="n"/>
      <c r="AB18" s="28" t="n"/>
      <c r="AC18" s="30" t="n">
        <v>1.4362</v>
      </c>
      <c r="AD18" s="24" t="inlineStr">
        <is>
          <t>2026-07-22T23:40:11.530383Z</t>
        </is>
      </c>
      <c r="AE18" s="31" t="n"/>
      <c r="AF18" s="31" t="n"/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RESEARCH_OBSERVATION</t>
        </is>
      </c>
      <c r="AO18" s="24" t="inlineStr">
        <is>
          <t>NO_CALL_MODEL_UNVALIDATED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8a12d027cf1d2c206cb369c47da80e014f8ac4dfc414ffee96ae34656c46fef5</t>
        </is>
      </c>
      <c r="BB18" s="24" t="inlineStr">
        <is>
          <t>identity</t>
        </is>
      </c>
      <c r="BC18" s="24" t="inlineStr">
        <is>
          <t>identity-v1</t>
        </is>
      </c>
      <c r="BD18" s="24" t="n"/>
      <c r="BE18" s="24" t="inlineStr">
        <is>
          <t>1</t>
        </is>
      </c>
      <c r="BF18" s="24" t="inlineStr">
        <is>
          <t>1</t>
        </is>
      </c>
      <c r="BG18" s="24" t="n"/>
      <c r="BH18" s="24" t="inlineStr">
        <is>
          <t>2026-07-22T22:42:56Z</t>
        </is>
      </c>
      <c r="BI18" s="24" t="n"/>
      <c r="BJ18" s="25" t="n"/>
      <c r="BK18" s="26" t="n">
        <v>-110</v>
      </c>
      <c r="BL18" s="27" t="n">
        <v>1.909</v>
      </c>
      <c r="BM18" s="28" t="n">
        <v>0.523834</v>
      </c>
      <c r="BN18" s="28" t="n">
        <v>0.523834</v>
      </c>
      <c r="BO18" s="28" t="n">
        <v>0.523834</v>
      </c>
      <c r="BP18" s="25" t="n"/>
      <c r="BQ18" s="27" t="n"/>
      <c r="BR18" s="28" t="n"/>
      <c r="BS18" s="28" t="n"/>
      <c r="BT18" s="28" t="n"/>
      <c r="BU18" s="25" t="n"/>
      <c r="BV18" s="29" t="n">
        <v>1.58</v>
      </c>
      <c r="BW18" s="24" t="n"/>
      <c r="BX18" s="30" t="n"/>
      <c r="BY18" s="27" t="n"/>
      <c r="BZ18" s="24" t="n"/>
      <c r="CA18" s="31" t="n"/>
      <c r="CB18" s="24" t="n"/>
      <c r="CC18" s="24" t="inlineStr">
        <is>
          <t>0.614603</t>
        </is>
      </c>
      <c r="CD18" s="24" t="inlineStr">
        <is>
          <t>-0.109187</t>
        </is>
      </c>
      <c r="CE18" s="24" t="inlineStr">
        <is>
          <t>1.0</t>
        </is>
      </c>
      <c r="CF18" s="24" t="inlineStr">
        <is>
          <t>1.0004</t>
        </is>
      </c>
      <c r="CG18" s="24" t="inlineStr">
        <is>
          <t>0.6</t>
        </is>
      </c>
      <c r="CH18" s="24" t="n"/>
      <c r="CI18" s="24" t="n"/>
      <c r="CJ18" s="24" t="n"/>
      <c r="CK18" s="24" t="n"/>
      <c r="CL18" s="24" t="n"/>
      <c r="CM18" s="24" t="n"/>
    </row>
    <row r="19" ht="18" customHeight="1">
      <c r="A19" s="24" t="inlineStr">
        <is>
          <t>34a42122257c4607</t>
        </is>
      </c>
      <c r="B19" s="24" t="inlineStr">
        <is>
          <t>2026-07-22T22:42:56Z</t>
        </is>
      </c>
      <c r="C19" s="24" t="inlineStr">
        <is>
          <t>2026-07-18T19:05Z</t>
        </is>
      </c>
      <c r="D19" s="24" t="inlineStr">
        <is>
          <t>401816158</t>
        </is>
      </c>
      <c r="E19" s="24" t="inlineStr">
        <is>
          <t>MLB</t>
        </is>
      </c>
      <c r="F19" s="24" t="inlineStr">
        <is>
          <t>New York Mets</t>
        </is>
      </c>
      <c r="G19" s="24" t="inlineStr">
        <is>
          <t>Philadelphia Phillies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-110</v>
      </c>
      <c r="M19" s="27" t="n">
        <v>1.909091</v>
      </c>
      <c r="N19" s="28" t="n">
        <v>0.52381</v>
      </c>
      <c r="O19" s="28" t="n">
        <v>0.63014</v>
      </c>
      <c r="P19" s="28" t="n">
        <v>0.05</v>
      </c>
      <c r="Q19" s="28" t="n">
        <v>0.106331</v>
      </c>
      <c r="R19" s="26" t="n">
        <v>73</v>
      </c>
      <c r="S19" s="29" t="n">
        <v>0</v>
      </c>
      <c r="T19" s="24" t="inlineStr">
        <is>
          <t>mlb-elo-trend-lr-v5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6</v>
      </c>
      <c r="Y19" s="25" t="n"/>
      <c r="Z19" s="26" t="n"/>
      <c r="AA19" s="28" t="n"/>
      <c r="AB19" s="28" t="n"/>
      <c r="AC19" s="30" t="n">
        <v>1.6635</v>
      </c>
      <c r="AD19" s="24" t="inlineStr">
        <is>
          <t>2026-07-22T23:40:12.219751Z</t>
        </is>
      </c>
      <c r="AE19" s="31" t="n"/>
      <c r="AF19" s="31" t="n"/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RESEARCH_OBSERVATION</t>
        </is>
      </c>
      <c r="AO19" s="24" t="inlineStr">
        <is>
          <t>NO_CALL_MODEL_UNVALIDATED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8a12d027cf1d2c206cb369c47da80e014f8ac4dfc414ffee96ae34656c46fef5</t>
        </is>
      </c>
      <c r="BB19" s="24" t="inlineStr">
        <is>
          <t>identity</t>
        </is>
      </c>
      <c r="BC19" s="24" t="inlineStr">
        <is>
          <t>identity-v1</t>
        </is>
      </c>
      <c r="BD19" s="24" t="n"/>
      <c r="BE19" s="24" t="inlineStr">
        <is>
          <t>1</t>
        </is>
      </c>
      <c r="BF19" s="24" t="inlineStr">
        <is>
          <t>1</t>
        </is>
      </c>
      <c r="BG19" s="24" t="n"/>
      <c r="BH19" s="24" t="inlineStr">
        <is>
          <t>2026-07-22T22:42:56Z</t>
        </is>
      </c>
      <c r="BI19" s="24" t="n"/>
      <c r="BJ19" s="25" t="n"/>
      <c r="BK19" s="26" t="n">
        <v>-110</v>
      </c>
      <c r="BL19" s="27" t="n">
        <v>1.909</v>
      </c>
      <c r="BM19" s="28" t="n">
        <v>0.523834</v>
      </c>
      <c r="BN19" s="28" t="n">
        <v>0.523834</v>
      </c>
      <c r="BO19" s="28" t="n">
        <v>0.523834</v>
      </c>
      <c r="BP19" s="25" t="n"/>
      <c r="BQ19" s="27" t="n"/>
      <c r="BR19" s="28" t="n"/>
      <c r="BS19" s="28" t="n"/>
      <c r="BT19" s="28" t="n"/>
      <c r="BU19" s="25" t="n"/>
      <c r="BV19" s="29" t="n">
        <v>1.83</v>
      </c>
      <c r="BW19" s="24" t="n"/>
      <c r="BX19" s="30" t="n"/>
      <c r="BY19" s="27" t="n"/>
      <c r="BZ19" s="24" t="n"/>
      <c r="CA19" s="31" t="n"/>
      <c r="CB19" s="24" t="n"/>
      <c r="CC19" s="24" t="inlineStr">
        <is>
          <t>0.630826</t>
        </is>
      </c>
      <c r="CD19" s="24" t="inlineStr">
        <is>
          <t>-0.299369</t>
        </is>
      </c>
      <c r="CE19" s="24" t="inlineStr">
        <is>
          <t>1.01</t>
        </is>
      </c>
      <c r="CF19" s="24" t="inlineStr">
        <is>
          <t>1.0126</t>
        </is>
      </c>
      <c r="CG19" s="24" t="inlineStr">
        <is>
          <t>1.0</t>
        </is>
      </c>
      <c r="CH19" s="24" t="n"/>
      <c r="CI19" s="24" t="n"/>
      <c r="CJ19" s="24" t="n"/>
      <c r="CK19" s="24" t="n"/>
      <c r="CL19" s="24" t="n"/>
      <c r="CM19" s="24" t="n"/>
    </row>
    <row r="20" ht="18" customHeight="1">
      <c r="A20" s="24" t="inlineStr">
        <is>
          <t>282ea2aa392544a6</t>
        </is>
      </c>
      <c r="B20" s="24" t="inlineStr">
        <is>
          <t>2026-07-22T22:42:56Z</t>
        </is>
      </c>
      <c r="C20" s="24" t="inlineStr">
        <is>
          <t>2026-07-18T19:07Z</t>
        </is>
      </c>
      <c r="D20" s="24" t="inlineStr">
        <is>
          <t>401816156</t>
        </is>
      </c>
      <c r="E20" s="24" t="inlineStr">
        <is>
          <t>MLB</t>
        </is>
      </c>
      <c r="F20" s="24" t="inlineStr">
        <is>
          <t>Chicago White Sox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-110</v>
      </c>
      <c r="M20" s="27" t="n">
        <v>1.909091</v>
      </c>
      <c r="N20" s="28" t="n">
        <v>0.52381</v>
      </c>
      <c r="O20" s="28" t="n">
        <v>0.619498</v>
      </c>
      <c r="P20" s="28" t="n">
        <v>0.05</v>
      </c>
      <c r="Q20" s="28" t="n">
        <v>0.095688</v>
      </c>
      <c r="R20" s="26" t="n">
        <v>68</v>
      </c>
      <c r="S20" s="29" t="n">
        <v>0</v>
      </c>
      <c r="T20" s="24" t="inlineStr">
        <is>
          <t>mlb-elo-trend-lr-v5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-110</v>
      </c>
      <c r="AA20" s="28" t="n">
        <v>0.523834</v>
      </c>
      <c r="AB20" s="28" t="n"/>
      <c r="AC20" s="30" t="n">
        <v>0.8636</v>
      </c>
      <c r="AD20" s="24" t="inlineStr">
        <is>
          <t>2026-07-22T23:44:22Z</t>
        </is>
      </c>
      <c r="AE20" s="31" t="n"/>
      <c r="AF20" s="31" t="n"/>
      <c r="AG20" s="24" t="n"/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RESEARCH_OBSERVATION</t>
        </is>
      </c>
      <c r="AO20" s="24" t="inlineStr">
        <is>
          <t>NO_CALL_MODEL_UNVALIDATED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8a12d027cf1d2c206cb369c47da80e014f8ac4dfc414ffee96ae34656c46fef5</t>
        </is>
      </c>
      <c r="BB20" s="24" t="inlineStr">
        <is>
          <t>identity</t>
        </is>
      </c>
      <c r="BC20" s="24" t="inlineStr">
        <is>
          <t>identity-v1</t>
        </is>
      </c>
      <c r="BD20" s="24" t="n"/>
      <c r="BE20" s="24" t="inlineStr">
        <is>
          <t>1</t>
        </is>
      </c>
      <c r="BF20" s="24" t="inlineStr">
        <is>
          <t>1</t>
        </is>
      </c>
      <c r="BG20" s="24" t="n"/>
      <c r="BH20" s="24" t="inlineStr">
        <is>
          <t>2026-07-22T22:42:56Z</t>
        </is>
      </c>
      <c r="BI20" s="24" t="n"/>
      <c r="BJ20" s="25" t="n"/>
      <c r="BK20" s="26" t="n">
        <v>-110</v>
      </c>
      <c r="BL20" s="27" t="n">
        <v>1.909</v>
      </c>
      <c r="BM20" s="28" t="n">
        <v>0.523834</v>
      </c>
      <c r="BN20" s="28" t="n">
        <v>0.523834</v>
      </c>
      <c r="BO20" s="28" t="n">
        <v>0.523834</v>
      </c>
      <c r="BP20" s="25" t="n"/>
      <c r="BQ20" s="27" t="n">
        <v>1.909</v>
      </c>
      <c r="BR20" s="28" t="n"/>
      <c r="BS20" s="28" t="n"/>
      <c r="BT20" s="28" t="n"/>
      <c r="BU20" s="25" t="n"/>
      <c r="BV20" s="29" t="n">
        <v>0.95</v>
      </c>
      <c r="BW20" s="24" t="n"/>
      <c r="BX20" s="30" t="n"/>
      <c r="BY20" s="27" t="n"/>
      <c r="BZ20" s="24" t="n"/>
      <c r="CA20" s="31" t="n"/>
      <c r="CB20" s="24" t="n"/>
      <c r="CC20" s="24" t="inlineStr">
        <is>
          <t>0.550556</t>
        </is>
      </c>
      <c r="CD20" s="24" t="inlineStr">
        <is>
          <t>-0.394811</t>
        </is>
      </c>
      <c r="CE20" s="24" t="inlineStr">
        <is>
          <t>1.0</t>
        </is>
      </c>
      <c r="CF20" s="24" t="inlineStr">
        <is>
          <t>1.0</t>
        </is>
      </c>
      <c r="CG20" s="24" t="inlineStr">
        <is>
          <t>4.0</t>
        </is>
      </c>
      <c r="CH20" s="24" t="n"/>
      <c r="CI20" s="24" t="n"/>
      <c r="CJ20" s="24" t="n"/>
      <c r="CK20" s="24" t="n"/>
      <c r="CL20" s="24" t="n"/>
      <c r="CM20" s="24" t="n"/>
    </row>
    <row r="21" ht="18" customHeight="1">
      <c r="A21" s="24" t="inlineStr">
        <is>
          <t>132ab6e64d25416d</t>
        </is>
      </c>
      <c r="B21" s="24" t="inlineStr">
        <is>
          <t>2026-07-22T22:42:56Z</t>
        </is>
      </c>
      <c r="C21" s="24" t="inlineStr">
        <is>
          <t>2026-07-18T19:10Z</t>
        </is>
      </c>
      <c r="D21" s="24" t="inlineStr">
        <is>
          <t>401816166</t>
        </is>
      </c>
      <c r="E21" s="24" t="inlineStr">
        <is>
          <t>MLB</t>
        </is>
      </c>
      <c r="F21" s="24" t="inlineStr">
        <is>
          <t>Cincinnati Reds</t>
        </is>
      </c>
      <c r="G21" s="24" t="inlineStr">
        <is>
          <t>Colorado Rockies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-110</v>
      </c>
      <c r="M21" s="27" t="n">
        <v>1.909091</v>
      </c>
      <c r="N21" s="28" t="n">
        <v>0.52381</v>
      </c>
      <c r="O21" s="28" t="n">
        <v>0.465204</v>
      </c>
      <c r="P21" s="28" t="n">
        <v>0.05</v>
      </c>
      <c r="Q21" s="28" t="n">
        <v>-0.058606</v>
      </c>
      <c r="R21" s="26" t="n">
        <v>0</v>
      </c>
      <c r="S21" s="29" t="n">
        <v>0</v>
      </c>
      <c r="T21" s="24" t="inlineStr">
        <is>
          <t>mlb-elo-trend-lr-v5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10</v>
      </c>
      <c r="Y21" s="25" t="n"/>
      <c r="Z21" s="26" t="n">
        <v>-110</v>
      </c>
      <c r="AA21" s="28" t="n">
        <v>0.523834</v>
      </c>
      <c r="AB21" s="28" t="n"/>
      <c r="AC21" s="30" t="n">
        <v>-1.06</v>
      </c>
      <c r="AD21" s="24" t="inlineStr">
        <is>
          <t>2026-07-22T23:44:22Z</t>
        </is>
      </c>
      <c r="AE21" s="31" t="n"/>
      <c r="AF21" s="31" t="n"/>
      <c r="AG21" s="24" t="n"/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RESEARCH_OBSERVATION</t>
        </is>
      </c>
      <c r="AO21" s="24" t="inlineStr">
        <is>
          <t>NO_CALL_MODEL_UNVALIDATED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8a12d027cf1d2c206cb369c47da80e014f8ac4dfc414ffee96ae34656c46fef5</t>
        </is>
      </c>
      <c r="BB21" s="24" t="inlineStr">
        <is>
          <t>identity</t>
        </is>
      </c>
      <c r="BC21" s="24" t="inlineStr">
        <is>
          <t>identity-v1</t>
        </is>
      </c>
      <c r="BD21" s="24" t="n"/>
      <c r="BE21" s="24" t="inlineStr">
        <is>
          <t>1</t>
        </is>
      </c>
      <c r="BF21" s="24" t="inlineStr">
        <is>
          <t>1</t>
        </is>
      </c>
      <c r="BG21" s="24" t="n"/>
      <c r="BH21" s="24" t="inlineStr">
        <is>
          <t>2026-07-22T22:42:56Z</t>
        </is>
      </c>
      <c r="BI21" s="24" t="n"/>
      <c r="BJ21" s="25" t="n"/>
      <c r="BK21" s="26" t="n">
        <v>-110</v>
      </c>
      <c r="BL21" s="27" t="n">
        <v>1.909</v>
      </c>
      <c r="BM21" s="28" t="n">
        <v>0.523834</v>
      </c>
      <c r="BN21" s="28" t="n">
        <v>0.523834</v>
      </c>
      <c r="BO21" s="28" t="n">
        <v>0.523834</v>
      </c>
      <c r="BP21" s="25" t="n"/>
      <c r="BQ21" s="27" t="n">
        <v>1.909</v>
      </c>
      <c r="BR21" s="28" t="n"/>
      <c r="BS21" s="28" t="n"/>
      <c r="BT21" s="28" t="n"/>
      <c r="BU21" s="25" t="n"/>
      <c r="BV21" s="29" t="n">
        <v>1.06</v>
      </c>
      <c r="BW21" s="24" t="n"/>
      <c r="BX21" s="30" t="n"/>
      <c r="BY21" s="27" t="n"/>
      <c r="BZ21" s="24" t="n"/>
      <c r="CA21" s="31" t="n"/>
      <c r="CB21" s="24" t="n"/>
      <c r="CC21" s="24" t="inlineStr">
        <is>
          <t>0.415114</t>
        </is>
      </c>
      <c r="CD21" s="24" t="inlineStr">
        <is>
          <t>-1.498814</t>
        </is>
      </c>
      <c r="CE21" s="24" t="inlineStr">
        <is>
          <t>1.12</t>
        </is>
      </c>
      <c r="CF21" s="24" t="inlineStr">
        <is>
          <t>1.022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</row>
    <row r="22" ht="18" customHeight="1">
      <c r="A22" s="24" t="inlineStr">
        <is>
          <t>c65673ca76154aaa</t>
        </is>
      </c>
      <c r="B22" s="24" t="inlineStr">
        <is>
          <t>2026-07-22T22:42:56Z</t>
        </is>
      </c>
      <c r="C22" s="24" t="inlineStr">
        <is>
          <t>2026-07-18T20:10Z</t>
        </is>
      </c>
      <c r="D22" s="24" t="inlineStr">
        <is>
          <t>401816160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-110</v>
      </c>
      <c r="M22" s="27" t="n">
        <v>1.909091</v>
      </c>
      <c r="N22" s="28" t="n">
        <v>0.52381</v>
      </c>
      <c r="O22" s="28" t="n">
        <v>0.460043</v>
      </c>
      <c r="P22" s="28" t="n">
        <v>0.05</v>
      </c>
      <c r="Q22" s="28" t="n">
        <v>-0.063767</v>
      </c>
      <c r="R22" s="26" t="n">
        <v>0</v>
      </c>
      <c r="S22" s="29" t="n">
        <v>0</v>
      </c>
      <c r="T22" s="24" t="inlineStr">
        <is>
          <t>mlb-elo-trend-lr-v5</t>
        </is>
      </c>
      <c r="U22" s="24" t="inlineStr">
        <is>
          <t>settled</t>
        </is>
      </c>
      <c r="V22" s="24" t="inlineStr">
        <is>
          <t>win</t>
        </is>
      </c>
      <c r="W22" s="26" t="n">
        <v>6</v>
      </c>
      <c r="X22" s="26" t="n">
        <v>7</v>
      </c>
      <c r="Y22" s="25" t="n"/>
      <c r="Z22" s="26" t="n">
        <v>-110</v>
      </c>
      <c r="AA22" s="28" t="n">
        <v>0.523834</v>
      </c>
      <c r="AB22" s="28" t="n"/>
      <c r="AC22" s="30" t="n">
        <v>0.4545</v>
      </c>
      <c r="AD22" s="24" t="inlineStr">
        <is>
          <t>2026-07-22T23:44:22Z</t>
        </is>
      </c>
      <c r="AE22" s="31" t="n"/>
      <c r="AF22" s="31" t="n"/>
      <c r="AG22" s="24" t="n"/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RESEARCH_OBSERVATION</t>
        </is>
      </c>
      <c r="AO22" s="24" t="inlineStr">
        <is>
          <t>NO_CALL_MODEL_UNVALIDATED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8a12d027cf1d2c206cb369c47da80e014f8ac4dfc414ffee96ae34656c46fef5</t>
        </is>
      </c>
      <c r="BB22" s="24" t="inlineStr">
        <is>
          <t>identity</t>
        </is>
      </c>
      <c r="BC22" s="24" t="inlineStr">
        <is>
          <t>identity-v1</t>
        </is>
      </c>
      <c r="BD22" s="24" t="n"/>
      <c r="BE22" s="24" t="inlineStr">
        <is>
          <t>1</t>
        </is>
      </c>
      <c r="BF22" s="24" t="inlineStr">
        <is>
          <t>1</t>
        </is>
      </c>
      <c r="BG22" s="24" t="n"/>
      <c r="BH22" s="24" t="inlineStr">
        <is>
          <t>2026-07-22T22:42:56Z</t>
        </is>
      </c>
      <c r="BI22" s="24" t="n"/>
      <c r="BJ22" s="25" t="n"/>
      <c r="BK22" s="26" t="n">
        <v>-110</v>
      </c>
      <c r="BL22" s="27" t="n">
        <v>1.909</v>
      </c>
      <c r="BM22" s="28" t="n">
        <v>0.523834</v>
      </c>
      <c r="BN22" s="28" t="n">
        <v>0.523834</v>
      </c>
      <c r="BO22" s="28" t="n">
        <v>0.523834</v>
      </c>
      <c r="BP22" s="25" t="n"/>
      <c r="BQ22" s="27" t="n">
        <v>1.909</v>
      </c>
      <c r="BR22" s="28" t="n"/>
      <c r="BS22" s="28" t="n"/>
      <c r="BT22" s="28" t="n"/>
      <c r="BU22" s="25" t="n"/>
      <c r="BV22" s="29" t="n">
        <v>0.5</v>
      </c>
      <c r="BW22" s="24" t="n"/>
      <c r="BX22" s="30" t="n"/>
      <c r="BY22" s="27" t="n"/>
      <c r="BZ22" s="24" t="n"/>
      <c r="CA22" s="31" t="n"/>
      <c r="CB22" s="24" t="n"/>
      <c r="CC22" s="24" t="inlineStr">
        <is>
          <t>0.582123</t>
        </is>
      </c>
      <c r="CD22" s="24" t="inlineStr">
        <is>
          <t>1.72812</t>
        </is>
      </c>
      <c r="CE22" s="24" t="inlineStr">
        <is>
          <t>1.04</t>
        </is>
      </c>
      <c r="CF22" s="24" t="inlineStr">
        <is>
          <t>1.007</t>
        </is>
      </c>
      <c r="CG22" s="24" t="inlineStr">
        <is>
          <t>-3.8</t>
        </is>
      </c>
      <c r="CH22" s="24" t="n"/>
      <c r="CI22" s="24" t="n"/>
      <c r="CJ22" s="24" t="n"/>
      <c r="CK22" s="24" t="n"/>
      <c r="CL22" s="24" t="n"/>
      <c r="CM22" s="24" t="n"/>
    </row>
    <row r="23" ht="18" customHeight="1">
      <c r="A23" s="24" t="inlineStr">
        <is>
          <t>ef43b284de5345c6</t>
        </is>
      </c>
      <c r="B23" s="24" t="inlineStr">
        <is>
          <t>2026-07-22T22:42:56Z</t>
        </is>
      </c>
      <c r="C23" s="24" t="inlineStr">
        <is>
          <t>2026-07-18T20:10Z</t>
        </is>
      </c>
      <c r="D23" s="24" t="inlineStr">
        <is>
          <t>401816161</t>
        </is>
      </c>
      <c r="E23" s="24" t="inlineStr">
        <is>
          <t>MLB</t>
        </is>
      </c>
      <c r="F23" s="24" t="inlineStr">
        <is>
          <t>Texas Rangers</t>
        </is>
      </c>
      <c r="G23" s="24" t="inlineStr">
        <is>
          <t>Atlanta Braves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-110</v>
      </c>
      <c r="M23" s="27" t="n">
        <v>1.909091</v>
      </c>
      <c r="N23" s="28" t="n">
        <v>0.52381</v>
      </c>
      <c r="O23" s="28" t="n">
        <v>0.462448</v>
      </c>
      <c r="P23" s="28" t="n">
        <v>0.05</v>
      </c>
      <c r="Q23" s="28" t="n">
        <v>-0.061362</v>
      </c>
      <c r="R23" s="26" t="n">
        <v>0</v>
      </c>
      <c r="S23" s="29" t="n">
        <v>0</v>
      </c>
      <c r="T23" s="24" t="inlineStr">
        <is>
          <t>mlb-elo-trend-lr-v5</t>
        </is>
      </c>
      <c r="U23" s="24" t="inlineStr">
        <is>
          <t>settled</t>
        </is>
      </c>
      <c r="V23" s="24" t="inlineStr">
        <is>
          <t>loss</t>
        </is>
      </c>
      <c r="W23" s="26" t="n">
        <v>7</v>
      </c>
      <c r="X23" s="26" t="n">
        <v>6</v>
      </c>
      <c r="Y23" s="25" t="n"/>
      <c r="Z23" s="26" t="n">
        <v>-110</v>
      </c>
      <c r="AA23" s="28" t="n">
        <v>0.523834</v>
      </c>
      <c r="AB23" s="28" t="n"/>
      <c r="AC23" s="30" t="n">
        <v>-0.5</v>
      </c>
      <c r="AD23" s="24" t="inlineStr">
        <is>
          <t>2026-07-22T23:44:22Z</t>
        </is>
      </c>
      <c r="AE23" s="31" t="n"/>
      <c r="AF23" s="31" t="n"/>
      <c r="AG23" s="24" t="n"/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RESEARCH_OBSERVATION</t>
        </is>
      </c>
      <c r="AO23" s="24" t="inlineStr">
        <is>
          <t>NO_CALL_MODEL_UNVALIDATED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8a12d027cf1d2c206cb369c47da80e014f8ac4dfc414ffee96ae34656c46fef5</t>
        </is>
      </c>
      <c r="BB23" s="24" t="inlineStr">
        <is>
          <t>identity</t>
        </is>
      </c>
      <c r="BC23" s="24" t="inlineStr">
        <is>
          <t>identity-v1</t>
        </is>
      </c>
      <c r="BD23" s="24" t="n"/>
      <c r="BE23" s="24" t="inlineStr">
        <is>
          <t>1</t>
        </is>
      </c>
      <c r="BF23" s="24" t="inlineStr">
        <is>
          <t>1</t>
        </is>
      </c>
      <c r="BG23" s="24" t="n"/>
      <c r="BH23" s="24" t="inlineStr">
        <is>
          <t>2026-07-22T22:42:56Z</t>
        </is>
      </c>
      <c r="BI23" s="24" t="n"/>
      <c r="BJ23" s="25" t="n"/>
      <c r="BK23" s="26" t="n">
        <v>-110</v>
      </c>
      <c r="BL23" s="27" t="n">
        <v>1.909</v>
      </c>
      <c r="BM23" s="28" t="n">
        <v>0.523834</v>
      </c>
      <c r="BN23" s="28" t="n">
        <v>0.523834</v>
      </c>
      <c r="BO23" s="28" t="n">
        <v>0.523834</v>
      </c>
      <c r="BP23" s="25" t="n"/>
      <c r="BQ23" s="27" t="n">
        <v>1.909</v>
      </c>
      <c r="BR23" s="28" t="n"/>
      <c r="BS23" s="28" t="n"/>
      <c r="BT23" s="28" t="n"/>
      <c r="BU23" s="25" t="n"/>
      <c r="BV23" s="29" t="n">
        <v>0.5</v>
      </c>
      <c r="BW23" s="24" t="n"/>
      <c r="BX23" s="30" t="n"/>
      <c r="BY23" s="27" t="n"/>
      <c r="BZ23" s="24" t="n"/>
      <c r="CA23" s="31" t="n"/>
      <c r="CB23" s="24" t="n"/>
      <c r="CC23" s="24" t="inlineStr">
        <is>
          <t>0.595818</t>
        </is>
      </c>
      <c r="CD23" s="24" t="inlineStr">
        <is>
          <t>1.850711</t>
        </is>
      </c>
      <c r="CE23" s="24" t="inlineStr">
        <is>
          <t>1.01</t>
        </is>
      </c>
      <c r="CF23" s="24" t="inlineStr">
        <is>
          <t>1.0175</t>
        </is>
      </c>
      <c r="CG23" s="24" t="inlineStr">
        <is>
          <t>-4.6</t>
        </is>
      </c>
      <c r="CH23" s="24" t="n"/>
      <c r="CI23" s="24" t="n"/>
      <c r="CJ23" s="24" t="n"/>
      <c r="CK23" s="24" t="n"/>
      <c r="CL23" s="24" t="n"/>
      <c r="CM23" s="24" t="n"/>
    </row>
    <row r="24" ht="18" customHeight="1">
      <c r="A24" s="24" t="inlineStr">
        <is>
          <t>37ac9106f3c4406f</t>
        </is>
      </c>
      <c r="B24" s="24" t="inlineStr">
        <is>
          <t>2026-07-22T22:42:56Z</t>
        </is>
      </c>
      <c r="C24" s="24" t="inlineStr">
        <is>
          <t>2026-07-18T20:10Z</t>
        </is>
      </c>
      <c r="D24" s="24" t="inlineStr">
        <is>
          <t>401816162</t>
        </is>
      </c>
      <c r="E24" s="24" t="inlineStr">
        <is>
          <t>MLB</t>
        </is>
      </c>
      <c r="F24" s="24" t="inlineStr">
        <is>
          <t>Baltimore Orioles</t>
        </is>
      </c>
      <c r="G24" s="24" t="inlineStr">
        <is>
          <t>Houston Astros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-110</v>
      </c>
      <c r="M24" s="27" t="n">
        <v>1.909091</v>
      </c>
      <c r="N24" s="28" t="n">
        <v>0.52381</v>
      </c>
      <c r="O24" s="28" t="n">
        <v>0.581151</v>
      </c>
      <c r="P24" s="28" t="n">
        <v>0.05</v>
      </c>
      <c r="Q24" s="28" t="n">
        <v>0.057342</v>
      </c>
      <c r="R24" s="26" t="n">
        <v>49</v>
      </c>
      <c r="S24" s="29" t="n">
        <v>0</v>
      </c>
      <c r="T24" s="24" t="inlineStr">
        <is>
          <t>mlb-elo-trend-lr-v5</t>
        </is>
      </c>
      <c r="U24" s="24" t="inlineStr">
        <is>
          <t>settled</t>
        </is>
      </c>
      <c r="V24" s="24" t="inlineStr">
        <is>
          <t>loss</t>
        </is>
      </c>
      <c r="W24" s="26" t="n">
        <v>4</v>
      </c>
      <c r="X24" s="26" t="n">
        <v>2</v>
      </c>
      <c r="Y24" s="25" t="n"/>
      <c r="Z24" s="26" t="n">
        <v>-110</v>
      </c>
      <c r="AA24" s="28" t="n">
        <v>0.523834</v>
      </c>
      <c r="AB24" s="28" t="n"/>
      <c r="AC24" s="30" t="n">
        <v>-0.5</v>
      </c>
      <c r="AD24" s="24" t="inlineStr">
        <is>
          <t>2026-07-22T23:44:22Z</t>
        </is>
      </c>
      <c r="AE24" s="31" t="n"/>
      <c r="AF24" s="31" t="n"/>
      <c r="AG24" s="24" t="n"/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RESEARCH_OBSERVATION</t>
        </is>
      </c>
      <c r="AO24" s="24" t="inlineStr">
        <is>
          <t>NO_CALL_MODEL_UNVALIDATED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8a12d027cf1d2c206cb369c47da80e014f8ac4dfc414ffee96ae34656c46fef5</t>
        </is>
      </c>
      <c r="BB24" s="24" t="inlineStr">
        <is>
          <t>identity</t>
        </is>
      </c>
      <c r="BC24" s="24" t="inlineStr">
        <is>
          <t>identity-v1</t>
        </is>
      </c>
      <c r="BD24" s="24" t="n"/>
      <c r="BE24" s="24" t="inlineStr">
        <is>
          <t>1</t>
        </is>
      </c>
      <c r="BF24" s="24" t="inlineStr">
        <is>
          <t>1</t>
        </is>
      </c>
      <c r="BG24" s="24" t="n"/>
      <c r="BH24" s="24" t="inlineStr">
        <is>
          <t>2026-07-22T22:42:56Z</t>
        </is>
      </c>
      <c r="BI24" s="24" t="n"/>
      <c r="BJ24" s="25" t="n"/>
      <c r="BK24" s="26" t="n">
        <v>-110</v>
      </c>
      <c r="BL24" s="27" t="n">
        <v>1.909</v>
      </c>
      <c r="BM24" s="28" t="n">
        <v>0.523834</v>
      </c>
      <c r="BN24" s="28" t="n">
        <v>0.523834</v>
      </c>
      <c r="BO24" s="28" t="n">
        <v>0.523834</v>
      </c>
      <c r="BP24" s="25" t="n"/>
      <c r="BQ24" s="27" t="n">
        <v>1.909</v>
      </c>
      <c r="BR24" s="28" t="n"/>
      <c r="BS24" s="28" t="n"/>
      <c r="BT24" s="28" t="n"/>
      <c r="BU24" s="25" t="n"/>
      <c r="BV24" s="29" t="n">
        <v>0.5</v>
      </c>
      <c r="BW24" s="24" t="n"/>
      <c r="BX24" s="30" t="n"/>
      <c r="BY24" s="27" t="n"/>
      <c r="BZ24" s="24" t="n"/>
      <c r="CA24" s="31" t="n"/>
      <c r="CB24" s="24" t="n"/>
      <c r="CC24" s="24" t="inlineStr">
        <is>
          <t>0.519162</t>
        </is>
      </c>
      <c r="CD24" s="24" t="inlineStr">
        <is>
          <t>-0.217918</t>
        </is>
      </c>
      <c r="CE24" s="24" t="inlineStr">
        <is>
          <t>1.0</t>
        </is>
      </c>
      <c r="CF24" s="24" t="inlineStr">
        <is>
          <t>1.0</t>
        </is>
      </c>
      <c r="CG24" s="24" t="inlineStr">
        <is>
          <t>3.4</t>
        </is>
      </c>
      <c r="CH24" s="24" t="n"/>
      <c r="CI24" s="24" t="n"/>
      <c r="CJ24" s="24" t="n"/>
      <c r="CK24" s="24" t="n"/>
      <c r="CL24" s="24" t="n"/>
      <c r="CM24" s="24" t="n"/>
    </row>
    <row r="25" ht="18" customHeight="1">
      <c r="A25" s="24" t="inlineStr">
        <is>
          <t>f871a15d93064717</t>
        </is>
      </c>
      <c r="B25" s="24" t="inlineStr">
        <is>
          <t>2026-07-22T22:42:56Z</t>
        </is>
      </c>
      <c r="C25" s="24" t="inlineStr">
        <is>
          <t>2026-07-18T20:10Z</t>
        </is>
      </c>
      <c r="D25" s="24" t="inlineStr">
        <is>
          <t>401816163</t>
        </is>
      </c>
      <c r="E25" s="24" t="inlineStr">
        <is>
          <t>MLB</t>
        </is>
      </c>
      <c r="F25" s="24" t="inlineStr">
        <is>
          <t>Miami Marlins</t>
        </is>
      </c>
      <c r="G25" s="24" t="inlineStr">
        <is>
          <t>Milwaukee Brewers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-110</v>
      </c>
      <c r="M25" s="27" t="n">
        <v>1.909091</v>
      </c>
      <c r="N25" s="28" t="n">
        <v>0.52381</v>
      </c>
      <c r="O25" s="28" t="n">
        <v>0.64599</v>
      </c>
      <c r="P25" s="28" t="n">
        <v>0.05</v>
      </c>
      <c r="Q25" s="28" t="n">
        <v>0.12218</v>
      </c>
      <c r="R25" s="26" t="n">
        <v>81</v>
      </c>
      <c r="S25" s="29" t="n">
        <v>0</v>
      </c>
      <c r="T25" s="24" t="inlineStr">
        <is>
          <t>mlb-elo-trend-lr-v5</t>
        </is>
      </c>
      <c r="U25" s="24" t="inlineStr">
        <is>
          <t>settled</t>
        </is>
      </c>
      <c r="V25" s="24" t="inlineStr">
        <is>
          <t>win</t>
        </is>
      </c>
      <c r="W25" s="26" t="n">
        <v>6</v>
      </c>
      <c r="X25" s="26" t="n">
        <v>8</v>
      </c>
      <c r="Y25" s="25" t="n"/>
      <c r="Z25" s="26" t="n">
        <v>-110</v>
      </c>
      <c r="AA25" s="28" t="n">
        <v>0.523834</v>
      </c>
      <c r="AB25" s="28" t="n"/>
      <c r="AC25" s="30" t="n">
        <v>1.818</v>
      </c>
      <c r="AD25" s="24" t="inlineStr">
        <is>
          <t>2026-07-22T23:44:22Z</t>
        </is>
      </c>
      <c r="AE25" s="31" t="n"/>
      <c r="AF25" s="31" t="n"/>
      <c r="AG25" s="24" t="n"/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RESEARCH_OBSERVATION</t>
        </is>
      </c>
      <c r="AO25" s="24" t="inlineStr">
        <is>
          <t>NO_CALL_MODEL_UNVALIDATED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8a12d027cf1d2c206cb369c47da80e014f8ac4dfc414ffee96ae34656c46fef5</t>
        </is>
      </c>
      <c r="BB25" s="24" t="inlineStr">
        <is>
          <t>identity</t>
        </is>
      </c>
      <c r="BC25" s="24" t="inlineStr">
        <is>
          <t>identity-v1</t>
        </is>
      </c>
      <c r="BD25" s="24" t="n"/>
      <c r="BE25" s="24" t="inlineStr">
        <is>
          <t>1</t>
        </is>
      </c>
      <c r="BF25" s="24" t="inlineStr">
        <is>
          <t>1</t>
        </is>
      </c>
      <c r="BG25" s="24" t="n"/>
      <c r="BH25" s="24" t="inlineStr">
        <is>
          <t>2026-07-22T22:42:56Z</t>
        </is>
      </c>
      <c r="BI25" s="24" t="n"/>
      <c r="BJ25" s="25" t="n"/>
      <c r="BK25" s="26" t="n">
        <v>-110</v>
      </c>
      <c r="BL25" s="27" t="n">
        <v>1.909</v>
      </c>
      <c r="BM25" s="28" t="n">
        <v>0.523834</v>
      </c>
      <c r="BN25" s="28" t="n">
        <v>0.523834</v>
      </c>
      <c r="BO25" s="28" t="n">
        <v>0.523834</v>
      </c>
      <c r="BP25" s="25" t="n"/>
      <c r="BQ25" s="27" t="n">
        <v>1.909</v>
      </c>
      <c r="BR25" s="28" t="n"/>
      <c r="BS25" s="28" t="n"/>
      <c r="BT25" s="28" t="n"/>
      <c r="BU25" s="25" t="n"/>
      <c r="BV25" s="29" t="n">
        <v>2</v>
      </c>
      <c r="BW25" s="24" t="n"/>
      <c r="BX25" s="30" t="n"/>
      <c r="BY25" s="27" t="n"/>
      <c r="BZ25" s="24" t="n"/>
      <c r="CA25" s="31" t="n"/>
      <c r="CB25" s="24" t="n"/>
      <c r="CC25" s="24" t="inlineStr">
        <is>
          <t>0.634929</t>
        </is>
      </c>
      <c r="CD25" s="24" t="inlineStr">
        <is>
          <t>0.353542</t>
        </is>
      </c>
      <c r="CE25" s="24" t="inlineStr">
        <is>
          <t>0.98</t>
        </is>
      </c>
      <c r="CF25" s="24" t="inlineStr">
        <is>
          <t>1.0</t>
        </is>
      </c>
      <c r="CG25" s="24" t="inlineStr">
        <is>
          <t>2.2</t>
        </is>
      </c>
      <c r="CH25" s="24" t="n"/>
      <c r="CI25" s="24" t="n"/>
      <c r="CJ25" s="24" t="n"/>
      <c r="CK25" s="24" t="n"/>
      <c r="CL25" s="24" t="n"/>
      <c r="CM25" s="24" t="n"/>
    </row>
    <row r="26" ht="18" customHeight="1">
      <c r="A26" s="24" t="inlineStr">
        <is>
          <t>9636d23ec2a74422</t>
        </is>
      </c>
      <c r="B26" s="24" t="inlineStr">
        <is>
          <t>2026-07-22T22:42:56Z</t>
        </is>
      </c>
      <c r="C26" s="24" t="inlineStr">
        <is>
          <t>2026-07-18T20:10Z</t>
        </is>
      </c>
      <c r="D26" s="24" t="inlineStr">
        <is>
          <t>401816165</t>
        </is>
      </c>
      <c r="E26" s="24" t="inlineStr">
        <is>
          <t>MLB</t>
        </is>
      </c>
      <c r="F26" s="24" t="inlineStr">
        <is>
          <t>San Diego Padres</t>
        </is>
      </c>
      <c r="G26" s="24" t="inlineStr">
        <is>
          <t>Kansas City Royals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-110</v>
      </c>
      <c r="M26" s="27" t="n">
        <v>1.909091</v>
      </c>
      <c r="N26" s="28" t="n">
        <v>0.52381</v>
      </c>
      <c r="O26" s="28" t="n">
        <v>0.511451</v>
      </c>
      <c r="P26" s="28" t="n">
        <v>0.05</v>
      </c>
      <c r="Q26" s="28" t="n">
        <v>-0.012358</v>
      </c>
      <c r="R26" s="26" t="n">
        <v>14</v>
      </c>
      <c r="S26" s="29" t="n">
        <v>0</v>
      </c>
      <c r="T26" s="24" t="inlineStr">
        <is>
          <t>mlb-elo-trend-lr-v5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6</v>
      </c>
      <c r="Y26" s="25" t="n"/>
      <c r="Z26" s="26" t="n">
        <v>-110</v>
      </c>
      <c r="AA26" s="28" t="n">
        <v>0.523834</v>
      </c>
      <c r="AB26" s="28" t="n"/>
      <c r="AC26" s="30" t="n">
        <v>-0.5</v>
      </c>
      <c r="AD26" s="24" t="inlineStr">
        <is>
          <t>2026-07-22T23:44:22Z</t>
        </is>
      </c>
      <c r="AE26" s="31" t="n"/>
      <c r="AF26" s="31" t="n"/>
      <c r="AG26" s="24" t="n"/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RESEARCH_OBSERVATION</t>
        </is>
      </c>
      <c r="AO26" s="24" t="inlineStr">
        <is>
          <t>NO_CALL_MODEL_UNVALIDATED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8a12d027cf1d2c206cb369c47da80e014f8ac4dfc414ffee96ae34656c46fef5</t>
        </is>
      </c>
      <c r="BB26" s="24" t="inlineStr">
        <is>
          <t>identity</t>
        </is>
      </c>
      <c r="BC26" s="24" t="inlineStr">
        <is>
          <t>identity-v1</t>
        </is>
      </c>
      <c r="BD26" s="24" t="n"/>
      <c r="BE26" s="24" t="inlineStr">
        <is>
          <t>1</t>
        </is>
      </c>
      <c r="BF26" s="24" t="inlineStr">
        <is>
          <t>1</t>
        </is>
      </c>
      <c r="BG26" s="24" t="n"/>
      <c r="BH26" s="24" t="inlineStr">
        <is>
          <t>2026-07-22T22:42:56Z</t>
        </is>
      </c>
      <c r="BI26" s="24" t="n"/>
      <c r="BJ26" s="25" t="n"/>
      <c r="BK26" s="26" t="n">
        <v>-110</v>
      </c>
      <c r="BL26" s="27" t="n">
        <v>1.909</v>
      </c>
      <c r="BM26" s="28" t="n">
        <v>0.523834</v>
      </c>
      <c r="BN26" s="28" t="n">
        <v>0.523834</v>
      </c>
      <c r="BO26" s="28" t="n">
        <v>0.523834</v>
      </c>
      <c r="BP26" s="25" t="n"/>
      <c r="BQ26" s="27" t="n">
        <v>1.909</v>
      </c>
      <c r="BR26" s="28" t="n"/>
      <c r="BS26" s="28" t="n"/>
      <c r="BT26" s="28" t="n"/>
      <c r="BU26" s="25" t="n"/>
      <c r="BV26" s="29" t="n">
        <v>0.5</v>
      </c>
      <c r="BW26" s="24" t="n"/>
      <c r="BX26" s="30" t="n"/>
      <c r="BY26" s="27" t="n"/>
      <c r="BZ26" s="24" t="n"/>
      <c r="CA26" s="31" t="n"/>
      <c r="CB26" s="24" t="n"/>
      <c r="CC26" s="24" t="inlineStr">
        <is>
          <t>0.472701</t>
        </is>
      </c>
      <c r="CD26" s="24" t="inlineStr">
        <is>
          <t>-0.796009</t>
        </is>
      </c>
      <c r="CE26" s="24" t="inlineStr">
        <is>
          <t>1.03</t>
        </is>
      </c>
      <c r="CF26" s="24" t="inlineStr">
        <is>
          <t>1.0116</t>
        </is>
      </c>
      <c r="CG26" s="24" t="inlineStr">
        <is>
          <t>1.2</t>
        </is>
      </c>
      <c r="CH26" s="24" t="n"/>
      <c r="CI26" s="24" t="n"/>
      <c r="CJ26" s="24" t="n"/>
      <c r="CK26" s="24" t="n"/>
      <c r="CL26" s="24" t="n"/>
      <c r="CM26" s="24" t="n"/>
    </row>
    <row r="27" ht="18" customHeight="1">
      <c r="A27" s="24" t="inlineStr">
        <is>
          <t>9606652a8d594af1</t>
        </is>
      </c>
      <c r="B27" s="24" t="inlineStr">
        <is>
          <t>2026-07-22T22:42:56Z</t>
        </is>
      </c>
      <c r="C27" s="24" t="inlineStr">
        <is>
          <t>2026-07-18T20:10Z</t>
        </is>
      </c>
      <c r="D27" s="24" t="inlineStr">
        <is>
          <t>401816169</t>
        </is>
      </c>
      <c r="E27" s="24" t="inlineStr">
        <is>
          <t>MLB</t>
        </is>
      </c>
      <c r="F27" s="24" t="inlineStr">
        <is>
          <t>St. Louis Cardinals</t>
        </is>
      </c>
      <c r="G27" s="24" t="inlineStr">
        <is>
          <t>Arizona Diamondbacks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-110</v>
      </c>
      <c r="M27" s="27" t="n">
        <v>1.909091</v>
      </c>
      <c r="N27" s="28" t="n">
        <v>0.52381</v>
      </c>
      <c r="O27" s="28" t="n">
        <v>0.487542</v>
      </c>
      <c r="P27" s="28" t="n">
        <v>0.05</v>
      </c>
      <c r="Q27" s="28" t="n">
        <v>-0.036268</v>
      </c>
      <c r="R27" s="26" t="n">
        <v>2</v>
      </c>
      <c r="S27" s="29" t="n">
        <v>0</v>
      </c>
      <c r="T27" s="24" t="inlineStr">
        <is>
          <t>mlb-elo-trend-lr-v5</t>
        </is>
      </c>
      <c r="U27" s="24" t="inlineStr">
        <is>
          <t>settled</t>
        </is>
      </c>
      <c r="V27" s="24" t="inlineStr">
        <is>
          <t>win</t>
        </is>
      </c>
      <c r="W27" s="26" t="n">
        <v>3</v>
      </c>
      <c r="X27" s="26" t="n">
        <v>5</v>
      </c>
      <c r="Y27" s="25" t="n"/>
      <c r="Z27" s="26" t="n">
        <v>-110</v>
      </c>
      <c r="AA27" s="28" t="n">
        <v>0.523834</v>
      </c>
      <c r="AB27" s="28" t="n"/>
      <c r="AC27" s="30" t="n">
        <v>0.4545</v>
      </c>
      <c r="AD27" s="24" t="inlineStr">
        <is>
          <t>2026-07-22T23:44:22Z</t>
        </is>
      </c>
      <c r="AE27" s="31" t="n"/>
      <c r="AF27" s="31" t="n"/>
      <c r="AG27" s="24" t="n"/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RESEARCH_OBSERVATION</t>
        </is>
      </c>
      <c r="AO27" s="24" t="inlineStr">
        <is>
          <t>NO_CALL_MODEL_UNVALIDATED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8a12d027cf1d2c206cb369c47da80e014f8ac4dfc414ffee96ae34656c46fef5</t>
        </is>
      </c>
      <c r="BB27" s="24" t="inlineStr">
        <is>
          <t>identity</t>
        </is>
      </c>
      <c r="BC27" s="24" t="inlineStr">
        <is>
          <t>identity-v1</t>
        </is>
      </c>
      <c r="BD27" s="24" t="n"/>
      <c r="BE27" s="24" t="inlineStr">
        <is>
          <t>1</t>
        </is>
      </c>
      <c r="BF27" s="24" t="inlineStr">
        <is>
          <t>1</t>
        </is>
      </c>
      <c r="BG27" s="24" t="n"/>
      <c r="BH27" s="24" t="inlineStr">
        <is>
          <t>2026-07-22T22:42:56Z</t>
        </is>
      </c>
      <c r="BI27" s="24" t="n"/>
      <c r="BJ27" s="25" t="n"/>
      <c r="BK27" s="26" t="n">
        <v>-110</v>
      </c>
      <c r="BL27" s="27" t="n">
        <v>1.909</v>
      </c>
      <c r="BM27" s="28" t="n">
        <v>0.523834</v>
      </c>
      <c r="BN27" s="28" t="n">
        <v>0.523834</v>
      </c>
      <c r="BO27" s="28" t="n">
        <v>0.523834</v>
      </c>
      <c r="BP27" s="25" t="n"/>
      <c r="BQ27" s="27" t="n">
        <v>1.909</v>
      </c>
      <c r="BR27" s="28" t="n"/>
      <c r="BS27" s="28" t="n"/>
      <c r="BT27" s="28" t="n"/>
      <c r="BU27" s="25" t="n"/>
      <c r="BV27" s="29" t="n">
        <v>0.5</v>
      </c>
      <c r="BW27" s="24" t="n"/>
      <c r="BX27" s="30" t="n"/>
      <c r="BY27" s="27" t="n"/>
      <c r="BZ27" s="24" t="n"/>
      <c r="CA27" s="31" t="n"/>
      <c r="CB27" s="24" t="n"/>
      <c r="CC27" s="24" t="inlineStr">
        <is>
          <t>0.542756</t>
        </is>
      </c>
      <c r="CD27" s="24" t="inlineStr">
        <is>
          <t>1.509561</t>
        </is>
      </c>
      <c r="CE27" s="24" t="inlineStr">
        <is>
          <t>1.02</t>
        </is>
      </c>
      <c r="CF27" s="24" t="inlineStr">
        <is>
          <t>1.0</t>
        </is>
      </c>
      <c r="CG27" s="24" t="inlineStr">
        <is>
          <t>-0.8</t>
        </is>
      </c>
      <c r="CH27" s="24" t="n"/>
      <c r="CI27" s="24" t="n"/>
      <c r="CJ27" s="24" t="n"/>
      <c r="CK27" s="24" t="n"/>
      <c r="CL27" s="24" t="n"/>
      <c r="CM27" s="24" t="n"/>
    </row>
    <row r="28" ht="18" customHeight="1">
      <c r="A28" s="24" t="inlineStr">
        <is>
          <t>50b6c84b377a4723</t>
        </is>
      </c>
      <c r="B28" s="24" t="inlineStr">
        <is>
          <t>2026-07-22T22:42:56Z</t>
        </is>
      </c>
      <c r="C28" s="24" t="inlineStr">
        <is>
          <t>2026-07-18T23:10Z</t>
        </is>
      </c>
      <c r="D28" s="24" t="inlineStr">
        <is>
          <t>401816159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Cleveland Guardians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-110</v>
      </c>
      <c r="M28" s="27" t="n">
        <v>1.909091</v>
      </c>
      <c r="N28" s="28" t="n">
        <v>0.52381</v>
      </c>
      <c r="O28" s="28" t="n">
        <v>0.563219</v>
      </c>
      <c r="P28" s="28" t="n">
        <v>0.05</v>
      </c>
      <c r="Q28" s="28" t="n">
        <v>0.039409</v>
      </c>
      <c r="R28" s="26" t="n">
        <v>40</v>
      </c>
      <c r="S28" s="29" t="n">
        <v>0</v>
      </c>
      <c r="T28" s="24" t="inlineStr">
        <is>
          <t>mlb-elo-trend-lr-v5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5</v>
      </c>
      <c r="Y28" s="25" t="n"/>
      <c r="Z28" s="26" t="n">
        <v>-110</v>
      </c>
      <c r="AA28" s="28" t="n">
        <v>0.523834</v>
      </c>
      <c r="AB28" s="28" t="n"/>
      <c r="AC28" s="30" t="n">
        <v>0.5999</v>
      </c>
      <c r="AD28" s="24" t="inlineStr">
        <is>
          <t>2026-07-22T23:44:22Z</t>
        </is>
      </c>
      <c r="AE28" s="31" t="n"/>
      <c r="AF28" s="31" t="n"/>
      <c r="AG28" s="24" t="n"/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RESEARCH_OBSERVATION</t>
        </is>
      </c>
      <c r="AO28" s="24" t="inlineStr">
        <is>
          <t>NO_CALL_MODEL_UNVALIDATED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8a12d027cf1d2c206cb369c47da80e014f8ac4dfc414ffee96ae34656c46fef5</t>
        </is>
      </c>
      <c r="BB28" s="24" t="inlineStr">
        <is>
          <t>identity</t>
        </is>
      </c>
      <c r="BC28" s="24" t="inlineStr">
        <is>
          <t>identity-v1</t>
        </is>
      </c>
      <c r="BD28" s="24" t="n"/>
      <c r="BE28" s="24" t="inlineStr">
        <is>
          <t>1</t>
        </is>
      </c>
      <c r="BF28" s="24" t="inlineStr">
        <is>
          <t>1</t>
        </is>
      </c>
      <c r="BG28" s="24" t="n"/>
      <c r="BH28" s="24" t="inlineStr">
        <is>
          <t>2026-07-22T22:42:56Z</t>
        </is>
      </c>
      <c r="BI28" s="24" t="n"/>
      <c r="BJ28" s="25" t="n"/>
      <c r="BK28" s="26" t="n">
        <v>-110</v>
      </c>
      <c r="BL28" s="27" t="n">
        <v>1.909</v>
      </c>
      <c r="BM28" s="28" t="n">
        <v>0.523834</v>
      </c>
      <c r="BN28" s="28" t="n">
        <v>0.523834</v>
      </c>
      <c r="BO28" s="28" t="n">
        <v>0.523834</v>
      </c>
      <c r="BP28" s="25" t="n"/>
      <c r="BQ28" s="27" t="n">
        <v>1.909</v>
      </c>
      <c r="BR28" s="28" t="n"/>
      <c r="BS28" s="28" t="n"/>
      <c r="BT28" s="28" t="n"/>
      <c r="BU28" s="25" t="n"/>
      <c r="BV28" s="29" t="n">
        <v>0.66</v>
      </c>
      <c r="BW28" s="24" t="n"/>
      <c r="BX28" s="30" t="n"/>
      <c r="BY28" s="27" t="n"/>
      <c r="BZ28" s="24" t="n"/>
      <c r="CA28" s="31" t="n"/>
      <c r="CB28" s="24" t="n"/>
      <c r="CC28" s="24" t="inlineStr">
        <is>
          <t>0.548901</t>
        </is>
      </c>
      <c r="CD28" s="24" t="inlineStr">
        <is>
          <t>-2.317718</t>
        </is>
      </c>
      <c r="CE28" s="24" t="inlineStr">
        <is>
          <t>0.97</t>
        </is>
      </c>
      <c r="CF28" s="24" t="inlineStr">
        <is>
          <t>0.9986</t>
        </is>
      </c>
      <c r="CG28" s="24" t="inlineStr">
        <is>
          <t>-2.6</t>
        </is>
      </c>
      <c r="CH28" s="24" t="n"/>
      <c r="CI28" s="24" t="n"/>
      <c r="CJ28" s="24" t="n"/>
      <c r="CK28" s="24" t="n"/>
      <c r="CL28" s="24" t="n"/>
      <c r="CM28" s="24" t="n"/>
    </row>
    <row r="29" ht="18" customHeight="1">
      <c r="A29" s="24" t="inlineStr">
        <is>
          <t>a9274c0aed604024</t>
        </is>
      </c>
      <c r="B29" s="24" t="inlineStr">
        <is>
          <t>2026-07-22T22:42:56Z</t>
        </is>
      </c>
      <c r="C29" s="24" t="inlineStr">
        <is>
          <t>2026-07-19T00:08Z</t>
        </is>
      </c>
      <c r="D29" s="24" t="inlineStr">
        <is>
          <t>401816157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New York Yankees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-110</v>
      </c>
      <c r="M29" s="27" t="n">
        <v>1.909091</v>
      </c>
      <c r="N29" s="28" t="n">
        <v>0.52381</v>
      </c>
      <c r="O29" s="28" t="n">
        <v>0.428241</v>
      </c>
      <c r="P29" s="28" t="n">
        <v>0.05</v>
      </c>
      <c r="Q29" s="28" t="n">
        <v>-0.095569</v>
      </c>
      <c r="R29" s="26" t="n">
        <v>0</v>
      </c>
      <c r="S29" s="29" t="n">
        <v>0</v>
      </c>
      <c r="T29" s="24" t="inlineStr">
        <is>
          <t>mlb-elo-trend-lr-v5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2</v>
      </c>
      <c r="Y29" s="25" t="n"/>
      <c r="Z29" s="26" t="n">
        <v>-110</v>
      </c>
      <c r="AA29" s="28" t="n">
        <v>0.523834</v>
      </c>
      <c r="AB29" s="28" t="n"/>
      <c r="AC29" s="30" t="n">
        <v>-0.5</v>
      </c>
      <c r="AD29" s="24" t="inlineStr">
        <is>
          <t>2026-07-22T23:44:22Z</t>
        </is>
      </c>
      <c r="AE29" s="31" t="n"/>
      <c r="AF29" s="31" t="n"/>
      <c r="AG29" s="24" t="n"/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RESEARCH_OBSERVATION</t>
        </is>
      </c>
      <c r="AO29" s="24" t="inlineStr">
        <is>
          <t>NO_CALL_MODEL_UNVALIDATED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8a12d027cf1d2c206cb369c47da80e014f8ac4dfc414ffee96ae34656c46fef5</t>
        </is>
      </c>
      <c r="BB29" s="24" t="inlineStr">
        <is>
          <t>identity</t>
        </is>
      </c>
      <c r="BC29" s="24" t="inlineStr">
        <is>
          <t>identity-v1</t>
        </is>
      </c>
      <c r="BD29" s="24" t="n"/>
      <c r="BE29" s="24" t="inlineStr">
        <is>
          <t>1</t>
        </is>
      </c>
      <c r="BF29" s="24" t="inlineStr">
        <is>
          <t>1</t>
        </is>
      </c>
      <c r="BG29" s="24" t="n"/>
      <c r="BH29" s="24" t="inlineStr">
        <is>
          <t>2026-07-22T22:42:56Z</t>
        </is>
      </c>
      <c r="BI29" s="24" t="n"/>
      <c r="BJ29" s="25" t="n"/>
      <c r="BK29" s="26" t="n">
        <v>-110</v>
      </c>
      <c r="BL29" s="27" t="n">
        <v>1.909</v>
      </c>
      <c r="BM29" s="28" t="n">
        <v>0.523834</v>
      </c>
      <c r="BN29" s="28" t="n">
        <v>0.523834</v>
      </c>
      <c r="BO29" s="28" t="n">
        <v>0.523834</v>
      </c>
      <c r="BP29" s="25" t="n"/>
      <c r="BQ29" s="27" t="n">
        <v>1.909</v>
      </c>
      <c r="BR29" s="28" t="n"/>
      <c r="BS29" s="28" t="n"/>
      <c r="BT29" s="28" t="n"/>
      <c r="BU29" s="25" t="n"/>
      <c r="BV29" s="29" t="n">
        <v>0.5</v>
      </c>
      <c r="BW29" s="24" t="n"/>
      <c r="BX29" s="30" t="n"/>
      <c r="BY29" s="27" t="n"/>
      <c r="BZ29" s="24" t="n"/>
      <c r="CA29" s="31" t="n"/>
      <c r="CB29" s="24" t="n"/>
      <c r="CC29" s="24" t="inlineStr">
        <is>
          <t>0.482732</t>
        </is>
      </c>
      <c r="CD29" s="24" t="inlineStr">
        <is>
          <t>0.905186</t>
        </is>
      </c>
      <c r="CE29" s="24" t="inlineStr">
        <is>
          <t>0.99</t>
        </is>
      </c>
      <c r="CF29" s="24" t="inlineStr">
        <is>
          <t>1.025</t>
        </is>
      </c>
      <c r="CG29" s="24" t="inlineStr">
        <is>
          <t>-2.6</t>
        </is>
      </c>
      <c r="CH29" s="24" t="n"/>
      <c r="CI29" s="24" t="n"/>
      <c r="CJ29" s="24" t="n"/>
      <c r="CK29" s="24" t="n"/>
      <c r="CL29" s="24" t="n"/>
      <c r="CM29" s="24" t="n"/>
    </row>
    <row r="30" ht="18" customHeight="1">
      <c r="A30" s="24" t="inlineStr">
        <is>
          <t>e500c36bc93e4590</t>
        </is>
      </c>
      <c r="B30" s="24" t="inlineStr">
        <is>
          <t>2026-07-22T22:42:56Z</t>
        </is>
      </c>
      <c r="C30" s="24" t="inlineStr">
        <is>
          <t>2026-07-19T00:08Z</t>
        </is>
      </c>
      <c r="D30" s="24" t="inlineStr">
        <is>
          <t>401816168</t>
        </is>
      </c>
      <c r="E30" s="24" t="inlineStr">
        <is>
          <t>MLB</t>
        </is>
      </c>
      <c r="F30" s="24" t="inlineStr">
        <is>
          <t>San Francisco Giants</t>
        </is>
      </c>
      <c r="G30" s="24" t="inlineStr">
        <is>
          <t>Seattle Mariners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-110</v>
      </c>
      <c r="M30" s="27" t="n">
        <v>1.909091</v>
      </c>
      <c r="N30" s="28" t="n">
        <v>0.52381</v>
      </c>
      <c r="O30" s="28" t="n">
        <v>0.669207</v>
      </c>
      <c r="P30" s="28" t="n">
        <v>0.05</v>
      </c>
      <c r="Q30" s="28" t="n">
        <v>0.145397</v>
      </c>
      <c r="R30" s="26" t="n">
        <v>93</v>
      </c>
      <c r="S30" s="29" t="n">
        <v>0</v>
      </c>
      <c r="T30" s="24" t="inlineStr">
        <is>
          <t>mlb-elo-trend-lr-v5</t>
        </is>
      </c>
      <c r="U30" s="24" t="inlineStr">
        <is>
          <t>settled</t>
        </is>
      </c>
      <c r="V30" s="24" t="inlineStr">
        <is>
          <t>win</t>
        </is>
      </c>
      <c r="W30" s="26" t="n">
        <v>3</v>
      </c>
      <c r="X30" s="26" t="n">
        <v>6</v>
      </c>
      <c r="Y30" s="25" t="n"/>
      <c r="Z30" s="26" t="n">
        <v>-110</v>
      </c>
      <c r="AA30" s="28" t="n">
        <v>0.523834</v>
      </c>
      <c r="AB30" s="28" t="n"/>
      <c r="AC30" s="30" t="n">
        <v>1.7089</v>
      </c>
      <c r="AD30" s="24" t="inlineStr">
        <is>
          <t>2026-07-22T23:44:22Z</t>
        </is>
      </c>
      <c r="AE30" s="31" t="n"/>
      <c r="AF30" s="31" t="n"/>
      <c r="AG30" s="24" t="n"/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RESEARCH_OBSERVATION</t>
        </is>
      </c>
      <c r="AO30" s="24" t="inlineStr">
        <is>
          <t>NO_CALL_MODEL_UNVALIDATED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8a12d027cf1d2c206cb369c47da80e014f8ac4dfc414ffee96ae34656c46fef5</t>
        </is>
      </c>
      <c r="BB30" s="24" t="inlineStr">
        <is>
          <t>identity</t>
        </is>
      </c>
      <c r="BC30" s="24" t="inlineStr">
        <is>
          <t>identity-v1</t>
        </is>
      </c>
      <c r="BD30" s="24" t="n"/>
      <c r="BE30" s="24" t="inlineStr">
        <is>
          <t>1</t>
        </is>
      </c>
      <c r="BF30" s="24" t="inlineStr">
        <is>
          <t>1</t>
        </is>
      </c>
      <c r="BG30" s="24" t="n"/>
      <c r="BH30" s="24" t="inlineStr">
        <is>
          <t>2026-07-22T22:42:56Z</t>
        </is>
      </c>
      <c r="BI30" s="24" t="n"/>
      <c r="BJ30" s="25" t="n"/>
      <c r="BK30" s="26" t="n">
        <v>-110</v>
      </c>
      <c r="BL30" s="27" t="n">
        <v>1.909</v>
      </c>
      <c r="BM30" s="28" t="n">
        <v>0.523834</v>
      </c>
      <c r="BN30" s="28" t="n">
        <v>0.523834</v>
      </c>
      <c r="BO30" s="28" t="n">
        <v>0.523834</v>
      </c>
      <c r="BP30" s="25" t="n"/>
      <c r="BQ30" s="27" t="n">
        <v>1.909</v>
      </c>
      <c r="BR30" s="28" t="n"/>
      <c r="BS30" s="28" t="n"/>
      <c r="BT30" s="28" t="n"/>
      <c r="BU30" s="25" t="n"/>
      <c r="BV30" s="29" t="n">
        <v>1.88</v>
      </c>
      <c r="BW30" s="24" t="n"/>
      <c r="BX30" s="30" t="n"/>
      <c r="BY30" s="27" t="n"/>
      <c r="BZ30" s="24" t="n"/>
      <c r="CA30" s="31" t="n"/>
      <c r="CB30" s="24" t="n"/>
      <c r="CC30" s="24" t="inlineStr">
        <is>
          <t>0.579818</t>
        </is>
      </c>
      <c r="CD30" s="24" t="inlineStr">
        <is>
          <t>-0.645258</t>
        </is>
      </c>
      <c r="CE30" s="24" t="inlineStr">
        <is>
          <t>0.92</t>
        </is>
      </c>
      <c r="CF30" s="24" t="inlineStr">
        <is>
          <t>1.0</t>
        </is>
      </c>
      <c r="CG30" s="24" t="inlineStr">
        <is>
          <t>4.2</t>
        </is>
      </c>
      <c r="CH30" s="24" t="n"/>
      <c r="CI30" s="24" t="n"/>
      <c r="CJ30" s="24" t="n"/>
      <c r="CK30" s="24" t="n"/>
      <c r="CL30" s="24" t="n"/>
      <c r="CM30" s="24" t="n"/>
    </row>
    <row r="31" ht="18" customHeight="1">
      <c r="A31" s="24" t="inlineStr">
        <is>
          <t>05ebd1c015874fbf</t>
        </is>
      </c>
      <c r="B31" s="24" t="inlineStr">
        <is>
          <t>2026-07-22T22:42:56Z</t>
        </is>
      </c>
      <c r="C31" s="24" t="inlineStr">
        <is>
          <t>2026-07-19T02:05Z</t>
        </is>
      </c>
      <c r="D31" s="24" t="inlineStr">
        <is>
          <t>401816170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-110</v>
      </c>
      <c r="M31" s="27" t="n">
        <v>1.909091</v>
      </c>
      <c r="N31" s="28" t="n">
        <v>0.52381</v>
      </c>
      <c r="O31" s="28" t="n">
        <v>0.686028</v>
      </c>
      <c r="P31" s="28" t="n">
        <v>0.05</v>
      </c>
      <c r="Q31" s="28" t="n">
        <v>0.162218</v>
      </c>
      <c r="R31" s="26" t="n">
        <v>100</v>
      </c>
      <c r="S31" s="29" t="n">
        <v>0</v>
      </c>
      <c r="T31" s="24" t="inlineStr">
        <is>
          <t>mlb-elo-trend-lr-v5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15</v>
      </c>
      <c r="Y31" s="25" t="n"/>
      <c r="Z31" s="26" t="n"/>
      <c r="AA31" s="28" t="n"/>
      <c r="AB31" s="28" t="n"/>
      <c r="AC31" s="30" t="n">
        <v>0.7907999999999999</v>
      </c>
      <c r="AD31" s="24" t="inlineStr">
        <is>
          <t>2026-07-22T23:40:14.758560Z</t>
        </is>
      </c>
      <c r="AE31" s="31" t="n"/>
      <c r="AF31" s="31" t="n"/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RESEARCH_OBSERVATION</t>
        </is>
      </c>
      <c r="AO31" s="24" t="inlineStr">
        <is>
          <t>NO_CALL_MODEL_UNVALIDATED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8a12d027cf1d2c206cb369c47da80e014f8ac4dfc414ffee96ae34656c46fef5</t>
        </is>
      </c>
      <c r="BB31" s="24" t="inlineStr">
        <is>
          <t>identity</t>
        </is>
      </c>
      <c r="BC31" s="24" t="inlineStr">
        <is>
          <t>identity-v1</t>
        </is>
      </c>
      <c r="BD31" s="24" t="n"/>
      <c r="BE31" s="24" t="inlineStr">
        <is>
          <t>1</t>
        </is>
      </c>
      <c r="BF31" s="24" t="inlineStr">
        <is>
          <t>1</t>
        </is>
      </c>
      <c r="BG31" s="24" t="n"/>
      <c r="BH31" s="24" t="inlineStr">
        <is>
          <t>2026-07-22T22:42:56Z</t>
        </is>
      </c>
      <c r="BI31" s="24" t="n"/>
      <c r="BJ31" s="25" t="n"/>
      <c r="BK31" s="26" t="n">
        <v>-110</v>
      </c>
      <c r="BL31" s="27" t="n">
        <v>1.909</v>
      </c>
      <c r="BM31" s="28" t="n">
        <v>0.523834</v>
      </c>
      <c r="BN31" s="28" t="n">
        <v>0.523834</v>
      </c>
      <c r="BO31" s="28" t="n">
        <v>0.523834</v>
      </c>
      <c r="BP31" s="25" t="n"/>
      <c r="BQ31" s="27" t="n"/>
      <c r="BR31" s="28" t="n"/>
      <c r="BS31" s="28" t="n"/>
      <c r="BT31" s="28" t="n"/>
      <c r="BU31" s="25" t="n"/>
      <c r="BV31" s="29" t="n">
        <v>0.87</v>
      </c>
      <c r="BW31" s="24" t="n"/>
      <c r="BX31" s="30" t="n"/>
      <c r="BY31" s="27" t="n"/>
      <c r="BZ31" s="24" t="n"/>
      <c r="CA31" s="31" t="n"/>
      <c r="CB31" s="24" t="n"/>
      <c r="CC31" s="24" t="inlineStr">
        <is>
          <t>0.492793</t>
        </is>
      </c>
      <c r="CD31" s="24" t="inlineStr">
        <is>
          <t>-3.898252</t>
        </is>
      </c>
      <c r="CE31" s="24" t="inlineStr">
        <is>
          <t>0.98</t>
        </is>
      </c>
      <c r="CF31" s="24" t="inlineStr">
        <is>
          <t>1.0</t>
        </is>
      </c>
      <c r="CG31" s="24" t="inlineStr">
        <is>
          <t>6.2</t>
        </is>
      </c>
      <c r="CH31" s="24" t="n"/>
      <c r="CI31" s="24" t="n"/>
      <c r="CJ31" s="24" t="n"/>
      <c r="CK31" s="24" t="n"/>
      <c r="CL31" s="24" t="n"/>
      <c r="CM31" s="24" t="n"/>
    </row>
    <row r="32" ht="18" customHeight="1">
      <c r="A32" s="24" t="inlineStr">
        <is>
          <t>3ef8051bf66c4575</t>
        </is>
      </c>
      <c r="B32" s="24" t="inlineStr">
        <is>
          <t>2026-07-22T22:42:56Z</t>
        </is>
      </c>
      <c r="C32" s="24" t="inlineStr">
        <is>
          <t>2026-07-19T02:07Z</t>
        </is>
      </c>
      <c r="D32" s="24" t="inlineStr">
        <is>
          <t>401816167</t>
        </is>
      </c>
      <c r="E32" s="24" t="inlineStr">
        <is>
          <t>MLB</t>
        </is>
      </c>
      <c r="F32" s="24" t="inlineStr">
        <is>
          <t>Detroit Tigers</t>
        </is>
      </c>
      <c r="G32" s="24" t="inlineStr">
        <is>
          <t>Los Angeles Angels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-110</v>
      </c>
      <c r="M32" s="27" t="n">
        <v>1.909091</v>
      </c>
      <c r="N32" s="28" t="n">
        <v>0.52381</v>
      </c>
      <c r="O32" s="28" t="n">
        <v>0.473734</v>
      </c>
      <c r="P32" s="28" t="n">
        <v>0.05</v>
      </c>
      <c r="Q32" s="28" t="n">
        <v>-0.050076</v>
      </c>
      <c r="R32" s="26" t="n">
        <v>0</v>
      </c>
      <c r="S32" s="29" t="n">
        <v>0</v>
      </c>
      <c r="T32" s="24" t="inlineStr">
        <is>
          <t>mlb-elo-trend-lr-v5</t>
        </is>
      </c>
      <c r="U32" s="24" t="inlineStr">
        <is>
          <t>settled</t>
        </is>
      </c>
      <c r="V32" s="24" t="inlineStr">
        <is>
          <t>loss</t>
        </is>
      </c>
      <c r="W32" s="26" t="n">
        <v>2</v>
      </c>
      <c r="X32" s="26" t="n">
        <v>3</v>
      </c>
      <c r="Y32" s="25" t="n"/>
      <c r="Z32" s="26" t="n">
        <v>-110</v>
      </c>
      <c r="AA32" s="28" t="n">
        <v>0.523834</v>
      </c>
      <c r="AB32" s="28" t="n"/>
      <c r="AC32" s="30" t="n">
        <v>-0.5</v>
      </c>
      <c r="AD32" s="24" t="inlineStr">
        <is>
          <t>2026-07-22T23:44:22Z</t>
        </is>
      </c>
      <c r="AE32" s="31" t="n"/>
      <c r="AF32" s="31" t="n"/>
      <c r="AG32" s="24" t="n"/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RESEARCH_OBSERVATION</t>
        </is>
      </c>
      <c r="AO32" s="24" t="inlineStr">
        <is>
          <t>NO_CALL_MODEL_UNVALIDATED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8a12d027cf1d2c206cb369c47da80e014f8ac4dfc414ffee96ae34656c46fef5</t>
        </is>
      </c>
      <c r="BB32" s="24" t="inlineStr">
        <is>
          <t>identity</t>
        </is>
      </c>
      <c r="BC32" s="24" t="inlineStr">
        <is>
          <t>identity-v1</t>
        </is>
      </c>
      <c r="BD32" s="24" t="n"/>
      <c r="BE32" s="24" t="inlineStr">
        <is>
          <t>1</t>
        </is>
      </c>
      <c r="BF32" s="24" t="inlineStr">
        <is>
          <t>1</t>
        </is>
      </c>
      <c r="BG32" s="24" t="n"/>
      <c r="BH32" s="24" t="inlineStr">
        <is>
          <t>2026-07-22T22:42:56Z</t>
        </is>
      </c>
      <c r="BI32" s="24" t="n"/>
      <c r="BJ32" s="25" t="n"/>
      <c r="BK32" s="26" t="n">
        <v>-110</v>
      </c>
      <c r="BL32" s="27" t="n">
        <v>1.909</v>
      </c>
      <c r="BM32" s="28" t="n">
        <v>0.523834</v>
      </c>
      <c r="BN32" s="28" t="n">
        <v>0.523834</v>
      </c>
      <c r="BO32" s="28" t="n">
        <v>0.523834</v>
      </c>
      <c r="BP32" s="25" t="n"/>
      <c r="BQ32" s="27" t="n">
        <v>1.909</v>
      </c>
      <c r="BR32" s="28" t="n"/>
      <c r="BS32" s="28" t="n"/>
      <c r="BT32" s="28" t="n"/>
      <c r="BU32" s="25" t="n"/>
      <c r="BV32" s="29" t="n">
        <v>0.5</v>
      </c>
      <c r="BW32" s="24" t="n"/>
      <c r="BX32" s="30" t="n"/>
      <c r="BY32" s="27" t="n"/>
      <c r="BZ32" s="24" t="n"/>
      <c r="CA32" s="31" t="n"/>
      <c r="CB32" s="24" t="n"/>
      <c r="CC32" s="24" t="inlineStr">
        <is>
          <t>0.433731</t>
        </is>
      </c>
      <c r="CD32" s="24" t="inlineStr">
        <is>
          <t>-0.055221</t>
        </is>
      </c>
      <c r="CE32" s="24" t="inlineStr">
        <is>
          <t>1.01</t>
        </is>
      </c>
      <c r="CF32" s="24" t="inlineStr">
        <is>
          <t>1.0159</t>
        </is>
      </c>
      <c r="CG32" s="24" t="inlineStr">
        <is>
          <t>1.6</t>
        </is>
      </c>
      <c r="CH32" s="24" t="n"/>
      <c r="CI32" s="24" t="n"/>
      <c r="CJ32" s="24" t="n"/>
      <c r="CK32" s="24" t="n"/>
      <c r="CL32" s="24" t="n"/>
      <c r="CM32" s="24" t="n"/>
    </row>
    <row r="33" ht="18" customHeight="1">
      <c r="A33" s="24" t="inlineStr">
        <is>
          <t>3d36f9ab09ac4b54</t>
        </is>
      </c>
      <c r="B33" s="24" t="inlineStr">
        <is>
          <t>2026-07-22T22:42:56Z</t>
        </is>
      </c>
      <c r="C33" s="24" t="inlineStr">
        <is>
          <t>2026-07-19T16:15Z</t>
        </is>
      </c>
      <c r="D33" s="24" t="inlineStr">
        <is>
          <t>401816171</t>
        </is>
      </c>
      <c r="E33" s="24" t="inlineStr">
        <is>
          <t>MLB</t>
        </is>
      </c>
      <c r="F33" s="24" t="inlineStr">
        <is>
          <t>Chicago White Sox</t>
        </is>
      </c>
      <c r="G33" s="24" t="inlineStr">
        <is>
          <t>Toronto Blue Jays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-110</v>
      </c>
      <c r="M33" s="27" t="n">
        <v>1.909091</v>
      </c>
      <c r="N33" s="28" t="n">
        <v>0.52381</v>
      </c>
      <c r="O33" s="28" t="n">
        <v>0.617167</v>
      </c>
      <c r="P33" s="28" t="n">
        <v>0.05</v>
      </c>
      <c r="Q33" s="28" t="n">
        <v>0.093357</v>
      </c>
      <c r="R33" s="26" t="n">
        <v>67</v>
      </c>
      <c r="S33" s="29" t="n">
        <v>0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loss</t>
        </is>
      </c>
      <c r="W33" s="26" t="n">
        <v>3</v>
      </c>
      <c r="X33" s="26" t="n">
        <v>0</v>
      </c>
      <c r="Y33" s="25" t="n"/>
      <c r="Z33" s="26" t="n"/>
      <c r="AA33" s="28" t="n"/>
      <c r="AB33" s="28" t="n"/>
      <c r="AC33" s="30" t="n">
        <v>-0.97</v>
      </c>
      <c r="AD33" s="24" t="inlineStr">
        <is>
          <t>2026-07-22T23:40:15.987791Z</t>
        </is>
      </c>
      <c r="AE33" s="31" t="n"/>
      <c r="AF33" s="31" t="n"/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RESEARCH_OBSERVATION</t>
        </is>
      </c>
      <c r="AO33" s="24" t="inlineStr">
        <is>
          <t>NO_CALL_MODEL_UNVALIDATED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8a12d027cf1d2c206cb369c47da80e014f8ac4dfc414ffee96ae34656c46fef5</t>
        </is>
      </c>
      <c r="BB33" s="24" t="inlineStr">
        <is>
          <t>identity</t>
        </is>
      </c>
      <c r="BC33" s="24" t="inlineStr">
        <is>
          <t>identity-v1</t>
        </is>
      </c>
      <c r="BD33" s="24" t="n"/>
      <c r="BE33" s="24" t="inlineStr">
        <is>
          <t>1</t>
        </is>
      </c>
      <c r="BF33" s="24" t="inlineStr">
        <is>
          <t>1</t>
        </is>
      </c>
      <c r="BG33" s="24" t="n"/>
      <c r="BH33" s="24" t="inlineStr">
        <is>
          <t>2026-07-22T22:42:56Z</t>
        </is>
      </c>
      <c r="BI33" s="24" t="n"/>
      <c r="BJ33" s="25" t="n"/>
      <c r="BK33" s="26" t="n">
        <v>-110</v>
      </c>
      <c r="BL33" s="27" t="n">
        <v>1.909</v>
      </c>
      <c r="BM33" s="28" t="n">
        <v>0.523834</v>
      </c>
      <c r="BN33" s="28" t="n">
        <v>0.523834</v>
      </c>
      <c r="BO33" s="28" t="n">
        <v>0.523834</v>
      </c>
      <c r="BP33" s="25" t="n"/>
      <c r="BQ33" s="27" t="n"/>
      <c r="BR33" s="28" t="n"/>
      <c r="BS33" s="28" t="n"/>
      <c r="BT33" s="28" t="n"/>
      <c r="BU33" s="25" t="n"/>
      <c r="BV33" s="29" t="n">
        <v>0.97</v>
      </c>
      <c r="BW33" s="24" t="n"/>
      <c r="BX33" s="30" t="n"/>
      <c r="BY33" s="27" t="n"/>
      <c r="BZ33" s="24" t="n"/>
      <c r="CA33" s="31" t="n"/>
      <c r="CB33" s="24" t="n"/>
      <c r="CC33" s="24" t="inlineStr">
        <is>
          <t>0.554047</t>
        </is>
      </c>
      <c r="CD33" s="24" t="inlineStr">
        <is>
          <t>-0.015246</t>
        </is>
      </c>
      <c r="CE33" s="24" t="inlineStr">
        <is>
          <t>1.0</t>
        </is>
      </c>
      <c r="CF33" s="24" t="inlineStr">
        <is>
          <t>1.0</t>
        </is>
      </c>
      <c r="CG33" s="24" t="inlineStr">
        <is>
          <t>4.2</t>
        </is>
      </c>
      <c r="CH33" s="24" t="n"/>
      <c r="CI33" s="24" t="n"/>
      <c r="CJ33" s="24" t="n"/>
      <c r="CK33" s="24" t="n"/>
      <c r="CL33" s="24" t="n"/>
      <c r="CM33" s="24" t="n"/>
    </row>
    <row r="34" ht="18" customHeight="1">
      <c r="A34" s="24" t="inlineStr">
        <is>
          <t>a523828dfb3040cc</t>
        </is>
      </c>
      <c r="B34" s="24" t="inlineStr">
        <is>
          <t>2026-07-22T22:42:56Z</t>
        </is>
      </c>
      <c r="C34" s="24" t="inlineStr">
        <is>
          <t>2026-07-19T16:35Z</t>
        </is>
      </c>
      <c r="D34" s="24" t="inlineStr">
        <is>
          <t>401897386</t>
        </is>
      </c>
      <c r="E34" s="24" t="inlineStr">
        <is>
          <t>MLB</t>
        </is>
      </c>
      <c r="F34" s="24" t="inlineStr">
        <is>
          <t>Los Angeles Dodgers</t>
        </is>
      </c>
      <c r="G34" s="24" t="inlineStr">
        <is>
          <t>New York Yankees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-110</v>
      </c>
      <c r="M34" s="27" t="n">
        <v>1.909091</v>
      </c>
      <c r="N34" s="28" t="n">
        <v>0.52381</v>
      </c>
      <c r="O34" s="28" t="n">
        <v>0.428458</v>
      </c>
      <c r="P34" s="28" t="n">
        <v>0.05</v>
      </c>
      <c r="Q34" s="28" t="n">
        <v>-0.09535200000000001</v>
      </c>
      <c r="R34" s="26" t="n">
        <v>0</v>
      </c>
      <c r="S34" s="29" t="n">
        <v>0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8</v>
      </c>
      <c r="X34" s="26" t="n">
        <v>2</v>
      </c>
      <c r="Y34" s="25" t="n"/>
      <c r="Z34" s="26" t="n"/>
      <c r="AA34" s="28" t="n"/>
      <c r="AB34" s="28" t="n"/>
      <c r="AC34" s="30" t="n">
        <v>0.4545</v>
      </c>
      <c r="AD34" s="24" t="inlineStr">
        <is>
          <t>2026-07-22T23:40:16.678005Z</t>
        </is>
      </c>
      <c r="AE34" s="31" t="n"/>
      <c r="AF34" s="31" t="n"/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RESEARCH_OBSERVATION</t>
        </is>
      </c>
      <c r="AO34" s="24" t="inlineStr">
        <is>
          <t>NO_CALL_MODEL_UNVALIDATED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8a12d027cf1d2c206cb369c47da80e014f8ac4dfc414ffee96ae34656c46fef5</t>
        </is>
      </c>
      <c r="BB34" s="24" t="inlineStr">
        <is>
          <t>identity</t>
        </is>
      </c>
      <c r="BC34" s="24" t="inlineStr">
        <is>
          <t>identity-v1</t>
        </is>
      </c>
      <c r="BD34" s="24" t="n"/>
      <c r="BE34" s="24" t="inlineStr">
        <is>
          <t>1</t>
        </is>
      </c>
      <c r="BF34" s="24" t="inlineStr">
        <is>
          <t>1</t>
        </is>
      </c>
      <c r="BG34" s="24" t="n"/>
      <c r="BH34" s="24" t="inlineStr">
        <is>
          <t>2026-07-22T22:42:56Z</t>
        </is>
      </c>
      <c r="BI34" s="24" t="n"/>
      <c r="BJ34" s="25" t="n"/>
      <c r="BK34" s="26" t="n">
        <v>-110</v>
      </c>
      <c r="BL34" s="27" t="n">
        <v>1.909</v>
      </c>
      <c r="BM34" s="28" t="n">
        <v>0.523834</v>
      </c>
      <c r="BN34" s="28" t="n">
        <v>0.523834</v>
      </c>
      <c r="BO34" s="28" t="n">
        <v>0.523834</v>
      </c>
      <c r="BP34" s="25" t="n"/>
      <c r="BQ34" s="27" t="n"/>
      <c r="BR34" s="28" t="n"/>
      <c r="BS34" s="28" t="n"/>
      <c r="BT34" s="28" t="n"/>
      <c r="BU34" s="25" t="n"/>
      <c r="BV34" s="29" t="n">
        <v>0.5</v>
      </c>
      <c r="BW34" s="24" t="n"/>
      <c r="BX34" s="30" t="n"/>
      <c r="BY34" s="27" t="n"/>
      <c r="BZ34" s="24" t="n"/>
      <c r="CA34" s="31" t="n"/>
      <c r="CB34" s="24" t="n"/>
      <c r="CC34" s="24" t="inlineStr">
        <is>
          <t>0.482732</t>
        </is>
      </c>
      <c r="CD34" s="24" t="inlineStr">
        <is>
          <t>0.895465</t>
        </is>
      </c>
      <c r="CE34" s="24" t="inlineStr">
        <is>
          <t>0.99</t>
        </is>
      </c>
      <c r="CF34" s="24" t="inlineStr">
        <is>
          <t>1.025</t>
        </is>
      </c>
      <c r="CG34" s="24" t="inlineStr">
        <is>
          <t>-2.6</t>
        </is>
      </c>
      <c r="CH34" s="24" t="n"/>
      <c r="CI34" s="24" t="n"/>
      <c r="CJ34" s="24" t="n"/>
      <c r="CK34" s="24" t="n"/>
      <c r="CL34" s="24" t="n"/>
      <c r="CM34" s="24" t="n"/>
    </row>
    <row r="35" ht="18" customHeight="1">
      <c r="A35" s="24" t="inlineStr">
        <is>
          <t>2d4b16d2c8aa4e31</t>
        </is>
      </c>
      <c r="B35" s="24" t="inlineStr">
        <is>
          <t>2026-07-22T22:42:56Z</t>
        </is>
      </c>
      <c r="C35" s="24" t="inlineStr">
        <is>
          <t>2026-07-19T17:35Z</t>
        </is>
      </c>
      <c r="D35" s="24" t="inlineStr">
        <is>
          <t>401816173</t>
        </is>
      </c>
      <c r="E35" s="24" t="inlineStr">
        <is>
          <t>MLB</t>
        </is>
      </c>
      <c r="F35" s="24" t="inlineStr">
        <is>
          <t>New York Mets</t>
        </is>
      </c>
      <c r="G35" s="24" t="inlineStr">
        <is>
          <t>Philadelphia Phillies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-110</v>
      </c>
      <c r="M35" s="27" t="n">
        <v>1.909091</v>
      </c>
      <c r="N35" s="28" t="n">
        <v>0.52381</v>
      </c>
      <c r="O35" s="28" t="n">
        <v>0.572051</v>
      </c>
      <c r="P35" s="28" t="n">
        <v>0.05</v>
      </c>
      <c r="Q35" s="28" t="n">
        <v>0.048242</v>
      </c>
      <c r="R35" s="26" t="n">
        <v>44</v>
      </c>
      <c r="S35" s="29" t="n">
        <v>0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6</v>
      </c>
      <c r="X35" s="26" t="n">
        <v>1</v>
      </c>
      <c r="Y35" s="25" t="n"/>
      <c r="Z35" s="26" t="n">
        <v>-110</v>
      </c>
      <c r="AA35" s="28" t="n">
        <v>0.523834</v>
      </c>
      <c r="AB35" s="28" t="n"/>
      <c r="AC35" s="30" t="n">
        <v>-1.52</v>
      </c>
      <c r="AD35" s="24" t="inlineStr">
        <is>
          <t>2026-07-22T23:44:22Z</t>
        </is>
      </c>
      <c r="AE35" s="31" t="n"/>
      <c r="AF35" s="31" t="n"/>
      <c r="AG35" s="24" t="n"/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RESEARCH_OBSERVATION</t>
        </is>
      </c>
      <c r="AO35" s="24" t="inlineStr">
        <is>
          <t>NO_CALL_MODEL_UNVALIDATED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8a12d027cf1d2c206cb369c47da80e014f8ac4dfc414ffee96ae34656c46fef5</t>
        </is>
      </c>
      <c r="BB35" s="24" t="inlineStr">
        <is>
          <t>identity</t>
        </is>
      </c>
      <c r="BC35" s="24" t="inlineStr">
        <is>
          <t>identity-v1</t>
        </is>
      </c>
      <c r="BD35" s="24" t="n"/>
      <c r="BE35" s="24" t="inlineStr">
        <is>
          <t>1</t>
        </is>
      </c>
      <c r="BF35" s="24" t="inlineStr">
        <is>
          <t>1</t>
        </is>
      </c>
      <c r="BG35" s="24" t="n"/>
      <c r="BH35" s="24" t="inlineStr">
        <is>
          <t>2026-07-22T22:42:56Z</t>
        </is>
      </c>
      <c r="BI35" s="24" t="n"/>
      <c r="BJ35" s="25" t="n"/>
      <c r="BK35" s="26" t="n">
        <v>-110</v>
      </c>
      <c r="BL35" s="27" t="n">
        <v>1.909</v>
      </c>
      <c r="BM35" s="28" t="n">
        <v>0.523834</v>
      </c>
      <c r="BN35" s="28" t="n">
        <v>0.523834</v>
      </c>
      <c r="BO35" s="28" t="n">
        <v>0.523834</v>
      </c>
      <c r="BP35" s="25" t="n"/>
      <c r="BQ35" s="27" t="n">
        <v>1.909</v>
      </c>
      <c r="BR35" s="28" t="n"/>
      <c r="BS35" s="28" t="n"/>
      <c r="BT35" s="28" t="n"/>
      <c r="BU35" s="25" t="n"/>
      <c r="BV35" s="29" t="n">
        <v>1.52</v>
      </c>
      <c r="BW35" s="24" t="n"/>
      <c r="BX35" s="30" t="n"/>
      <c r="BY35" s="27" t="n"/>
      <c r="BZ35" s="24" t="n"/>
      <c r="CA35" s="31" t="n"/>
      <c r="CB35" s="24" t="n"/>
      <c r="CC35" s="24" t="inlineStr">
        <is>
          <t>0.637605</t>
        </is>
      </c>
      <c r="CD35" s="24" t="inlineStr">
        <is>
          <t>0.581983</t>
        </is>
      </c>
      <c r="CE35" s="24" t="inlineStr">
        <is>
          <t>1.01</t>
        </is>
      </c>
      <c r="CF35" s="24" t="inlineStr">
        <is>
          <t>1.0126</t>
        </is>
      </c>
      <c r="CG35" s="24" t="inlineStr">
        <is>
          <t>-1.8</t>
        </is>
      </c>
      <c r="CH35" s="24" t="n"/>
      <c r="CI35" s="24" t="n"/>
      <c r="CJ35" s="24" t="n"/>
      <c r="CK35" s="24" t="n"/>
      <c r="CL35" s="24" t="n"/>
      <c r="CM35" s="24" t="n"/>
    </row>
    <row r="36" ht="18" customHeight="1">
      <c r="A36" s="24" t="inlineStr">
        <is>
          <t>b19064bd6dfa4c38</t>
        </is>
      </c>
      <c r="B36" s="24" t="inlineStr">
        <is>
          <t>2026-07-22T22:42:56Z</t>
        </is>
      </c>
      <c r="C36" s="24" t="inlineStr">
        <is>
          <t>2026-07-19T17:35Z</t>
        </is>
      </c>
      <c r="D36" s="24" t="inlineStr">
        <is>
          <t>401816175</t>
        </is>
      </c>
      <c r="E36" s="24" t="inlineStr">
        <is>
          <t>MLB</t>
        </is>
      </c>
      <c r="F36" s="24" t="inlineStr">
        <is>
          <t>Tampa Bay Rays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-110</v>
      </c>
      <c r="M36" s="27" t="n">
        <v>1.909091</v>
      </c>
      <c r="N36" s="28" t="n">
        <v>0.52381</v>
      </c>
      <c r="O36" s="28" t="n">
        <v>0.464192</v>
      </c>
      <c r="P36" s="28" t="n">
        <v>0.05</v>
      </c>
      <c r="Q36" s="28" t="n">
        <v>-0.059618</v>
      </c>
      <c r="R36" s="26" t="n">
        <v>0</v>
      </c>
      <c r="S36" s="29" t="n">
        <v>0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6</v>
      </c>
      <c r="Y36" s="25" t="n"/>
      <c r="Z36" s="26" t="n">
        <v>-110</v>
      </c>
      <c r="AA36" s="28" t="n">
        <v>0.523834</v>
      </c>
      <c r="AB36" s="28" t="n"/>
      <c r="AC36" s="30" t="n">
        <v>0.4545</v>
      </c>
      <c r="AD36" s="24" t="inlineStr">
        <is>
          <t>2026-07-22T23:44:22Z</t>
        </is>
      </c>
      <c r="AE36" s="31" t="n"/>
      <c r="AF36" s="31" t="n"/>
      <c r="AG36" s="24" t="n"/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RESEARCH_OBSERVATION</t>
        </is>
      </c>
      <c r="AO36" s="24" t="inlineStr">
        <is>
          <t>NO_CALL_MODEL_UNVALIDATED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8a12d027cf1d2c206cb369c47da80e014f8ac4dfc414ffee96ae34656c46fef5</t>
        </is>
      </c>
      <c r="BB36" s="24" t="inlineStr">
        <is>
          <t>identity</t>
        </is>
      </c>
      <c r="BC36" s="24" t="inlineStr">
        <is>
          <t>identity-v1</t>
        </is>
      </c>
      <c r="BD36" s="24" t="n"/>
      <c r="BE36" s="24" t="inlineStr">
        <is>
          <t>1</t>
        </is>
      </c>
      <c r="BF36" s="24" t="inlineStr">
        <is>
          <t>1</t>
        </is>
      </c>
      <c r="BG36" s="24" t="n"/>
      <c r="BH36" s="24" t="inlineStr">
        <is>
          <t>2026-07-22T22:42:56Z</t>
        </is>
      </c>
      <c r="BI36" s="24" t="n"/>
      <c r="BJ36" s="25" t="n"/>
      <c r="BK36" s="26" t="n">
        <v>-110</v>
      </c>
      <c r="BL36" s="27" t="n">
        <v>1.909</v>
      </c>
      <c r="BM36" s="28" t="n">
        <v>0.523834</v>
      </c>
      <c r="BN36" s="28" t="n">
        <v>0.523834</v>
      </c>
      <c r="BO36" s="28" t="n">
        <v>0.523834</v>
      </c>
      <c r="BP36" s="25" t="n"/>
      <c r="BQ36" s="27" t="n">
        <v>1.909</v>
      </c>
      <c r="BR36" s="28" t="n"/>
      <c r="BS36" s="28" t="n"/>
      <c r="BT36" s="28" t="n"/>
      <c r="BU36" s="25" t="n"/>
      <c r="BV36" s="29" t="n">
        <v>0.5</v>
      </c>
      <c r="BW36" s="24" t="n"/>
      <c r="BX36" s="30" t="n"/>
      <c r="BY36" s="27" t="n"/>
      <c r="BZ36" s="24" t="n"/>
      <c r="CA36" s="31" t="n"/>
      <c r="CB36" s="24" t="n"/>
      <c r="CC36" s="24" t="inlineStr">
        <is>
          <t>0.585281</t>
        </is>
      </c>
      <c r="CD36" s="24" t="inlineStr">
        <is>
          <t>1.540025</t>
        </is>
      </c>
      <c r="CE36" s="24" t="inlineStr">
        <is>
          <t>1.04</t>
        </is>
      </c>
      <c r="CF36" s="24" t="inlineStr">
        <is>
          <t>1.0</t>
        </is>
      </c>
      <c r="CG36" s="24" t="inlineStr">
        <is>
          <t>-4.0</t>
        </is>
      </c>
      <c r="CH36" s="24" t="n"/>
      <c r="CI36" s="24" t="n"/>
      <c r="CJ36" s="24" t="n"/>
      <c r="CK36" s="24" t="n"/>
      <c r="CL36" s="24" t="n"/>
      <c r="CM36" s="24" t="n"/>
    </row>
    <row r="37" ht="18" customHeight="1">
      <c r="A37" s="24" t="inlineStr">
        <is>
          <t>143a71c6b11249c6</t>
        </is>
      </c>
      <c r="B37" s="24" t="inlineStr">
        <is>
          <t>2026-07-22T22:42:56Z</t>
        </is>
      </c>
      <c r="C37" s="24" t="inlineStr">
        <is>
          <t>2026-07-19T17:35Z</t>
        </is>
      </c>
      <c r="D37" s="24" t="inlineStr">
        <is>
          <t>401816176</t>
        </is>
      </c>
      <c r="E37" s="24" t="inlineStr">
        <is>
          <t>MLB</t>
        </is>
      </c>
      <c r="F37" s="24" t="inlineStr">
        <is>
          <t>Texas Rangers</t>
        </is>
      </c>
      <c r="G37" s="24" t="inlineStr">
        <is>
          <t>Atlanta Braves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-110</v>
      </c>
      <c r="M37" s="27" t="n">
        <v>1.909091</v>
      </c>
      <c r="N37" s="28" t="n">
        <v>0.52381</v>
      </c>
      <c r="O37" s="28" t="n">
        <v>0.480982</v>
      </c>
      <c r="P37" s="28" t="n">
        <v>0.05</v>
      </c>
      <c r="Q37" s="28" t="n">
        <v>-0.042827</v>
      </c>
      <c r="R37" s="26" t="n">
        <v>0</v>
      </c>
      <c r="S37" s="29" t="n">
        <v>0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win</t>
        </is>
      </c>
      <c r="W37" s="26" t="n">
        <v>5</v>
      </c>
      <c r="X37" s="26" t="n">
        <v>8</v>
      </c>
      <c r="Y37" s="25" t="n"/>
      <c r="Z37" s="26" t="n">
        <v>-110</v>
      </c>
      <c r="AA37" s="28" t="n">
        <v>0.523834</v>
      </c>
      <c r="AB37" s="28" t="n"/>
      <c r="AC37" s="30" t="n">
        <v>0.4545</v>
      </c>
      <c r="AD37" s="24" t="inlineStr">
        <is>
          <t>2026-07-22T23:44:22Z</t>
        </is>
      </c>
      <c r="AE37" s="31" t="n"/>
      <c r="AF37" s="31" t="n"/>
      <c r="AG37" s="24" t="n"/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RESEARCH_OBSERVATION</t>
        </is>
      </c>
      <c r="AO37" s="24" t="inlineStr">
        <is>
          <t>NO_CALL_MODEL_UNVALIDATED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8a12d027cf1d2c206cb369c47da80e014f8ac4dfc414ffee96ae34656c46fef5</t>
        </is>
      </c>
      <c r="BB37" s="24" t="inlineStr">
        <is>
          <t>identity</t>
        </is>
      </c>
      <c r="BC37" s="24" t="inlineStr">
        <is>
          <t>identity-v1</t>
        </is>
      </c>
      <c r="BD37" s="24" t="n"/>
      <c r="BE37" s="24" t="inlineStr">
        <is>
          <t>1</t>
        </is>
      </c>
      <c r="BF37" s="24" t="inlineStr">
        <is>
          <t>1</t>
        </is>
      </c>
      <c r="BG37" s="24" t="n"/>
      <c r="BH37" s="24" t="inlineStr">
        <is>
          <t>2026-07-22T22:42:56Z</t>
        </is>
      </c>
      <c r="BI37" s="24" t="n"/>
      <c r="BJ37" s="25" t="n"/>
      <c r="BK37" s="26" t="n">
        <v>-110</v>
      </c>
      <c r="BL37" s="27" t="n">
        <v>1.909</v>
      </c>
      <c r="BM37" s="28" t="n">
        <v>0.523834</v>
      </c>
      <c r="BN37" s="28" t="n">
        <v>0.523834</v>
      </c>
      <c r="BO37" s="28" t="n">
        <v>0.523834</v>
      </c>
      <c r="BP37" s="25" t="n"/>
      <c r="BQ37" s="27" t="n">
        <v>1.909</v>
      </c>
      <c r="BR37" s="28" t="n"/>
      <c r="BS37" s="28" t="n"/>
      <c r="BT37" s="28" t="n"/>
      <c r="BU37" s="25" t="n"/>
      <c r="BV37" s="29" t="n">
        <v>0.5</v>
      </c>
      <c r="BW37" s="24" t="n"/>
      <c r="BX37" s="30" t="n"/>
      <c r="BY37" s="27" t="n"/>
      <c r="BZ37" s="24" t="n"/>
      <c r="CA37" s="31" t="n"/>
      <c r="CB37" s="24" t="n"/>
      <c r="CC37" s="24" t="inlineStr">
        <is>
          <t>0.591084</t>
        </is>
      </c>
      <c r="CD37" s="24" t="inlineStr">
        <is>
          <t>1.163887</t>
        </is>
      </c>
      <c r="CE37" s="24" t="inlineStr">
        <is>
          <t>1.01</t>
        </is>
      </c>
      <c r="CF37" s="24" t="inlineStr">
        <is>
          <t>1.0143</t>
        </is>
      </c>
      <c r="CG37" s="24" t="inlineStr">
        <is>
          <t>-4.2</t>
        </is>
      </c>
      <c r="CH37" s="24" t="n"/>
      <c r="CI37" s="24" t="n"/>
      <c r="CJ37" s="24" t="n"/>
      <c r="CK37" s="24" t="n"/>
      <c r="CL37" s="24" t="n"/>
      <c r="CM37" s="24" t="n"/>
    </row>
    <row r="38" ht="18" customHeight="1">
      <c r="A38" s="24" t="inlineStr">
        <is>
          <t>1da03dfd27834035</t>
        </is>
      </c>
      <c r="B38" s="24" t="inlineStr">
        <is>
          <t>2026-07-22T22:42:56Z</t>
        </is>
      </c>
      <c r="C38" s="24" t="inlineStr">
        <is>
          <t>2026-07-19T17:40Z</t>
        </is>
      </c>
      <c r="D38" s="24" t="inlineStr">
        <is>
          <t>401816174</t>
        </is>
      </c>
      <c r="E38" s="24" t="inlineStr">
        <is>
          <t>MLB</t>
        </is>
      </c>
      <c r="F38" s="24" t="inlineStr">
        <is>
          <t>Pittsburgh Pirates</t>
        </is>
      </c>
      <c r="G38" s="24" t="inlineStr">
        <is>
          <t>Cleveland Guardians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-110</v>
      </c>
      <c r="M38" s="27" t="n">
        <v>1.909091</v>
      </c>
      <c r="N38" s="28" t="n">
        <v>0.52381</v>
      </c>
      <c r="O38" s="28" t="n">
        <v>0.569777</v>
      </c>
      <c r="P38" s="28" t="n">
        <v>0.05</v>
      </c>
      <c r="Q38" s="28" t="n">
        <v>0.045967</v>
      </c>
      <c r="R38" s="26" t="n">
        <v>43</v>
      </c>
      <c r="S38" s="29" t="n">
        <v>0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1</v>
      </c>
      <c r="Y38" s="25" t="n"/>
      <c r="Z38" s="26" t="n">
        <v>-110</v>
      </c>
      <c r="AA38" s="28" t="n">
        <v>0.523834</v>
      </c>
      <c r="AB38" s="28" t="n"/>
      <c r="AC38" s="30" t="n">
        <v>-0.63</v>
      </c>
      <c r="AD38" s="24" t="inlineStr">
        <is>
          <t>2026-07-22T23:44:22Z</t>
        </is>
      </c>
      <c r="AE38" s="31" t="n"/>
      <c r="AF38" s="31" t="n"/>
      <c r="AG38" s="24" t="n"/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RESEARCH_OBSERVATION</t>
        </is>
      </c>
      <c r="AO38" s="24" t="inlineStr">
        <is>
          <t>NO_CALL_MODEL_UNVALIDATED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8a12d027cf1d2c206cb369c47da80e014f8ac4dfc414ffee96ae34656c46fef5</t>
        </is>
      </c>
      <c r="BB38" s="24" t="inlineStr">
        <is>
          <t>identity</t>
        </is>
      </c>
      <c r="BC38" s="24" t="inlineStr">
        <is>
          <t>identity-v1</t>
        </is>
      </c>
      <c r="BD38" s="24" t="n"/>
      <c r="BE38" s="24" t="inlineStr">
        <is>
          <t>1</t>
        </is>
      </c>
      <c r="BF38" s="24" t="inlineStr">
        <is>
          <t>1</t>
        </is>
      </c>
      <c r="BG38" s="24" t="n"/>
      <c r="BH38" s="24" t="inlineStr">
        <is>
          <t>2026-07-22T22:42:56Z</t>
        </is>
      </c>
      <c r="BI38" s="24" t="n"/>
      <c r="BJ38" s="25" t="n"/>
      <c r="BK38" s="26" t="n">
        <v>-110</v>
      </c>
      <c r="BL38" s="27" t="n">
        <v>1.909</v>
      </c>
      <c r="BM38" s="28" t="n">
        <v>0.523834</v>
      </c>
      <c r="BN38" s="28" t="n">
        <v>0.523834</v>
      </c>
      <c r="BO38" s="28" t="n">
        <v>0.523834</v>
      </c>
      <c r="BP38" s="25" t="n"/>
      <c r="BQ38" s="27" t="n">
        <v>1.909</v>
      </c>
      <c r="BR38" s="28" t="n"/>
      <c r="BS38" s="28" t="n"/>
      <c r="BT38" s="28" t="n"/>
      <c r="BU38" s="25" t="n"/>
      <c r="BV38" s="29" t="n">
        <v>0.63</v>
      </c>
      <c r="BW38" s="24" t="n"/>
      <c r="BX38" s="30" t="n"/>
      <c r="BY38" s="27" t="n"/>
      <c r="BZ38" s="24" t="n"/>
      <c r="CA38" s="31" t="n"/>
      <c r="CB38" s="24" t="n"/>
      <c r="CC38" s="24" t="inlineStr">
        <is>
          <t>0.542262</t>
        </is>
      </c>
      <c r="CD38" s="24" t="inlineStr">
        <is>
          <t>-1.551572</t>
        </is>
      </c>
      <c r="CE38" s="24" t="inlineStr">
        <is>
          <t>0.97</t>
        </is>
      </c>
      <c r="CF38" s="24" t="inlineStr">
        <is>
          <t>0.9986</t>
        </is>
      </c>
      <c r="CG38" s="24" t="inlineStr">
        <is>
          <t>-0.8</t>
        </is>
      </c>
      <c r="CH38" s="24" t="n"/>
      <c r="CI38" s="24" t="n"/>
      <c r="CJ38" s="24" t="n"/>
      <c r="CK38" s="24" t="n"/>
      <c r="CL38" s="24" t="n"/>
      <c r="CM38" s="24" t="n"/>
    </row>
    <row r="39" ht="18" customHeight="1">
      <c r="A39" s="24" t="inlineStr">
        <is>
          <t>248cc68d92b64421</t>
        </is>
      </c>
      <c r="B39" s="24" t="inlineStr">
        <is>
          <t>2026-07-22T22:42:56Z</t>
        </is>
      </c>
      <c r="C39" s="24" t="inlineStr">
        <is>
          <t>2026-07-19T18:10Z</t>
        </is>
      </c>
      <c r="D39" s="24" t="inlineStr">
        <is>
          <t>401816177</t>
        </is>
      </c>
      <c r="E39" s="24" t="inlineStr">
        <is>
          <t>MLB</t>
        </is>
      </c>
      <c r="F39" s="24" t="inlineStr">
        <is>
          <t>Baltimore Orioles</t>
        </is>
      </c>
      <c r="G39" s="24" t="inlineStr">
        <is>
          <t>Houston Astros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-110</v>
      </c>
      <c r="M39" s="27" t="n">
        <v>1.909091</v>
      </c>
      <c r="N39" s="28" t="n">
        <v>0.52381</v>
      </c>
      <c r="O39" s="28" t="n">
        <v>0.570183</v>
      </c>
      <c r="P39" s="28" t="n">
        <v>0.05</v>
      </c>
      <c r="Q39" s="28" t="n">
        <v>0.046373</v>
      </c>
      <c r="R39" s="26" t="n">
        <v>43</v>
      </c>
      <c r="S39" s="29" t="n">
        <v>0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loss</t>
        </is>
      </c>
      <c r="W39" s="26" t="n">
        <v>5</v>
      </c>
      <c r="X39" s="26" t="n">
        <v>2</v>
      </c>
      <c r="Y39" s="25" t="n"/>
      <c r="Z39" s="26" t="n">
        <v>-110</v>
      </c>
      <c r="AA39" s="28" t="n">
        <v>0.523834</v>
      </c>
      <c r="AB39" s="28" t="n"/>
      <c r="AC39" s="30" t="n">
        <v>-0.5</v>
      </c>
      <c r="AD39" s="24" t="inlineStr">
        <is>
          <t>2026-07-22T23:44:22Z</t>
        </is>
      </c>
      <c r="AE39" s="31" t="n"/>
      <c r="AF39" s="31" t="n"/>
      <c r="AG39" s="24" t="n"/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RESEARCH_OBSERVATION</t>
        </is>
      </c>
      <c r="AO39" s="24" t="inlineStr">
        <is>
          <t>NO_CALL_MODEL_UNVALIDATED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8a12d027cf1d2c206cb369c47da80e014f8ac4dfc414ffee96ae34656c46fef5</t>
        </is>
      </c>
      <c r="BB39" s="24" t="inlineStr">
        <is>
          <t>identity</t>
        </is>
      </c>
      <c r="BC39" s="24" t="inlineStr">
        <is>
          <t>identity-v1</t>
        </is>
      </c>
      <c r="BD39" s="24" t="n"/>
      <c r="BE39" s="24" t="inlineStr">
        <is>
          <t>1</t>
        </is>
      </c>
      <c r="BF39" s="24" t="inlineStr">
        <is>
          <t>1</t>
        </is>
      </c>
      <c r="BG39" s="24" t="n"/>
      <c r="BH39" s="24" t="inlineStr">
        <is>
          <t>2026-07-22T22:42:56Z</t>
        </is>
      </c>
      <c r="BI39" s="24" t="n"/>
      <c r="BJ39" s="25" t="n"/>
      <c r="BK39" s="26" t="n">
        <v>-110</v>
      </c>
      <c r="BL39" s="27" t="n">
        <v>1.909</v>
      </c>
      <c r="BM39" s="28" t="n">
        <v>0.523834</v>
      </c>
      <c r="BN39" s="28" t="n">
        <v>0.523834</v>
      </c>
      <c r="BO39" s="28" t="n">
        <v>0.523834</v>
      </c>
      <c r="BP39" s="25" t="n"/>
      <c r="BQ39" s="27" t="n">
        <v>1.909</v>
      </c>
      <c r="BR39" s="28" t="n"/>
      <c r="BS39" s="28" t="n"/>
      <c r="BT39" s="28" t="n"/>
      <c r="BU39" s="25" t="n"/>
      <c r="BV39" s="29" t="n">
        <v>0.5</v>
      </c>
      <c r="BW39" s="24" t="n"/>
      <c r="BX39" s="30" t="n"/>
      <c r="BY39" s="27" t="n"/>
      <c r="BZ39" s="24" t="n"/>
      <c r="CA39" s="31" t="n"/>
      <c r="CB39" s="24" t="n"/>
      <c r="CC39" s="24" t="inlineStr">
        <is>
          <t>0.512562</t>
        </is>
      </c>
      <c r="CD39" s="24" t="inlineStr">
        <is>
          <t>-0.543817</t>
        </is>
      </c>
      <c r="CE39" s="24" t="inlineStr">
        <is>
          <t>1.0</t>
        </is>
      </c>
      <c r="CF39" s="24" t="inlineStr">
        <is>
          <t>1.0</t>
        </is>
      </c>
      <c r="CG39" s="24" t="inlineStr">
        <is>
          <t>2.6</t>
        </is>
      </c>
      <c r="CH39" s="24" t="n"/>
      <c r="CI39" s="24" t="n"/>
      <c r="CJ39" s="24" t="n"/>
      <c r="CK39" s="24" t="n"/>
      <c r="CL39" s="24" t="n"/>
      <c r="CM39" s="24" t="n"/>
    </row>
    <row r="40" ht="18" customHeight="1">
      <c r="A40" s="24" t="inlineStr">
        <is>
          <t>5abd415a6dfe4781</t>
        </is>
      </c>
      <c r="B40" s="24" t="inlineStr">
        <is>
          <t>2026-07-22T22:42:56Z</t>
        </is>
      </c>
      <c r="C40" s="24" t="inlineStr">
        <is>
          <t>2026-07-19T18:10Z</t>
        </is>
      </c>
      <c r="D40" s="24" t="inlineStr">
        <is>
          <t>401816178</t>
        </is>
      </c>
      <c r="E40" s="24" t="inlineStr">
        <is>
          <t>MLB</t>
        </is>
      </c>
      <c r="F40" s="24" t="inlineStr">
        <is>
          <t>Miami Marlins</t>
        </is>
      </c>
      <c r="G40" s="24" t="inlineStr">
        <is>
          <t>Milwaukee Brewers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-110</v>
      </c>
      <c r="M40" s="27" t="n">
        <v>1.909091</v>
      </c>
      <c r="N40" s="28" t="n">
        <v>0.52381</v>
      </c>
      <c r="O40" s="28" t="n">
        <v>0.644369</v>
      </c>
      <c r="P40" s="28" t="n">
        <v>0.05</v>
      </c>
      <c r="Q40" s="28" t="n">
        <v>0.120559</v>
      </c>
      <c r="R40" s="26" t="n">
        <v>80</v>
      </c>
      <c r="S40" s="29" t="n">
        <v>0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3</v>
      </c>
      <c r="Y40" s="25" t="n"/>
      <c r="Z40" s="26" t="n">
        <v>-110</v>
      </c>
      <c r="AA40" s="28" t="n">
        <v>0.523834</v>
      </c>
      <c r="AB40" s="28" t="n"/>
      <c r="AC40" s="30" t="n">
        <v>1.818</v>
      </c>
      <c r="AD40" s="24" t="inlineStr">
        <is>
          <t>2026-07-22T23:44:22Z</t>
        </is>
      </c>
      <c r="AE40" s="31" t="n"/>
      <c r="AF40" s="31" t="n"/>
      <c r="AG40" s="24" t="n"/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RESEARCH_OBSERVATION</t>
        </is>
      </c>
      <c r="AO40" s="24" t="inlineStr">
        <is>
          <t>NO_CALL_MODEL_UNVALIDATED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8a12d027cf1d2c206cb369c47da80e014f8ac4dfc414ffee96ae34656c46fef5</t>
        </is>
      </c>
      <c r="BB40" s="24" t="inlineStr">
        <is>
          <t>identity</t>
        </is>
      </c>
      <c r="BC40" s="24" t="inlineStr">
        <is>
          <t>identity-v1</t>
        </is>
      </c>
      <c r="BD40" s="24" t="n"/>
      <c r="BE40" s="24" t="inlineStr">
        <is>
          <t>1</t>
        </is>
      </c>
      <c r="BF40" s="24" t="inlineStr">
        <is>
          <t>1</t>
        </is>
      </c>
      <c r="BG40" s="24" t="n"/>
      <c r="BH40" s="24" t="inlineStr">
        <is>
          <t>2026-07-22T22:42:56Z</t>
        </is>
      </c>
      <c r="BI40" s="24" t="n"/>
      <c r="BJ40" s="25" t="n"/>
      <c r="BK40" s="26" t="n">
        <v>-110</v>
      </c>
      <c r="BL40" s="27" t="n">
        <v>1.909</v>
      </c>
      <c r="BM40" s="28" t="n">
        <v>0.523834</v>
      </c>
      <c r="BN40" s="28" t="n">
        <v>0.523834</v>
      </c>
      <c r="BO40" s="28" t="n">
        <v>0.523834</v>
      </c>
      <c r="BP40" s="25" t="n"/>
      <c r="BQ40" s="27" t="n">
        <v>1.909</v>
      </c>
      <c r="BR40" s="28" t="n"/>
      <c r="BS40" s="28" t="n"/>
      <c r="BT40" s="28" t="n"/>
      <c r="BU40" s="25" t="n"/>
      <c r="BV40" s="29" t="n">
        <v>2</v>
      </c>
      <c r="BW40" s="24" t="n"/>
      <c r="BX40" s="30" t="n"/>
      <c r="BY40" s="27" t="n"/>
      <c r="BZ40" s="24" t="n"/>
      <c r="CA40" s="31" t="n"/>
      <c r="CB40" s="24" t="n"/>
      <c r="CC40" s="24" t="inlineStr">
        <is>
          <t>0.639021</t>
        </is>
      </c>
      <c r="CD40" s="24" t="inlineStr">
        <is>
          <t>0.290983</t>
        </is>
      </c>
      <c r="CE40" s="24" t="inlineStr">
        <is>
          <t>0.98</t>
        </is>
      </c>
      <c r="CF40" s="24" t="inlineStr">
        <is>
          <t>1.0</t>
        </is>
      </c>
      <c r="CG40" s="24" t="inlineStr">
        <is>
          <t>1.8</t>
        </is>
      </c>
      <c r="CH40" s="24" t="n"/>
      <c r="CI40" s="24" t="n"/>
      <c r="CJ40" s="24" t="n"/>
      <c r="CK40" s="24" t="n"/>
      <c r="CL40" s="24" t="n"/>
      <c r="CM40" s="24" t="n"/>
    </row>
    <row r="41" ht="18" customHeight="1">
      <c r="A41" s="24" t="inlineStr">
        <is>
          <t>71d3912bdfdb4e06</t>
        </is>
      </c>
      <c r="B41" s="24" t="inlineStr">
        <is>
          <t>2026-07-22T22:42:56Z</t>
        </is>
      </c>
      <c r="C41" s="24" t="inlineStr">
        <is>
          <t>2026-07-19T18:10Z</t>
        </is>
      </c>
      <c r="D41" s="24" t="inlineStr">
        <is>
          <t>401816180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Kansas City Royals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-110</v>
      </c>
      <c r="M41" s="27" t="n">
        <v>1.909091</v>
      </c>
      <c r="N41" s="28" t="n">
        <v>0.52381</v>
      </c>
      <c r="O41" s="28" t="n">
        <v>0.467505</v>
      </c>
      <c r="P41" s="28" t="n">
        <v>0.05</v>
      </c>
      <c r="Q41" s="28" t="n">
        <v>-0.056304</v>
      </c>
      <c r="R41" s="26" t="n">
        <v>0</v>
      </c>
      <c r="S41" s="29" t="n">
        <v>0</v>
      </c>
      <c r="T41" s="24" t="inlineStr">
        <is>
          <t>mlb-elo-trend-lr-v5</t>
        </is>
      </c>
      <c r="U41" s="24" t="inlineStr">
        <is>
          <t>settled</t>
        </is>
      </c>
      <c r="V41" s="24" t="inlineStr">
        <is>
          <t>win</t>
        </is>
      </c>
      <c r="W41" s="26" t="n">
        <v>19</v>
      </c>
      <c r="X41" s="26" t="n">
        <v>2</v>
      </c>
      <c r="Y41" s="25" t="n"/>
      <c r="Z41" s="26" t="n"/>
      <c r="AA41" s="28" t="n"/>
      <c r="AB41" s="28" t="n"/>
      <c r="AC41" s="30" t="n">
        <v>0</v>
      </c>
      <c r="AD41" s="24" t="inlineStr">
        <is>
          <t>2026-07-22T23:40:18.430101Z</t>
        </is>
      </c>
      <c r="AE41" s="31" t="n"/>
      <c r="AF41" s="31" t="n"/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RESEARCH_OBSERVATION</t>
        </is>
      </c>
      <c r="AO41" s="24" t="inlineStr">
        <is>
          <t>NO_CALL_MODEL_UNVALIDATED</t>
        </is>
      </c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8a12d027cf1d2c206cb369c47da80e014f8ac4dfc414ffee96ae34656c46fef5</t>
        </is>
      </c>
      <c r="BB41" s="24" t="inlineStr">
        <is>
          <t>identity</t>
        </is>
      </c>
      <c r="BC41" s="24" t="inlineStr">
        <is>
          <t>identity-v1</t>
        </is>
      </c>
      <c r="BD41" s="24" t="n"/>
      <c r="BE41" s="24" t="inlineStr">
        <is>
          <t>1</t>
        </is>
      </c>
      <c r="BF41" s="24" t="inlineStr">
        <is>
          <t>1</t>
        </is>
      </c>
      <c r="BG41" s="24" t="n"/>
      <c r="BH41" s="24" t="inlineStr">
        <is>
          <t>2026-07-22T22:42:56Z</t>
        </is>
      </c>
      <c r="BI41" s="24" t="n"/>
      <c r="BJ41" s="25" t="n"/>
      <c r="BK41" s="26" t="n">
        <v>-110</v>
      </c>
      <c r="BL41" s="27" t="n">
        <v>1.909</v>
      </c>
      <c r="BM41" s="28" t="n">
        <v>0.523834</v>
      </c>
      <c r="BN41" s="28" t="n">
        <v>0.523834</v>
      </c>
      <c r="BO41" s="28" t="n">
        <v>0.523834</v>
      </c>
      <c r="BP41" s="25" t="n"/>
      <c r="BQ41" s="27" t="n"/>
      <c r="BR41" s="28" t="n"/>
      <c r="BS41" s="28" t="n"/>
      <c r="BT41" s="28" t="n"/>
      <c r="BU41" s="25" t="n"/>
      <c r="BV41" s="29" t="n">
        <v>0.5</v>
      </c>
      <c r="BW41" s="24" t="n"/>
      <c r="BX41" s="30" t="n"/>
      <c r="BY41" s="27" t="n"/>
      <c r="BZ41" s="24" t="n"/>
      <c r="CA41" s="31" t="n"/>
      <c r="CB41" s="24" t="n"/>
      <c r="CC41" s="24" t="inlineStr">
        <is>
          <t>0.483652</t>
        </is>
      </c>
      <c r="CD41" s="24" t="inlineStr">
        <is>
          <t>0.231331</t>
        </is>
      </c>
      <c r="CE41" s="24" t="inlineStr">
        <is>
          <t>1.03</t>
        </is>
      </c>
      <c r="CF41" s="24" t="inlineStr">
        <is>
          <t>1.0111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</row>
    <row r="42" ht="18" customHeight="1">
      <c r="A42" s="24" t="inlineStr">
        <is>
          <t>01c85ce0d8a14b93</t>
        </is>
      </c>
      <c r="B42" s="24" t="inlineStr">
        <is>
          <t>2026-07-22T22:42:56Z</t>
        </is>
      </c>
      <c r="C42" s="24" t="inlineStr">
        <is>
          <t>2026-07-19T18:20Z</t>
        </is>
      </c>
      <c r="D42" s="24" t="inlineStr">
        <is>
          <t>401816179</t>
        </is>
      </c>
      <c r="E42" s="24" t="inlineStr">
        <is>
          <t>MLB</t>
        </is>
      </c>
      <c r="F42" s="24" t="inlineStr">
        <is>
          <t>Minnesota Twins</t>
        </is>
      </c>
      <c r="G42" s="24" t="inlineStr">
        <is>
          <t>Chicago Cubs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-110</v>
      </c>
      <c r="M42" s="27" t="n">
        <v>1.909091</v>
      </c>
      <c r="N42" s="28" t="n">
        <v>0.52381</v>
      </c>
      <c r="O42" s="28" t="n">
        <v>0.596494</v>
      </c>
      <c r="P42" s="28" t="n">
        <v>0.05</v>
      </c>
      <c r="Q42" s="28" t="n">
        <v>0.072684</v>
      </c>
      <c r="R42" s="26" t="n">
        <v>56</v>
      </c>
      <c r="S42" s="29" t="n">
        <v>0</v>
      </c>
      <c r="T42" s="24" t="inlineStr">
        <is>
          <t>mlb-elo-trend-lr-v5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10</v>
      </c>
      <c r="Y42" s="25" t="n"/>
      <c r="Z42" s="26" t="n">
        <v>-110</v>
      </c>
      <c r="AA42" s="28" t="n">
        <v>0.523834</v>
      </c>
      <c r="AB42" s="28" t="n"/>
      <c r="AC42" s="30" t="n">
        <v>1.4089</v>
      </c>
      <c r="AD42" s="24" t="inlineStr">
        <is>
          <t>2026-07-22T23:44:22Z</t>
        </is>
      </c>
      <c r="AE42" s="31" t="n"/>
      <c r="AF42" s="31" t="n"/>
      <c r="AG42" s="24" t="n"/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RESEARCH_OBSERVATION</t>
        </is>
      </c>
      <c r="AO42" s="24" t="inlineStr">
        <is>
          <t>NO_CALL_MODEL_UNVALIDATED</t>
        </is>
      </c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8a12d027cf1d2c206cb369c47da80e014f8ac4dfc414ffee96ae34656c46fef5</t>
        </is>
      </c>
      <c r="BB42" s="24" t="inlineStr">
        <is>
          <t>identity</t>
        </is>
      </c>
      <c r="BC42" s="24" t="inlineStr">
        <is>
          <t>identity-v1</t>
        </is>
      </c>
      <c r="BD42" s="24" t="n"/>
      <c r="BE42" s="24" t="inlineStr">
        <is>
          <t>1</t>
        </is>
      </c>
      <c r="BF42" s="24" t="inlineStr">
        <is>
          <t>1</t>
        </is>
      </c>
      <c r="BG42" s="24" t="n"/>
      <c r="BH42" s="24" t="inlineStr">
        <is>
          <t>2026-07-22T22:42:56Z</t>
        </is>
      </c>
      <c r="BI42" s="24" t="n"/>
      <c r="BJ42" s="25" t="n"/>
      <c r="BK42" s="26" t="n">
        <v>-110</v>
      </c>
      <c r="BL42" s="27" t="n">
        <v>1.909</v>
      </c>
      <c r="BM42" s="28" t="n">
        <v>0.523834</v>
      </c>
      <c r="BN42" s="28" t="n">
        <v>0.523834</v>
      </c>
      <c r="BO42" s="28" t="n">
        <v>0.523834</v>
      </c>
      <c r="BP42" s="25" t="n"/>
      <c r="BQ42" s="27" t="n">
        <v>1.909</v>
      </c>
      <c r="BR42" s="28" t="n"/>
      <c r="BS42" s="28" t="n"/>
      <c r="BT42" s="28" t="n"/>
      <c r="BU42" s="25" t="n"/>
      <c r="BV42" s="29" t="n">
        <v>1.55</v>
      </c>
      <c r="BW42" s="24" t="n"/>
      <c r="BX42" s="30" t="n"/>
      <c r="BY42" s="27" t="n"/>
      <c r="BZ42" s="24" t="n"/>
      <c r="CA42" s="31" t="n"/>
      <c r="CB42" s="24" t="n"/>
      <c r="CC42" s="24" t="inlineStr">
        <is>
          <t>0.621108</t>
        </is>
      </c>
      <c r="CD42" s="24" t="inlineStr">
        <is>
          <t>0.482065</t>
        </is>
      </c>
      <c r="CE42" s="24" t="inlineStr">
        <is>
          <t>1.0</t>
        </is>
      </c>
      <c r="CF42" s="24" t="inlineStr">
        <is>
          <t>1.0003</t>
        </is>
      </c>
      <c r="CG42" s="24" t="inlineStr">
        <is>
          <t>0.2</t>
        </is>
      </c>
      <c r="CH42" s="24" t="n"/>
      <c r="CI42" s="24" t="n"/>
      <c r="CJ42" s="24" t="n"/>
      <c r="CK42" s="24" t="n"/>
      <c r="CL42" s="24" t="n"/>
      <c r="CM42" s="24" t="n"/>
    </row>
    <row r="43" ht="18" customHeight="1">
      <c r="A43" s="24" t="inlineStr">
        <is>
          <t>36cc7abe09394d54</t>
        </is>
      </c>
      <c r="B43" s="24" t="inlineStr">
        <is>
          <t>2026-07-22T22:42:56Z</t>
        </is>
      </c>
      <c r="C43" s="24" t="inlineStr">
        <is>
          <t>2026-07-19T19:10Z</t>
        </is>
      </c>
      <c r="D43" s="24" t="inlineStr">
        <is>
          <t>401816181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Colorado Rockies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-110</v>
      </c>
      <c r="M43" s="27" t="n">
        <v>1.909091</v>
      </c>
      <c r="N43" s="28" t="n">
        <v>0.52381</v>
      </c>
      <c r="O43" s="28" t="n">
        <v>0.397109</v>
      </c>
      <c r="P43" s="28" t="n">
        <v>0.05</v>
      </c>
      <c r="Q43" s="28" t="n">
        <v>-0.126701</v>
      </c>
      <c r="R43" s="26" t="n">
        <v>0</v>
      </c>
      <c r="S43" s="29" t="n">
        <v>0</v>
      </c>
      <c r="T43" s="24" t="inlineStr">
        <is>
          <t>mlb-elo-trend-lr-v5</t>
        </is>
      </c>
      <c r="U43" s="24" t="inlineStr">
        <is>
          <t>settled</t>
        </is>
      </c>
      <c r="V43" s="24" t="inlineStr">
        <is>
          <t>win</t>
        </is>
      </c>
      <c r="W43" s="26" t="n">
        <v>9</v>
      </c>
      <c r="X43" s="26" t="n">
        <v>6</v>
      </c>
      <c r="Y43" s="25" t="n"/>
      <c r="Z43" s="26" t="n">
        <v>-110</v>
      </c>
      <c r="AA43" s="28" t="n">
        <v>0.523834</v>
      </c>
      <c r="AB43" s="28" t="n"/>
      <c r="AC43" s="30" t="n">
        <v>1.2271</v>
      </c>
      <c r="AD43" s="24" t="inlineStr">
        <is>
          <t>2026-07-22T23:44:22Z</t>
        </is>
      </c>
      <c r="AE43" s="31" t="n"/>
      <c r="AF43" s="31" t="n"/>
      <c r="AG43" s="24" t="n"/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RESEARCH_OBSERVATION</t>
        </is>
      </c>
      <c r="AO43" s="24" t="inlineStr">
        <is>
          <t>NO_CALL_MODEL_UNVALIDATED</t>
        </is>
      </c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8a12d027cf1d2c206cb369c47da80e014f8ac4dfc414ffee96ae34656c46fef5</t>
        </is>
      </c>
      <c r="BB43" s="24" t="inlineStr">
        <is>
          <t>identity</t>
        </is>
      </c>
      <c r="BC43" s="24" t="inlineStr">
        <is>
          <t>identity-v1</t>
        </is>
      </c>
      <c r="BD43" s="24" t="n"/>
      <c r="BE43" s="24" t="inlineStr">
        <is>
          <t>1</t>
        </is>
      </c>
      <c r="BF43" s="24" t="inlineStr">
        <is>
          <t>1</t>
        </is>
      </c>
      <c r="BG43" s="24" t="n"/>
      <c r="BH43" s="24" t="inlineStr">
        <is>
          <t>2026-07-22T22:42:56Z</t>
        </is>
      </c>
      <c r="BI43" s="24" t="n"/>
      <c r="BJ43" s="25" t="n"/>
      <c r="BK43" s="26" t="n">
        <v>-110</v>
      </c>
      <c r="BL43" s="27" t="n">
        <v>1.909</v>
      </c>
      <c r="BM43" s="28" t="n">
        <v>0.523834</v>
      </c>
      <c r="BN43" s="28" t="n">
        <v>0.523834</v>
      </c>
      <c r="BO43" s="28" t="n">
        <v>0.523834</v>
      </c>
      <c r="BP43" s="25" t="n"/>
      <c r="BQ43" s="27" t="n">
        <v>1.909</v>
      </c>
      <c r="BR43" s="28" t="n"/>
      <c r="BS43" s="28" t="n"/>
      <c r="BT43" s="28" t="n"/>
      <c r="BU43" s="25" t="n"/>
      <c r="BV43" s="29" t="n">
        <v>1.35</v>
      </c>
      <c r="BW43" s="24" t="n"/>
      <c r="BX43" s="30" t="n"/>
      <c r="BY43" s="27" t="n"/>
      <c r="BZ43" s="24" t="n"/>
      <c r="CA43" s="31" t="n"/>
      <c r="CB43" s="24" t="n"/>
      <c r="CC43" s="24" t="inlineStr">
        <is>
          <t>0.429156</t>
        </is>
      </c>
      <c r="CD43" s="24" t="inlineStr">
        <is>
          <t>0.050306</t>
        </is>
      </c>
      <c r="CE43" s="24" t="inlineStr">
        <is>
          <t>1.12</t>
        </is>
      </c>
      <c r="CF43" s="24" t="inlineStr">
        <is>
          <t>1.0178</t>
        </is>
      </c>
      <c r="CG43" s="24" t="inlineStr">
        <is>
          <t>-1.0</t>
        </is>
      </c>
      <c r="CH43" s="24" t="n"/>
      <c r="CI43" s="24" t="n"/>
      <c r="CJ43" s="24" t="n"/>
      <c r="CK43" s="24" t="n"/>
      <c r="CL43" s="24" t="n"/>
      <c r="CM43" s="24" t="n"/>
    </row>
    <row r="44" ht="18" customHeight="1">
      <c r="A44" s="24" t="inlineStr">
        <is>
          <t>10458264b05f47d5</t>
        </is>
      </c>
      <c r="B44" s="24" t="inlineStr">
        <is>
          <t>2026-07-22T22:42:56Z</t>
        </is>
      </c>
      <c r="C44" s="24" t="inlineStr">
        <is>
          <t>2026-07-19T20:05Z</t>
        </is>
      </c>
      <c r="D44" s="24" t="inlineStr">
        <is>
          <t>401816185</t>
        </is>
      </c>
      <c r="E44" s="24" t="inlineStr">
        <is>
          <t>MLB</t>
        </is>
      </c>
      <c r="F44" s="24" t="inlineStr">
        <is>
          <t>Washington Nationals</t>
        </is>
      </c>
      <c r="G44" s="24" t="inlineStr">
        <is>
          <t>Athletics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-110</v>
      </c>
      <c r="M44" s="27" t="n">
        <v>1.909091</v>
      </c>
      <c r="N44" s="28" t="n">
        <v>0.52381</v>
      </c>
      <c r="O44" s="28" t="n">
        <v>0.583901</v>
      </c>
      <c r="P44" s="28" t="n">
        <v>0.05</v>
      </c>
      <c r="Q44" s="28" t="n">
        <v>0.060091</v>
      </c>
      <c r="R44" s="26" t="n">
        <v>50</v>
      </c>
      <c r="S44" s="29" t="n">
        <v>0</v>
      </c>
      <c r="T44" s="24" t="inlineStr">
        <is>
          <t>mlb-elo-trend-lr-v5</t>
        </is>
      </c>
      <c r="U44" s="24" t="inlineStr">
        <is>
          <t>settled</t>
        </is>
      </c>
      <c r="V44" s="24" t="inlineStr">
        <is>
          <t>loss</t>
        </is>
      </c>
      <c r="W44" s="26" t="n">
        <v>5</v>
      </c>
      <c r="X44" s="26" t="n">
        <v>2</v>
      </c>
      <c r="Y44" s="25" t="n"/>
      <c r="Z44" s="26" t="n">
        <v>-110</v>
      </c>
      <c r="AA44" s="28" t="n">
        <v>0.523834</v>
      </c>
      <c r="AB44" s="28" t="n"/>
      <c r="AC44" s="30" t="n">
        <v>-0.5</v>
      </c>
      <c r="AD44" s="24" t="inlineStr">
        <is>
          <t>2026-07-22T23:44:22Z</t>
        </is>
      </c>
      <c r="AE44" s="31" t="n"/>
      <c r="AF44" s="31" t="n"/>
      <c r="AG44" s="24" t="n"/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RESEARCH_OBSERVATION</t>
        </is>
      </c>
      <c r="AO44" s="24" t="inlineStr">
        <is>
          <t>NO_CALL_MODEL_UNVALIDATED</t>
        </is>
      </c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8a12d027cf1d2c206cb369c47da80e014f8ac4dfc414ffee96ae34656c46fef5</t>
        </is>
      </c>
      <c r="BB44" s="24" t="inlineStr">
        <is>
          <t>identity</t>
        </is>
      </c>
      <c r="BC44" s="24" t="inlineStr">
        <is>
          <t>identity-v1</t>
        </is>
      </c>
      <c r="BD44" s="24" t="n"/>
      <c r="BE44" s="24" t="inlineStr">
        <is>
          <t>1</t>
        </is>
      </c>
      <c r="BF44" s="24" t="inlineStr">
        <is>
          <t>1</t>
        </is>
      </c>
      <c r="BG44" s="24" t="n"/>
      <c r="BH44" s="24" t="inlineStr">
        <is>
          <t>2026-07-22T22:42:56Z</t>
        </is>
      </c>
      <c r="BI44" s="24" t="n"/>
      <c r="BJ44" s="25" t="n"/>
      <c r="BK44" s="26" t="n">
        <v>-110</v>
      </c>
      <c r="BL44" s="27" t="n">
        <v>1.909</v>
      </c>
      <c r="BM44" s="28" t="n">
        <v>0.523834</v>
      </c>
      <c r="BN44" s="28" t="n">
        <v>0.523834</v>
      </c>
      <c r="BO44" s="28" t="n">
        <v>0.523834</v>
      </c>
      <c r="BP44" s="25" t="n"/>
      <c r="BQ44" s="27" t="n">
        <v>1.909</v>
      </c>
      <c r="BR44" s="28" t="n"/>
      <c r="BS44" s="28" t="n"/>
      <c r="BT44" s="28" t="n"/>
      <c r="BU44" s="25" t="n"/>
      <c r="BV44" s="29" t="n">
        <v>0.5</v>
      </c>
      <c r="BW44" s="24" t="n"/>
      <c r="BX44" s="30" t="n"/>
      <c r="BY44" s="27" t="n"/>
      <c r="BZ44" s="24" t="n"/>
      <c r="CA44" s="31" t="n"/>
      <c r="CB44" s="24" t="n"/>
      <c r="CC44" s="24" t="inlineStr">
        <is>
          <t>0.508642</t>
        </is>
      </c>
      <c r="CD44" s="24" t="inlineStr">
        <is>
          <t>-0.783088</t>
        </is>
      </c>
      <c r="CE44" s="24" t="inlineStr">
        <is>
          <t>0.98</t>
        </is>
      </c>
      <c r="CF44" s="24" t="inlineStr">
        <is>
          <t>1.0</t>
        </is>
      </c>
      <c r="CG44" s="24" t="inlineStr">
        <is>
          <t>3.0</t>
        </is>
      </c>
      <c r="CH44" s="24" t="n"/>
      <c r="CI44" s="24" t="n"/>
      <c r="CJ44" s="24" t="n"/>
      <c r="CK44" s="24" t="n"/>
      <c r="CL44" s="24" t="n"/>
      <c r="CM44" s="24" t="n"/>
    </row>
    <row r="45" ht="18" customHeight="1">
      <c r="A45" s="24" t="inlineStr">
        <is>
          <t>dcd2900e07ed498a</t>
        </is>
      </c>
      <c r="B45" s="24" t="inlineStr">
        <is>
          <t>2026-07-22T22:42:56Z</t>
        </is>
      </c>
      <c r="C45" s="24" t="inlineStr">
        <is>
          <t>2026-07-19T20:07Z</t>
        </is>
      </c>
      <c r="D45" s="24" t="inlineStr">
        <is>
          <t>401816182</t>
        </is>
      </c>
      <c r="E45" s="24" t="inlineStr">
        <is>
          <t>MLB</t>
        </is>
      </c>
      <c r="F45" s="24" t="inlineStr">
        <is>
          <t>Detroit Tigers</t>
        </is>
      </c>
      <c r="G45" s="24" t="inlineStr">
        <is>
          <t>Los Angeles Angels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-110</v>
      </c>
      <c r="M45" s="27" t="n">
        <v>1.909091</v>
      </c>
      <c r="N45" s="28" t="n">
        <v>0.52381</v>
      </c>
      <c r="O45" s="28" t="n">
        <v>0.49248</v>
      </c>
      <c r="P45" s="28" t="n">
        <v>0.05</v>
      </c>
      <c r="Q45" s="28" t="n">
        <v>-0.03133</v>
      </c>
      <c r="R45" s="26" t="n">
        <v>4</v>
      </c>
      <c r="S45" s="29" t="n">
        <v>0</v>
      </c>
      <c r="T45" s="24" t="inlineStr">
        <is>
          <t>mlb-elo-trend-lr-v5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3</v>
      </c>
      <c r="Y45" s="25" t="n"/>
      <c r="Z45" s="26" t="n">
        <v>-110</v>
      </c>
      <c r="AA45" s="28" t="n">
        <v>0.523834</v>
      </c>
      <c r="AB45" s="28" t="n"/>
      <c r="AC45" s="30" t="n">
        <v>-0.5</v>
      </c>
      <c r="AD45" s="24" t="inlineStr">
        <is>
          <t>2026-07-22T23:44:22Z</t>
        </is>
      </c>
      <c r="AE45" s="31" t="n"/>
      <c r="AF45" s="31" t="n"/>
      <c r="AG45" s="24" t="n"/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RESEARCH_OBSERVATION</t>
        </is>
      </c>
      <c r="AO45" s="24" t="inlineStr">
        <is>
          <t>NO_CALL_MODEL_UNVALIDATED</t>
        </is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8a12d027cf1d2c206cb369c47da80e014f8ac4dfc414ffee96ae34656c46fef5</t>
        </is>
      </c>
      <c r="BB45" s="24" t="inlineStr">
        <is>
          <t>identity</t>
        </is>
      </c>
      <c r="BC45" s="24" t="inlineStr">
        <is>
          <t>identity-v1</t>
        </is>
      </c>
      <c r="BD45" s="24" t="n"/>
      <c r="BE45" s="24" t="inlineStr">
        <is>
          <t>1</t>
        </is>
      </c>
      <c r="BF45" s="24" t="inlineStr">
        <is>
          <t>1</t>
        </is>
      </c>
      <c r="BG45" s="24" t="n"/>
      <c r="BH45" s="24" t="inlineStr">
        <is>
          <t>2026-07-22T22:42:56Z</t>
        </is>
      </c>
      <c r="BI45" s="24" t="n"/>
      <c r="BJ45" s="25" t="n"/>
      <c r="BK45" s="26" t="n">
        <v>-110</v>
      </c>
      <c r="BL45" s="27" t="n">
        <v>1.909</v>
      </c>
      <c r="BM45" s="28" t="n">
        <v>0.523834</v>
      </c>
      <c r="BN45" s="28" t="n">
        <v>0.523834</v>
      </c>
      <c r="BO45" s="28" t="n">
        <v>0.523834</v>
      </c>
      <c r="BP45" s="25" t="n"/>
      <c r="BQ45" s="27" t="n">
        <v>1.909</v>
      </c>
      <c r="BR45" s="28" t="n"/>
      <c r="BS45" s="28" t="n"/>
      <c r="BT45" s="28" t="n"/>
      <c r="BU45" s="25" t="n"/>
      <c r="BV45" s="29" t="n">
        <v>0.5</v>
      </c>
      <c r="BW45" s="24" t="n"/>
      <c r="BX45" s="30" t="n"/>
      <c r="BY45" s="27" t="n"/>
      <c r="BZ45" s="24" t="n"/>
      <c r="CA45" s="31" t="n"/>
      <c r="CB45" s="24" t="n"/>
      <c r="CC45" s="24" t="inlineStr">
        <is>
          <t>0.423769</t>
        </is>
      </c>
      <c r="CD45" s="24" t="inlineStr">
        <is>
          <t>-1.091115</t>
        </is>
      </c>
      <c r="CE45" s="24" t="inlineStr">
        <is>
          <t>1.01</t>
        </is>
      </c>
      <c r="CF45" s="24" t="inlineStr">
        <is>
          <t>1.0147</t>
        </is>
      </c>
      <c r="CG45" s="24" t="inlineStr">
        <is>
          <t>1.8</t>
        </is>
      </c>
      <c r="CH45" s="24" t="n"/>
      <c r="CI45" s="24" t="n"/>
      <c r="CJ45" s="24" t="n"/>
      <c r="CK45" s="24" t="n"/>
      <c r="CL45" s="24" t="n"/>
      <c r="CM45" s="24" t="n"/>
    </row>
    <row r="46" ht="18" customHeight="1">
      <c r="A46" s="24" t="inlineStr">
        <is>
          <t>48caa7e1690b49a6</t>
        </is>
      </c>
      <c r="B46" s="24" t="inlineStr">
        <is>
          <t>2026-07-22T22:42:56Z</t>
        </is>
      </c>
      <c r="C46" s="24" t="inlineStr">
        <is>
          <t>2026-07-19T20:10Z</t>
        </is>
      </c>
      <c r="D46" s="24" t="inlineStr">
        <is>
          <t>401816183</t>
        </is>
      </c>
      <c r="E46" s="24" t="inlineStr">
        <is>
          <t>MLB</t>
        </is>
      </c>
      <c r="F46" s="24" t="inlineStr">
        <is>
          <t>San Francisco Giants</t>
        </is>
      </c>
      <c r="G46" s="24" t="inlineStr">
        <is>
          <t>Seattle Mariners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-110</v>
      </c>
      <c r="M46" s="27" t="n">
        <v>1.909091</v>
      </c>
      <c r="N46" s="28" t="n">
        <v>0.52381</v>
      </c>
      <c r="O46" s="28" t="n">
        <v>0.64408</v>
      </c>
      <c r="P46" s="28" t="n">
        <v>0.05</v>
      </c>
      <c r="Q46" s="28" t="n">
        <v>0.120271</v>
      </c>
      <c r="R46" s="26" t="n">
        <v>80</v>
      </c>
      <c r="S46" s="29" t="n">
        <v>0</v>
      </c>
      <c r="T46" s="24" t="inlineStr">
        <is>
          <t>mlb-elo-trend-lr-v5</t>
        </is>
      </c>
      <c r="U46" s="24" t="inlineStr">
        <is>
          <t>settled</t>
        </is>
      </c>
      <c r="V46" s="24" t="inlineStr">
        <is>
          <t>win</t>
        </is>
      </c>
      <c r="W46" s="26" t="n">
        <v>3</v>
      </c>
      <c r="X46" s="26" t="n">
        <v>6</v>
      </c>
      <c r="Y46" s="25" t="n"/>
      <c r="Z46" s="26" t="n">
        <v>-110</v>
      </c>
      <c r="AA46" s="28" t="n">
        <v>0.523834</v>
      </c>
      <c r="AB46" s="28" t="n"/>
      <c r="AC46" s="30" t="n">
        <v>1.5817</v>
      </c>
      <c r="AD46" s="24" t="inlineStr">
        <is>
          <t>2026-07-22T23:44:22Z</t>
        </is>
      </c>
      <c r="AE46" s="31" t="n"/>
      <c r="AF46" s="31" t="n"/>
      <c r="AG46" s="24" t="n"/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RESEARCH_OBSERVATION</t>
        </is>
      </c>
      <c r="AO46" s="24" t="inlineStr">
        <is>
          <t>NO_CALL_MODEL_UNVALIDATED</t>
        </is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8a12d027cf1d2c206cb369c47da80e014f8ac4dfc414ffee96ae34656c46fef5</t>
        </is>
      </c>
      <c r="BB46" s="24" t="inlineStr">
        <is>
          <t>identity</t>
        </is>
      </c>
      <c r="BC46" s="24" t="inlineStr">
        <is>
          <t>identity-v1</t>
        </is>
      </c>
      <c r="BD46" s="24" t="n"/>
      <c r="BE46" s="24" t="inlineStr">
        <is>
          <t>1</t>
        </is>
      </c>
      <c r="BF46" s="24" t="inlineStr">
        <is>
          <t>1</t>
        </is>
      </c>
      <c r="BG46" s="24" t="n"/>
      <c r="BH46" s="24" t="inlineStr">
        <is>
          <t>2026-07-22T22:42:56Z</t>
        </is>
      </c>
      <c r="BI46" s="24" t="n"/>
      <c r="BJ46" s="25" t="n"/>
      <c r="BK46" s="26" t="n">
        <v>-110</v>
      </c>
      <c r="BL46" s="27" t="n">
        <v>1.909</v>
      </c>
      <c r="BM46" s="28" t="n">
        <v>0.523834</v>
      </c>
      <c r="BN46" s="28" t="n">
        <v>0.523834</v>
      </c>
      <c r="BO46" s="28" t="n">
        <v>0.523834</v>
      </c>
      <c r="BP46" s="25" t="n"/>
      <c r="BQ46" s="27" t="n">
        <v>1.909</v>
      </c>
      <c r="BR46" s="28" t="n"/>
      <c r="BS46" s="28" t="n"/>
      <c r="BT46" s="28" t="n"/>
      <c r="BU46" s="25" t="n"/>
      <c r="BV46" s="29" t="n">
        <v>1.74</v>
      </c>
      <c r="BW46" s="24" t="n"/>
      <c r="BX46" s="30" t="n"/>
      <c r="BY46" s="27" t="n"/>
      <c r="BZ46" s="24" t="n"/>
      <c r="CA46" s="31" t="n"/>
      <c r="CB46" s="24" t="n"/>
      <c r="CC46" s="24" t="inlineStr">
        <is>
          <t>0.583001</t>
        </is>
      </c>
      <c r="CD46" s="24" t="inlineStr">
        <is>
          <t>-0.319596</t>
        </is>
      </c>
      <c r="CE46" s="24" t="inlineStr">
        <is>
          <t>0.92</t>
        </is>
      </c>
      <c r="CF46" s="24" t="inlineStr">
        <is>
          <t>1.0</t>
        </is>
      </c>
      <c r="CG46" s="24" t="inlineStr">
        <is>
          <t>2.8</t>
        </is>
      </c>
      <c r="CH46" s="24" t="n"/>
      <c r="CI46" s="24" t="n"/>
      <c r="CJ46" s="24" t="n"/>
      <c r="CK46" s="24" t="n"/>
      <c r="CL46" s="24" t="n"/>
      <c r="CM46" s="24" t="n"/>
    </row>
    <row r="47" ht="18" customHeight="1">
      <c r="A47" s="24" t="inlineStr">
        <is>
          <t>49bbaf72109a4340</t>
        </is>
      </c>
      <c r="B47" s="24" t="inlineStr">
        <is>
          <t>2026-07-22T22:42:56Z</t>
        </is>
      </c>
      <c r="C47" s="24" t="inlineStr">
        <is>
          <t>2026-07-19T20:10Z</t>
        </is>
      </c>
      <c r="D47" s="24" t="inlineStr">
        <is>
          <t>401816184</t>
        </is>
      </c>
      <c r="E47" s="24" t="inlineStr">
        <is>
          <t>MLB</t>
        </is>
      </c>
      <c r="F47" s="24" t="inlineStr">
        <is>
          <t>St. Louis Cardinals</t>
        </is>
      </c>
      <c r="G47" s="24" t="inlineStr">
        <is>
          <t>Arizona Diamondbacks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-110</v>
      </c>
      <c r="M47" s="27" t="n">
        <v>1.909091</v>
      </c>
      <c r="N47" s="28" t="n">
        <v>0.52381</v>
      </c>
      <c r="O47" s="28" t="n">
        <v>0.50674</v>
      </c>
      <c r="P47" s="28" t="n">
        <v>0.05</v>
      </c>
      <c r="Q47" s="28" t="n">
        <v>-0.017069</v>
      </c>
      <c r="R47" s="26" t="n">
        <v>11</v>
      </c>
      <c r="S47" s="29" t="n">
        <v>0</v>
      </c>
      <c r="T47" s="24" t="inlineStr">
        <is>
          <t>mlb-elo-trend-lr-v5</t>
        </is>
      </c>
      <c r="U47" s="24" t="inlineStr">
        <is>
          <t>settled</t>
        </is>
      </c>
      <c r="V47" s="24" t="inlineStr">
        <is>
          <t>win</t>
        </is>
      </c>
      <c r="W47" s="26" t="n">
        <v>7</v>
      </c>
      <c r="X47" s="26" t="n">
        <v>8</v>
      </c>
      <c r="Y47" s="25" t="n"/>
      <c r="Z47" s="26" t="n">
        <v>-110</v>
      </c>
      <c r="AA47" s="28" t="n">
        <v>0.523834</v>
      </c>
      <c r="AB47" s="28" t="n"/>
      <c r="AC47" s="30" t="n">
        <v>0.4545</v>
      </c>
      <c r="AD47" s="24" t="inlineStr">
        <is>
          <t>2026-07-22T23:44:22Z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RESEARCH_OBSERVATION</t>
        </is>
      </c>
      <c r="AO47" s="24" t="inlineStr">
        <is>
          <t>NO_CALL_MODEL_UNVALIDATED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8a12d027cf1d2c206cb369c47da80e014f8ac4dfc414ffee96ae34656c46fef5</t>
        </is>
      </c>
      <c r="BB47" s="24" t="inlineStr">
        <is>
          <t>identity</t>
        </is>
      </c>
      <c r="BC47" s="24" t="inlineStr">
        <is>
          <t>identity-v1</t>
        </is>
      </c>
      <c r="BD47" s="24" t="n"/>
      <c r="BE47" s="24" t="inlineStr">
        <is>
          <t>1</t>
        </is>
      </c>
      <c r="BF47" s="24" t="inlineStr">
        <is>
          <t>1</t>
        </is>
      </c>
      <c r="BG47" s="24" t="n"/>
      <c r="BH47" s="24" t="inlineStr">
        <is>
          <t>2026-07-22T22:42:56Z</t>
        </is>
      </c>
      <c r="BI47" s="24" t="n"/>
      <c r="BJ47" s="25" t="n"/>
      <c r="BK47" s="26" t="n">
        <v>-110</v>
      </c>
      <c r="BL47" s="27" t="n">
        <v>1.909</v>
      </c>
      <c r="BM47" s="28" t="n">
        <v>0.523834</v>
      </c>
      <c r="BN47" s="28" t="n">
        <v>0.523834</v>
      </c>
      <c r="BO47" s="28" t="n">
        <v>0.523834</v>
      </c>
      <c r="BP47" s="25" t="n"/>
      <c r="BQ47" s="27" t="n">
        <v>1.909</v>
      </c>
      <c r="BR47" s="28" t="n"/>
      <c r="BS47" s="28" t="n"/>
      <c r="BT47" s="28" t="n"/>
      <c r="BU47" s="25" t="n"/>
      <c r="BV47" s="29" t="n">
        <v>0.5</v>
      </c>
      <c r="BW47" s="24" t="n"/>
      <c r="BX47" s="30" t="n"/>
      <c r="BY47" s="27" t="n"/>
      <c r="BZ47" s="24" t="n"/>
      <c r="CA47" s="31" t="n"/>
      <c r="CB47" s="24" t="n"/>
      <c r="CC47" s="24" t="inlineStr">
        <is>
          <t>0.548414</t>
        </is>
      </c>
      <c r="CD47" s="24" t="inlineStr">
        <is>
          <t>1.596226</t>
        </is>
      </c>
      <c r="CE47" s="24" t="inlineStr">
        <is>
          <t>1.02</t>
        </is>
      </c>
      <c r="CF47" s="24" t="inlineStr">
        <is>
          <t>1.0</t>
        </is>
      </c>
      <c r="CG47" s="24" t="inlineStr">
        <is>
          <t>0.2</t>
        </is>
      </c>
      <c r="CH47" s="24" t="n"/>
      <c r="CI47" s="24" t="n"/>
      <c r="CJ47" s="24" t="n"/>
      <c r="CK47" s="24" t="n"/>
      <c r="CL47" s="24" t="n"/>
      <c r="CM47" s="24" t="n"/>
    </row>
    <row r="48" ht="18" customHeight="1">
      <c r="A48" s="24" t="inlineStr">
        <is>
          <t>9effdf22ee1b460c</t>
        </is>
      </c>
      <c r="B48" s="24" t="inlineStr">
        <is>
          <t>2026-07-22T22:42:56Z</t>
        </is>
      </c>
      <c r="C48" s="24" t="inlineStr">
        <is>
          <t>2026-07-19T23:20Z</t>
        </is>
      </c>
      <c r="D48" s="24" t="inlineStr">
        <is>
          <t>401816172</t>
        </is>
      </c>
      <c r="E48" s="24" t="inlineStr">
        <is>
          <t>MLB</t>
        </is>
      </c>
      <c r="F48" s="24" t="inlineStr">
        <is>
          <t>Los Angeles Dodgers</t>
        </is>
      </c>
      <c r="G48" s="24" t="inlineStr">
        <is>
          <t>New York Yankees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-110</v>
      </c>
      <c r="M48" s="27" t="n">
        <v>1.909091</v>
      </c>
      <c r="N48" s="28" t="n">
        <v>0.52381</v>
      </c>
      <c r="O48" s="28" t="n">
        <v>0.429073</v>
      </c>
      <c r="P48" s="28" t="n">
        <v>0.05</v>
      </c>
      <c r="Q48" s="28" t="n">
        <v>-0.094737</v>
      </c>
      <c r="R48" s="26" t="n">
        <v>0</v>
      </c>
      <c r="S48" s="29" t="n">
        <v>0</v>
      </c>
      <c r="T48" s="24" t="inlineStr">
        <is>
          <t>mlb-elo-trend-lr-v5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2</v>
      </c>
      <c r="Y48" s="25" t="n"/>
      <c r="Z48" s="26" t="n">
        <v>-110</v>
      </c>
      <c r="AA48" s="28" t="n">
        <v>0.523834</v>
      </c>
      <c r="AB48" s="28" t="n"/>
      <c r="AC48" s="30" t="n">
        <v>-0.5</v>
      </c>
      <c r="AD48" s="24" t="inlineStr">
        <is>
          <t>2026-07-22T23:44:22Z</t>
        </is>
      </c>
      <c r="AE48" s="31" t="n"/>
      <c r="AF48" s="31" t="n"/>
      <c r="AG48" s="24" t="n"/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RESEARCH_OBSERVATION</t>
        </is>
      </c>
      <c r="AO48" s="24" t="inlineStr">
        <is>
          <t>NO_CALL_MODEL_UNVALIDATED</t>
        </is>
      </c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8a12d027cf1d2c206cb369c47da80e014f8ac4dfc414ffee96ae34656c46fef5</t>
        </is>
      </c>
      <c r="BB48" s="24" t="inlineStr">
        <is>
          <t>identity</t>
        </is>
      </c>
      <c r="BC48" s="24" t="inlineStr">
        <is>
          <t>identity-v1</t>
        </is>
      </c>
      <c r="BD48" s="24" t="n"/>
      <c r="BE48" s="24" t="inlineStr">
        <is>
          <t>1</t>
        </is>
      </c>
      <c r="BF48" s="24" t="inlineStr">
        <is>
          <t>1</t>
        </is>
      </c>
      <c r="BG48" s="24" t="n"/>
      <c r="BH48" s="24" t="inlineStr">
        <is>
          <t>2026-07-22T22:42:56Z</t>
        </is>
      </c>
      <c r="BI48" s="24" t="n"/>
      <c r="BJ48" s="25" t="n"/>
      <c r="BK48" s="26" t="n">
        <v>-110</v>
      </c>
      <c r="BL48" s="27" t="n">
        <v>1.909</v>
      </c>
      <c r="BM48" s="28" t="n">
        <v>0.523834</v>
      </c>
      <c r="BN48" s="28" t="n">
        <v>0.523834</v>
      </c>
      <c r="BO48" s="28" t="n">
        <v>0.523834</v>
      </c>
      <c r="BP48" s="25" t="n"/>
      <c r="BQ48" s="27" t="n">
        <v>1.909</v>
      </c>
      <c r="BR48" s="28" t="n"/>
      <c r="BS48" s="28" t="n"/>
      <c r="BT48" s="28" t="n"/>
      <c r="BU48" s="25" t="n"/>
      <c r="BV48" s="29" t="n">
        <v>0.5</v>
      </c>
      <c r="BW48" s="24" t="n"/>
      <c r="BX48" s="30" t="n"/>
      <c r="BY48" s="27" t="n"/>
      <c r="BZ48" s="24" t="n"/>
      <c r="CA48" s="31" t="n"/>
      <c r="CB48" s="24" t="n"/>
      <c r="CC48" s="24" t="inlineStr">
        <is>
          <t>0.482732</t>
        </is>
      </c>
      <c r="CD48" s="24" t="inlineStr">
        <is>
          <t>0.895465</t>
        </is>
      </c>
      <c r="CE48" s="24" t="inlineStr">
        <is>
          <t>0.99</t>
        </is>
      </c>
      <c r="CF48" s="24" t="inlineStr">
        <is>
          <t>1.0171</t>
        </is>
      </c>
      <c r="CG48" s="24" t="inlineStr">
        <is>
          <t>-2.6</t>
        </is>
      </c>
      <c r="CH48" s="24" t="n"/>
      <c r="CI48" s="24" t="n"/>
      <c r="CJ48" s="24" t="n"/>
      <c r="CK48" s="24" t="n"/>
      <c r="CL48" s="24" t="n"/>
      <c r="CM48" s="24" t="n"/>
    </row>
    <row r="49" ht="18" customHeight="1">
      <c r="A49" s="24" t="inlineStr">
        <is>
          <t>a03cc40178134395</t>
        </is>
      </c>
      <c r="B49" s="24" t="inlineStr">
        <is>
          <t>2026-07-22T22:42:56Z</t>
        </is>
      </c>
      <c r="C49" s="24" t="inlineStr">
        <is>
          <t>2026-07-20T22:40Z</t>
        </is>
      </c>
      <c r="D49" s="24" t="inlineStr">
        <is>
          <t>401816188</t>
        </is>
      </c>
      <c r="E49" s="24" t="inlineStr">
        <is>
          <t>MLB</t>
        </is>
      </c>
      <c r="F49" s="24" t="inlineStr">
        <is>
          <t>Minnesota Twins</t>
        </is>
      </c>
      <c r="G49" s="24" t="inlineStr">
        <is>
          <t>Cleveland Guardians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-110</v>
      </c>
      <c r="M49" s="27" t="n">
        <v>1.909091</v>
      </c>
      <c r="N49" s="28" t="n">
        <v>0.52381</v>
      </c>
      <c r="O49" s="28" t="n">
        <v>0.557054</v>
      </c>
      <c r="P49" s="28" t="n">
        <v>0.05</v>
      </c>
      <c r="Q49" s="28" t="n">
        <v>0.033244</v>
      </c>
      <c r="R49" s="26" t="n">
        <v>37</v>
      </c>
      <c r="S49" s="29" t="n">
        <v>0</v>
      </c>
      <c r="T49" s="24" t="inlineStr">
        <is>
          <t>mlb-elo-trend-lr-v5</t>
        </is>
      </c>
      <c r="U49" s="24" t="inlineStr">
        <is>
          <t>settled</t>
        </is>
      </c>
      <c r="V49" s="24" t="inlineStr">
        <is>
          <t>win</t>
        </is>
      </c>
      <c r="W49" s="26" t="n">
        <v>4</v>
      </c>
      <c r="X49" s="26" t="n">
        <v>13</v>
      </c>
      <c r="Y49" s="25" t="n"/>
      <c r="Z49" s="26" t="n"/>
      <c r="AA49" s="28" t="n"/>
      <c r="AB49" s="28" t="n"/>
      <c r="AC49" s="30" t="n">
        <v>0.8817</v>
      </c>
      <c r="AD49" s="24" t="inlineStr">
        <is>
          <t>2026-07-22T23:40:20.818890Z</t>
        </is>
      </c>
      <c r="AE49" s="31" t="n"/>
      <c r="AF49" s="31" t="n"/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RESEARCH_OBSERVATION</t>
        </is>
      </c>
      <c r="AO49" s="24" t="inlineStr">
        <is>
          <t>NO_CALL_MODEL_UNVALIDATED</t>
        </is>
      </c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8a12d027cf1d2c206cb369c47da80e014f8ac4dfc414ffee96ae34656c46fef5</t>
        </is>
      </c>
      <c r="BB49" s="24" t="inlineStr">
        <is>
          <t>identity</t>
        </is>
      </c>
      <c r="BC49" s="24" t="inlineStr">
        <is>
          <t>identity-v1</t>
        </is>
      </c>
      <c r="BD49" s="24" t="n"/>
      <c r="BE49" s="24" t="inlineStr">
        <is>
          <t>1</t>
        </is>
      </c>
      <c r="BF49" s="24" t="inlineStr">
        <is>
          <t>1</t>
        </is>
      </c>
      <c r="BG49" s="24" t="n"/>
      <c r="BH49" s="24" t="inlineStr">
        <is>
          <t>2026-07-22T22:42:56Z</t>
        </is>
      </c>
      <c r="BI49" s="24" t="n"/>
      <c r="BJ49" s="25" t="n"/>
      <c r="BK49" s="26" t="n">
        <v>-110</v>
      </c>
      <c r="BL49" s="27" t="n">
        <v>1.909</v>
      </c>
      <c r="BM49" s="28" t="n">
        <v>0.523834</v>
      </c>
      <c r="BN49" s="28" t="n">
        <v>0.523834</v>
      </c>
      <c r="BO49" s="28" t="n">
        <v>0.523834</v>
      </c>
      <c r="BP49" s="25" t="n"/>
      <c r="BQ49" s="27" t="n"/>
      <c r="BR49" s="28" t="n"/>
      <c r="BS49" s="28" t="n"/>
      <c r="BT49" s="28" t="n"/>
      <c r="BU49" s="25" t="n"/>
      <c r="BV49" s="29" t="n">
        <v>0.97</v>
      </c>
      <c r="BW49" s="24" t="n"/>
      <c r="BX49" s="30" t="n"/>
      <c r="BY49" s="27" t="n"/>
      <c r="BZ49" s="24" t="n"/>
      <c r="CA49" s="31" t="n"/>
      <c r="CB49" s="24" t="n"/>
      <c r="CC49" s="24" t="inlineStr">
        <is>
          <t>0.581677</t>
        </is>
      </c>
      <c r="CD49" s="24" t="inlineStr">
        <is>
          <t>0.592395</t>
        </is>
      </c>
      <c r="CE49" s="24" t="inlineStr">
        <is>
          <t>0.97</t>
        </is>
      </c>
      <c r="CF49" s="24" t="inlineStr">
        <is>
          <t>0.9986</t>
        </is>
      </c>
      <c r="CG49" s="24" t="inlineStr">
        <is>
          <t>-0.6</t>
        </is>
      </c>
      <c r="CH49" s="24" t="n"/>
      <c r="CI49" s="24" t="n"/>
      <c r="CJ49" s="24" t="n"/>
      <c r="CK49" s="24" t="n"/>
      <c r="CL49" s="24" t="n"/>
      <c r="CM49" s="24" t="n"/>
    </row>
    <row r="50" ht="18" customHeight="1">
      <c r="A50" s="24" t="inlineStr">
        <is>
          <t>f1c3fea0b7894285</t>
        </is>
      </c>
      <c r="B50" s="24" t="inlineStr">
        <is>
          <t>2026-07-22T22:42:56Z</t>
        </is>
      </c>
      <c r="C50" s="24" t="inlineStr">
        <is>
          <t>2026-07-20T23:00Z</t>
        </is>
      </c>
      <c r="D50" s="24" t="inlineStr">
        <is>
          <t>401816187</t>
        </is>
      </c>
      <c r="E50" s="24" t="inlineStr">
        <is>
          <t>MLB</t>
        </is>
      </c>
      <c r="F50" s="24" t="inlineStr">
        <is>
          <t>Los Angeles Dodgers</t>
        </is>
      </c>
      <c r="G50" s="24" t="inlineStr">
        <is>
          <t>Philadelphia Phillies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-110</v>
      </c>
      <c r="M50" s="27" t="n">
        <v>1.909091</v>
      </c>
      <c r="N50" s="28" t="n">
        <v>0.52381</v>
      </c>
      <c r="O50" s="28" t="n">
        <v>0.471408</v>
      </c>
      <c r="P50" s="28" t="n">
        <v>0.05</v>
      </c>
      <c r="Q50" s="28" t="n">
        <v>-0.052401</v>
      </c>
      <c r="R50" s="26" t="n">
        <v>0</v>
      </c>
      <c r="S50" s="29" t="n">
        <v>0</v>
      </c>
      <c r="T50" s="24" t="inlineStr">
        <is>
          <t>mlb-elo-trend-lr-v5</t>
        </is>
      </c>
      <c r="U50" s="24" t="inlineStr">
        <is>
          <t>settled</t>
        </is>
      </c>
      <c r="V50" s="24" t="inlineStr">
        <is>
          <t>loss</t>
        </is>
      </c>
      <c r="W50" s="26" t="n">
        <v>7</v>
      </c>
      <c r="X50" s="26" t="n">
        <v>10</v>
      </c>
      <c r="Y50" s="25" t="n"/>
      <c r="Z50" s="26" t="n">
        <v>-110</v>
      </c>
      <c r="AA50" s="28" t="n">
        <v>0.523834</v>
      </c>
      <c r="AB50" s="28" t="n"/>
      <c r="AC50" s="30" t="n">
        <v>-0.5</v>
      </c>
      <c r="AD50" s="24" t="inlineStr">
        <is>
          <t>2026-07-22T23:44:22Z</t>
        </is>
      </c>
      <c r="AE50" s="31" t="n"/>
      <c r="AF50" s="31" t="n"/>
      <c r="AG50" s="24" t="n"/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RESEARCH_OBSERVATION</t>
        </is>
      </c>
      <c r="AO50" s="24" t="inlineStr">
        <is>
          <t>NO_CALL_MODEL_UNVALIDATED</t>
        </is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8a12d027cf1d2c206cb369c47da80e014f8ac4dfc414ffee96ae34656c46fef5</t>
        </is>
      </c>
      <c r="BB50" s="24" t="inlineStr">
        <is>
          <t>identity</t>
        </is>
      </c>
      <c r="BC50" s="24" t="inlineStr">
        <is>
          <t>identity-v1</t>
        </is>
      </c>
      <c r="BD50" s="24" t="n"/>
      <c r="BE50" s="24" t="inlineStr">
        <is>
          <t>1</t>
        </is>
      </c>
      <c r="BF50" s="24" t="inlineStr">
        <is>
          <t>1</t>
        </is>
      </c>
      <c r="BG50" s="24" t="n"/>
      <c r="BH50" s="24" t="inlineStr">
        <is>
          <t>2026-07-22T22:42:56Z</t>
        </is>
      </c>
      <c r="BI50" s="24" t="n"/>
      <c r="BJ50" s="25" t="n"/>
      <c r="BK50" s="26" t="n">
        <v>-110</v>
      </c>
      <c r="BL50" s="27" t="n">
        <v>1.909</v>
      </c>
      <c r="BM50" s="28" t="n">
        <v>0.523834</v>
      </c>
      <c r="BN50" s="28" t="n">
        <v>0.523834</v>
      </c>
      <c r="BO50" s="28" t="n">
        <v>0.523834</v>
      </c>
      <c r="BP50" s="25" t="n"/>
      <c r="BQ50" s="27" t="n">
        <v>1.909</v>
      </c>
      <c r="BR50" s="28" t="n"/>
      <c r="BS50" s="28" t="n"/>
      <c r="BT50" s="28" t="n"/>
      <c r="BU50" s="25" t="n"/>
      <c r="BV50" s="29" t="n">
        <v>0.5</v>
      </c>
      <c r="BW50" s="24" t="n"/>
      <c r="BX50" s="30" t="n"/>
      <c r="BY50" s="27" t="n"/>
      <c r="BZ50" s="24" t="n"/>
      <c r="CA50" s="31" t="n"/>
      <c r="CB50" s="24" t="n"/>
      <c r="CC50" s="24" t="inlineStr">
        <is>
          <t>0.473567</t>
        </is>
      </c>
      <c r="CD50" s="24" t="inlineStr">
        <is>
          <t>0.357784</t>
        </is>
      </c>
      <c r="CE50" s="24" t="inlineStr">
        <is>
          <t>1.01</t>
        </is>
      </c>
      <c r="CF50" s="24" t="inlineStr">
        <is>
          <t>1.0107</t>
        </is>
      </c>
      <c r="CG50" s="24" t="inlineStr">
        <is>
          <t>0.0</t>
        </is>
      </c>
      <c r="CH50" s="24" t="n"/>
      <c r="CI50" s="24" t="n"/>
      <c r="CJ50" s="24" t="n"/>
      <c r="CK50" s="24" t="n"/>
      <c r="CL50" s="24" t="n"/>
      <c r="CM50" s="24" t="n"/>
    </row>
    <row r="51" ht="18" customHeight="1">
      <c r="A51" s="24" t="inlineStr">
        <is>
          <t>b9cb4d99199c4b56</t>
        </is>
      </c>
      <c r="B51" s="24" t="inlineStr">
        <is>
          <t>2026-07-22T22:42:56Z</t>
        </is>
      </c>
      <c r="C51" s="24" t="inlineStr">
        <is>
          <t>2026-07-20T23:05Z</t>
        </is>
      </c>
      <c r="D51" s="24" t="inlineStr">
        <is>
          <t>401816189</t>
        </is>
      </c>
      <c r="E51" s="24" t="inlineStr">
        <is>
          <t>MLB</t>
        </is>
      </c>
      <c r="F51" s="24" t="inlineStr">
        <is>
          <t>Pittsburgh Pirates</t>
        </is>
      </c>
      <c r="G51" s="24" t="inlineStr">
        <is>
          <t>New York Yankees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-110</v>
      </c>
      <c r="M51" s="27" t="n">
        <v>1.909091</v>
      </c>
      <c r="N51" s="28" t="n">
        <v>0.52381</v>
      </c>
      <c r="O51" s="28" t="n">
        <v>0.625068</v>
      </c>
      <c r="P51" s="28" t="n">
        <v>0.05</v>
      </c>
      <c r="Q51" s="28" t="n">
        <v>0.101259</v>
      </c>
      <c r="R51" s="26" t="n">
        <v>71</v>
      </c>
      <c r="S51" s="29" t="n">
        <v>0</v>
      </c>
      <c r="T51" s="24" t="inlineStr">
        <is>
          <t>mlb-elo-trend-lr-v5</t>
        </is>
      </c>
      <c r="U51" s="24" t="inlineStr">
        <is>
          <t>settled</t>
        </is>
      </c>
      <c r="V51" s="24" t="inlineStr">
        <is>
          <t>win</t>
        </is>
      </c>
      <c r="W51" s="26" t="n">
        <v>5</v>
      </c>
      <c r="X51" s="26" t="n">
        <v>8</v>
      </c>
      <c r="Y51" s="25" t="n"/>
      <c r="Z51" s="26" t="n">
        <v>-110</v>
      </c>
      <c r="AA51" s="28" t="n">
        <v>0.523834</v>
      </c>
      <c r="AB51" s="28" t="n"/>
      <c r="AC51" s="30" t="n">
        <v>1.0726</v>
      </c>
      <c r="AD51" s="24" t="inlineStr">
        <is>
          <t>2026-07-22T23:44:22Z</t>
        </is>
      </c>
      <c r="AE51" s="31" t="n"/>
      <c r="AF51" s="31" t="n"/>
      <c r="AG51" s="24" t="n"/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RESEARCH_OBSERVATION</t>
        </is>
      </c>
      <c r="AO51" s="24" t="inlineStr">
        <is>
          <t>NO_CALL_MODEL_UNVALIDATED</t>
        </is>
      </c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8a12d027cf1d2c206cb369c47da80e014f8ac4dfc414ffee96ae34656c46fef5</t>
        </is>
      </c>
      <c r="BB51" s="24" t="inlineStr">
        <is>
          <t>identity</t>
        </is>
      </c>
      <c r="BC51" s="24" t="inlineStr">
        <is>
          <t>identity-v1</t>
        </is>
      </c>
      <c r="BD51" s="24" t="n"/>
      <c r="BE51" s="24" t="inlineStr">
        <is>
          <t>1</t>
        </is>
      </c>
      <c r="BF51" s="24" t="inlineStr">
        <is>
          <t>1</t>
        </is>
      </c>
      <c r="BG51" s="24" t="n"/>
      <c r="BH51" s="24" t="inlineStr">
        <is>
          <t>2026-07-22T22:42:56Z</t>
        </is>
      </c>
      <c r="BI51" s="24" t="n"/>
      <c r="BJ51" s="25" t="n"/>
      <c r="BK51" s="26" t="n">
        <v>-110</v>
      </c>
      <c r="BL51" s="27" t="n">
        <v>1.909</v>
      </c>
      <c r="BM51" s="28" t="n">
        <v>0.523834</v>
      </c>
      <c r="BN51" s="28" t="n">
        <v>0.523834</v>
      </c>
      <c r="BO51" s="28" t="n">
        <v>0.523834</v>
      </c>
      <c r="BP51" s="25" t="n"/>
      <c r="BQ51" s="27" t="n">
        <v>1.909</v>
      </c>
      <c r="BR51" s="28" t="n"/>
      <c r="BS51" s="28" t="n"/>
      <c r="BT51" s="28" t="n"/>
      <c r="BU51" s="25" t="n"/>
      <c r="BV51" s="29" t="n">
        <v>1.18</v>
      </c>
      <c r="BW51" s="24" t="n"/>
      <c r="BX51" s="30" t="n"/>
      <c r="BY51" s="27" t="n"/>
      <c r="BZ51" s="24" t="n"/>
      <c r="CA51" s="31" t="n"/>
      <c r="CB51" s="24" t="n"/>
      <c r="CC51" s="24" t="inlineStr">
        <is>
          <t>0.567089</t>
        </is>
      </c>
      <c r="CD51" s="24" t="inlineStr">
        <is>
          <t>-2.597864</t>
        </is>
      </c>
      <c r="CE51" s="24" t="inlineStr">
        <is>
          <t>0.99</t>
        </is>
      </c>
      <c r="CF51" s="24" t="inlineStr">
        <is>
          <t>1.0171</t>
        </is>
      </c>
      <c r="CG51" s="24" t="inlineStr">
        <is>
          <t>0.4</t>
        </is>
      </c>
      <c r="CH51" s="24" t="n"/>
      <c r="CI51" s="24" t="n"/>
      <c r="CJ51" s="24" t="n"/>
      <c r="CK51" s="24" t="n"/>
      <c r="CL51" s="24" t="n"/>
      <c r="CM51" s="24" t="n"/>
    </row>
    <row r="52" ht="18" customHeight="1">
      <c r="A52" s="24" t="inlineStr">
        <is>
          <t>5499e675546a438a</t>
        </is>
      </c>
      <c r="B52" s="24" t="inlineStr">
        <is>
          <t>2026-07-22T22:42:56Z</t>
        </is>
      </c>
      <c r="C52" s="24" t="inlineStr">
        <is>
          <t>2026-07-20T23:07Z</t>
        </is>
      </c>
      <c r="D52" s="24" t="inlineStr">
        <is>
          <t>401816191</t>
        </is>
      </c>
      <c r="E52" s="24" t="inlineStr">
        <is>
          <t>MLB</t>
        </is>
      </c>
      <c r="F52" s="24" t="inlineStr">
        <is>
          <t>Tampa Bay Rays</t>
        </is>
      </c>
      <c r="G52" s="24" t="inlineStr">
        <is>
          <t>Toronto Blue Jays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-110</v>
      </c>
      <c r="M52" s="27" t="n">
        <v>1.909091</v>
      </c>
      <c r="N52" s="28" t="n">
        <v>0.52381</v>
      </c>
      <c r="O52" s="28" t="n">
        <v>0.504284</v>
      </c>
      <c r="P52" s="28" t="n">
        <v>0.05</v>
      </c>
      <c r="Q52" s="28" t="n">
        <v>-0.019526</v>
      </c>
      <c r="R52" s="26" t="n">
        <v>10</v>
      </c>
      <c r="S52" s="29" t="n">
        <v>0</v>
      </c>
      <c r="T52" s="24" t="inlineStr">
        <is>
          <t>mlb-elo-trend-lr-v5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1</v>
      </c>
      <c r="Y52" s="25" t="n"/>
      <c r="Z52" s="26" t="n"/>
      <c r="AA52" s="28" t="n"/>
      <c r="AB52" s="28" t="n"/>
      <c r="AC52" s="30" t="n">
        <v>0</v>
      </c>
      <c r="AD52" s="24" t="inlineStr">
        <is>
          <t>2026-07-22T23:40:21.862241Z</t>
        </is>
      </c>
      <c r="AE52" s="31" t="n"/>
      <c r="AF52" s="31" t="n"/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RESEARCH_OBSERVATION</t>
        </is>
      </c>
      <c r="AO52" s="24" t="inlineStr">
        <is>
          <t>NO_CALL_MODEL_UNVALIDATED</t>
        </is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8a12d027cf1d2c206cb369c47da80e014f8ac4dfc414ffee96ae34656c46fef5</t>
        </is>
      </c>
      <c r="BB52" s="24" t="inlineStr">
        <is>
          <t>identity</t>
        </is>
      </c>
      <c r="BC52" s="24" t="inlineStr">
        <is>
          <t>identity-v1</t>
        </is>
      </c>
      <c r="BD52" s="24" t="n"/>
      <c r="BE52" s="24" t="inlineStr">
        <is>
          <t>1</t>
        </is>
      </c>
      <c r="BF52" s="24" t="inlineStr">
        <is>
          <t>1</t>
        </is>
      </c>
      <c r="BG52" s="24" t="n"/>
      <c r="BH52" s="24" t="inlineStr">
        <is>
          <t>2026-07-22T22:42:56Z</t>
        </is>
      </c>
      <c r="BI52" s="24" t="n"/>
      <c r="BJ52" s="25" t="n"/>
      <c r="BK52" s="26" t="n">
        <v>-110</v>
      </c>
      <c r="BL52" s="27" t="n">
        <v>1.909</v>
      </c>
      <c r="BM52" s="28" t="n">
        <v>0.523834</v>
      </c>
      <c r="BN52" s="28" t="n">
        <v>0.523834</v>
      </c>
      <c r="BO52" s="28" t="n">
        <v>0.523834</v>
      </c>
      <c r="BP52" s="25" t="n"/>
      <c r="BQ52" s="27" t="n"/>
      <c r="BR52" s="28" t="n"/>
      <c r="BS52" s="28" t="n"/>
      <c r="BT52" s="28" t="n"/>
      <c r="BU52" s="25" t="n"/>
      <c r="BV52" s="29" t="n">
        <v>0.5</v>
      </c>
      <c r="BW52" s="24" t="n"/>
      <c r="BX52" s="30" t="n"/>
      <c r="BY52" s="27" t="n"/>
      <c r="BZ52" s="24" t="n"/>
      <c r="CA52" s="31" t="n"/>
      <c r="CB52" s="24" t="n"/>
      <c r="CC52" s="24" t="inlineStr">
        <is>
          <t>0.530085</t>
        </is>
      </c>
      <c r="CD52" s="24" t="inlineStr">
        <is>
          <t>-0.032483</t>
        </is>
      </c>
      <c r="CE52" s="24" t="inlineStr">
        <is>
          <t>1.0</t>
        </is>
      </c>
      <c r="CF52" s="24" t="inlineStr">
        <is>
          <t>1.0</t>
        </is>
      </c>
      <c r="CG52" s="24" t="inlineStr">
        <is>
          <t>-1.6</t>
        </is>
      </c>
      <c r="CH52" s="24" t="n"/>
      <c r="CI52" s="24" t="n"/>
      <c r="CJ52" s="24" t="n"/>
      <c r="CK52" s="24" t="n"/>
      <c r="CL52" s="24" t="n"/>
      <c r="CM52" s="24" t="n"/>
    </row>
    <row r="53" ht="18" customHeight="1">
      <c r="A53" s="24" t="inlineStr">
        <is>
          <t>98e0d8f902f8436e</t>
        </is>
      </c>
      <c r="B53" s="24" t="inlineStr">
        <is>
          <t>2026-07-22T22:42:56Z</t>
        </is>
      </c>
      <c r="C53" s="24" t="inlineStr">
        <is>
          <t>2026-07-20T23:10Z</t>
        </is>
      </c>
      <c r="D53" s="24" t="inlineStr">
        <is>
          <t>401816186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Boston Red Sox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-110</v>
      </c>
      <c r="M53" s="27" t="n">
        <v>1.909091</v>
      </c>
      <c r="N53" s="28" t="n">
        <v>0.52381</v>
      </c>
      <c r="O53" s="28" t="n">
        <v>0.562925</v>
      </c>
      <c r="P53" s="28" t="n">
        <v>0.05</v>
      </c>
      <c r="Q53" s="28" t="n">
        <v>0.039116</v>
      </c>
      <c r="R53" s="26" t="n">
        <v>40</v>
      </c>
      <c r="S53" s="29" t="n">
        <v>0</v>
      </c>
      <c r="T53" s="24" t="inlineStr">
        <is>
          <t>mlb-elo-trend-lr-v5</t>
        </is>
      </c>
      <c r="U53" s="24" t="inlineStr">
        <is>
          <t>settled</t>
        </is>
      </c>
      <c r="V53" s="24" t="inlineStr">
        <is>
          <t>win</t>
        </is>
      </c>
      <c r="W53" s="26" t="n">
        <v>5</v>
      </c>
      <c r="X53" s="26" t="n">
        <v>6</v>
      </c>
      <c r="Y53" s="25" t="n"/>
      <c r="Z53" s="26" t="n">
        <v>-110</v>
      </c>
      <c r="AA53" s="28" t="n">
        <v>0.523834</v>
      </c>
      <c r="AB53" s="28" t="n"/>
      <c r="AC53" s="30" t="n">
        <v>0.8908</v>
      </c>
      <c r="AD53" s="24" t="inlineStr">
        <is>
          <t>2026-07-22T23:44:22Z</t>
        </is>
      </c>
      <c r="AE53" s="31" t="n"/>
      <c r="AF53" s="31" t="n"/>
      <c r="AG53" s="24" t="n"/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RESEARCH_OBSERVATION</t>
        </is>
      </c>
      <c r="AO53" s="24" t="inlineStr">
        <is>
          <t>NO_CALL_MODEL_UNVALIDATED</t>
        </is>
      </c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8a12d027cf1d2c206cb369c47da80e014f8ac4dfc414ffee96ae34656c46fef5</t>
        </is>
      </c>
      <c r="BB53" s="24" t="inlineStr">
        <is>
          <t>identity</t>
        </is>
      </c>
      <c r="BC53" s="24" t="inlineStr">
        <is>
          <t>identity-v1</t>
        </is>
      </c>
      <c r="BD53" s="24" t="n"/>
      <c r="BE53" s="24" t="inlineStr">
        <is>
          <t>1</t>
        </is>
      </c>
      <c r="BF53" s="24" t="inlineStr">
        <is>
          <t>1</t>
        </is>
      </c>
      <c r="BG53" s="24" t="n"/>
      <c r="BH53" s="24" t="inlineStr">
        <is>
          <t>2026-07-22T22:42:56Z</t>
        </is>
      </c>
      <c r="BI53" s="24" t="n"/>
      <c r="BJ53" s="25" t="n"/>
      <c r="BK53" s="26" t="n">
        <v>-110</v>
      </c>
      <c r="BL53" s="27" t="n">
        <v>1.909</v>
      </c>
      <c r="BM53" s="28" t="n">
        <v>0.523834</v>
      </c>
      <c r="BN53" s="28" t="n">
        <v>0.523834</v>
      </c>
      <c r="BO53" s="28" t="n">
        <v>0.523834</v>
      </c>
      <c r="BP53" s="25" t="n"/>
      <c r="BQ53" s="27" t="n">
        <v>1.909</v>
      </c>
      <c r="BR53" s="28" t="n"/>
      <c r="BS53" s="28" t="n"/>
      <c r="BT53" s="28" t="n"/>
      <c r="BU53" s="25" t="n"/>
      <c r="BV53" s="29" t="n">
        <v>0.98</v>
      </c>
      <c r="BW53" s="24" t="n"/>
      <c r="BX53" s="30" t="n"/>
      <c r="BY53" s="27" t="n"/>
      <c r="BZ53" s="24" t="n"/>
      <c r="CA53" s="31" t="n"/>
      <c r="CB53" s="24" t="n"/>
      <c r="CC53" s="24" t="inlineStr">
        <is>
          <t>0.602002</t>
        </is>
      </c>
      <c r="CD53" s="24" t="inlineStr">
        <is>
          <t>1.11</t>
        </is>
      </c>
      <c r="CE53" s="24" t="inlineStr">
        <is>
          <t>1.04</t>
        </is>
      </c>
      <c r="CF53" s="24" t="inlineStr">
        <is>
          <t>1.0049</t>
        </is>
      </c>
      <c r="CG53" s="24" t="inlineStr">
        <is>
          <t>0.6</t>
        </is>
      </c>
      <c r="CH53" s="24" t="n"/>
      <c r="CI53" s="24" t="n"/>
      <c r="CJ53" s="24" t="n"/>
      <c r="CK53" s="24" t="n"/>
      <c r="CL53" s="24" t="n"/>
      <c r="CM53" s="24" t="n"/>
    </row>
    <row r="54" ht="18" customHeight="1">
      <c r="A54" s="24" t="inlineStr">
        <is>
          <t>5f77f88f94d84396</t>
        </is>
      </c>
      <c r="B54" s="24" t="inlineStr">
        <is>
          <t>2026-07-22T22:42:56Z</t>
        </is>
      </c>
      <c r="C54" s="24" t="inlineStr">
        <is>
          <t>2026-07-20T23:15Z</t>
        </is>
      </c>
      <c r="D54" s="24" t="inlineStr">
        <is>
          <t>401816190</t>
        </is>
      </c>
      <c r="E54" s="24" t="inlineStr">
        <is>
          <t>MLB</t>
        </is>
      </c>
      <c r="F54" s="24" t="inlineStr">
        <is>
          <t>San Diego Padres</t>
        </is>
      </c>
      <c r="G54" s="24" t="inlineStr">
        <is>
          <t>Atlanta Braves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-110</v>
      </c>
      <c r="M54" s="27" t="n">
        <v>1.909091</v>
      </c>
      <c r="N54" s="28" t="n">
        <v>0.52381</v>
      </c>
      <c r="O54" s="28" t="n">
        <v>0.560124</v>
      </c>
      <c r="P54" s="28" t="n">
        <v>0.05</v>
      </c>
      <c r="Q54" s="28" t="n">
        <v>0.036314</v>
      </c>
      <c r="R54" s="26" t="n">
        <v>38</v>
      </c>
      <c r="S54" s="29" t="n">
        <v>0</v>
      </c>
      <c r="T54" s="24" t="inlineStr">
        <is>
          <t>mlb-elo-trend-lr-v5</t>
        </is>
      </c>
      <c r="U54" s="24" t="inlineStr">
        <is>
          <t>settled</t>
        </is>
      </c>
      <c r="V54" s="24" t="inlineStr">
        <is>
          <t>win</t>
        </is>
      </c>
      <c r="W54" s="26" t="n">
        <v>2</v>
      </c>
      <c r="X54" s="26" t="n">
        <v>3</v>
      </c>
      <c r="Y54" s="25" t="n"/>
      <c r="Z54" s="26" t="n">
        <v>-110</v>
      </c>
      <c r="AA54" s="28" t="n">
        <v>0.523834</v>
      </c>
      <c r="AB54" s="28" t="n"/>
      <c r="AC54" s="30" t="n">
        <v>0.6363</v>
      </c>
      <c r="AD54" s="24" t="inlineStr">
        <is>
          <t>2026-07-22T23:44:22Z</t>
        </is>
      </c>
      <c r="AE54" s="31" t="n"/>
      <c r="AF54" s="31" t="n"/>
      <c r="AG54" s="24" t="n"/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RESEARCH_OBSERVATION</t>
        </is>
      </c>
      <c r="AO54" s="24" t="inlineStr">
        <is>
          <t>NO_CALL_MODEL_UNVALIDATED</t>
        </is>
      </c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8a12d027cf1d2c206cb369c47da80e014f8ac4dfc414ffee96ae34656c46fef5</t>
        </is>
      </c>
      <c r="BB54" s="24" t="inlineStr">
        <is>
          <t>identity</t>
        </is>
      </c>
      <c r="BC54" s="24" t="inlineStr">
        <is>
          <t>identity-v1</t>
        </is>
      </c>
      <c r="BD54" s="24" t="n"/>
      <c r="BE54" s="24" t="inlineStr">
        <is>
          <t>1</t>
        </is>
      </c>
      <c r="BF54" s="24" t="inlineStr">
        <is>
          <t>1</t>
        </is>
      </c>
      <c r="BG54" s="24" t="n"/>
      <c r="BH54" s="24" t="inlineStr">
        <is>
          <t>2026-07-22T22:42:56Z</t>
        </is>
      </c>
      <c r="BI54" s="24" t="n"/>
      <c r="BJ54" s="25" t="n"/>
      <c r="BK54" s="26" t="n">
        <v>-110</v>
      </c>
      <c r="BL54" s="27" t="n">
        <v>1.909</v>
      </c>
      <c r="BM54" s="28" t="n">
        <v>0.523834</v>
      </c>
      <c r="BN54" s="28" t="n">
        <v>0.523834</v>
      </c>
      <c r="BO54" s="28" t="n">
        <v>0.523834</v>
      </c>
      <c r="BP54" s="25" t="n"/>
      <c r="BQ54" s="27" t="n">
        <v>1.909</v>
      </c>
      <c r="BR54" s="28" t="n"/>
      <c r="BS54" s="28" t="n"/>
      <c r="BT54" s="28" t="n"/>
      <c r="BU54" s="25" t="n"/>
      <c r="BV54" s="29" t="n">
        <v>0.7</v>
      </c>
      <c r="BW54" s="24" t="n"/>
      <c r="BX54" s="30" t="n"/>
      <c r="BY54" s="27" t="n"/>
      <c r="BZ54" s="24" t="n"/>
      <c r="CA54" s="31" t="n"/>
      <c r="CB54" s="24" t="n"/>
      <c r="CC54" s="24" t="inlineStr">
        <is>
          <t>0.569357</t>
        </is>
      </c>
      <c r="CD54" s="24" t="inlineStr">
        <is>
          <t>-0.93991</t>
        </is>
      </c>
      <c r="CE54" s="24" t="inlineStr">
        <is>
          <t>1.01</t>
        </is>
      </c>
      <c r="CF54" s="24" t="inlineStr">
        <is>
          <t>1.0143</t>
        </is>
      </c>
      <c r="CG54" s="24" t="inlineStr">
        <is>
          <t>-1.2</t>
        </is>
      </c>
      <c r="CH54" s="24" t="n"/>
      <c r="CI54" s="24" t="n"/>
      <c r="CJ54" s="24" t="n"/>
      <c r="CK54" s="24" t="n"/>
      <c r="CL54" s="24" t="n"/>
      <c r="CM54" s="24" t="n"/>
    </row>
    <row r="55" ht="18" customHeight="1">
      <c r="A55" s="24" t="inlineStr">
        <is>
          <t>11a279196c29415d</t>
        </is>
      </c>
      <c r="B55" s="24" t="inlineStr">
        <is>
          <t>2026-07-22T22:42:56Z</t>
        </is>
      </c>
      <c r="C55" s="24" t="inlineStr">
        <is>
          <t>2026-07-20T23:40Z</t>
        </is>
      </c>
      <c r="D55" s="24" t="inlineStr">
        <is>
          <t>401816195</t>
        </is>
      </c>
      <c r="E55" s="24" t="inlineStr">
        <is>
          <t>MLB</t>
        </is>
      </c>
      <c r="F55" s="24" t="inlineStr">
        <is>
          <t>New York Mets</t>
        </is>
      </c>
      <c r="G55" s="24" t="inlineStr">
        <is>
          <t>Milwaukee Brewers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-110</v>
      </c>
      <c r="M55" s="27" t="n">
        <v>1.909091</v>
      </c>
      <c r="N55" s="28" t="n">
        <v>0.52381</v>
      </c>
      <c r="O55" s="28" t="n">
        <v>0.67463</v>
      </c>
      <c r="P55" s="28" t="n">
        <v>0.05</v>
      </c>
      <c r="Q55" s="28" t="n">
        <v>0.150821</v>
      </c>
      <c r="R55" s="26" t="n">
        <v>95</v>
      </c>
      <c r="S55" s="29" t="n">
        <v>0</v>
      </c>
      <c r="T55" s="24" t="inlineStr">
        <is>
          <t>mlb-elo-trend-lr-v5</t>
        </is>
      </c>
      <c r="U55" s="24" t="inlineStr">
        <is>
          <t>settled</t>
        </is>
      </c>
      <c r="V55" s="24" t="inlineStr">
        <is>
          <t>win</t>
        </is>
      </c>
      <c r="W55" s="26" t="n">
        <v>3</v>
      </c>
      <c r="X55" s="26" t="n">
        <v>8</v>
      </c>
      <c r="Y55" s="25" t="n"/>
      <c r="Z55" s="26" t="n">
        <v>-110</v>
      </c>
      <c r="AA55" s="28" t="n">
        <v>0.523834</v>
      </c>
      <c r="AB55" s="28" t="n"/>
      <c r="AC55" s="30" t="n">
        <v>1.818</v>
      </c>
      <c r="AD55" s="24" t="inlineStr">
        <is>
          <t>2026-07-22T23:44:22Z</t>
        </is>
      </c>
      <c r="AE55" s="31" t="n"/>
      <c r="AF55" s="31" t="n"/>
      <c r="AG55" s="24" t="n"/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RESEARCH_OBSERVATION</t>
        </is>
      </c>
      <c r="AO55" s="24" t="inlineStr">
        <is>
          <t>NO_CALL_MODEL_UNVALIDATED</t>
        </is>
      </c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8a12d027cf1d2c206cb369c47da80e014f8ac4dfc414ffee96ae34656c46fef5</t>
        </is>
      </c>
      <c r="BB55" s="24" t="inlineStr">
        <is>
          <t>identity</t>
        </is>
      </c>
      <c r="BC55" s="24" t="inlineStr">
        <is>
          <t>identity-v1</t>
        </is>
      </c>
      <c r="BD55" s="24" t="n"/>
      <c r="BE55" s="24" t="inlineStr">
        <is>
          <t>1</t>
        </is>
      </c>
      <c r="BF55" s="24" t="inlineStr">
        <is>
          <t>1</t>
        </is>
      </c>
      <c r="BG55" s="24" t="n"/>
      <c r="BH55" s="24" t="inlineStr">
        <is>
          <t>2026-07-22T22:42:56Z</t>
        </is>
      </c>
      <c r="BI55" s="24" t="n"/>
      <c r="BJ55" s="25" t="n"/>
      <c r="BK55" s="26" t="n">
        <v>-110</v>
      </c>
      <c r="BL55" s="27" t="n">
        <v>1.909</v>
      </c>
      <c r="BM55" s="28" t="n">
        <v>0.523834</v>
      </c>
      <c r="BN55" s="28" t="n">
        <v>0.523834</v>
      </c>
      <c r="BO55" s="28" t="n">
        <v>0.523834</v>
      </c>
      <c r="BP55" s="25" t="n"/>
      <c r="BQ55" s="27" t="n">
        <v>1.909</v>
      </c>
      <c r="BR55" s="28" t="n"/>
      <c r="BS55" s="28" t="n"/>
      <c r="BT55" s="28" t="n"/>
      <c r="BU55" s="25" t="n"/>
      <c r="BV55" s="29" t="n">
        <v>2</v>
      </c>
      <c r="BW55" s="24" t="n"/>
      <c r="BX55" s="30" t="n"/>
      <c r="BY55" s="27" t="n"/>
      <c r="BZ55" s="24" t="n"/>
      <c r="CA55" s="31" t="n"/>
      <c r="CB55" s="24" t="n"/>
      <c r="CC55" s="24" t="inlineStr">
        <is>
          <t>0.683237</t>
        </is>
      </c>
      <c r="CD55" s="24" t="inlineStr">
        <is>
          <t>-0.156038</t>
        </is>
      </c>
      <c r="CE55" s="24" t="inlineStr">
        <is>
          <t>0.98</t>
        </is>
      </c>
      <c r="CF55" s="24" t="inlineStr">
        <is>
          <t>1.0</t>
        </is>
      </c>
      <c r="CG55" s="24" t="inlineStr">
        <is>
          <t>1.0</t>
        </is>
      </c>
      <c r="CH55" s="24" t="n"/>
      <c r="CI55" s="24" t="n"/>
      <c r="CJ55" s="24" t="n"/>
      <c r="CK55" s="24" t="n"/>
      <c r="CL55" s="24" t="n"/>
      <c r="CM55" s="24" t="n"/>
    </row>
    <row r="56" ht="18" customHeight="1">
      <c r="A56" s="24" t="inlineStr">
        <is>
          <t>7dc982a529364398</t>
        </is>
      </c>
      <c r="B56" s="24" t="inlineStr">
        <is>
          <t>2026-07-22T22:42:56Z</t>
        </is>
      </c>
      <c r="C56" s="24" t="inlineStr">
        <is>
          <t>2026-07-20T23:40Z</t>
        </is>
      </c>
      <c r="D56" s="24" t="inlineStr">
        <is>
          <t>401816196</t>
        </is>
      </c>
      <c r="E56" s="24" t="inlineStr">
        <is>
          <t>MLB</t>
        </is>
      </c>
      <c r="F56" s="24" t="inlineStr">
        <is>
          <t>San Francisco Giants</t>
        </is>
      </c>
      <c r="G56" s="24" t="inlineStr">
        <is>
          <t>Kansas City Royals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-110</v>
      </c>
      <c r="M56" s="27" t="n">
        <v>1.909091</v>
      </c>
      <c r="N56" s="28" t="n">
        <v>0.52381</v>
      </c>
      <c r="O56" s="28" t="n">
        <v>0.595328</v>
      </c>
      <c r="P56" s="28" t="n">
        <v>0.05</v>
      </c>
      <c r="Q56" s="28" t="n">
        <v>0.071518</v>
      </c>
      <c r="R56" s="26" t="n">
        <v>56</v>
      </c>
      <c r="S56" s="29" t="n">
        <v>0</v>
      </c>
      <c r="T56" s="24" t="inlineStr">
        <is>
          <t>mlb-elo-trend-lr-v5</t>
        </is>
      </c>
      <c r="U56" s="24" t="inlineStr">
        <is>
          <t>settled</t>
        </is>
      </c>
      <c r="V56" s="24" t="inlineStr">
        <is>
          <t>win</t>
        </is>
      </c>
      <c r="W56" s="26" t="n">
        <v>3</v>
      </c>
      <c r="X56" s="26" t="n">
        <v>4</v>
      </c>
      <c r="Y56" s="25" t="n"/>
      <c r="Z56" s="26" t="n">
        <v>-110</v>
      </c>
      <c r="AA56" s="28" t="n">
        <v>0.523834</v>
      </c>
      <c r="AB56" s="28" t="n"/>
      <c r="AC56" s="30" t="n">
        <v>0.4545</v>
      </c>
      <c r="AD56" s="24" t="inlineStr">
        <is>
          <t>2026-07-22T23:44:22Z</t>
        </is>
      </c>
      <c r="AE56" s="31" t="n"/>
      <c r="AF56" s="31" t="n"/>
      <c r="AG56" s="24" t="n"/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RESEARCH_OBSERVATION</t>
        </is>
      </c>
      <c r="AO56" s="24" t="inlineStr">
        <is>
          <t>NO_CALL_MODEL_UNVALIDATED</t>
        </is>
      </c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8a12d027cf1d2c206cb369c47da80e014f8ac4dfc414ffee96ae34656c46fef5</t>
        </is>
      </c>
      <c r="BB56" s="24" t="inlineStr">
        <is>
          <t>identity</t>
        </is>
      </c>
      <c r="BC56" s="24" t="inlineStr">
        <is>
          <t>identity-v1</t>
        </is>
      </c>
      <c r="BD56" s="24" t="n"/>
      <c r="BE56" s="24" t="inlineStr">
        <is>
          <t>1</t>
        </is>
      </c>
      <c r="BF56" s="24" t="inlineStr">
        <is>
          <t>1</t>
        </is>
      </c>
      <c r="BG56" s="24" t="n"/>
      <c r="BH56" s="24" t="inlineStr">
        <is>
          <t>2026-07-22T22:42:56Z</t>
        </is>
      </c>
      <c r="BI56" s="24" t="n"/>
      <c r="BJ56" s="25" t="n"/>
      <c r="BK56" s="26" t="n">
        <v>-110</v>
      </c>
      <c r="BL56" s="27" t="n">
        <v>1.909</v>
      </c>
      <c r="BM56" s="28" t="n">
        <v>0.523834</v>
      </c>
      <c r="BN56" s="28" t="n">
        <v>0.523834</v>
      </c>
      <c r="BO56" s="28" t="n">
        <v>0.523834</v>
      </c>
      <c r="BP56" s="25" t="n"/>
      <c r="BQ56" s="27" t="n">
        <v>1.909</v>
      </c>
      <c r="BR56" s="28" t="n"/>
      <c r="BS56" s="28" t="n"/>
      <c r="BT56" s="28" t="n"/>
      <c r="BU56" s="25" t="n"/>
      <c r="BV56" s="29" t="n">
        <v>0.5</v>
      </c>
      <c r="BW56" s="24" t="n"/>
      <c r="BX56" s="30" t="n"/>
      <c r="BY56" s="27" t="n"/>
      <c r="BZ56" s="24" t="n"/>
      <c r="CA56" s="31" t="n"/>
      <c r="CB56" s="24" t="n"/>
      <c r="CC56" s="24" t="inlineStr">
        <is>
          <t>0.516421</t>
        </is>
      </c>
      <c r="CD56" s="24" t="inlineStr">
        <is>
          <t>0.102087</t>
        </is>
      </c>
      <c r="CE56" s="24" t="inlineStr">
        <is>
          <t>1.03</t>
        </is>
      </c>
      <c r="CF56" s="24" t="inlineStr">
        <is>
          <t>1.0111</t>
        </is>
      </c>
      <c r="CG56" s="24" t="inlineStr">
        <is>
          <t>5.4</t>
        </is>
      </c>
      <c r="CH56" s="24" t="n"/>
      <c r="CI56" s="24" t="n"/>
      <c r="CJ56" s="24" t="n"/>
      <c r="CK56" s="24" t="n"/>
      <c r="CL56" s="24" t="n"/>
      <c r="CM56" s="24" t="n"/>
    </row>
    <row r="57" ht="18" customHeight="1">
      <c r="A57" s="24" t="inlineStr">
        <is>
          <t>b1c503bf376848b6</t>
        </is>
      </c>
      <c r="B57" s="24" t="inlineStr">
        <is>
          <t>2026-07-22T22:42:56Z</t>
        </is>
      </c>
      <c r="C57" s="24" t="inlineStr">
        <is>
          <t>2026-07-21T00:05Z</t>
        </is>
      </c>
      <c r="D57" s="24" t="inlineStr">
        <is>
          <t>401816192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Texas Rangers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-110</v>
      </c>
      <c r="M57" s="27" t="n">
        <v>1.909091</v>
      </c>
      <c r="N57" s="28" t="n">
        <v>0.52381</v>
      </c>
      <c r="O57" s="28" t="n">
        <v>0.6185310000000001</v>
      </c>
      <c r="P57" s="28" t="n">
        <v>0.05</v>
      </c>
      <c r="Q57" s="28" t="n">
        <v>0.094722</v>
      </c>
      <c r="R57" s="26" t="n">
        <v>67</v>
      </c>
      <c r="S57" s="29" t="n">
        <v>0</v>
      </c>
      <c r="T57" s="24" t="inlineStr">
        <is>
          <t>mlb-elo-trend-lr-v5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10</v>
      </c>
      <c r="Y57" s="25" t="n"/>
      <c r="Z57" s="26" t="n">
        <v>-110</v>
      </c>
      <c r="AA57" s="28" t="n">
        <v>0.523834</v>
      </c>
      <c r="AB57" s="28" t="n"/>
      <c r="AC57" s="30" t="n">
        <v>0.5363</v>
      </c>
      <c r="AD57" s="24" t="inlineStr">
        <is>
          <t>2026-07-22T23:44:22Z</t>
        </is>
      </c>
      <c r="AE57" s="31" t="n"/>
      <c r="AF57" s="31" t="n"/>
      <c r="AG57" s="24" t="n"/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RESEARCH_OBSERVATION</t>
        </is>
      </c>
      <c r="AO57" s="24" t="inlineStr">
        <is>
          <t>NO_CALL_MODEL_UNVALIDATED</t>
        </is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8a12d027cf1d2c206cb369c47da80e014f8ac4dfc414ffee96ae34656c46fef5</t>
        </is>
      </c>
      <c r="BB57" s="24" t="inlineStr">
        <is>
          <t>identity</t>
        </is>
      </c>
      <c r="BC57" s="24" t="inlineStr">
        <is>
          <t>identity-v1</t>
        </is>
      </c>
      <c r="BD57" s="24" t="n"/>
      <c r="BE57" s="24" t="inlineStr">
        <is>
          <t>1</t>
        </is>
      </c>
      <c r="BF57" s="24" t="inlineStr">
        <is>
          <t>1</t>
        </is>
      </c>
      <c r="BG57" s="24" t="n"/>
      <c r="BH57" s="24" t="inlineStr">
        <is>
          <t>2026-07-22T22:42:56Z</t>
        </is>
      </c>
      <c r="BI57" s="24" t="n"/>
      <c r="BJ57" s="25" t="n"/>
      <c r="BK57" s="26" t="n">
        <v>-110</v>
      </c>
      <c r="BL57" s="27" t="n">
        <v>1.909</v>
      </c>
      <c r="BM57" s="28" t="n">
        <v>0.523834</v>
      </c>
      <c r="BN57" s="28" t="n">
        <v>0.523834</v>
      </c>
      <c r="BO57" s="28" t="n">
        <v>0.523834</v>
      </c>
      <c r="BP57" s="25" t="n"/>
      <c r="BQ57" s="27" t="n">
        <v>1.909</v>
      </c>
      <c r="BR57" s="28" t="n"/>
      <c r="BS57" s="28" t="n"/>
      <c r="BT57" s="28" t="n"/>
      <c r="BU57" s="25" t="n"/>
      <c r="BV57" s="29" t="n">
        <v>0.59</v>
      </c>
      <c r="BW57" s="24" t="n"/>
      <c r="BX57" s="30" t="n"/>
      <c r="BY57" s="27" t="n"/>
      <c r="BZ57" s="24" t="n"/>
      <c r="CA57" s="31" t="n"/>
      <c r="CB57" s="24" t="n"/>
      <c r="CC57" s="24" t="inlineStr">
        <is>
          <t>0.524777</t>
        </is>
      </c>
      <c r="CD57" s="24" t="inlineStr">
        <is>
          <t>0.938429</t>
        </is>
      </c>
      <c r="CE57" s="24" t="inlineStr">
        <is>
          <t>1.02</t>
        </is>
      </c>
      <c r="CF57" s="24" t="inlineStr">
        <is>
          <t>1.0</t>
        </is>
      </c>
      <c r="CG57" s="24" t="inlineStr">
        <is>
          <t>7.4</t>
        </is>
      </c>
      <c r="CH57" s="24" t="n"/>
      <c r="CI57" s="24" t="n"/>
      <c r="CJ57" s="24" t="n"/>
      <c r="CK57" s="24" t="n"/>
      <c r="CL57" s="24" t="n"/>
      <c r="CM57" s="24" t="n"/>
    </row>
    <row r="58" ht="18" customHeight="1">
      <c r="A58" s="24" t="inlineStr">
        <is>
          <t>c614934c5b994558</t>
        </is>
      </c>
      <c r="B58" s="24" t="inlineStr">
        <is>
          <t>2026-07-22T22:42:56Z</t>
        </is>
      </c>
      <c r="C58" s="24" t="inlineStr">
        <is>
          <t>2026-07-21T00:05Z</t>
        </is>
      </c>
      <c r="D58" s="24" t="inlineStr">
        <is>
          <t>401816193</t>
        </is>
      </c>
      <c r="E58" s="24" t="inlineStr">
        <is>
          <t>MLB</t>
        </is>
      </c>
      <c r="F58" s="24" t="inlineStr">
        <is>
          <t>Detroit Tigers</t>
        </is>
      </c>
      <c r="G58" s="24" t="inlineStr">
        <is>
          <t>Chicago Cubs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-110</v>
      </c>
      <c r="M58" s="27" t="n">
        <v>1.909091</v>
      </c>
      <c r="N58" s="28" t="n">
        <v>0.52381</v>
      </c>
      <c r="O58" s="28" t="n">
        <v>0.55718</v>
      </c>
      <c r="P58" s="28" t="n">
        <v>0.05</v>
      </c>
      <c r="Q58" s="28" t="n">
        <v>0.033371</v>
      </c>
      <c r="R58" s="26" t="n">
        <v>37</v>
      </c>
      <c r="S58" s="29" t="n">
        <v>0</v>
      </c>
      <c r="T58" s="24" t="inlineStr">
        <is>
          <t>mlb-elo-trend-lr-v5</t>
        </is>
      </c>
      <c r="U58" s="24" t="inlineStr">
        <is>
          <t>settled</t>
        </is>
      </c>
      <c r="V58" s="24" t="inlineStr">
        <is>
          <t>win</t>
        </is>
      </c>
      <c r="W58" s="26" t="n">
        <v>2</v>
      </c>
      <c r="X58" s="26" t="n">
        <v>11</v>
      </c>
      <c r="Y58" s="25" t="n"/>
      <c r="Z58" s="26" t="n">
        <v>-110</v>
      </c>
      <c r="AA58" s="28" t="n">
        <v>0.523834</v>
      </c>
      <c r="AB58" s="28" t="n"/>
      <c r="AC58" s="30" t="n">
        <v>0.8454</v>
      </c>
      <c r="AD58" s="24" t="inlineStr">
        <is>
          <t>2026-07-22T23:44:22Z</t>
        </is>
      </c>
      <c r="AE58" s="31" t="n"/>
      <c r="AF58" s="31" t="n"/>
      <c r="AG58" s="24" t="n"/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RESEARCH_OBSERVATION</t>
        </is>
      </c>
      <c r="AO58" s="24" t="inlineStr">
        <is>
          <t>NO_CALL_MODEL_UNVALIDATED</t>
        </is>
      </c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8a12d027cf1d2c206cb369c47da80e014f8ac4dfc414ffee96ae34656c46fef5</t>
        </is>
      </c>
      <c r="BB58" s="24" t="inlineStr">
        <is>
          <t>identity</t>
        </is>
      </c>
      <c r="BC58" s="24" t="inlineStr">
        <is>
          <t>identity-v1</t>
        </is>
      </c>
      <c r="BD58" s="24" t="n"/>
      <c r="BE58" s="24" t="inlineStr">
        <is>
          <t>1</t>
        </is>
      </c>
      <c r="BF58" s="24" t="inlineStr">
        <is>
          <t>1</t>
        </is>
      </c>
      <c r="BG58" s="24" t="n"/>
      <c r="BH58" s="24" t="inlineStr">
        <is>
          <t>2026-07-22T22:42:56Z</t>
        </is>
      </c>
      <c r="BI58" s="24" t="n"/>
      <c r="BJ58" s="25" t="n"/>
      <c r="BK58" s="26" t="n">
        <v>-110</v>
      </c>
      <c r="BL58" s="27" t="n">
        <v>1.909</v>
      </c>
      <c r="BM58" s="28" t="n">
        <v>0.523834</v>
      </c>
      <c r="BN58" s="28" t="n">
        <v>0.523834</v>
      </c>
      <c r="BO58" s="28" t="n">
        <v>0.523834</v>
      </c>
      <c r="BP58" s="25" t="n"/>
      <c r="BQ58" s="27" t="n">
        <v>1.909</v>
      </c>
      <c r="BR58" s="28" t="n"/>
      <c r="BS58" s="28" t="n"/>
      <c r="BT58" s="28" t="n"/>
      <c r="BU58" s="25" t="n"/>
      <c r="BV58" s="29" t="n">
        <v>0.93</v>
      </c>
      <c r="BW58" s="24" t="n"/>
      <c r="BX58" s="30" t="n"/>
      <c r="BY58" s="27" t="n"/>
      <c r="BZ58" s="24" t="n"/>
      <c r="CA58" s="31" t="n"/>
      <c r="CB58" s="24" t="n"/>
      <c r="CC58" s="24" t="inlineStr">
        <is>
          <t>0.587049</t>
        </is>
      </c>
      <c r="CD58" s="24" t="inlineStr">
        <is>
          <t>1.153359</t>
        </is>
      </c>
      <c r="CE58" s="24" t="inlineStr">
        <is>
          <t>1.0</t>
        </is>
      </c>
      <c r="CF58" s="24" t="inlineStr">
        <is>
          <t>1.0003</t>
        </is>
      </c>
      <c r="CG58" s="24" t="inlineStr">
        <is>
          <t>0.4</t>
        </is>
      </c>
      <c r="CH58" s="24" t="n"/>
      <c r="CI58" s="24" t="n"/>
      <c r="CJ58" s="24" t="n"/>
      <c r="CK58" s="24" t="n"/>
      <c r="CL58" s="24" t="n"/>
      <c r="CM58" s="24" t="n"/>
    </row>
    <row r="59" ht="18" customHeight="1">
      <c r="A59" s="24" t="inlineStr">
        <is>
          <t>37ef80e169c64365</t>
        </is>
      </c>
      <c r="B59" s="24" t="inlineStr">
        <is>
          <t>2026-07-22T22:42:56Z</t>
        </is>
      </c>
      <c r="C59" s="24" t="inlineStr">
        <is>
          <t>2026-07-21T00:10Z</t>
        </is>
      </c>
      <c r="D59" s="24" t="inlineStr">
        <is>
          <t>401816194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Houston Astros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-110</v>
      </c>
      <c r="M59" s="27" t="n">
        <v>1.909091</v>
      </c>
      <c r="N59" s="28" t="n">
        <v>0.52381</v>
      </c>
      <c r="O59" s="28" t="n">
        <v>0.5001679999999999</v>
      </c>
      <c r="P59" s="28" t="n">
        <v>0.05</v>
      </c>
      <c r="Q59" s="28" t="n">
        <v>-0.023642</v>
      </c>
      <c r="R59" s="26" t="n">
        <v>8</v>
      </c>
      <c r="S59" s="29" t="n">
        <v>0</v>
      </c>
      <c r="T59" s="24" t="inlineStr">
        <is>
          <t>mlb-elo-trend-lr-v5</t>
        </is>
      </c>
      <c r="U59" s="24" t="inlineStr">
        <is>
          <t>settled</t>
        </is>
      </c>
      <c r="V59" s="24" t="inlineStr">
        <is>
          <t>win</t>
        </is>
      </c>
      <c r="W59" s="26" t="n">
        <v>3</v>
      </c>
      <c r="X59" s="26" t="n">
        <v>5</v>
      </c>
      <c r="Y59" s="25" t="n"/>
      <c r="Z59" s="26" t="n">
        <v>-110</v>
      </c>
      <c r="AA59" s="28" t="n">
        <v>0.523834</v>
      </c>
      <c r="AB59" s="28" t="n"/>
      <c r="AC59" s="30" t="n">
        <v>0.4545</v>
      </c>
      <c r="AD59" s="24" t="inlineStr">
        <is>
          <t>2026-07-22T23:44:22Z</t>
        </is>
      </c>
      <c r="AE59" s="31" t="n"/>
      <c r="AF59" s="31" t="n"/>
      <c r="AG59" s="24" t="n"/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RESEARCH_OBSERVATION</t>
        </is>
      </c>
      <c r="AO59" s="24" t="inlineStr">
        <is>
          <t>NO_CALL_MODEL_UNVALIDATED</t>
        </is>
      </c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8a12d027cf1d2c206cb369c47da80e014f8ac4dfc414ffee96ae34656c46fef5</t>
        </is>
      </c>
      <c r="BB59" s="24" t="inlineStr">
        <is>
          <t>identity</t>
        </is>
      </c>
      <c r="BC59" s="24" t="inlineStr">
        <is>
          <t>identity-v1</t>
        </is>
      </c>
      <c r="BD59" s="24" t="n"/>
      <c r="BE59" s="24" t="inlineStr">
        <is>
          <t>1</t>
        </is>
      </c>
      <c r="BF59" s="24" t="inlineStr">
        <is>
          <t>1</t>
        </is>
      </c>
      <c r="BG59" s="24" t="n"/>
      <c r="BH59" s="24" t="inlineStr">
        <is>
          <t>2026-07-22T22:42:56Z</t>
        </is>
      </c>
      <c r="BI59" s="24" t="n"/>
      <c r="BJ59" s="25" t="n"/>
      <c r="BK59" s="26" t="n">
        <v>-110</v>
      </c>
      <c r="BL59" s="27" t="n">
        <v>1.909</v>
      </c>
      <c r="BM59" s="28" t="n">
        <v>0.523834</v>
      </c>
      <c r="BN59" s="28" t="n">
        <v>0.523834</v>
      </c>
      <c r="BO59" s="28" t="n">
        <v>0.523834</v>
      </c>
      <c r="BP59" s="25" t="n"/>
      <c r="BQ59" s="27" t="n">
        <v>1.909</v>
      </c>
      <c r="BR59" s="28" t="n"/>
      <c r="BS59" s="28" t="n"/>
      <c r="BT59" s="28" t="n"/>
      <c r="BU59" s="25" t="n"/>
      <c r="BV59" s="29" t="n">
        <v>0.5</v>
      </c>
      <c r="BW59" s="24" t="n"/>
      <c r="BX59" s="30" t="n"/>
      <c r="BY59" s="27" t="n"/>
      <c r="BZ59" s="24" t="n"/>
      <c r="CA59" s="31" t="n"/>
      <c r="CB59" s="24" t="n"/>
      <c r="CC59" s="24" t="inlineStr">
        <is>
          <t>0.502869</t>
        </is>
      </c>
      <c r="CD59" s="24" t="inlineStr">
        <is>
          <t>0.169514</t>
        </is>
      </c>
      <c r="CE59" s="24" t="inlineStr">
        <is>
          <t>1.0</t>
        </is>
      </c>
      <c r="CF59" s="24" t="inlineStr">
        <is>
          <t>1.0</t>
        </is>
      </c>
      <c r="CG59" s="24" t="inlineStr">
        <is>
          <t>-0.2</t>
        </is>
      </c>
      <c r="CH59" s="24" t="n"/>
      <c r="CI59" s="24" t="n"/>
      <c r="CJ59" s="24" t="n"/>
      <c r="CK59" s="24" t="n"/>
      <c r="CL59" s="24" t="n"/>
      <c r="CM59" s="24" t="n"/>
    </row>
    <row r="60" ht="18" customHeight="1">
      <c r="A60" s="24" t="inlineStr">
        <is>
          <t>0ab8332fe9d54319</t>
        </is>
      </c>
      <c r="B60" s="24" t="inlineStr">
        <is>
          <t>2026-07-22T22:42:56Z</t>
        </is>
      </c>
      <c r="C60" s="24" t="inlineStr">
        <is>
          <t>2026-07-21T00:40Z</t>
        </is>
      </c>
      <c r="D60" s="24" t="inlineStr">
        <is>
          <t>401816197</t>
        </is>
      </c>
      <c r="E60" s="24" t="inlineStr">
        <is>
          <t>MLB</t>
        </is>
      </c>
      <c r="F60" s="24" t="inlineStr">
        <is>
          <t>Washington Nationals</t>
        </is>
      </c>
      <c r="G60" s="24" t="inlineStr">
        <is>
          <t>Colorado Rockies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-110</v>
      </c>
      <c r="M60" s="27" t="n">
        <v>1.909091</v>
      </c>
      <c r="N60" s="28" t="n">
        <v>0.52381</v>
      </c>
      <c r="O60" s="28" t="n">
        <v>0.414417</v>
      </c>
      <c r="P60" s="28" t="n">
        <v>0.05</v>
      </c>
      <c r="Q60" s="28" t="n">
        <v>-0.109392</v>
      </c>
      <c r="R60" s="26" t="n">
        <v>0</v>
      </c>
      <c r="S60" s="29" t="n">
        <v>0</v>
      </c>
      <c r="T60" s="24" t="inlineStr">
        <is>
          <t>mlb-elo-trend-lr-v5</t>
        </is>
      </c>
      <c r="U60" s="24" t="inlineStr">
        <is>
          <t>settled</t>
        </is>
      </c>
      <c r="V60" s="24" t="inlineStr">
        <is>
          <t>loss</t>
        </is>
      </c>
      <c r="W60" s="26" t="n">
        <v>7</v>
      </c>
      <c r="X60" s="26" t="n">
        <v>8</v>
      </c>
      <c r="Y60" s="25" t="n"/>
      <c r="Z60" s="26" t="n">
        <v>-110</v>
      </c>
      <c r="AA60" s="28" t="n">
        <v>0.523834</v>
      </c>
      <c r="AB60" s="28" t="n"/>
      <c r="AC60" s="30" t="n">
        <v>-1.19</v>
      </c>
      <c r="AD60" s="24" t="inlineStr">
        <is>
          <t>2026-07-22T23:44:22Z</t>
        </is>
      </c>
      <c r="AE60" s="31" t="n"/>
      <c r="AF60" s="31" t="n"/>
      <c r="AG60" s="24" t="n"/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RESEARCH_OBSERVATION</t>
        </is>
      </c>
      <c r="AO60" s="24" t="inlineStr">
        <is>
          <t>NO_CALL_MODEL_UNVALIDATED</t>
        </is>
      </c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8a12d027cf1d2c206cb369c47da80e014f8ac4dfc414ffee96ae34656c46fef5</t>
        </is>
      </c>
      <c r="BB60" s="24" t="inlineStr">
        <is>
          <t>identity</t>
        </is>
      </c>
      <c r="BC60" s="24" t="inlineStr">
        <is>
          <t>identity-v1</t>
        </is>
      </c>
      <c r="BD60" s="24" t="n"/>
      <c r="BE60" s="24" t="inlineStr">
        <is>
          <t>1</t>
        </is>
      </c>
      <c r="BF60" s="24" t="inlineStr">
        <is>
          <t>1</t>
        </is>
      </c>
      <c r="BG60" s="24" t="n"/>
      <c r="BH60" s="24" t="inlineStr">
        <is>
          <t>2026-07-22T22:42:56Z</t>
        </is>
      </c>
      <c r="BI60" s="24" t="n"/>
      <c r="BJ60" s="25" t="n"/>
      <c r="BK60" s="26" t="n">
        <v>-110</v>
      </c>
      <c r="BL60" s="27" t="n">
        <v>1.909</v>
      </c>
      <c r="BM60" s="28" t="n">
        <v>0.523834</v>
      </c>
      <c r="BN60" s="28" t="n">
        <v>0.523834</v>
      </c>
      <c r="BO60" s="28" t="n">
        <v>0.523834</v>
      </c>
      <c r="BP60" s="25" t="n"/>
      <c r="BQ60" s="27" t="n">
        <v>1.909</v>
      </c>
      <c r="BR60" s="28" t="n"/>
      <c r="BS60" s="28" t="n"/>
      <c r="BT60" s="28" t="n"/>
      <c r="BU60" s="25" t="n"/>
      <c r="BV60" s="29" t="n">
        <v>1.19</v>
      </c>
      <c r="BW60" s="24" t="n"/>
      <c r="BX60" s="30" t="n"/>
      <c r="BY60" s="27" t="n"/>
      <c r="BZ60" s="24" t="n"/>
      <c r="CA60" s="31" t="n"/>
      <c r="CB60" s="24" t="n"/>
      <c r="CC60" s="24" t="inlineStr">
        <is>
          <t>0.433645</t>
        </is>
      </c>
      <c r="CD60" s="24" t="inlineStr">
        <is>
          <t>-0.428402</t>
        </is>
      </c>
      <c r="CE60" s="24" t="inlineStr">
        <is>
          <t>1.12</t>
        </is>
      </c>
      <c r="CF60" s="24" t="inlineStr">
        <is>
          <t>1.0178</t>
        </is>
      </c>
      <c r="CG60" s="24" t="inlineStr">
        <is>
          <t>-0.8</t>
        </is>
      </c>
      <c r="CH60" s="24" t="n"/>
      <c r="CI60" s="24" t="n"/>
      <c r="CJ60" s="24" t="n"/>
      <c r="CK60" s="24" t="n"/>
      <c r="CL60" s="24" t="n"/>
      <c r="CM60" s="24" t="n"/>
    </row>
    <row r="61" ht="18" customHeight="1">
      <c r="A61" s="24" t="inlineStr">
        <is>
          <t>cfe856c02b8f4995</t>
        </is>
      </c>
      <c r="B61" s="24" t="inlineStr">
        <is>
          <t>2026-07-22T22:42:56Z</t>
        </is>
      </c>
      <c r="C61" s="24" t="inlineStr">
        <is>
          <t>2026-07-21T01:40Z</t>
        </is>
      </c>
      <c r="D61" s="24" t="inlineStr">
        <is>
          <t>401816198</t>
        </is>
      </c>
      <c r="E61" s="24" t="inlineStr">
        <is>
          <t>MLB</t>
        </is>
      </c>
      <c r="F61" s="24" t="inlineStr">
        <is>
          <t>Athletics</t>
        </is>
      </c>
      <c r="G61" s="24" t="inlineStr">
        <is>
          <t>Arizona Diamondbacks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-110</v>
      </c>
      <c r="M61" s="27" t="n">
        <v>1.909091</v>
      </c>
      <c r="N61" s="28" t="n">
        <v>0.52381</v>
      </c>
      <c r="O61" s="28" t="n">
        <v>0.496431</v>
      </c>
      <c r="P61" s="28" t="n">
        <v>0.05</v>
      </c>
      <c r="Q61" s="28" t="n">
        <v>-0.027379</v>
      </c>
      <c r="R61" s="26" t="n">
        <v>6</v>
      </c>
      <c r="S61" s="29" t="n">
        <v>0</v>
      </c>
      <c r="T61" s="24" t="inlineStr">
        <is>
          <t>mlb-elo-trend-lr-v5</t>
        </is>
      </c>
      <c r="U61" s="24" t="inlineStr">
        <is>
          <t>settled</t>
        </is>
      </c>
      <c r="V61" s="24" t="inlineStr">
        <is>
          <t>win</t>
        </is>
      </c>
      <c r="W61" s="26" t="n">
        <v>5</v>
      </c>
      <c r="X61" s="26" t="n">
        <v>6</v>
      </c>
      <c r="Y61" s="25" t="n"/>
      <c r="Z61" s="26" t="n">
        <v>-110</v>
      </c>
      <c r="AA61" s="28" t="n">
        <v>0.523834</v>
      </c>
      <c r="AB61" s="28" t="n"/>
      <c r="AC61" s="30" t="n">
        <v>0.7635999999999999</v>
      </c>
      <c r="AD61" s="24" t="inlineStr">
        <is>
          <t>2026-07-22T23:44:22Z</t>
        </is>
      </c>
      <c r="AE61" s="31" t="n"/>
      <c r="AF61" s="31" t="n"/>
      <c r="AG61" s="24" t="n"/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RESEARCH_OBSERVATION</t>
        </is>
      </c>
      <c r="AO61" s="24" t="inlineStr">
        <is>
          <t>NO_CALL_MODEL_UNVALIDATED</t>
        </is>
      </c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8a12d027cf1d2c206cb369c47da80e014f8ac4dfc414ffee96ae34656c46fef5</t>
        </is>
      </c>
      <c r="BB61" s="24" t="inlineStr">
        <is>
          <t>identity</t>
        </is>
      </c>
      <c r="BC61" s="24" t="inlineStr">
        <is>
          <t>identity-v1</t>
        </is>
      </c>
      <c r="BD61" s="24" t="n"/>
      <c r="BE61" s="24" t="inlineStr">
        <is>
          <t>1</t>
        </is>
      </c>
      <c r="BF61" s="24" t="inlineStr">
        <is>
          <t>1</t>
        </is>
      </c>
      <c r="BG61" s="24" t="n"/>
      <c r="BH61" s="24" t="inlineStr">
        <is>
          <t>2026-07-22T22:42:56Z</t>
        </is>
      </c>
      <c r="BI61" s="24" t="n"/>
      <c r="BJ61" s="25" t="n"/>
      <c r="BK61" s="26" t="n">
        <v>-110</v>
      </c>
      <c r="BL61" s="27" t="n">
        <v>1.909</v>
      </c>
      <c r="BM61" s="28" t="n">
        <v>0.523834</v>
      </c>
      <c r="BN61" s="28" t="n">
        <v>0.523834</v>
      </c>
      <c r="BO61" s="28" t="n">
        <v>0.523834</v>
      </c>
      <c r="BP61" s="25" t="n"/>
      <c r="BQ61" s="27" t="n">
        <v>1.909</v>
      </c>
      <c r="BR61" s="28" t="n"/>
      <c r="BS61" s="28" t="n"/>
      <c r="BT61" s="28" t="n"/>
      <c r="BU61" s="25" t="n"/>
      <c r="BV61" s="29" t="n">
        <v>0.84</v>
      </c>
      <c r="BW61" s="24" t="n"/>
      <c r="BX61" s="30" t="n"/>
      <c r="BY61" s="27" t="n"/>
      <c r="BZ61" s="24" t="n"/>
      <c r="CA61" s="31" t="n"/>
      <c r="CB61" s="24" t="n"/>
      <c r="CC61" s="24" t="inlineStr">
        <is>
          <t>0.62264</t>
        </is>
      </c>
      <c r="CD61" s="24" t="inlineStr">
        <is>
          <t>1.857566</t>
        </is>
      </c>
      <c r="CE61" s="24" t="inlineStr">
        <is>
          <t>1.02</t>
        </is>
      </c>
      <c r="CF61" s="24" t="inlineStr">
        <is>
          <t>1.0</t>
        </is>
      </c>
      <c r="CG61" s="24" t="inlineStr">
        <is>
          <t>-3.8</t>
        </is>
      </c>
      <c r="CH61" s="24" t="n"/>
      <c r="CI61" s="24" t="n"/>
      <c r="CJ61" s="24" t="n"/>
      <c r="CK61" s="24" t="n"/>
      <c r="CL61" s="24" t="n"/>
      <c r="CM61" s="24" t="n"/>
    </row>
    <row r="62" ht="18" customHeight="1">
      <c r="A62" s="24" t="inlineStr">
        <is>
          <t>1590e57d59f6451a</t>
        </is>
      </c>
      <c r="B62" s="24" t="inlineStr">
        <is>
          <t>2026-07-22T22:42:56Z</t>
        </is>
      </c>
      <c r="C62" s="24" t="inlineStr">
        <is>
          <t>2026-07-21T01:40Z</t>
        </is>
      </c>
      <c r="D62" s="24" t="inlineStr">
        <is>
          <t>401816199</t>
        </is>
      </c>
      <c r="E62" s="24" t="inlineStr">
        <is>
          <t>MLB</t>
        </is>
      </c>
      <c r="F62" s="24" t="inlineStr">
        <is>
          <t>Cincinnati Reds</t>
        </is>
      </c>
      <c r="G62" s="24" t="inlineStr">
        <is>
          <t>Seattle Mariners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-110</v>
      </c>
      <c r="M62" s="27" t="n">
        <v>1.909091</v>
      </c>
      <c r="N62" s="28" t="n">
        <v>0.52381</v>
      </c>
      <c r="O62" s="28" t="n">
        <v>0.56908</v>
      </c>
      <c r="P62" s="28" t="n">
        <v>0.05</v>
      </c>
      <c r="Q62" s="28" t="n">
        <v>0.04527</v>
      </c>
      <c r="R62" s="26" t="n">
        <v>43</v>
      </c>
      <c r="S62" s="29" t="n">
        <v>0</v>
      </c>
      <c r="T62" s="24" t="inlineStr">
        <is>
          <t>mlb-elo-trend-lr-v5</t>
        </is>
      </c>
      <c r="U62" s="24" t="inlineStr">
        <is>
          <t>settled</t>
        </is>
      </c>
      <c r="V62" s="24" t="inlineStr">
        <is>
          <t>loss</t>
        </is>
      </c>
      <c r="W62" s="26" t="n">
        <v>4</v>
      </c>
      <c r="X62" s="26" t="n">
        <v>2</v>
      </c>
      <c r="Y62" s="25" t="n"/>
      <c r="Z62" s="26" t="n">
        <v>-110</v>
      </c>
      <c r="AA62" s="28" t="n">
        <v>0.523834</v>
      </c>
      <c r="AB62" s="28" t="n"/>
      <c r="AC62" s="30" t="n">
        <v>-1.3</v>
      </c>
      <c r="AD62" s="24" t="inlineStr">
        <is>
          <t>2026-07-22T23:44:22Z</t>
        </is>
      </c>
      <c r="AE62" s="31" t="n"/>
      <c r="AF62" s="31" t="n"/>
      <c r="AG62" s="24" t="n"/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RESEARCH_OBSERVATION</t>
        </is>
      </c>
      <c r="AO62" s="24" t="inlineStr">
        <is>
          <t>NO_CALL_MODEL_UNVALIDATED</t>
        </is>
      </c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8a12d027cf1d2c206cb369c47da80e014f8ac4dfc414ffee96ae34656c46fef5</t>
        </is>
      </c>
      <c r="BB62" s="24" t="inlineStr">
        <is>
          <t>identity</t>
        </is>
      </c>
      <c r="BC62" s="24" t="inlineStr">
        <is>
          <t>identity-v1</t>
        </is>
      </c>
      <c r="BD62" s="24" t="n"/>
      <c r="BE62" s="24" t="inlineStr">
        <is>
          <t>1</t>
        </is>
      </c>
      <c r="BF62" s="24" t="inlineStr">
        <is>
          <t>1</t>
        </is>
      </c>
      <c r="BG62" s="24" t="n"/>
      <c r="BH62" s="24" t="inlineStr">
        <is>
          <t>2026-07-22T22:42:56Z</t>
        </is>
      </c>
      <c r="BI62" s="24" t="n"/>
      <c r="BJ62" s="25" t="n"/>
      <c r="BK62" s="26" t="n">
        <v>-110</v>
      </c>
      <c r="BL62" s="27" t="n">
        <v>1.909</v>
      </c>
      <c r="BM62" s="28" t="n">
        <v>0.523834</v>
      </c>
      <c r="BN62" s="28" t="n">
        <v>0.523834</v>
      </c>
      <c r="BO62" s="28" t="n">
        <v>0.523834</v>
      </c>
      <c r="BP62" s="25" t="n"/>
      <c r="BQ62" s="27" t="n">
        <v>1.909</v>
      </c>
      <c r="BR62" s="28" t="n"/>
      <c r="BS62" s="28" t="n"/>
      <c r="BT62" s="28" t="n"/>
      <c r="BU62" s="25" t="n"/>
      <c r="BV62" s="29" t="n">
        <v>1.3</v>
      </c>
      <c r="BW62" s="24" t="n"/>
      <c r="BX62" s="30" t="n"/>
      <c r="BY62" s="27" t="n"/>
      <c r="BZ62" s="24" t="n"/>
      <c r="CA62" s="31" t="n"/>
      <c r="CB62" s="24" t="n"/>
      <c r="CC62" s="24" t="inlineStr">
        <is>
          <t>0.589004</t>
        </is>
      </c>
      <c r="CD62" s="24" t="inlineStr">
        <is>
          <t>-0.117593</t>
        </is>
      </c>
      <c r="CE62" s="24" t="inlineStr">
        <is>
          <t>0.92</t>
        </is>
      </c>
      <c r="CF62" s="24" t="inlineStr">
        <is>
          <t>1.0</t>
        </is>
      </c>
      <c r="CG62" s="24" t="inlineStr">
        <is>
          <t>-2.0</t>
        </is>
      </c>
      <c r="CH62" s="24" t="n"/>
      <c r="CI62" s="24" t="n"/>
      <c r="CJ62" s="24" t="n"/>
      <c r="CK62" s="24" t="n"/>
      <c r="CL62" s="24" t="n"/>
      <c r="CM62" s="24" t="n"/>
    </row>
    <row r="63" ht="18" customHeight="1">
      <c r="A63" s="24" t="inlineStr">
        <is>
          <t>3dd24216fbd54e5b</t>
        </is>
      </c>
      <c r="B63" s="24" t="inlineStr">
        <is>
          <t>2026-07-22T22:42:56Z</t>
        </is>
      </c>
      <c r="C63" s="24" t="inlineStr">
        <is>
          <t>2026-07-21T02:00Z</t>
        </is>
      </c>
      <c r="D63" s="24" t="inlineStr">
        <is>
          <t>401816200</t>
        </is>
      </c>
      <c r="E63" s="24" t="inlineStr">
        <is>
          <t>MLB</t>
        </is>
      </c>
      <c r="F63" s="24" t="inlineStr">
        <is>
          <t>St. Louis Cardinals</t>
        </is>
      </c>
      <c r="G63" s="24" t="inlineStr">
        <is>
          <t>Los Angeles Angels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-110</v>
      </c>
      <c r="M63" s="27" t="n">
        <v>1.909091</v>
      </c>
      <c r="N63" s="28" t="n">
        <v>0.52381</v>
      </c>
      <c r="O63" s="28" t="n">
        <v>0.475414</v>
      </c>
      <c r="P63" s="28" t="n">
        <v>0.05</v>
      </c>
      <c r="Q63" s="28" t="n">
        <v>-0.048395</v>
      </c>
      <c r="R63" s="26" t="n">
        <v>0</v>
      </c>
      <c r="S63" s="29" t="n">
        <v>0</v>
      </c>
      <c r="T63" s="24" t="inlineStr">
        <is>
          <t>mlb-elo-trend-lr-v5</t>
        </is>
      </c>
      <c r="U63" s="24" t="inlineStr">
        <is>
          <t>settled</t>
        </is>
      </c>
      <c r="V63" s="24" t="inlineStr">
        <is>
          <t>loss</t>
        </is>
      </c>
      <c r="W63" s="26" t="n">
        <v>2</v>
      </c>
      <c r="X63" s="26" t="n">
        <v>3</v>
      </c>
      <c r="Y63" s="25" t="n"/>
      <c r="Z63" s="26" t="n"/>
      <c r="AA63" s="28" t="n"/>
      <c r="AB63" s="28" t="n"/>
      <c r="AC63" s="30" t="n">
        <v>-0.5</v>
      </c>
      <c r="AD63" s="24" t="inlineStr">
        <is>
          <t>2026-07-22T23:40:24.325703Z</t>
        </is>
      </c>
      <c r="AE63" s="31" t="n"/>
      <c r="AF63" s="31" t="n"/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RESEARCH_OBSERVATION</t>
        </is>
      </c>
      <c r="AO63" s="24" t="inlineStr">
        <is>
          <t>NO_CALL_MODEL_UNVALIDATED</t>
        </is>
      </c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8a12d027cf1d2c206cb369c47da80e014f8ac4dfc414ffee96ae34656c46fef5</t>
        </is>
      </c>
      <c r="BB63" s="24" t="inlineStr">
        <is>
          <t>identity</t>
        </is>
      </c>
      <c r="BC63" s="24" t="inlineStr">
        <is>
          <t>identity-v1</t>
        </is>
      </c>
      <c r="BD63" s="24" t="n"/>
      <c r="BE63" s="24" t="inlineStr">
        <is>
          <t>1</t>
        </is>
      </c>
      <c r="BF63" s="24" t="inlineStr">
        <is>
          <t>1</t>
        </is>
      </c>
      <c r="BG63" s="24" t="n"/>
      <c r="BH63" s="24" t="inlineStr">
        <is>
          <t>2026-07-22T22:42:56Z</t>
        </is>
      </c>
      <c r="BI63" s="24" t="n"/>
      <c r="BJ63" s="25" t="n"/>
      <c r="BK63" s="26" t="n">
        <v>-110</v>
      </c>
      <c r="BL63" s="27" t="n">
        <v>1.909</v>
      </c>
      <c r="BM63" s="28" t="n">
        <v>0.523834</v>
      </c>
      <c r="BN63" s="28" t="n">
        <v>0.523834</v>
      </c>
      <c r="BO63" s="28" t="n">
        <v>0.523834</v>
      </c>
      <c r="BP63" s="25" t="n"/>
      <c r="BQ63" s="27" t="n"/>
      <c r="BR63" s="28" t="n"/>
      <c r="BS63" s="28" t="n"/>
      <c r="BT63" s="28" t="n"/>
      <c r="BU63" s="25" t="n"/>
      <c r="BV63" s="29" t="n">
        <v>0.5</v>
      </c>
      <c r="BW63" s="24" t="n"/>
      <c r="BX63" s="30" t="n"/>
      <c r="BY63" s="27" t="n"/>
      <c r="BZ63" s="24" t="n"/>
      <c r="CA63" s="31" t="n"/>
      <c r="CB63" s="24" t="n"/>
      <c r="CC63" s="24" t="inlineStr">
        <is>
          <t>0.448072</t>
        </is>
      </c>
      <c r="CD63" s="24" t="inlineStr">
        <is>
          <t>-1.04792</t>
        </is>
      </c>
      <c r="CE63" s="24" t="inlineStr">
        <is>
          <t>1.01</t>
        </is>
      </c>
      <c r="CF63" s="24" t="inlineStr">
        <is>
          <t>1.0147</t>
        </is>
      </c>
      <c r="CG63" s="24" t="inlineStr">
        <is>
          <t>-0.4</t>
        </is>
      </c>
      <c r="CH63" s="24" t="n"/>
      <c r="CI63" s="24" t="n"/>
      <c r="CJ63" s="24" t="n"/>
      <c r="CK63" s="24" t="n"/>
      <c r="CL63" s="24" t="n"/>
      <c r="CM63" s="24" t="n"/>
    </row>
    <row r="64" ht="18" customHeight="1">
      <c r="A64" s="24" t="inlineStr">
        <is>
          <t>9140e80d3e6e49bd</t>
        </is>
      </c>
      <c r="B64" s="24" t="inlineStr">
        <is>
          <t>2026-07-22T22:42:56Z</t>
        </is>
      </c>
      <c r="C64" s="24" t="inlineStr">
        <is>
          <t>2026-07-21T22:40Z</t>
        </is>
      </c>
      <c r="D64" s="24" t="inlineStr">
        <is>
          <t>401816202</t>
        </is>
      </c>
      <c r="E64" s="24" t="inlineStr">
        <is>
          <t>MLB</t>
        </is>
      </c>
      <c r="F64" s="24" t="inlineStr">
        <is>
          <t>Los Angeles Dodgers</t>
        </is>
      </c>
      <c r="G64" s="24" t="inlineStr">
        <is>
          <t>Philadelphia Phillies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-110</v>
      </c>
      <c r="M64" s="27" t="n">
        <v>1.909091</v>
      </c>
      <c r="N64" s="28" t="n">
        <v>0.52381</v>
      </c>
      <c r="O64" s="28" t="n">
        <v>0.453006</v>
      </c>
      <c r="P64" s="28" t="n">
        <v>0.05</v>
      </c>
      <c r="Q64" s="28" t="n">
        <v>-0.070803</v>
      </c>
      <c r="R64" s="26" t="n">
        <v>0</v>
      </c>
      <c r="S64" s="29" t="n">
        <v>0</v>
      </c>
      <c r="T64" s="24" t="inlineStr">
        <is>
          <t>mlb-elo-trend-lr-v5</t>
        </is>
      </c>
      <c r="U64" s="24" t="inlineStr">
        <is>
          <t>settled</t>
        </is>
      </c>
      <c r="V64" s="24" t="inlineStr">
        <is>
          <t>win</t>
        </is>
      </c>
      <c r="W64" s="26" t="n">
        <v>2</v>
      </c>
      <c r="X64" s="26" t="n">
        <v>1</v>
      </c>
      <c r="Y64" s="25" t="n"/>
      <c r="Z64" s="26" t="n"/>
      <c r="AA64" s="28" t="n"/>
      <c r="AB64" s="28" t="n"/>
      <c r="AC64" s="30" t="n">
        <v>0.4545</v>
      </c>
      <c r="AD64" s="24" t="inlineStr">
        <is>
          <t>2026-07-22T23:40:25.414720Z</t>
        </is>
      </c>
      <c r="AE64" s="31" t="n"/>
      <c r="AF64" s="31" t="n"/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RESEARCH_OBSERVATION</t>
        </is>
      </c>
      <c r="AO64" s="24" t="inlineStr">
        <is>
          <t>NO_CALL_MODEL_UNVALIDATED</t>
        </is>
      </c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8a12d027cf1d2c206cb369c47da80e014f8ac4dfc414ffee96ae34656c46fef5</t>
        </is>
      </c>
      <c r="BB64" s="24" t="inlineStr">
        <is>
          <t>identity</t>
        </is>
      </c>
      <c r="BC64" s="24" t="inlineStr">
        <is>
          <t>identity-v1</t>
        </is>
      </c>
      <c r="BD64" s="24" t="n"/>
      <c r="BE64" s="24" t="inlineStr">
        <is>
          <t>1</t>
        </is>
      </c>
      <c r="BF64" s="24" t="inlineStr">
        <is>
          <t>1</t>
        </is>
      </c>
      <c r="BG64" s="24" t="n"/>
      <c r="BH64" s="24" t="inlineStr">
        <is>
          <t>2026-07-22T22:42:56Z</t>
        </is>
      </c>
      <c r="BI64" s="24" t="n"/>
      <c r="BJ64" s="25" t="n"/>
      <c r="BK64" s="26" t="n">
        <v>-110</v>
      </c>
      <c r="BL64" s="27" t="n">
        <v>1.909</v>
      </c>
      <c r="BM64" s="28" t="n">
        <v>0.523834</v>
      </c>
      <c r="BN64" s="28" t="n">
        <v>0.523834</v>
      </c>
      <c r="BO64" s="28" t="n">
        <v>0.523834</v>
      </c>
      <c r="BP64" s="25" t="n"/>
      <c r="BQ64" s="27" t="n"/>
      <c r="BR64" s="28" t="n"/>
      <c r="BS64" s="28" t="n"/>
      <c r="BT64" s="28" t="n"/>
      <c r="BU64" s="25" t="n"/>
      <c r="BV64" s="29" t="n">
        <v>0.5</v>
      </c>
      <c r="BW64" s="24" t="n"/>
      <c r="BX64" s="30" t="n"/>
      <c r="BY64" s="27" t="n"/>
      <c r="BZ64" s="24" t="n"/>
      <c r="CA64" s="31" t="n"/>
      <c r="CB64" s="24" t="n"/>
      <c r="CC64" s="24" t="inlineStr">
        <is>
          <t>0.482023</t>
        </is>
      </c>
      <c r="CD64" s="24" t="inlineStr">
        <is>
          <t>0.898385</t>
        </is>
      </c>
      <c r="CE64" s="24" t="inlineStr">
        <is>
          <t>1.01</t>
        </is>
      </c>
      <c r="CF64" s="24" t="inlineStr">
        <is>
          <t>1.0107</t>
        </is>
      </c>
      <c r="CG64" s="24" t="inlineStr">
        <is>
          <t>-0.8</t>
        </is>
      </c>
      <c r="CH64" s="24" t="n"/>
      <c r="CI64" s="24" t="n"/>
      <c r="CJ64" s="24" t="n"/>
      <c r="CK64" s="24" t="n"/>
      <c r="CL64" s="24" t="n"/>
      <c r="CM64" s="24" t="n"/>
    </row>
    <row r="65" ht="18" customHeight="1">
      <c r="A65" s="24" t="inlineStr">
        <is>
          <t>cb66ead4f8244a5e</t>
        </is>
      </c>
      <c r="B65" s="24" t="inlineStr">
        <is>
          <t>2026-07-22T22:42:56Z</t>
        </is>
      </c>
      <c r="C65" s="24" t="inlineStr">
        <is>
          <t>2026-07-21T22:40Z</t>
        </is>
      </c>
      <c r="D65" s="24" t="inlineStr">
        <is>
          <t>401816203</t>
        </is>
      </c>
      <c r="E65" s="24" t="inlineStr">
        <is>
          <t>MLB</t>
        </is>
      </c>
      <c r="F65" s="24" t="inlineStr">
        <is>
          <t>Minnesota Twins</t>
        </is>
      </c>
      <c r="G65" s="24" t="inlineStr">
        <is>
          <t>Cleveland Guardians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-110</v>
      </c>
      <c r="M65" s="27" t="n">
        <v>1.909091</v>
      </c>
      <c r="N65" s="28" t="n">
        <v>0.52381</v>
      </c>
      <c r="O65" s="28" t="n">
        <v>0.511636</v>
      </c>
      <c r="P65" s="28" t="n">
        <v>0.05</v>
      </c>
      <c r="Q65" s="28" t="n">
        <v>-0.012174</v>
      </c>
      <c r="R65" s="26" t="n">
        <v>14</v>
      </c>
      <c r="S65" s="29" t="n">
        <v>0</v>
      </c>
      <c r="T65" s="24" t="inlineStr">
        <is>
          <t>mlb-elo-trend-lr-v5</t>
        </is>
      </c>
      <c r="U65" s="24" t="inlineStr">
        <is>
          <t>settled</t>
        </is>
      </c>
      <c r="V65" s="24" t="inlineStr">
        <is>
          <t>win</t>
        </is>
      </c>
      <c r="W65" s="26" t="n">
        <v>2</v>
      </c>
      <c r="X65" s="26" t="n">
        <v>5</v>
      </c>
      <c r="Y65" s="25" t="n"/>
      <c r="Z65" s="26" t="n">
        <v>-110</v>
      </c>
      <c r="AA65" s="28" t="n">
        <v>0.523834</v>
      </c>
      <c r="AB65" s="28" t="n"/>
      <c r="AC65" s="30" t="n">
        <v>0.7181</v>
      </c>
      <c r="AD65" s="24" t="inlineStr">
        <is>
          <t>2026-07-22T23:44:22Z</t>
        </is>
      </c>
      <c r="AE65" s="31" t="n"/>
      <c r="AF65" s="31" t="n"/>
      <c r="AG65" s="24" t="n"/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RESEARCH_OBSERVATION</t>
        </is>
      </c>
      <c r="AO65" s="24" t="inlineStr">
        <is>
          <t>NO_CALL_MODEL_UNVALIDATED</t>
        </is>
      </c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8a12d027cf1d2c206cb369c47da80e014f8ac4dfc414ffee96ae34656c46fef5</t>
        </is>
      </c>
      <c r="BB65" s="24" t="inlineStr">
        <is>
          <t>identity</t>
        </is>
      </c>
      <c r="BC65" s="24" t="inlineStr">
        <is>
          <t>identity-v1</t>
        </is>
      </c>
      <c r="BD65" s="24" t="n"/>
      <c r="BE65" s="24" t="inlineStr">
        <is>
          <t>1</t>
        </is>
      </c>
      <c r="BF65" s="24" t="inlineStr">
        <is>
          <t>1</t>
        </is>
      </c>
      <c r="BG65" s="24" t="n"/>
      <c r="BH65" s="24" t="inlineStr">
        <is>
          <t>2026-07-22T22:42:56Z</t>
        </is>
      </c>
      <c r="BI65" s="24" t="n"/>
      <c r="BJ65" s="25" t="n"/>
      <c r="BK65" s="26" t="n">
        <v>-110</v>
      </c>
      <c r="BL65" s="27" t="n">
        <v>1.909</v>
      </c>
      <c r="BM65" s="28" t="n">
        <v>0.523834</v>
      </c>
      <c r="BN65" s="28" t="n">
        <v>0.523834</v>
      </c>
      <c r="BO65" s="28" t="n">
        <v>0.523834</v>
      </c>
      <c r="BP65" s="25" t="n"/>
      <c r="BQ65" s="27" t="n">
        <v>1.909</v>
      </c>
      <c r="BR65" s="28" t="n"/>
      <c r="BS65" s="28" t="n"/>
      <c r="BT65" s="28" t="n"/>
      <c r="BU65" s="25" t="n"/>
      <c r="BV65" s="29" t="n">
        <v>0.79</v>
      </c>
      <c r="BW65" s="24" t="n"/>
      <c r="BX65" s="30" t="n"/>
      <c r="BY65" s="27" t="n"/>
      <c r="BZ65" s="24" t="n"/>
      <c r="CA65" s="31" t="n"/>
      <c r="CB65" s="24" t="n"/>
      <c r="CC65" s="24" t="inlineStr">
        <is>
          <t>0.592159</t>
        </is>
      </c>
      <c r="CD65" s="24" t="inlineStr">
        <is>
          <t>1.96306</t>
        </is>
      </c>
      <c r="CE65" s="24" t="inlineStr">
        <is>
          <t>0.97</t>
        </is>
      </c>
      <c r="CF65" s="24" t="inlineStr">
        <is>
          <t>0.9986</t>
        </is>
      </c>
      <c r="CG65" s="24" t="inlineStr">
        <is>
          <t>-2.0</t>
        </is>
      </c>
      <c r="CH65" s="24" t="n"/>
      <c r="CI65" s="24" t="n"/>
      <c r="CJ65" s="24" t="n"/>
      <c r="CK65" s="24" t="n"/>
      <c r="CL65" s="24" t="n"/>
      <c r="CM65" s="24" t="n"/>
    </row>
    <row r="66" ht="18" customHeight="1">
      <c r="A66" s="24" t="inlineStr">
        <is>
          <t>3a5d9597e95c474a</t>
        </is>
      </c>
      <c r="B66" s="24" t="inlineStr">
        <is>
          <t>2026-07-22T22:42:56Z</t>
        </is>
      </c>
      <c r="C66" s="24" t="inlineStr">
        <is>
          <t>2026-07-21T23:05Z</t>
        </is>
      </c>
      <c r="D66" s="24" t="inlineStr">
        <is>
          <t>401816204</t>
        </is>
      </c>
      <c r="E66" s="24" t="inlineStr">
        <is>
          <t>MLB</t>
        </is>
      </c>
      <c r="F66" s="24" t="inlineStr">
        <is>
          <t>Pittsburgh Pirates</t>
        </is>
      </c>
      <c r="G66" s="24" t="inlineStr">
        <is>
          <t>New York Yankees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-110</v>
      </c>
      <c r="M66" s="27" t="n">
        <v>1.909091</v>
      </c>
      <c r="N66" s="28" t="n">
        <v>0.52381</v>
      </c>
      <c r="O66" s="28" t="n">
        <v>0.593809</v>
      </c>
      <c r="P66" s="28" t="n">
        <v>0.05</v>
      </c>
      <c r="Q66" s="28" t="n">
        <v>0.06999900000000001</v>
      </c>
      <c r="R66" s="26" t="n">
        <v>55</v>
      </c>
      <c r="S66" s="29" t="n">
        <v>0</v>
      </c>
      <c r="T66" s="24" t="inlineStr">
        <is>
          <t>mlb-elo-trend-lr-v5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0</v>
      </c>
      <c r="Y66" s="25" t="n"/>
      <c r="Z66" s="26" t="n">
        <v>-110</v>
      </c>
      <c r="AA66" s="28" t="n">
        <v>0.523834</v>
      </c>
      <c r="AB66" s="28" t="n"/>
      <c r="AC66" s="30" t="n">
        <v>0.9454</v>
      </c>
      <c r="AD66" s="24" t="inlineStr">
        <is>
          <t>2026-07-23T00:01:14Z</t>
        </is>
      </c>
      <c r="AE66" s="31" t="n"/>
      <c r="AF66" s="31" t="n"/>
      <c r="AG66" s="24" t="n"/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RESEARCH_OBSERVATION</t>
        </is>
      </c>
      <c r="AO66" s="24" t="inlineStr">
        <is>
          <t>NO_CALL_MODEL_UNVALIDATED</t>
        </is>
      </c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8a12d027cf1d2c206cb369c47da80e014f8ac4dfc414ffee96ae34656c46fef5</t>
        </is>
      </c>
      <c r="BB66" s="24" t="inlineStr">
        <is>
          <t>identity</t>
        </is>
      </c>
      <c r="BC66" s="24" t="inlineStr">
        <is>
          <t>identity-v1</t>
        </is>
      </c>
      <c r="BD66" s="24" t="n"/>
      <c r="BE66" s="24" t="inlineStr">
        <is>
          <t>1</t>
        </is>
      </c>
      <c r="BF66" s="24" t="inlineStr">
        <is>
          <t>1</t>
        </is>
      </c>
      <c r="BG66" s="24" t="n"/>
      <c r="BH66" s="24" t="inlineStr">
        <is>
          <t>2026-07-22T22:42:56Z</t>
        </is>
      </c>
      <c r="BI66" s="24" t="n"/>
      <c r="BJ66" s="25" t="n"/>
      <c r="BK66" s="26" t="n">
        <v>-110</v>
      </c>
      <c r="BL66" s="27" t="n">
        <v>1.909</v>
      </c>
      <c r="BM66" s="28" t="n">
        <v>0.523834</v>
      </c>
      <c r="BN66" s="28" t="n">
        <v>0.523834</v>
      </c>
      <c r="BO66" s="28" t="n">
        <v>0.523834</v>
      </c>
      <c r="BP66" s="25" t="n"/>
      <c r="BQ66" s="27" t="n">
        <v>1.909</v>
      </c>
      <c r="BR66" s="28" t="n"/>
      <c r="BS66" s="28" t="n"/>
      <c r="BT66" s="28" t="n"/>
      <c r="BU66" s="25" t="n"/>
      <c r="BV66" s="29" t="n">
        <v>1.04</v>
      </c>
      <c r="BW66" s="24" t="n"/>
      <c r="BX66" s="30" t="n"/>
      <c r="BY66" s="27" t="n"/>
      <c r="BZ66" s="24" t="n"/>
      <c r="CA66" s="31" t="n"/>
      <c r="CB66" s="24" t="n"/>
      <c r="CC66" s="24" t="inlineStr">
        <is>
          <t>0.57372</t>
        </is>
      </c>
      <c r="CD66" s="24" t="inlineStr">
        <is>
          <t>-1.351066</t>
        </is>
      </c>
      <c r="CE66" s="24" t="inlineStr">
        <is>
          <t>0.99</t>
        </is>
      </c>
      <c r="CF66" s="24" t="inlineStr">
        <is>
          <t>1.0171</t>
        </is>
      </c>
      <c r="CG66" s="24" t="inlineStr">
        <is>
          <t>-0.2</t>
        </is>
      </c>
      <c r="CH66" s="24" t="n"/>
      <c r="CI66" s="24" t="n"/>
      <c r="CJ66" s="24" t="n"/>
      <c r="CK66" s="24" t="n"/>
      <c r="CL66" s="24" t="n"/>
      <c r="CM66" s="24" t="n"/>
    </row>
    <row r="67" ht="18" customHeight="1">
      <c r="A67" s="24" t="inlineStr">
        <is>
          <t>5e88e32b44124d74</t>
        </is>
      </c>
      <c r="B67" s="24" t="inlineStr">
        <is>
          <t>2026-07-22T22:42:56Z</t>
        </is>
      </c>
      <c r="C67" s="24" t="inlineStr">
        <is>
          <t>2026-07-21T23:07Z</t>
        </is>
      </c>
      <c r="D67" s="24" t="inlineStr">
        <is>
          <t>401816206</t>
        </is>
      </c>
      <c r="E67" s="24" t="inlineStr">
        <is>
          <t>MLB</t>
        </is>
      </c>
      <c r="F67" s="24" t="inlineStr">
        <is>
          <t>Tampa Bay Rays</t>
        </is>
      </c>
      <c r="G67" s="24" t="inlineStr">
        <is>
          <t>Toronto Blue Jays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-110</v>
      </c>
      <c r="M67" s="27" t="n">
        <v>1.909091</v>
      </c>
      <c r="N67" s="28" t="n">
        <v>0.52381</v>
      </c>
      <c r="O67" s="28" t="n">
        <v>0.536567</v>
      </c>
      <c r="P67" s="28" t="n">
        <v>0.05</v>
      </c>
      <c r="Q67" s="28" t="n">
        <v>0.012758</v>
      </c>
      <c r="R67" s="26" t="n">
        <v>26</v>
      </c>
      <c r="S67" s="29" t="n">
        <v>0</v>
      </c>
      <c r="T67" s="24" t="inlineStr">
        <is>
          <t>mlb-elo-trend-lr-v5</t>
        </is>
      </c>
      <c r="U67" s="24" t="inlineStr">
        <is>
          <t>settled</t>
        </is>
      </c>
      <c r="V67" s="24" t="inlineStr">
        <is>
          <t>loss</t>
        </is>
      </c>
      <c r="W67" s="26" t="n">
        <v>12</v>
      </c>
      <c r="X67" s="26" t="n">
        <v>2</v>
      </c>
      <c r="Y67" s="25" t="n"/>
      <c r="Z67" s="26" t="n">
        <v>-110</v>
      </c>
      <c r="AA67" s="28" t="n">
        <v>0.523834</v>
      </c>
      <c r="AB67" s="28" t="n"/>
      <c r="AC67" s="30" t="n">
        <v>-0.5</v>
      </c>
      <c r="AD67" s="24" t="inlineStr">
        <is>
          <t>2026-07-22T23:44:22Z</t>
        </is>
      </c>
      <c r="AE67" s="31" t="n"/>
      <c r="AF67" s="31" t="n"/>
      <c r="AG67" s="24" t="n"/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RESEARCH_OBSERVATION</t>
        </is>
      </c>
      <c r="AO67" s="24" t="inlineStr">
        <is>
          <t>NO_CALL_MODEL_UNVALIDATED</t>
        </is>
      </c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8a12d027cf1d2c206cb369c47da80e014f8ac4dfc414ffee96ae34656c46fef5</t>
        </is>
      </c>
      <c r="BB67" s="24" t="inlineStr">
        <is>
          <t>identity</t>
        </is>
      </c>
      <c r="BC67" s="24" t="inlineStr">
        <is>
          <t>identity-v1</t>
        </is>
      </c>
      <c r="BD67" s="24" t="n"/>
      <c r="BE67" s="24" t="inlineStr">
        <is>
          <t>1</t>
        </is>
      </c>
      <c r="BF67" s="24" t="inlineStr">
        <is>
          <t>1</t>
        </is>
      </c>
      <c r="BG67" s="24" t="n"/>
      <c r="BH67" s="24" t="inlineStr">
        <is>
          <t>2026-07-22T22:42:56Z</t>
        </is>
      </c>
      <c r="BI67" s="24" t="n"/>
      <c r="BJ67" s="25" t="n"/>
      <c r="BK67" s="26" t="n">
        <v>-110</v>
      </c>
      <c r="BL67" s="27" t="n">
        <v>1.909</v>
      </c>
      <c r="BM67" s="28" t="n">
        <v>0.523834</v>
      </c>
      <c r="BN67" s="28" t="n">
        <v>0.523834</v>
      </c>
      <c r="BO67" s="28" t="n">
        <v>0.523834</v>
      </c>
      <c r="BP67" s="25" t="n"/>
      <c r="BQ67" s="27" t="n">
        <v>1.909</v>
      </c>
      <c r="BR67" s="28" t="n"/>
      <c r="BS67" s="28" t="n"/>
      <c r="BT67" s="28" t="n"/>
      <c r="BU67" s="25" t="n"/>
      <c r="BV67" s="29" t="n">
        <v>0.5</v>
      </c>
      <c r="BW67" s="24" t="n"/>
      <c r="BX67" s="30" t="n"/>
      <c r="BY67" s="27" t="n"/>
      <c r="BZ67" s="24" t="n"/>
      <c r="CA67" s="31" t="n"/>
      <c r="CB67" s="24" t="n"/>
      <c r="CC67" s="24" t="inlineStr">
        <is>
          <t>0.518124</t>
        </is>
      </c>
      <c r="CD67" s="24" t="inlineStr">
        <is>
          <t>-1.017936</t>
        </is>
      </c>
      <c r="CE67" s="24" t="inlineStr">
        <is>
          <t>1.0</t>
        </is>
      </c>
      <c r="CF67" s="24" t="inlineStr">
        <is>
          <t>1.0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</row>
    <row r="68" ht="18" customHeight="1">
      <c r="A68" s="24" t="inlineStr">
        <is>
          <t>a6e7428fb7c24faf</t>
        </is>
      </c>
      <c r="B68" s="24" t="inlineStr">
        <is>
          <t>2026-07-22T22:42:56Z</t>
        </is>
      </c>
      <c r="C68" s="24" t="inlineStr">
        <is>
          <t>2026-07-21T23:10Z</t>
        </is>
      </c>
      <c r="D68" s="24" t="inlineStr">
        <is>
          <t>401816201</t>
        </is>
      </c>
      <c r="E68" s="24" t="inlineStr">
        <is>
          <t>MLB</t>
        </is>
      </c>
      <c r="F68" s="24" t="inlineStr">
        <is>
          <t>Baltimore Orioles</t>
        </is>
      </c>
      <c r="G68" s="24" t="inlineStr">
        <is>
          <t>Boston Red Sox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-110</v>
      </c>
      <c r="M68" s="27" t="n">
        <v>1.909091</v>
      </c>
      <c r="N68" s="28" t="n">
        <v>0.52381</v>
      </c>
      <c r="O68" s="28" t="n">
        <v>0.561612</v>
      </c>
      <c r="P68" s="28" t="n">
        <v>0.05</v>
      </c>
      <c r="Q68" s="28" t="n">
        <v>0.037802</v>
      </c>
      <c r="R68" s="26" t="n">
        <v>39</v>
      </c>
      <c r="S68" s="29" t="n">
        <v>0</v>
      </c>
      <c r="T68" s="24" t="inlineStr">
        <is>
          <t>mlb-elo-trend-lr-v5</t>
        </is>
      </c>
      <c r="U68" s="24" t="inlineStr">
        <is>
          <t>settled</t>
        </is>
      </c>
      <c r="V68" s="24" t="inlineStr">
        <is>
          <t>win</t>
        </is>
      </c>
      <c r="W68" s="26" t="n">
        <v>5</v>
      </c>
      <c r="X68" s="26" t="n">
        <v>6</v>
      </c>
      <c r="Y68" s="25" t="n"/>
      <c r="Z68" s="26" t="n">
        <v>-110</v>
      </c>
      <c r="AA68" s="28" t="n">
        <v>0.523834</v>
      </c>
      <c r="AB68" s="28" t="n"/>
      <c r="AC68" s="30" t="n">
        <v>0.9181</v>
      </c>
      <c r="AD68" s="24" t="inlineStr">
        <is>
          <t>2026-07-23T00:01:14Z</t>
        </is>
      </c>
      <c r="AE68" s="31" t="n"/>
      <c r="AF68" s="31" t="n"/>
      <c r="AG68" s="24" t="n"/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RESEARCH_OBSERVATION</t>
        </is>
      </c>
      <c r="AO68" s="24" t="inlineStr">
        <is>
          <t>NO_CALL_MODEL_UNVALIDATED</t>
        </is>
      </c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8a12d027cf1d2c206cb369c47da80e014f8ac4dfc414ffee96ae34656c46fef5</t>
        </is>
      </c>
      <c r="BB68" s="24" t="inlineStr">
        <is>
          <t>identity</t>
        </is>
      </c>
      <c r="BC68" s="24" t="inlineStr">
        <is>
          <t>identity-v1</t>
        </is>
      </c>
      <c r="BD68" s="24" t="n"/>
      <c r="BE68" s="24" t="inlineStr">
        <is>
          <t>1</t>
        </is>
      </c>
      <c r="BF68" s="24" t="inlineStr">
        <is>
          <t>1</t>
        </is>
      </c>
      <c r="BG68" s="24" t="n"/>
      <c r="BH68" s="24" t="inlineStr">
        <is>
          <t>2026-07-22T22:42:56Z</t>
        </is>
      </c>
      <c r="BI68" s="24" t="n"/>
      <c r="BJ68" s="25" t="n"/>
      <c r="BK68" s="26" t="n">
        <v>-110</v>
      </c>
      <c r="BL68" s="27" t="n">
        <v>1.909</v>
      </c>
      <c r="BM68" s="28" t="n">
        <v>0.523834</v>
      </c>
      <c r="BN68" s="28" t="n">
        <v>0.523834</v>
      </c>
      <c r="BO68" s="28" t="n">
        <v>0.523834</v>
      </c>
      <c r="BP68" s="25" t="n"/>
      <c r="BQ68" s="27" t="n">
        <v>1.909</v>
      </c>
      <c r="BR68" s="28" t="n"/>
      <c r="BS68" s="28" t="n"/>
      <c r="BT68" s="28" t="n"/>
      <c r="BU68" s="25" t="n"/>
      <c r="BV68" s="29" t="n">
        <v>1.01</v>
      </c>
      <c r="BW68" s="24" t="n"/>
      <c r="BX68" s="30" t="n"/>
      <c r="BY68" s="27" t="n"/>
      <c r="BZ68" s="24" t="n"/>
      <c r="CA68" s="31" t="n"/>
      <c r="CB68" s="24" t="n"/>
      <c r="CC68" s="24" t="inlineStr">
        <is>
          <t>0.604946</t>
        </is>
      </c>
      <c r="CD68" s="24" t="inlineStr">
        <is>
          <t>0.986593</t>
        </is>
      </c>
      <c r="CE68" s="24" t="inlineStr">
        <is>
          <t>1.04</t>
        </is>
      </c>
      <c r="CF68" s="24" t="inlineStr">
        <is>
          <t>1.0049</t>
        </is>
      </c>
      <c r="CG68" s="24" t="inlineStr">
        <is>
          <t>0.2</t>
        </is>
      </c>
      <c r="CH68" s="24" t="n"/>
      <c r="CI68" s="24" t="n"/>
      <c r="CJ68" s="24" t="n"/>
      <c r="CK68" s="24" t="n"/>
      <c r="CL68" s="24" t="n"/>
      <c r="CM68" s="24" t="n"/>
    </row>
    <row r="69" ht="18" customHeight="1">
      <c r="A69" s="24" t="inlineStr">
        <is>
          <t>6e90eed4a1ec4e07</t>
        </is>
      </c>
      <c r="B69" s="24" t="inlineStr">
        <is>
          <t>2026-07-22T22:42:56Z</t>
        </is>
      </c>
      <c r="C69" s="24" t="inlineStr">
        <is>
          <t>2026-07-21T23:15Z</t>
        </is>
      </c>
      <c r="D69" s="24" t="inlineStr">
        <is>
          <t>401816205</t>
        </is>
      </c>
      <c r="E69" s="24" t="inlineStr">
        <is>
          <t>MLB</t>
        </is>
      </c>
      <c r="F69" s="24" t="inlineStr">
        <is>
          <t>San Diego Padres</t>
        </is>
      </c>
      <c r="G69" s="24" t="inlineStr">
        <is>
          <t>Atlanta Braves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-110</v>
      </c>
      <c r="M69" s="27" t="n">
        <v>1.909091</v>
      </c>
      <c r="N69" s="28" t="n">
        <v>0.52381</v>
      </c>
      <c r="O69" s="28" t="n">
        <v>0.562873</v>
      </c>
      <c r="P69" s="28" t="n">
        <v>0.05</v>
      </c>
      <c r="Q69" s="28" t="n">
        <v>0.039064</v>
      </c>
      <c r="R69" s="26" t="n">
        <v>40</v>
      </c>
      <c r="S69" s="29" t="n">
        <v>0</v>
      </c>
      <c r="T69" s="24" t="inlineStr">
        <is>
          <t>mlb-elo-trend-lr-v5</t>
        </is>
      </c>
      <c r="U69" s="24" t="inlineStr">
        <is>
          <t>settled</t>
        </is>
      </c>
      <c r="V69" s="24" t="inlineStr">
        <is>
          <t>loss</t>
        </is>
      </c>
      <c r="W69" s="26" t="n">
        <v>8</v>
      </c>
      <c r="X69" s="26" t="n">
        <v>3</v>
      </c>
      <c r="Y69" s="25" t="n"/>
      <c r="Z69" s="26" t="n">
        <v>-110</v>
      </c>
      <c r="AA69" s="28" t="n">
        <v>0.523834</v>
      </c>
      <c r="AB69" s="28" t="n"/>
      <c r="AC69" s="30" t="n">
        <v>-0.76</v>
      </c>
      <c r="AD69" s="24" t="inlineStr">
        <is>
          <t>2026-07-22T23:44:22Z</t>
        </is>
      </c>
      <c r="AE69" s="31" t="n"/>
      <c r="AF69" s="31" t="n"/>
      <c r="AG69" s="24" t="n"/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RESEARCH_OBSERVATION</t>
        </is>
      </c>
      <c r="AO69" s="24" t="inlineStr">
        <is>
          <t>NO_CALL_MODEL_UNVALIDATED</t>
        </is>
      </c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8a12d027cf1d2c206cb369c47da80e014f8ac4dfc414ffee96ae34656c46fef5</t>
        </is>
      </c>
      <c r="BB69" s="24" t="inlineStr">
        <is>
          <t>identity</t>
        </is>
      </c>
      <c r="BC69" s="24" t="inlineStr">
        <is>
          <t>identity-v1</t>
        </is>
      </c>
      <c r="BD69" s="24" t="n"/>
      <c r="BE69" s="24" t="inlineStr">
        <is>
          <t>1</t>
        </is>
      </c>
      <c r="BF69" s="24" t="inlineStr">
        <is>
          <t>1</t>
        </is>
      </c>
      <c r="BG69" s="24" t="n"/>
      <c r="BH69" s="24" t="inlineStr">
        <is>
          <t>2026-07-22T22:42:56Z</t>
        </is>
      </c>
      <c r="BI69" s="24" t="n"/>
      <c r="BJ69" s="25" t="n"/>
      <c r="BK69" s="26" t="n">
        <v>-110</v>
      </c>
      <c r="BL69" s="27" t="n">
        <v>1.909</v>
      </c>
      <c r="BM69" s="28" t="n">
        <v>0.523834</v>
      </c>
      <c r="BN69" s="28" t="n">
        <v>0.523834</v>
      </c>
      <c r="BO69" s="28" t="n">
        <v>0.523834</v>
      </c>
      <c r="BP69" s="25" t="n"/>
      <c r="BQ69" s="27" t="n">
        <v>1.909</v>
      </c>
      <c r="BR69" s="28" t="n"/>
      <c r="BS69" s="28" t="n"/>
      <c r="BT69" s="28" t="n"/>
      <c r="BU69" s="25" t="n"/>
      <c r="BV69" s="29" t="n">
        <v>0.76</v>
      </c>
      <c r="BW69" s="24" t="n"/>
      <c r="BX69" s="30" t="n"/>
      <c r="BY69" s="27" t="n"/>
      <c r="BZ69" s="24" t="n"/>
      <c r="CA69" s="31" t="n"/>
      <c r="CB69" s="24" t="n"/>
      <c r="CC69" s="24" t="inlineStr">
        <is>
          <t>0.572651</t>
        </is>
      </c>
      <c r="CD69" s="24" t="inlineStr">
        <is>
          <t>-0.653566</t>
        </is>
      </c>
      <c r="CE69" s="24" t="inlineStr">
        <is>
          <t>1.01</t>
        </is>
      </c>
      <c r="CF69" s="24" t="inlineStr">
        <is>
          <t>1.0143</t>
        </is>
      </c>
      <c r="CG69" s="24" t="inlineStr">
        <is>
          <t>-0.8</t>
        </is>
      </c>
      <c r="CH69" s="24" t="n"/>
      <c r="CI69" s="24" t="n"/>
      <c r="CJ69" s="24" t="n"/>
      <c r="CK69" s="24" t="n"/>
      <c r="CL69" s="24" t="n"/>
      <c r="CM69" s="24" t="n"/>
    </row>
    <row r="70" ht="18" customHeight="1">
      <c r="A70" s="24" t="inlineStr">
        <is>
          <t>547aa36ec56f46b9</t>
        </is>
      </c>
      <c r="B70" s="24" t="inlineStr">
        <is>
          <t>2026-07-22T22:42:56Z</t>
        </is>
      </c>
      <c r="C70" s="24" t="inlineStr">
        <is>
          <t>2026-07-21T23:40Z</t>
        </is>
      </c>
      <c r="D70" s="24" t="inlineStr">
        <is>
          <t>401816210</t>
        </is>
      </c>
      <c r="E70" s="24" t="inlineStr">
        <is>
          <t>MLB</t>
        </is>
      </c>
      <c r="F70" s="24" t="inlineStr">
        <is>
          <t>New York Mets</t>
        </is>
      </c>
      <c r="G70" s="24" t="inlineStr">
        <is>
          <t>Milwaukee Brewers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-110</v>
      </c>
      <c r="M70" s="27" t="n">
        <v>1.909091</v>
      </c>
      <c r="N70" s="28" t="n">
        <v>0.52381</v>
      </c>
      <c r="O70" s="28" t="n">
        <v>0.657843</v>
      </c>
      <c r="P70" s="28" t="n">
        <v>0.05</v>
      </c>
      <c r="Q70" s="28" t="n">
        <v>0.134034</v>
      </c>
      <c r="R70" s="26" t="n">
        <v>87</v>
      </c>
      <c r="S70" s="29" t="n">
        <v>0</v>
      </c>
      <c r="T70" s="24" t="inlineStr">
        <is>
          <t>mlb-elo-trend-lr-v5</t>
        </is>
      </c>
      <c r="U70" s="24" t="inlineStr">
        <is>
          <t>settled</t>
        </is>
      </c>
      <c r="V70" s="24" t="inlineStr">
        <is>
          <t>loss</t>
        </is>
      </c>
      <c r="W70" s="26" t="n">
        <v>4</v>
      </c>
      <c r="X70" s="26" t="n">
        <v>0</v>
      </c>
      <c r="Y70" s="25" t="n"/>
      <c r="Z70" s="26" t="n"/>
      <c r="AA70" s="28" t="n"/>
      <c r="AB70" s="28" t="n"/>
      <c r="AC70" s="30" t="n">
        <v>-2</v>
      </c>
      <c r="AD70" s="24" t="inlineStr">
        <is>
          <t>2026-07-22T23:40:26.713424Z</t>
        </is>
      </c>
      <c r="AE70" s="31" t="n"/>
      <c r="AF70" s="31" t="n"/>
      <c r="AG70" s="24" t="inlineStr">
        <is>
          <t>review_required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RESEARCH_OBSERVATION</t>
        </is>
      </c>
      <c r="AO70" s="24" t="inlineStr">
        <is>
          <t>NO_CALL_MODEL_UNVALIDATED</t>
        </is>
      </c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8a12d027cf1d2c206cb369c47da80e014f8ac4dfc414ffee96ae34656c46fef5</t>
        </is>
      </c>
      <c r="BB70" s="24" t="inlineStr">
        <is>
          <t>identity</t>
        </is>
      </c>
      <c r="BC70" s="24" t="inlineStr">
        <is>
          <t>identity-v1</t>
        </is>
      </c>
      <c r="BD70" s="24" t="n"/>
      <c r="BE70" s="24" t="inlineStr">
        <is>
          <t>1</t>
        </is>
      </c>
      <c r="BF70" s="24" t="inlineStr">
        <is>
          <t>1</t>
        </is>
      </c>
      <c r="BG70" s="24" t="n"/>
      <c r="BH70" s="24" t="inlineStr">
        <is>
          <t>2026-07-22T22:42:56Z</t>
        </is>
      </c>
      <c r="BI70" s="24" t="n"/>
      <c r="BJ70" s="25" t="n"/>
      <c r="BK70" s="26" t="n">
        <v>-110</v>
      </c>
      <c r="BL70" s="27" t="n">
        <v>1.909</v>
      </c>
      <c r="BM70" s="28" t="n">
        <v>0.523834</v>
      </c>
      <c r="BN70" s="28" t="n">
        <v>0.523834</v>
      </c>
      <c r="BO70" s="28" t="n">
        <v>0.523834</v>
      </c>
      <c r="BP70" s="25" t="n"/>
      <c r="BQ70" s="27" t="n"/>
      <c r="BR70" s="28" t="n"/>
      <c r="BS70" s="28" t="n"/>
      <c r="BT70" s="28" t="n"/>
      <c r="BU70" s="25" t="n"/>
      <c r="BV70" s="29" t="n">
        <v>2</v>
      </c>
      <c r="BW70" s="24" t="n"/>
      <c r="BX70" s="30" t="n"/>
      <c r="BY70" s="27" t="n"/>
      <c r="BZ70" s="24" t="n"/>
      <c r="CA70" s="31" t="n"/>
      <c r="CB70" s="24" t="n"/>
      <c r="CC70" s="24" t="inlineStr">
        <is>
          <t>0.688545</t>
        </is>
      </c>
      <c r="CD70" s="24" t="inlineStr">
        <is>
          <t>0.575043</t>
        </is>
      </c>
      <c r="CE70" s="24" t="inlineStr">
        <is>
          <t>0.98</t>
        </is>
      </c>
      <c r="CF70" s="24" t="inlineStr">
        <is>
          <t>1.0</t>
        </is>
      </c>
      <c r="CG70" s="24" t="inlineStr">
        <is>
          <t>0.6</t>
        </is>
      </c>
      <c r="CH70" s="24" t="n"/>
      <c r="CI70" s="24" t="n"/>
      <c r="CJ70" s="24" t="n"/>
      <c r="CK70" s="24" t="n"/>
      <c r="CL70" s="24" t="n"/>
      <c r="CM70" s="24" t="n"/>
    </row>
    <row r="71" ht="18" customHeight="1">
      <c r="A71" s="24" t="inlineStr">
        <is>
          <t>0ff10ba8507a4354</t>
        </is>
      </c>
      <c r="B71" s="24" t="inlineStr">
        <is>
          <t>2026-07-22T22:42:56Z</t>
        </is>
      </c>
      <c r="C71" s="24" t="inlineStr">
        <is>
          <t>2026-07-21T23:40Z</t>
        </is>
      </c>
      <c r="D71" s="24" t="inlineStr">
        <is>
          <t>401816211</t>
        </is>
      </c>
      <c r="E71" s="24" t="inlineStr">
        <is>
          <t>MLB</t>
        </is>
      </c>
      <c r="F71" s="24" t="inlineStr">
        <is>
          <t>San Francisco Giants</t>
        </is>
      </c>
      <c r="G71" s="24" t="inlineStr">
        <is>
          <t>Kansas City Royals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-110</v>
      </c>
      <c r="M71" s="27" t="n">
        <v>1.909091</v>
      </c>
      <c r="N71" s="28" t="n">
        <v>0.52381</v>
      </c>
      <c r="O71" s="28" t="n">
        <v>0.581277</v>
      </c>
      <c r="P71" s="28" t="n">
        <v>0.05</v>
      </c>
      <c r="Q71" s="28" t="n">
        <v>0.057467</v>
      </c>
      <c r="R71" s="26" t="n">
        <v>49</v>
      </c>
      <c r="S71" s="29" t="n">
        <v>0</v>
      </c>
      <c r="T71" s="24" t="inlineStr">
        <is>
          <t>mlb-elo-trend-lr-v5</t>
        </is>
      </c>
      <c r="U71" s="24" t="inlineStr">
        <is>
          <t>settled</t>
        </is>
      </c>
      <c r="V71" s="24" t="inlineStr">
        <is>
          <t>win</t>
        </is>
      </c>
      <c r="W71" s="26" t="n">
        <v>2</v>
      </c>
      <c r="X71" s="26" t="n">
        <v>3</v>
      </c>
      <c r="Y71" s="25" t="n"/>
      <c r="Z71" s="26" t="n">
        <v>-110</v>
      </c>
      <c r="AA71" s="28" t="n">
        <v>0.523834</v>
      </c>
      <c r="AB71" s="28" t="n"/>
      <c r="AC71" s="30" t="n">
        <v>0.4545</v>
      </c>
      <c r="AD71" s="24" t="inlineStr">
        <is>
          <t>2026-07-22T23:44:22Z</t>
        </is>
      </c>
      <c r="AE71" s="31" t="n"/>
      <c r="AF71" s="31" t="n"/>
      <c r="AG71" s="24" t="n"/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RESEARCH_OBSERVATION</t>
        </is>
      </c>
      <c r="AO71" s="24" t="inlineStr">
        <is>
          <t>NO_CALL_MODEL_UNVALIDATED</t>
        </is>
      </c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8a12d027cf1d2c206cb369c47da80e014f8ac4dfc414ffee96ae34656c46fef5</t>
        </is>
      </c>
      <c r="BB71" s="24" t="inlineStr">
        <is>
          <t>identity</t>
        </is>
      </c>
      <c r="BC71" s="24" t="inlineStr">
        <is>
          <t>identity-v1</t>
        </is>
      </c>
      <c r="BD71" s="24" t="n"/>
      <c r="BE71" s="24" t="inlineStr">
        <is>
          <t>1</t>
        </is>
      </c>
      <c r="BF71" s="24" t="inlineStr">
        <is>
          <t>1</t>
        </is>
      </c>
      <c r="BG71" s="24" t="n"/>
      <c r="BH71" s="24" t="inlineStr">
        <is>
          <t>2026-07-22T22:42:56Z</t>
        </is>
      </c>
      <c r="BI71" s="24" t="n"/>
      <c r="BJ71" s="25" t="n"/>
      <c r="BK71" s="26" t="n">
        <v>-110</v>
      </c>
      <c r="BL71" s="27" t="n">
        <v>1.909</v>
      </c>
      <c r="BM71" s="28" t="n">
        <v>0.523834</v>
      </c>
      <c r="BN71" s="28" t="n">
        <v>0.523834</v>
      </c>
      <c r="BO71" s="28" t="n">
        <v>0.523834</v>
      </c>
      <c r="BP71" s="25" t="n"/>
      <c r="BQ71" s="27" t="n">
        <v>1.909</v>
      </c>
      <c r="BR71" s="28" t="n"/>
      <c r="BS71" s="28" t="n"/>
      <c r="BT71" s="28" t="n"/>
      <c r="BU71" s="25" t="n"/>
      <c r="BV71" s="29" t="n">
        <v>0.5</v>
      </c>
      <c r="BW71" s="24" t="n"/>
      <c r="BX71" s="30" t="n"/>
      <c r="BY71" s="27" t="n"/>
      <c r="BZ71" s="24" t="n"/>
      <c r="CA71" s="31" t="n"/>
      <c r="CB71" s="24" t="n"/>
      <c r="CC71" s="24" t="inlineStr">
        <is>
          <t>0.520255</t>
        </is>
      </c>
      <c r="CD71" s="24" t="inlineStr">
        <is>
          <t>0.154719</t>
        </is>
      </c>
      <c r="CE71" s="24" t="inlineStr">
        <is>
          <t>1.03</t>
        </is>
      </c>
      <c r="CF71" s="24" t="inlineStr">
        <is>
          <t>1.0111</t>
        </is>
      </c>
      <c r="CG71" s="24" t="inlineStr">
        <is>
          <t>4.4</t>
        </is>
      </c>
      <c r="CH71" s="24" t="n"/>
      <c r="CI71" s="24" t="n"/>
      <c r="CJ71" s="24" t="n"/>
      <c r="CK71" s="24" t="n"/>
      <c r="CL71" s="24" t="n"/>
      <c r="CM71" s="24" t="n"/>
    </row>
    <row r="72" ht="18" customHeight="1">
      <c r="A72" s="24" t="inlineStr">
        <is>
          <t>a94f7c3ec9bd4643</t>
        </is>
      </c>
      <c r="B72" s="24" t="inlineStr">
        <is>
          <t>2026-07-22T22:42:56Z</t>
        </is>
      </c>
      <c r="C72" s="24" t="inlineStr">
        <is>
          <t>2026-07-22T00:05Z</t>
        </is>
      </c>
      <c r="D72" s="24" t="inlineStr">
        <is>
          <t>401816207</t>
        </is>
      </c>
      <c r="E72" s="24" t="inlineStr">
        <is>
          <t>MLB</t>
        </is>
      </c>
      <c r="F72" s="24" t="inlineStr">
        <is>
          <t>Chicago White Sox</t>
        </is>
      </c>
      <c r="G72" s="24" t="inlineStr">
        <is>
          <t>Texas Rangers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-110</v>
      </c>
      <c r="M72" s="27" t="n">
        <v>1.909091</v>
      </c>
      <c r="N72" s="28" t="n">
        <v>0.52381</v>
      </c>
      <c r="O72" s="28" t="n">
        <v>0.633238</v>
      </c>
      <c r="P72" s="28" t="n">
        <v>0.05</v>
      </c>
      <c r="Q72" s="28" t="n">
        <v>0.109428</v>
      </c>
      <c r="R72" s="26" t="n">
        <v>75</v>
      </c>
      <c r="S72" s="29" t="n">
        <v>0</v>
      </c>
      <c r="T72" s="24" t="inlineStr">
        <is>
          <t>mlb-elo-trend-lr-v5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10</v>
      </c>
      <c r="Y72" s="25" t="n"/>
      <c r="Z72" s="26" t="n"/>
      <c r="AA72" s="28" t="n"/>
      <c r="AB72" s="28" t="n"/>
      <c r="AC72" s="30" t="n">
        <v>0</v>
      </c>
      <c r="AD72" s="24" t="inlineStr">
        <is>
          <t>2026-07-23T04:43:09.454691Z</t>
        </is>
      </c>
      <c r="AE72" s="31" t="n"/>
      <c r="AF72" s="31" t="n"/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RESEARCH_OBSERVATION</t>
        </is>
      </c>
      <c r="AO72" s="24" t="inlineStr">
        <is>
          <t>NO_CALL_MODEL_UNVALIDATED</t>
        </is>
      </c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8a12d027cf1d2c206cb369c47da80e014f8ac4dfc414ffee96ae34656c46fef5</t>
        </is>
      </c>
      <c r="BB72" s="24" t="inlineStr">
        <is>
          <t>identity</t>
        </is>
      </c>
      <c r="BC72" s="24" t="inlineStr">
        <is>
          <t>identity-v1</t>
        </is>
      </c>
      <c r="BD72" s="24" t="n"/>
      <c r="BE72" s="24" t="inlineStr">
        <is>
          <t>1</t>
        </is>
      </c>
      <c r="BF72" s="24" t="inlineStr">
        <is>
          <t>1</t>
        </is>
      </c>
      <c r="BG72" s="24" t="n"/>
      <c r="BH72" s="24" t="inlineStr">
        <is>
          <t>2026-07-22T22:42:56Z</t>
        </is>
      </c>
      <c r="BI72" s="24" t="n"/>
      <c r="BJ72" s="25" t="n"/>
      <c r="BK72" s="26" t="n">
        <v>-110</v>
      </c>
      <c r="BL72" s="27" t="n">
        <v>1.909</v>
      </c>
      <c r="BM72" s="28" t="n">
        <v>0.523834</v>
      </c>
      <c r="BN72" s="28" t="n">
        <v>0.523834</v>
      </c>
      <c r="BO72" s="28" t="n">
        <v>0.523834</v>
      </c>
      <c r="BP72" s="25" t="n"/>
      <c r="BQ72" s="27" t="n"/>
      <c r="BR72" s="28" t="n"/>
      <c r="BS72" s="28" t="n"/>
      <c r="BT72" s="28" t="n"/>
      <c r="BU72" s="25" t="n"/>
      <c r="BV72" s="29" t="n">
        <v>0.5600000000000001</v>
      </c>
      <c r="BW72" s="24" t="n"/>
      <c r="BX72" s="30" t="n"/>
      <c r="BY72" s="27" t="n"/>
      <c r="BZ72" s="24" t="n"/>
      <c r="CA72" s="31" t="n"/>
      <c r="CB72" s="24" t="n"/>
      <c r="CC72" s="24" t="inlineStr">
        <is>
          <t>0.512132</t>
        </is>
      </c>
      <c r="CD72" s="24" t="inlineStr">
        <is>
          <t>-0.498186</t>
        </is>
      </c>
      <c r="CE72" s="24" t="inlineStr">
        <is>
          <t>1.02</t>
        </is>
      </c>
      <c r="CF72" s="24" t="inlineStr">
        <is>
          <t>1.0</t>
        </is>
      </c>
      <c r="CG72" s="24" t="inlineStr">
        <is>
          <t>7.0</t>
        </is>
      </c>
      <c r="CH72" s="24" t="n"/>
      <c r="CI72" s="24" t="n"/>
      <c r="CJ72" s="24" t="n"/>
      <c r="CK72" s="24" t="n"/>
      <c r="CL72" s="24" t="n"/>
      <c r="CM72" s="24" t="n"/>
    </row>
    <row r="73" ht="18" customHeight="1">
      <c r="A73" s="24" t="inlineStr">
        <is>
          <t>0eb2a874dfe14d5b</t>
        </is>
      </c>
      <c r="B73" s="24" t="inlineStr">
        <is>
          <t>2026-07-22T22:42:56Z</t>
        </is>
      </c>
      <c r="C73" s="24" t="inlineStr">
        <is>
          <t>2026-07-22T00:05Z</t>
        </is>
      </c>
      <c r="D73" s="24" t="inlineStr">
        <is>
          <t>401816208</t>
        </is>
      </c>
      <c r="E73" s="24" t="inlineStr">
        <is>
          <t>MLB</t>
        </is>
      </c>
      <c r="F73" s="24" t="inlineStr">
        <is>
          <t>Detroit Tigers</t>
        </is>
      </c>
      <c r="G73" s="24" t="inlineStr">
        <is>
          <t>Chicago Cubs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-110</v>
      </c>
      <c r="M73" s="27" t="n">
        <v>1.909091</v>
      </c>
      <c r="N73" s="28" t="n">
        <v>0.52381</v>
      </c>
      <c r="O73" s="28" t="n">
        <v>0.57774</v>
      </c>
      <c r="P73" s="28" t="n">
        <v>0.05</v>
      </c>
      <c r="Q73" s="28" t="n">
        <v>0.05393</v>
      </c>
      <c r="R73" s="26" t="n">
        <v>47</v>
      </c>
      <c r="S73" s="29" t="n">
        <v>0</v>
      </c>
      <c r="T73" s="24" t="inlineStr">
        <is>
          <t>mlb-elo-trend-lr-v5</t>
        </is>
      </c>
      <c r="U73" s="24" t="inlineStr">
        <is>
          <t>settled</t>
        </is>
      </c>
      <c r="V73" s="24" t="inlineStr">
        <is>
          <t>win</t>
        </is>
      </c>
      <c r="W73" s="26" t="n">
        <v>2</v>
      </c>
      <c r="X73" s="26" t="n">
        <v>11</v>
      </c>
      <c r="Y73" s="25" t="n"/>
      <c r="Z73" s="26" t="n"/>
      <c r="AA73" s="28" t="n"/>
      <c r="AB73" s="28" t="n"/>
      <c r="AC73" s="30" t="n">
        <v>0</v>
      </c>
      <c r="AD73" s="24" t="inlineStr">
        <is>
          <t>2026-07-23T04:43:10.195652Z</t>
        </is>
      </c>
      <c r="AE73" s="31" t="n"/>
      <c r="AF73" s="31" t="n"/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RESEARCH_OBSERVATION</t>
        </is>
      </c>
      <c r="AO73" s="24" t="inlineStr">
        <is>
          <t>NO_CALL_MODEL_UNVALIDATED</t>
        </is>
      </c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8a12d027cf1d2c206cb369c47da80e014f8ac4dfc414ffee96ae34656c46fef5</t>
        </is>
      </c>
      <c r="BB73" s="24" t="inlineStr">
        <is>
          <t>identity</t>
        </is>
      </c>
      <c r="BC73" s="24" t="inlineStr">
        <is>
          <t>identity-v1</t>
        </is>
      </c>
      <c r="BD73" s="24" t="n"/>
      <c r="BE73" s="24" t="inlineStr">
        <is>
          <t>1</t>
        </is>
      </c>
      <c r="BF73" s="24" t="inlineStr">
        <is>
          <t>1</t>
        </is>
      </c>
      <c r="BG73" s="24" t="n"/>
      <c r="BH73" s="24" t="inlineStr">
        <is>
          <t>2026-07-22T22:42:56Z</t>
        </is>
      </c>
      <c r="BI73" s="24" t="n"/>
      <c r="BJ73" s="25" t="n"/>
      <c r="BK73" s="26" t="n">
        <v>-110</v>
      </c>
      <c r="BL73" s="27" t="n">
        <v>1.909</v>
      </c>
      <c r="BM73" s="28" t="n">
        <v>0.523834</v>
      </c>
      <c r="BN73" s="28" t="n">
        <v>0.523834</v>
      </c>
      <c r="BO73" s="28" t="n">
        <v>0.523834</v>
      </c>
      <c r="BP73" s="25" t="n"/>
      <c r="BQ73" s="27" t="n"/>
      <c r="BR73" s="28" t="n"/>
      <c r="BS73" s="28" t="n"/>
      <c r="BT73" s="28" t="n"/>
      <c r="BU73" s="25" t="n"/>
      <c r="BV73" s="29" t="n">
        <v>0.98</v>
      </c>
      <c r="BW73" s="24" t="n"/>
      <c r="BX73" s="30" t="n"/>
      <c r="BY73" s="27" t="n"/>
      <c r="BZ73" s="24" t="n"/>
      <c r="CA73" s="31" t="n"/>
      <c r="CB73" s="24" t="n"/>
      <c r="CC73" s="24" t="inlineStr">
        <is>
          <t>0.579624</t>
        </is>
      </c>
      <c r="CD73" s="24" t="inlineStr">
        <is>
          <t>0.399154</t>
        </is>
      </c>
      <c r="CE73" s="24" t="inlineStr">
        <is>
          <t>1.0</t>
        </is>
      </c>
      <c r="CF73" s="24" t="inlineStr">
        <is>
          <t>1.0003</t>
        </is>
      </c>
      <c r="CG73" s="24" t="inlineStr">
        <is>
          <t>1.0</t>
        </is>
      </c>
      <c r="CH73" s="24" t="n"/>
      <c r="CI73" s="24" t="n"/>
      <c r="CJ73" s="24" t="n"/>
      <c r="CK73" s="24" t="n"/>
      <c r="CL73" s="24" t="n"/>
      <c r="CM73" s="24" t="n"/>
    </row>
    <row r="74" ht="18" customHeight="1">
      <c r="A74" s="24" t="inlineStr">
        <is>
          <t>c89ceef8d4c54568</t>
        </is>
      </c>
      <c r="B74" s="24" t="inlineStr">
        <is>
          <t>2026-07-22T22:42:56Z</t>
        </is>
      </c>
      <c r="C74" s="24" t="inlineStr">
        <is>
          <t>2026-07-22T00:10Z</t>
        </is>
      </c>
      <c r="D74" s="24" t="inlineStr">
        <is>
          <t>401816209</t>
        </is>
      </c>
      <c r="E74" s="24" t="inlineStr">
        <is>
          <t>MLB</t>
        </is>
      </c>
      <c r="F74" s="24" t="inlineStr">
        <is>
          <t>Miami Marlins</t>
        </is>
      </c>
      <c r="G74" s="24" t="inlineStr">
        <is>
          <t>Houston Astros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-110</v>
      </c>
      <c r="M74" s="27" t="n">
        <v>1.909091</v>
      </c>
      <c r="N74" s="28" t="n">
        <v>0.52381</v>
      </c>
      <c r="O74" s="28" t="n">
        <v>0.492459</v>
      </c>
      <c r="P74" s="28" t="n">
        <v>0.05</v>
      </c>
      <c r="Q74" s="28" t="n">
        <v>-0.03135</v>
      </c>
      <c r="R74" s="26" t="n">
        <v>4</v>
      </c>
      <c r="S74" s="29" t="n">
        <v>0</v>
      </c>
      <c r="T74" s="24" t="inlineStr">
        <is>
          <t>mlb-elo-trend-lr-v5</t>
        </is>
      </c>
      <c r="U74" s="24" t="inlineStr">
        <is>
          <t>settled</t>
        </is>
      </c>
      <c r="V74" s="24" t="inlineStr">
        <is>
          <t>win</t>
        </is>
      </c>
      <c r="W74" s="26" t="n">
        <v>3</v>
      </c>
      <c r="X74" s="26" t="n">
        <v>5</v>
      </c>
      <c r="Y74" s="25" t="n"/>
      <c r="Z74" s="26" t="n"/>
      <c r="AA74" s="28" t="n"/>
      <c r="AB74" s="28" t="n"/>
      <c r="AC74" s="30" t="n">
        <v>0</v>
      </c>
      <c r="AD74" s="24" t="inlineStr">
        <is>
          <t>2026-07-23T04:43:10.937237Z</t>
        </is>
      </c>
      <c r="AE74" s="31" t="n"/>
      <c r="AF74" s="31" t="n"/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RESEARCH_OBSERVATION</t>
        </is>
      </c>
      <c r="AO74" s="24" t="inlineStr">
        <is>
          <t>NO_CALL_MODEL_UNVALIDATED</t>
        </is>
      </c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8a12d027cf1d2c206cb369c47da80e014f8ac4dfc414ffee96ae34656c46fef5</t>
        </is>
      </c>
      <c r="BB74" s="24" t="inlineStr">
        <is>
          <t>identity</t>
        </is>
      </c>
      <c r="BC74" s="24" t="inlineStr">
        <is>
          <t>identity-v1</t>
        </is>
      </c>
      <c r="BD74" s="24" t="n"/>
      <c r="BE74" s="24" t="inlineStr">
        <is>
          <t>1</t>
        </is>
      </c>
      <c r="BF74" s="24" t="inlineStr">
        <is>
          <t>1</t>
        </is>
      </c>
      <c r="BG74" s="24" t="n"/>
      <c r="BH74" s="24" t="inlineStr">
        <is>
          <t>2026-07-22T22:42:56Z</t>
        </is>
      </c>
      <c r="BI74" s="24" t="n"/>
      <c r="BJ74" s="25" t="n"/>
      <c r="BK74" s="26" t="n">
        <v>-110</v>
      </c>
      <c r="BL74" s="27" t="n">
        <v>1.909</v>
      </c>
      <c r="BM74" s="28" t="n">
        <v>0.523834</v>
      </c>
      <c r="BN74" s="28" t="n">
        <v>0.523834</v>
      </c>
      <c r="BO74" s="28" t="n">
        <v>0.523834</v>
      </c>
      <c r="BP74" s="25" t="n"/>
      <c r="BQ74" s="27" t="n"/>
      <c r="BR74" s="28" t="n"/>
      <c r="BS74" s="28" t="n"/>
      <c r="BT74" s="28" t="n"/>
      <c r="BU74" s="25" t="n"/>
      <c r="BV74" s="29" t="n">
        <v>0.5</v>
      </c>
      <c r="BW74" s="24" t="n"/>
      <c r="BX74" s="30" t="n"/>
      <c r="BY74" s="27" t="n"/>
      <c r="BZ74" s="24" t="n"/>
      <c r="CA74" s="31" t="n"/>
      <c r="CB74" s="24" t="n"/>
      <c r="CC74" s="24" t="inlineStr">
        <is>
          <t>0.510795</t>
        </is>
      </c>
      <c r="CD74" s="24" t="inlineStr">
        <is>
          <t>0.506528</t>
        </is>
      </c>
      <c r="CE74" s="24" t="inlineStr">
        <is>
          <t>1.0</t>
        </is>
      </c>
      <c r="CF74" s="24" t="inlineStr">
        <is>
          <t>1.0</t>
        </is>
      </c>
      <c r="CG74" s="24" t="inlineStr">
        <is>
          <t>-0.6</t>
        </is>
      </c>
      <c r="CH74" s="24" t="n"/>
      <c r="CI74" s="24" t="n"/>
      <c r="CJ74" s="24" t="n"/>
      <c r="CK74" s="24" t="n"/>
      <c r="CL74" s="24" t="n"/>
      <c r="CM74" s="24" t="n"/>
    </row>
    <row r="75" ht="18" customHeight="1">
      <c r="A75" s="24" t="inlineStr">
        <is>
          <t>72808f17116a4efe</t>
        </is>
      </c>
      <c r="B75" s="24" t="inlineStr">
        <is>
          <t>2026-07-22T22:42:56Z</t>
        </is>
      </c>
      <c r="C75" s="24" t="inlineStr">
        <is>
          <t>2026-07-22T00:40Z</t>
        </is>
      </c>
      <c r="D75" s="24" t="inlineStr">
        <is>
          <t>401816212</t>
        </is>
      </c>
      <c r="E75" s="24" t="inlineStr">
        <is>
          <t>MLB</t>
        </is>
      </c>
      <c r="F75" s="24" t="inlineStr">
        <is>
          <t>Washington Nationals</t>
        </is>
      </c>
      <c r="G75" s="24" t="inlineStr">
        <is>
          <t>Colorado Rockies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-110</v>
      </c>
      <c r="M75" s="27" t="n">
        <v>1.909091</v>
      </c>
      <c r="N75" s="28" t="n">
        <v>0.52381</v>
      </c>
      <c r="O75" s="28" t="n">
        <v>0.427734</v>
      </c>
      <c r="P75" s="28" t="n">
        <v>0.05</v>
      </c>
      <c r="Q75" s="28" t="n">
        <v>-0.09607599999999999</v>
      </c>
      <c r="R75" s="26" t="n">
        <v>0</v>
      </c>
      <c r="S75" s="29" t="n">
        <v>0</v>
      </c>
      <c r="T75" s="24" t="inlineStr">
        <is>
          <t>mlb-elo-trend-lr-v5</t>
        </is>
      </c>
      <c r="U75" s="24" t="inlineStr">
        <is>
          <t>settled</t>
        </is>
      </c>
      <c r="V75" s="24" t="inlineStr">
        <is>
          <t>loss</t>
        </is>
      </c>
      <c r="W75" s="26" t="n">
        <v>7</v>
      </c>
      <c r="X75" s="26" t="n">
        <v>8</v>
      </c>
      <c r="Y75" s="25" t="n"/>
      <c r="Z75" s="26" t="n"/>
      <c r="AA75" s="28" t="n"/>
      <c r="AB75" s="28" t="n"/>
      <c r="AC75" s="30" t="n">
        <v>0</v>
      </c>
      <c r="AD75" s="24" t="inlineStr">
        <is>
          <t>2026-07-23T04:43:11.673098Z</t>
        </is>
      </c>
      <c r="AE75" s="31" t="n"/>
      <c r="AF75" s="31" t="n"/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RESEARCH_OBSERVATION</t>
        </is>
      </c>
      <c r="AO75" s="24" t="inlineStr">
        <is>
          <t>NO_CALL_MODEL_UNVALIDATED</t>
        </is>
      </c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8a12d027cf1d2c206cb369c47da80e014f8ac4dfc414ffee96ae34656c46fef5</t>
        </is>
      </c>
      <c r="BB75" s="24" t="inlineStr">
        <is>
          <t>identity</t>
        </is>
      </c>
      <c r="BC75" s="24" t="inlineStr">
        <is>
          <t>identity-v1</t>
        </is>
      </c>
      <c r="BD75" s="24" t="n"/>
      <c r="BE75" s="24" t="inlineStr">
        <is>
          <t>1</t>
        </is>
      </c>
      <c r="BF75" s="24" t="inlineStr">
        <is>
          <t>1</t>
        </is>
      </c>
      <c r="BG75" s="24" t="n"/>
      <c r="BH75" s="24" t="inlineStr">
        <is>
          <t>2026-07-22T22:42:56Z</t>
        </is>
      </c>
      <c r="BI75" s="24" t="n"/>
      <c r="BJ75" s="25" t="n"/>
      <c r="BK75" s="26" t="n">
        <v>-110</v>
      </c>
      <c r="BL75" s="27" t="n">
        <v>1.909</v>
      </c>
      <c r="BM75" s="28" t="n">
        <v>0.523834</v>
      </c>
      <c r="BN75" s="28" t="n">
        <v>0.523834</v>
      </c>
      <c r="BO75" s="28" t="n">
        <v>0.523834</v>
      </c>
      <c r="BP75" s="25" t="n"/>
      <c r="BQ75" s="27" t="n"/>
      <c r="BR75" s="28" t="n"/>
      <c r="BS75" s="28" t="n"/>
      <c r="BT75" s="28" t="n"/>
      <c r="BU75" s="25" t="n"/>
      <c r="BV75" s="29" t="n">
        <v>1.19</v>
      </c>
      <c r="BW75" s="24" t="n"/>
      <c r="BX75" s="30" t="n"/>
      <c r="BY75" s="27" t="n"/>
      <c r="BZ75" s="24" t="n"/>
      <c r="CA75" s="31" t="n"/>
      <c r="CB75" s="24" t="n"/>
      <c r="CC75" s="24" t="inlineStr">
        <is>
          <t>0.425931</t>
        </is>
      </c>
      <c r="CD75" s="24" t="inlineStr">
        <is>
          <t>-0.729426</t>
        </is>
      </c>
      <c r="CE75" s="24" t="inlineStr">
        <is>
          <t>1.12</t>
        </is>
      </c>
      <c r="CF75" s="24" t="inlineStr">
        <is>
          <t>1.0178</t>
        </is>
      </c>
      <c r="CG75" s="24" t="inlineStr">
        <is>
          <t>0.0</t>
        </is>
      </c>
      <c r="CH75" s="24" t="n"/>
      <c r="CI75" s="24" t="n"/>
      <c r="CJ75" s="24" t="n"/>
      <c r="CK75" s="24" t="n"/>
      <c r="CL75" s="24" t="n"/>
      <c r="CM75" s="24" t="n"/>
    </row>
    <row r="76" ht="18" customHeight="1">
      <c r="A76" s="24" t="inlineStr">
        <is>
          <t>23d133449fcb41b8</t>
        </is>
      </c>
      <c r="B76" s="24" t="inlineStr">
        <is>
          <t>2026-07-22T22:42:56Z</t>
        </is>
      </c>
      <c r="C76" s="24" t="inlineStr">
        <is>
          <t>2026-07-22T01:38Z</t>
        </is>
      </c>
      <c r="D76" s="24" t="inlineStr">
        <is>
          <t>401816215</t>
        </is>
      </c>
      <c r="E76" s="24" t="inlineStr">
        <is>
          <t>MLB</t>
        </is>
      </c>
      <c r="F76" s="24" t="inlineStr">
        <is>
          <t>St. Louis Cardinals</t>
        </is>
      </c>
      <c r="G76" s="24" t="inlineStr">
        <is>
          <t>Los Angeles Angels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-110</v>
      </c>
      <c r="M76" s="27" t="n">
        <v>1.909091</v>
      </c>
      <c r="N76" s="28" t="n">
        <v>0.52381</v>
      </c>
      <c r="O76" s="28" t="n">
        <v>0.451333</v>
      </c>
      <c r="P76" s="28" t="n">
        <v>0.05</v>
      </c>
      <c r="Q76" s="28" t="n">
        <v>-0.072477</v>
      </c>
      <c r="R76" s="26" t="n">
        <v>0</v>
      </c>
      <c r="S76" s="29" t="n">
        <v>0</v>
      </c>
      <c r="T76" s="24" t="inlineStr">
        <is>
          <t>mlb-elo-trend-lr-v5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5</v>
      </c>
      <c r="Y76" s="25" t="n"/>
      <c r="Z76" s="26" t="n"/>
      <c r="AA76" s="28" t="n"/>
      <c r="AB76" s="28" t="n"/>
      <c r="AC76" s="30" t="n">
        <v>0</v>
      </c>
      <c r="AD76" s="24" t="inlineStr">
        <is>
          <t>2026-07-23T04:43:12.406660Z</t>
        </is>
      </c>
      <c r="AE76" s="31" t="n"/>
      <c r="AF76" s="31" t="n"/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RESEARCH_OBSERVATION</t>
        </is>
      </c>
      <c r="AO76" s="24" t="inlineStr">
        <is>
          <t>NO_CALL_MODEL_UNVALIDATED</t>
        </is>
      </c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8a12d027cf1d2c206cb369c47da80e014f8ac4dfc414ffee96ae34656c46fef5</t>
        </is>
      </c>
      <c r="BB76" s="24" t="inlineStr">
        <is>
          <t>identity</t>
        </is>
      </c>
      <c r="BC76" s="24" t="inlineStr">
        <is>
          <t>identity-v1</t>
        </is>
      </c>
      <c r="BD76" s="24" t="n"/>
      <c r="BE76" s="24" t="inlineStr">
        <is>
          <t>1</t>
        </is>
      </c>
      <c r="BF76" s="24" t="inlineStr">
        <is>
          <t>1</t>
        </is>
      </c>
      <c r="BG76" s="24" t="n"/>
      <c r="BH76" s="24" t="inlineStr">
        <is>
          <t>2026-07-22T22:42:56Z</t>
        </is>
      </c>
      <c r="BI76" s="24" t="n"/>
      <c r="BJ76" s="25" t="n"/>
      <c r="BK76" s="26" t="n">
        <v>-110</v>
      </c>
      <c r="BL76" s="27" t="n">
        <v>1.909</v>
      </c>
      <c r="BM76" s="28" t="n">
        <v>0.523834</v>
      </c>
      <c r="BN76" s="28" t="n">
        <v>0.523834</v>
      </c>
      <c r="BO76" s="28" t="n">
        <v>0.523834</v>
      </c>
      <c r="BP76" s="25" t="n"/>
      <c r="BQ76" s="27" t="n"/>
      <c r="BR76" s="28" t="n"/>
      <c r="BS76" s="28" t="n"/>
      <c r="BT76" s="28" t="n"/>
      <c r="BU76" s="25" t="n"/>
      <c r="BV76" s="29" t="n">
        <v>0.5</v>
      </c>
      <c r="BW76" s="24" t="n"/>
      <c r="BX76" s="30" t="n"/>
      <c r="BY76" s="27" t="n"/>
      <c r="BZ76" s="24" t="n"/>
      <c r="CA76" s="31" t="n"/>
      <c r="CB76" s="24" t="n"/>
      <c r="CC76" s="24" t="inlineStr">
        <is>
          <t>0.452506</t>
        </is>
      </c>
      <c r="CD76" s="24" t="inlineStr">
        <is>
          <t>-0.547981</t>
        </is>
      </c>
      <c r="CE76" s="24" t="inlineStr">
        <is>
          <t>1.01</t>
        </is>
      </c>
      <c r="CF76" s="24" t="inlineStr">
        <is>
          <t>1.0147</t>
        </is>
      </c>
      <c r="CG76" s="24" t="inlineStr">
        <is>
          <t>-1.4</t>
        </is>
      </c>
      <c r="CH76" s="24" t="n"/>
      <c r="CI76" s="24" t="n"/>
      <c r="CJ76" s="24" t="n"/>
      <c r="CK76" s="24" t="n"/>
      <c r="CL76" s="24" t="n"/>
      <c r="CM76" s="24" t="n"/>
    </row>
    <row r="77" ht="18" customHeight="1">
      <c r="A77" s="24" t="inlineStr">
        <is>
          <t>ee8fd0918ade4aa6</t>
        </is>
      </c>
      <c r="B77" s="24" t="inlineStr">
        <is>
          <t>2026-07-22T22:42:56Z</t>
        </is>
      </c>
      <c r="C77" s="24" t="inlineStr">
        <is>
          <t>2026-07-22T01:40Z</t>
        </is>
      </c>
      <c r="D77" s="24" t="inlineStr">
        <is>
          <t>401816213</t>
        </is>
      </c>
      <c r="E77" s="24" t="inlineStr">
        <is>
          <t>MLB</t>
        </is>
      </c>
      <c r="F77" s="24" t="inlineStr">
        <is>
          <t>Athletics</t>
        </is>
      </c>
      <c r="G77" s="24" t="inlineStr">
        <is>
          <t>Arizona Diamondbacks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-110</v>
      </c>
      <c r="M77" s="27" t="n">
        <v>1.909091</v>
      </c>
      <c r="N77" s="28" t="n">
        <v>0.52381</v>
      </c>
      <c r="O77" s="28" t="n">
        <v>0.516139</v>
      </c>
      <c r="P77" s="28" t="n">
        <v>0.05</v>
      </c>
      <c r="Q77" s="28" t="n">
        <v>-0.00767</v>
      </c>
      <c r="R77" s="26" t="n">
        <v>16</v>
      </c>
      <c r="S77" s="29" t="n">
        <v>0</v>
      </c>
      <c r="T77" s="24" t="inlineStr">
        <is>
          <t>mlb-elo-trend-lr-v5</t>
        </is>
      </c>
      <c r="U77" s="24" t="inlineStr">
        <is>
          <t>settled</t>
        </is>
      </c>
      <c r="V77" s="24" t="inlineStr">
        <is>
          <t>win</t>
        </is>
      </c>
      <c r="W77" s="26" t="n">
        <v>5</v>
      </c>
      <c r="X77" s="26" t="n">
        <v>6</v>
      </c>
      <c r="Y77" s="25" t="n"/>
      <c r="Z77" s="26" t="n"/>
      <c r="AA77" s="28" t="n"/>
      <c r="AB77" s="28" t="n"/>
      <c r="AC77" s="30" t="n">
        <v>0</v>
      </c>
      <c r="AD77" s="24" t="inlineStr">
        <is>
          <t>2026-07-23T04:43:13.214636Z</t>
        </is>
      </c>
      <c r="AE77" s="31" t="n"/>
      <c r="AF77" s="31" t="n"/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RESEARCH_OBSERVATION</t>
        </is>
      </c>
      <c r="AO77" s="24" t="inlineStr">
        <is>
          <t>NO_CALL_MODEL_UNVALIDATED</t>
        </is>
      </c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8a12d027cf1d2c206cb369c47da80e014f8ac4dfc414ffee96ae34656c46fef5</t>
        </is>
      </c>
      <c r="BB77" s="24" t="inlineStr">
        <is>
          <t>identity</t>
        </is>
      </c>
      <c r="BC77" s="24" t="inlineStr">
        <is>
          <t>identity-v1</t>
        </is>
      </c>
      <c r="BD77" s="24" t="n"/>
      <c r="BE77" s="24" t="inlineStr">
        <is>
          <t>1</t>
        </is>
      </c>
      <c r="BF77" s="24" t="inlineStr">
        <is>
          <t>1</t>
        </is>
      </c>
      <c r="BG77" s="24" t="n"/>
      <c r="BH77" s="24" t="inlineStr">
        <is>
          <t>2026-07-22T22:42:56Z</t>
        </is>
      </c>
      <c r="BI77" s="24" t="n"/>
      <c r="BJ77" s="25" t="n"/>
      <c r="BK77" s="26" t="n">
        <v>-110</v>
      </c>
      <c r="BL77" s="27" t="n">
        <v>1.909</v>
      </c>
      <c r="BM77" s="28" t="n">
        <v>0.523834</v>
      </c>
      <c r="BN77" s="28" t="n">
        <v>0.523834</v>
      </c>
      <c r="BO77" s="28" t="n">
        <v>0.523834</v>
      </c>
      <c r="BP77" s="25" t="n"/>
      <c r="BQ77" s="27" t="n"/>
      <c r="BR77" s="28" t="n"/>
      <c r="BS77" s="28" t="n"/>
      <c r="BT77" s="28" t="n"/>
      <c r="BU77" s="25" t="n"/>
      <c r="BV77" s="29" t="n">
        <v>0.87</v>
      </c>
      <c r="BW77" s="24" t="n"/>
      <c r="BX77" s="30" t="n"/>
      <c r="BY77" s="27" t="n"/>
      <c r="BZ77" s="24" t="n"/>
      <c r="CA77" s="31" t="n"/>
      <c r="CB77" s="24" t="n"/>
      <c r="CC77" s="24" t="inlineStr">
        <is>
          <t>0.612868</t>
        </is>
      </c>
      <c r="CD77" s="24" t="inlineStr">
        <is>
          <t>0.92746</t>
        </is>
      </c>
      <c r="CE77" s="24" t="inlineStr">
        <is>
          <t>1.02</t>
        </is>
      </c>
      <c r="CF77" s="24" t="inlineStr">
        <is>
          <t>1.0</t>
        </is>
      </c>
      <c r="CG77" s="24" t="inlineStr">
        <is>
          <t>-3.4</t>
        </is>
      </c>
      <c r="CH77" s="24" t="n"/>
      <c r="CI77" s="24" t="n"/>
      <c r="CJ77" s="24" t="n"/>
      <c r="CK77" s="24" t="n"/>
      <c r="CL77" s="24" t="n"/>
      <c r="CM77" s="24" t="n"/>
    </row>
    <row r="78" ht="18" customHeight="1">
      <c r="A78" s="24" t="inlineStr">
        <is>
          <t>6dd030a83daf47c2</t>
        </is>
      </c>
      <c r="B78" s="24" t="inlineStr">
        <is>
          <t>2026-07-22T22:42:56Z</t>
        </is>
      </c>
      <c r="C78" s="24" t="inlineStr">
        <is>
          <t>2026-07-22T01:40Z</t>
        </is>
      </c>
      <c r="D78" s="24" t="inlineStr">
        <is>
          <t>401816214</t>
        </is>
      </c>
      <c r="E78" s="24" t="inlineStr">
        <is>
          <t>MLB</t>
        </is>
      </c>
      <c r="F78" s="24" t="inlineStr">
        <is>
          <t>Cincinnati Reds</t>
        </is>
      </c>
      <c r="G78" s="24" t="inlineStr">
        <is>
          <t>Seattle Mariners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-110</v>
      </c>
      <c r="M78" s="27" t="n">
        <v>1.909091</v>
      </c>
      <c r="N78" s="28" t="n">
        <v>0.52381</v>
      </c>
      <c r="O78" s="28" t="n">
        <v>0.513967</v>
      </c>
      <c r="P78" s="28" t="n">
        <v>0.05</v>
      </c>
      <c r="Q78" s="28" t="n">
        <v>-0.009842</v>
      </c>
      <c r="R78" s="26" t="n">
        <v>15</v>
      </c>
      <c r="S78" s="29" t="n">
        <v>0</v>
      </c>
      <c r="T78" s="24" t="inlineStr">
        <is>
          <t>mlb-elo-trend-lr-v5</t>
        </is>
      </c>
      <c r="U78" s="24" t="inlineStr">
        <is>
          <t>settled</t>
        </is>
      </c>
      <c r="V78" s="24" t="inlineStr">
        <is>
          <t>loss</t>
        </is>
      </c>
      <c r="W78" s="26" t="n">
        <v>4</v>
      </c>
      <c r="X78" s="26" t="n">
        <v>2</v>
      </c>
      <c r="Y78" s="25" t="n"/>
      <c r="Z78" s="26" t="n"/>
      <c r="AA78" s="28" t="n"/>
      <c r="AB78" s="28" t="n"/>
      <c r="AC78" s="30" t="n">
        <v>0</v>
      </c>
      <c r="AD78" s="24" t="inlineStr">
        <is>
          <t>2026-07-23T04:43:13.951486Z</t>
        </is>
      </c>
      <c r="AE78" s="31" t="n"/>
      <c r="AF78" s="31" t="n"/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RESEARCH_OBSERVATION</t>
        </is>
      </c>
      <c r="AO78" s="24" t="inlineStr">
        <is>
          <t>NO_CALL_MODEL_UNVALIDATED</t>
        </is>
      </c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8a12d027cf1d2c206cb369c47da80e014f8ac4dfc414ffee96ae34656c46fef5</t>
        </is>
      </c>
      <c r="BB78" s="24" t="inlineStr">
        <is>
          <t>identity</t>
        </is>
      </c>
      <c r="BC78" s="24" t="inlineStr">
        <is>
          <t>identity-v1</t>
        </is>
      </c>
      <c r="BD78" s="24" t="n"/>
      <c r="BE78" s="24" t="inlineStr">
        <is>
          <t>1</t>
        </is>
      </c>
      <c r="BF78" s="24" t="inlineStr">
        <is>
          <t>1</t>
        </is>
      </c>
      <c r="BG78" s="24" t="n"/>
      <c r="BH78" s="24" t="inlineStr">
        <is>
          <t>2026-07-22T22:42:56Z</t>
        </is>
      </c>
      <c r="BI78" s="24" t="n"/>
      <c r="BJ78" s="25" t="n"/>
      <c r="BK78" s="26" t="n">
        <v>-110</v>
      </c>
      <c r="BL78" s="27" t="n">
        <v>1.909</v>
      </c>
      <c r="BM78" s="28" t="n">
        <v>0.523834</v>
      </c>
      <c r="BN78" s="28" t="n">
        <v>0.523834</v>
      </c>
      <c r="BO78" s="28" t="n">
        <v>0.523834</v>
      </c>
      <c r="BP78" s="25" t="n"/>
      <c r="BQ78" s="27" t="n"/>
      <c r="BR78" s="28" t="n"/>
      <c r="BS78" s="28" t="n"/>
      <c r="BT78" s="28" t="n"/>
      <c r="BU78" s="25" t="n"/>
      <c r="BV78" s="29" t="n">
        <v>1.04</v>
      </c>
      <c r="BW78" s="24" t="n"/>
      <c r="BX78" s="30" t="n"/>
      <c r="BY78" s="27" t="n"/>
      <c r="BZ78" s="24" t="n"/>
      <c r="CA78" s="31" t="n"/>
      <c r="CB78" s="24" t="n"/>
      <c r="CC78" s="24" t="inlineStr">
        <is>
          <t>0.598757</t>
        </is>
      </c>
      <c r="CD78" s="24" t="inlineStr">
        <is>
          <t>1.370889</t>
        </is>
      </c>
      <c r="CE78" s="24" t="inlineStr">
        <is>
          <t>0.92</t>
        </is>
      </c>
      <c r="CF78" s="24" t="inlineStr">
        <is>
          <t>1.0</t>
        </is>
      </c>
      <c r="CG78" s="24" t="inlineStr">
        <is>
          <t>-3.8</t>
        </is>
      </c>
      <c r="CH78" s="24" t="n"/>
      <c r="CI78" s="24" t="n"/>
      <c r="CJ78" s="24" t="n"/>
      <c r="CK78" s="24" t="n"/>
      <c r="CL78" s="24" t="n"/>
      <c r="CM78" s="24" t="n"/>
    </row>
    <row r="79" ht="18" customHeight="1">
      <c r="A79" s="24" t="inlineStr">
        <is>
          <t>15960ebdf499448d</t>
        </is>
      </c>
      <c r="B79" s="24" t="inlineStr">
        <is>
          <t>2026-07-22T22:42:56Z</t>
        </is>
      </c>
      <c r="C79" s="24" t="inlineStr">
        <is>
          <t>2026-07-22T17:05Z</t>
        </is>
      </c>
      <c r="D79" s="24" t="inlineStr">
        <is>
          <t>401816219</t>
        </is>
      </c>
      <c r="E79" s="24" t="inlineStr">
        <is>
          <t>MLB</t>
        </is>
      </c>
      <c r="F79" s="24" t="inlineStr">
        <is>
          <t>Pittsburgh Pirates</t>
        </is>
      </c>
      <c r="G79" s="24" t="inlineStr">
        <is>
          <t>New York Yankees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-110</v>
      </c>
      <c r="M79" s="27" t="n">
        <v>1.909091</v>
      </c>
      <c r="N79" s="28" t="n">
        <v>0.52381</v>
      </c>
      <c r="O79" s="28" t="n">
        <v>0.593809</v>
      </c>
      <c r="P79" s="28" t="n">
        <v>0.05</v>
      </c>
      <c r="Q79" s="28" t="n">
        <v>0.06999900000000001</v>
      </c>
      <c r="R79" s="26" t="n">
        <v>55</v>
      </c>
      <c r="S79" s="29" t="n">
        <v>0</v>
      </c>
      <c r="T79" s="24" t="inlineStr">
        <is>
          <t>mlb-elo-trend-lr-v5</t>
        </is>
      </c>
      <c r="U79" s="24" t="inlineStr">
        <is>
          <t>settled</t>
        </is>
      </c>
      <c r="V79" s="24" t="inlineStr">
        <is>
          <t>loss</t>
        </is>
      </c>
      <c r="W79" s="26" t="n">
        <v>5</v>
      </c>
      <c r="X79" s="26" t="n">
        <v>3</v>
      </c>
      <c r="Y79" s="25" t="n"/>
      <c r="Z79" s="26" t="n"/>
      <c r="AA79" s="28" t="n"/>
      <c r="AB79" s="28" t="n"/>
      <c r="AC79" s="30" t="n">
        <v>-1.04</v>
      </c>
      <c r="AD79" s="24" t="inlineStr">
        <is>
          <t>2026-07-23T00:05:54.265202Z</t>
        </is>
      </c>
      <c r="AE79" s="31" t="n"/>
      <c r="AF79" s="31" t="n"/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RESEARCH_OBSERVATION</t>
        </is>
      </c>
      <c r="AO79" s="24" t="inlineStr">
        <is>
          <t>NO_CALL_MODEL_UNVALIDATED</t>
        </is>
      </c>
      <c r="AP79" s="24" t="n"/>
      <c r="AQ79" s="24" t="n"/>
      <c r="AR79" s="24" t="n"/>
      <c r="AS79" s="24" t="n"/>
      <c r="AT79" s="24" t="n"/>
      <c r="AU79" s="24" t="n"/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8a12d027cf1d2c206cb369c47da80e014f8ac4dfc414ffee96ae34656c46fef5</t>
        </is>
      </c>
      <c r="BB79" s="24" t="inlineStr">
        <is>
          <t>identity</t>
        </is>
      </c>
      <c r="BC79" s="24" t="inlineStr">
        <is>
          <t>identity-v1</t>
        </is>
      </c>
      <c r="BD79" s="24" t="n"/>
      <c r="BE79" s="24" t="inlineStr">
        <is>
          <t>1</t>
        </is>
      </c>
      <c r="BF79" s="24" t="inlineStr">
        <is>
          <t>1</t>
        </is>
      </c>
      <c r="BG79" s="24" t="n"/>
      <c r="BH79" s="24" t="inlineStr">
        <is>
          <t>2026-07-22T22:42:56Z</t>
        </is>
      </c>
      <c r="BI79" s="24" t="n"/>
      <c r="BJ79" s="25" t="n"/>
      <c r="BK79" s="26" t="n">
        <v>-110</v>
      </c>
      <c r="BL79" s="27" t="n">
        <v>1.909</v>
      </c>
      <c r="BM79" s="28" t="n">
        <v>0.523834</v>
      </c>
      <c r="BN79" s="28" t="n">
        <v>0.523834</v>
      </c>
      <c r="BO79" s="28" t="n">
        <v>0.523834</v>
      </c>
      <c r="BP79" s="25" t="n"/>
      <c r="BQ79" s="27" t="n"/>
      <c r="BR79" s="28" t="n"/>
      <c r="BS79" s="28" t="n"/>
      <c r="BT79" s="28" t="n"/>
      <c r="BU79" s="25" t="n"/>
      <c r="BV79" s="29" t="n">
        <v>1.04</v>
      </c>
      <c r="BW79" s="24" t="n"/>
      <c r="BX79" s="30" t="n"/>
      <c r="BY79" s="27" t="n"/>
      <c r="BZ79" s="24" t="n"/>
      <c r="CA79" s="31" t="n"/>
      <c r="CB79" s="24" t="n"/>
      <c r="CC79" s="24" t="inlineStr">
        <is>
          <t>0.57372</t>
        </is>
      </c>
      <c r="CD79" s="24" t="inlineStr">
        <is>
          <t>-1.351066</t>
        </is>
      </c>
      <c r="CE79" s="24" t="inlineStr">
        <is>
          <t>0.99</t>
        </is>
      </c>
      <c r="CF79" s="24" t="inlineStr">
        <is>
          <t>1.0171</t>
        </is>
      </c>
      <c r="CG79" s="24" t="inlineStr">
        <is>
          <t>-0.2</t>
        </is>
      </c>
      <c r="CH79" s="24" t="n"/>
      <c r="CI79" s="24" t="n"/>
      <c r="CJ79" s="24" t="n"/>
      <c r="CK79" s="24" t="n"/>
      <c r="CL79" s="24" t="n"/>
      <c r="CM79" s="24" t="n"/>
    </row>
    <row r="80" ht="18" customHeight="1">
      <c r="A80" s="24" t="inlineStr">
        <is>
          <t>80d6e0427e7d4977</t>
        </is>
      </c>
      <c r="B80" s="24" t="inlineStr">
        <is>
          <t>2026-07-22T22:42:56Z</t>
        </is>
      </c>
      <c r="C80" s="24" t="inlineStr">
        <is>
          <t>2026-07-22T17:35Z</t>
        </is>
      </c>
      <c r="D80" s="24" t="inlineStr">
        <is>
          <t>401898715</t>
        </is>
      </c>
      <c r="E80" s="24" t="inlineStr">
        <is>
          <t>MLB</t>
        </is>
      </c>
      <c r="F80" s="24" t="inlineStr">
        <is>
          <t>Baltimore Orioles</t>
        </is>
      </c>
      <c r="G80" s="24" t="inlineStr">
        <is>
          <t>Boston Red Sox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-110</v>
      </c>
      <c r="M80" s="27" t="n">
        <v>1.909091</v>
      </c>
      <c r="N80" s="28" t="n">
        <v>0.52381</v>
      </c>
      <c r="O80" s="28" t="n">
        <v>0.561612</v>
      </c>
      <c r="P80" s="28" t="n">
        <v>0.05</v>
      </c>
      <c r="Q80" s="28" t="n">
        <v>0.037802</v>
      </c>
      <c r="R80" s="26" t="n">
        <v>39</v>
      </c>
      <c r="S80" s="29" t="n">
        <v>0</v>
      </c>
      <c r="T80" s="24" t="inlineStr">
        <is>
          <t>mlb-elo-trend-lr-v5</t>
        </is>
      </c>
      <c r="U80" s="24" t="inlineStr">
        <is>
          <t>settled</t>
        </is>
      </c>
      <c r="V80" s="24" t="inlineStr">
        <is>
          <t>win</t>
        </is>
      </c>
      <c r="W80" s="26" t="n">
        <v>3</v>
      </c>
      <c r="X80" s="26" t="n">
        <v>6</v>
      </c>
      <c r="Y80" s="25" t="n"/>
      <c r="Z80" s="26" t="n"/>
      <c r="AA80" s="28" t="n"/>
      <c r="AB80" s="28" t="n"/>
      <c r="AC80" s="30" t="n">
        <v>0.9181</v>
      </c>
      <c r="AD80" s="24" t="inlineStr">
        <is>
          <t>2026-07-23T00:05:54.952391Z</t>
        </is>
      </c>
      <c r="AE80" s="31" t="n"/>
      <c r="AF80" s="31" t="n"/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RESEARCH_OBSERVATION</t>
        </is>
      </c>
      <c r="AO80" s="24" t="inlineStr">
        <is>
          <t>NO_CALL_MODEL_UNVALIDATED</t>
        </is>
      </c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8a12d027cf1d2c206cb369c47da80e014f8ac4dfc414ffee96ae34656c46fef5</t>
        </is>
      </c>
      <c r="BB80" s="24" t="inlineStr">
        <is>
          <t>identity</t>
        </is>
      </c>
      <c r="BC80" s="24" t="inlineStr">
        <is>
          <t>identity-v1</t>
        </is>
      </c>
      <c r="BD80" s="24" t="n"/>
      <c r="BE80" s="24" t="inlineStr">
        <is>
          <t>1</t>
        </is>
      </c>
      <c r="BF80" s="24" t="inlineStr">
        <is>
          <t>1</t>
        </is>
      </c>
      <c r="BG80" s="24" t="n"/>
      <c r="BH80" s="24" t="inlineStr">
        <is>
          <t>2026-07-22T22:42:56Z</t>
        </is>
      </c>
      <c r="BI80" s="24" t="n"/>
      <c r="BJ80" s="25" t="n"/>
      <c r="BK80" s="26" t="n">
        <v>-110</v>
      </c>
      <c r="BL80" s="27" t="n">
        <v>1.909</v>
      </c>
      <c r="BM80" s="28" t="n">
        <v>0.523834</v>
      </c>
      <c r="BN80" s="28" t="n">
        <v>0.523834</v>
      </c>
      <c r="BO80" s="28" t="n">
        <v>0.523834</v>
      </c>
      <c r="BP80" s="25" t="n"/>
      <c r="BQ80" s="27" t="n"/>
      <c r="BR80" s="28" t="n"/>
      <c r="BS80" s="28" t="n"/>
      <c r="BT80" s="28" t="n"/>
      <c r="BU80" s="25" t="n"/>
      <c r="BV80" s="29" t="n">
        <v>1.01</v>
      </c>
      <c r="BW80" s="24" t="n"/>
      <c r="BX80" s="30" t="n"/>
      <c r="BY80" s="27" t="n"/>
      <c r="BZ80" s="24" t="n"/>
      <c r="CA80" s="31" t="n"/>
      <c r="CB80" s="24" t="n"/>
      <c r="CC80" s="24" t="inlineStr">
        <is>
          <t>0.604946</t>
        </is>
      </c>
      <c r="CD80" s="24" t="inlineStr">
        <is>
          <t>0.986593</t>
        </is>
      </c>
      <c r="CE80" s="24" t="inlineStr">
        <is>
          <t>1.04</t>
        </is>
      </c>
      <c r="CF80" s="24" t="inlineStr">
        <is>
          <t>1.0049</t>
        </is>
      </c>
      <c r="CG80" s="24" t="inlineStr">
        <is>
          <t>0.2</t>
        </is>
      </c>
      <c r="CH80" s="24" t="n"/>
      <c r="CI80" s="24" t="n"/>
      <c r="CJ80" s="24" t="n"/>
      <c r="CK80" s="24" t="n"/>
      <c r="CL80" s="24" t="n"/>
      <c r="CM80" s="24" t="n"/>
    </row>
    <row r="81" ht="18" customHeight="1">
      <c r="A81" s="24" t="inlineStr">
        <is>
          <t>9a7e0c3ba1b9496f</t>
        </is>
      </c>
      <c r="B81" s="24" t="inlineStr">
        <is>
          <t>2026-07-22T22:42:56Z</t>
        </is>
      </c>
      <c r="C81" s="24" t="inlineStr">
        <is>
          <t>2026-07-22T18:10Z</t>
        </is>
      </c>
      <c r="D81" s="24" t="inlineStr">
        <is>
          <t>401816225</t>
        </is>
      </c>
      <c r="E81" s="24" t="inlineStr">
        <is>
          <t>MLB</t>
        </is>
      </c>
      <c r="F81" s="24" t="inlineStr">
        <is>
          <t>New York Mets</t>
        </is>
      </c>
      <c r="G81" s="24" t="inlineStr">
        <is>
          <t>Milwaukee Brewers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-110</v>
      </c>
      <c r="M81" s="27" t="n">
        <v>1.909091</v>
      </c>
      <c r="N81" s="28" t="n">
        <v>0.52381</v>
      </c>
      <c r="O81" s="28" t="n">
        <v>0.657843</v>
      </c>
      <c r="P81" s="28" t="n">
        <v>0.05</v>
      </c>
      <c r="Q81" s="28" t="n">
        <v>0.134034</v>
      </c>
      <c r="R81" s="26" t="n">
        <v>87</v>
      </c>
      <c r="S81" s="29" t="n">
        <v>0</v>
      </c>
      <c r="T81" s="24" t="inlineStr">
        <is>
          <t>mlb-elo-trend-lr-v5</t>
        </is>
      </c>
      <c r="U81" s="24" t="inlineStr">
        <is>
          <t>settled</t>
        </is>
      </c>
      <c r="V81" s="24" t="inlineStr">
        <is>
          <t>win</t>
        </is>
      </c>
      <c r="W81" s="26" t="n">
        <v>3</v>
      </c>
      <c r="X81" s="26" t="n">
        <v>4</v>
      </c>
      <c r="Y81" s="25" t="n"/>
      <c r="Z81" s="26" t="n"/>
      <c r="AA81" s="28" t="n"/>
      <c r="AB81" s="28" t="n"/>
      <c r="AC81" s="30" t="n">
        <v>1.818</v>
      </c>
      <c r="AD81" s="24" t="inlineStr">
        <is>
          <t>2026-07-23T00:05:55.704338Z</t>
        </is>
      </c>
      <c r="AE81" s="31" t="n"/>
      <c r="AF81" s="31" t="n"/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RESEARCH_OBSERVATION</t>
        </is>
      </c>
      <c r="AO81" s="24" t="inlineStr">
        <is>
          <t>NO_CALL_MODEL_UNVALIDATED</t>
        </is>
      </c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8a12d027cf1d2c206cb369c47da80e014f8ac4dfc414ffee96ae34656c46fef5</t>
        </is>
      </c>
      <c r="BB81" s="24" t="inlineStr">
        <is>
          <t>identity</t>
        </is>
      </c>
      <c r="BC81" s="24" t="inlineStr">
        <is>
          <t>identity-v1</t>
        </is>
      </c>
      <c r="BD81" s="24" t="n"/>
      <c r="BE81" s="24" t="inlineStr">
        <is>
          <t>1</t>
        </is>
      </c>
      <c r="BF81" s="24" t="inlineStr">
        <is>
          <t>1</t>
        </is>
      </c>
      <c r="BG81" s="24" t="n"/>
      <c r="BH81" s="24" t="inlineStr">
        <is>
          <t>2026-07-22T22:42:56Z</t>
        </is>
      </c>
      <c r="BI81" s="24" t="n"/>
      <c r="BJ81" s="25" t="n"/>
      <c r="BK81" s="26" t="n">
        <v>-110</v>
      </c>
      <c r="BL81" s="27" t="n">
        <v>1.909</v>
      </c>
      <c r="BM81" s="28" t="n">
        <v>0.523834</v>
      </c>
      <c r="BN81" s="28" t="n">
        <v>0.523834</v>
      </c>
      <c r="BO81" s="28" t="n">
        <v>0.523834</v>
      </c>
      <c r="BP81" s="25" t="n"/>
      <c r="BQ81" s="27" t="n"/>
      <c r="BR81" s="28" t="n"/>
      <c r="BS81" s="28" t="n"/>
      <c r="BT81" s="28" t="n"/>
      <c r="BU81" s="25" t="n"/>
      <c r="BV81" s="29" t="n">
        <v>2</v>
      </c>
      <c r="BW81" s="24" t="n"/>
      <c r="BX81" s="30" t="n"/>
      <c r="BY81" s="27" t="n"/>
      <c r="BZ81" s="24" t="n"/>
      <c r="CA81" s="31" t="n"/>
      <c r="CB81" s="24" t="n"/>
      <c r="CC81" s="24" t="inlineStr">
        <is>
          <t>0.688545</t>
        </is>
      </c>
      <c r="CD81" s="24" t="inlineStr">
        <is>
          <t>0.575043</t>
        </is>
      </c>
      <c r="CE81" s="24" t="inlineStr">
        <is>
          <t>0.98</t>
        </is>
      </c>
      <c r="CF81" s="24" t="inlineStr">
        <is>
          <t>1.0</t>
        </is>
      </c>
      <c r="CG81" s="24" t="inlineStr">
        <is>
          <t>0.6</t>
        </is>
      </c>
      <c r="CH81" s="24" t="n"/>
      <c r="CI81" s="24" t="n"/>
      <c r="CJ81" s="24" t="n"/>
      <c r="CK81" s="24" t="n"/>
      <c r="CL81" s="24" t="n"/>
      <c r="CM81" s="24" t="n"/>
    </row>
    <row r="82" ht="18" customHeight="1">
      <c r="A82" s="24" t="inlineStr">
        <is>
          <t>f43802bcd96a416d</t>
        </is>
      </c>
      <c r="B82" s="24" t="inlineStr">
        <is>
          <t>2026-07-22T22:42:56Z</t>
        </is>
      </c>
      <c r="C82" s="24" t="inlineStr">
        <is>
          <t>2026-07-22T18:10Z</t>
        </is>
      </c>
      <c r="D82" s="24" t="inlineStr">
        <is>
          <t>401816226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Kansas City Royals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-110</v>
      </c>
      <c r="M82" s="27" t="n">
        <v>1.909091</v>
      </c>
      <c r="N82" s="28" t="n">
        <v>0.52381</v>
      </c>
      <c r="O82" s="28" t="n">
        <v>0.581277</v>
      </c>
      <c r="P82" s="28" t="n">
        <v>0.05</v>
      </c>
      <c r="Q82" s="28" t="n">
        <v>0.057467</v>
      </c>
      <c r="R82" s="26" t="n">
        <v>49</v>
      </c>
      <c r="S82" s="29" t="n">
        <v>0</v>
      </c>
      <c r="T82" s="24" t="inlineStr">
        <is>
          <t>mlb-elo-trend-lr-v5</t>
        </is>
      </c>
      <c r="U82" s="24" t="inlineStr">
        <is>
          <t>settled</t>
        </is>
      </c>
      <c r="V82" s="24" t="inlineStr">
        <is>
          <t>win</t>
        </is>
      </c>
      <c r="W82" s="26" t="n">
        <v>4</v>
      </c>
      <c r="X82" s="26" t="n">
        <v>5</v>
      </c>
      <c r="Y82" s="25" t="n"/>
      <c r="Z82" s="26" t="n"/>
      <c r="AA82" s="28" t="n"/>
      <c r="AB82" s="28" t="n"/>
      <c r="AC82" s="30" t="n">
        <v>0</v>
      </c>
      <c r="AD82" s="24" t="inlineStr">
        <is>
          <t>2026-07-23T04:43:15.189950Z</t>
        </is>
      </c>
      <c r="AE82" s="31" t="n"/>
      <c r="AF82" s="31" t="n"/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RESEARCH_OBSERVATION</t>
        </is>
      </c>
      <c r="AO82" s="24" t="inlineStr">
        <is>
          <t>NO_CALL_MODEL_UNVALIDATED</t>
        </is>
      </c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8a12d027cf1d2c206cb369c47da80e014f8ac4dfc414ffee96ae34656c46fef5</t>
        </is>
      </c>
      <c r="BB82" s="24" t="inlineStr">
        <is>
          <t>identity</t>
        </is>
      </c>
      <c r="BC82" s="24" t="inlineStr">
        <is>
          <t>identity-v1</t>
        </is>
      </c>
      <c r="BD82" s="24" t="n"/>
      <c r="BE82" s="24" t="inlineStr">
        <is>
          <t>1</t>
        </is>
      </c>
      <c r="BF82" s="24" t="inlineStr">
        <is>
          <t>1</t>
        </is>
      </c>
      <c r="BG82" s="24" t="n"/>
      <c r="BH82" s="24" t="inlineStr">
        <is>
          <t>2026-07-22T22:42:56Z</t>
        </is>
      </c>
      <c r="BI82" s="24" t="n"/>
      <c r="BJ82" s="25" t="n"/>
      <c r="BK82" s="26" t="n">
        <v>-110</v>
      </c>
      <c r="BL82" s="27" t="n">
        <v>1.909</v>
      </c>
      <c r="BM82" s="28" t="n">
        <v>0.523834</v>
      </c>
      <c r="BN82" s="28" t="n">
        <v>0.523834</v>
      </c>
      <c r="BO82" s="28" t="n">
        <v>0.523834</v>
      </c>
      <c r="BP82" s="25" t="n"/>
      <c r="BQ82" s="27" t="n"/>
      <c r="BR82" s="28" t="n"/>
      <c r="BS82" s="28" t="n"/>
      <c r="BT82" s="28" t="n"/>
      <c r="BU82" s="25" t="n"/>
      <c r="BV82" s="29" t="n">
        <v>0.5</v>
      </c>
      <c r="BW82" s="24" t="n"/>
      <c r="BX82" s="30" t="n"/>
      <c r="BY82" s="27" t="n"/>
      <c r="BZ82" s="24" t="n"/>
      <c r="CA82" s="31" t="n"/>
      <c r="CB82" s="24" t="n"/>
      <c r="CC82" s="24" t="inlineStr">
        <is>
          <t>0.520255</t>
        </is>
      </c>
      <c r="CD82" s="24" t="inlineStr">
        <is>
          <t>0.154719</t>
        </is>
      </c>
      <c r="CE82" s="24" t="inlineStr">
        <is>
          <t>1.03</t>
        </is>
      </c>
      <c r="CF82" s="24" t="inlineStr">
        <is>
          <t>1.0111</t>
        </is>
      </c>
      <c r="CG82" s="24" t="inlineStr">
        <is>
          <t>4.4</t>
        </is>
      </c>
      <c r="CH82" s="24" t="n"/>
      <c r="CI82" s="24" t="n"/>
      <c r="CJ82" s="24" t="n"/>
      <c r="CK82" s="24" t="n"/>
      <c r="CL82" s="24" t="n"/>
      <c r="CM82" s="24" t="n"/>
    </row>
    <row r="83" ht="18" customHeight="1">
      <c r="A83" s="24" t="inlineStr">
        <is>
          <t>6cf2b6a15edc4cb6</t>
        </is>
      </c>
      <c r="B83" s="24" t="inlineStr">
        <is>
          <t>2026-07-22T22:42:56Z</t>
        </is>
      </c>
      <c r="C83" s="24" t="inlineStr">
        <is>
          <t>2026-07-22T19:10Z</t>
        </is>
      </c>
      <c r="D83" s="24" t="inlineStr">
        <is>
          <t>401816227</t>
        </is>
      </c>
      <c r="E83" s="24" t="inlineStr">
        <is>
          <t>MLB</t>
        </is>
      </c>
      <c r="F83" s="24" t="inlineStr">
        <is>
          <t>Washington Nationals</t>
        </is>
      </c>
      <c r="G83" s="24" t="inlineStr">
        <is>
          <t>Colorado Rockies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-110</v>
      </c>
      <c r="M83" s="27" t="n">
        <v>1.909091</v>
      </c>
      <c r="N83" s="28" t="n">
        <v>0.52381</v>
      </c>
      <c r="O83" s="28" t="n">
        <v>0.427734</v>
      </c>
      <c r="P83" s="28" t="n">
        <v>0.05</v>
      </c>
      <c r="Q83" s="28" t="n">
        <v>-0.09607599999999999</v>
      </c>
      <c r="R83" s="26" t="n">
        <v>0</v>
      </c>
      <c r="S83" s="29" t="n">
        <v>0</v>
      </c>
      <c r="T83" s="24" t="inlineStr">
        <is>
          <t>mlb-elo-trend-lr-v5</t>
        </is>
      </c>
      <c r="U83" s="24" t="inlineStr">
        <is>
          <t>settled</t>
        </is>
      </c>
      <c r="V83" s="24" t="inlineStr">
        <is>
          <t>win</t>
        </is>
      </c>
      <c r="W83" s="26" t="n">
        <v>8</v>
      </c>
      <c r="X83" s="26" t="n">
        <v>0</v>
      </c>
      <c r="Y83" s="25" t="n"/>
      <c r="Z83" s="26" t="n"/>
      <c r="AA83" s="28" t="n"/>
      <c r="AB83" s="28" t="n"/>
      <c r="AC83" s="30" t="n">
        <v>0</v>
      </c>
      <c r="AD83" s="24" t="inlineStr">
        <is>
          <t>2026-07-23T04:43:15.935544Z</t>
        </is>
      </c>
      <c r="AE83" s="31" t="n"/>
      <c r="AF83" s="31" t="n"/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RESEARCH_OBSERVATION</t>
        </is>
      </c>
      <c r="AO83" s="24" t="inlineStr">
        <is>
          <t>NO_CALL_MODEL_UNVALIDATED</t>
        </is>
      </c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8a12d027cf1d2c206cb369c47da80e014f8ac4dfc414ffee96ae34656c46fef5</t>
        </is>
      </c>
      <c r="BB83" s="24" t="inlineStr">
        <is>
          <t>identity</t>
        </is>
      </c>
      <c r="BC83" s="24" t="inlineStr">
        <is>
          <t>identity-v1</t>
        </is>
      </c>
      <c r="BD83" s="24" t="n"/>
      <c r="BE83" s="24" t="inlineStr">
        <is>
          <t>1</t>
        </is>
      </c>
      <c r="BF83" s="24" t="inlineStr">
        <is>
          <t>1</t>
        </is>
      </c>
      <c r="BG83" s="24" t="n"/>
      <c r="BH83" s="24" t="inlineStr">
        <is>
          <t>2026-07-22T22:42:56Z</t>
        </is>
      </c>
      <c r="BI83" s="24" t="n"/>
      <c r="BJ83" s="25" t="n"/>
      <c r="BK83" s="26" t="n">
        <v>-110</v>
      </c>
      <c r="BL83" s="27" t="n">
        <v>1.909</v>
      </c>
      <c r="BM83" s="28" t="n">
        <v>0.523834</v>
      </c>
      <c r="BN83" s="28" t="n">
        <v>0.523834</v>
      </c>
      <c r="BO83" s="28" t="n">
        <v>0.523834</v>
      </c>
      <c r="BP83" s="25" t="n"/>
      <c r="BQ83" s="27" t="n"/>
      <c r="BR83" s="28" t="n"/>
      <c r="BS83" s="28" t="n"/>
      <c r="BT83" s="28" t="n"/>
      <c r="BU83" s="25" t="n"/>
      <c r="BV83" s="29" t="n">
        <v>1.19</v>
      </c>
      <c r="BW83" s="24" t="n"/>
      <c r="BX83" s="30" t="n"/>
      <c r="BY83" s="27" t="n"/>
      <c r="BZ83" s="24" t="n"/>
      <c r="CA83" s="31" t="n"/>
      <c r="CB83" s="24" t="n"/>
      <c r="CC83" s="24" t="inlineStr">
        <is>
          <t>0.425931</t>
        </is>
      </c>
      <c r="CD83" s="24" t="inlineStr">
        <is>
          <t>-0.729426</t>
        </is>
      </c>
      <c r="CE83" s="24" t="inlineStr">
        <is>
          <t>1.12</t>
        </is>
      </c>
      <c r="CF83" s="24" t="inlineStr">
        <is>
          <t>1.0178</t>
        </is>
      </c>
      <c r="CG83" s="24" t="inlineStr">
        <is>
          <t>0.0</t>
        </is>
      </c>
      <c r="CH83" s="24" t="n"/>
      <c r="CI83" s="24" t="n"/>
      <c r="CJ83" s="24" t="n"/>
      <c r="CK83" s="24" t="n"/>
      <c r="CL83" s="24" t="n"/>
      <c r="CM83" s="24" t="n"/>
    </row>
    <row r="84" ht="18" customHeight="1">
      <c r="A84" s="24" t="inlineStr">
        <is>
          <t>65eefc9a71f7412a</t>
        </is>
      </c>
      <c r="B84" s="24" t="inlineStr">
        <is>
          <t>2026-07-22T22:42:56Z</t>
        </is>
      </c>
      <c r="C84" s="24" t="inlineStr">
        <is>
          <t>2026-07-22T19:40Z</t>
        </is>
      </c>
      <c r="D84" s="24" t="inlineStr">
        <is>
          <t>401816228</t>
        </is>
      </c>
      <c r="E84" s="24" t="inlineStr">
        <is>
          <t>MLB</t>
        </is>
      </c>
      <c r="F84" s="24" t="inlineStr">
        <is>
          <t>Athletics</t>
        </is>
      </c>
      <c r="G84" s="24" t="inlineStr">
        <is>
          <t>Arizona Diamondbacks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-110</v>
      </c>
      <c r="M84" s="27" t="n">
        <v>1.909091</v>
      </c>
      <c r="N84" s="28" t="n">
        <v>0.52381</v>
      </c>
      <c r="O84" s="28" t="n">
        <v>0.516139</v>
      </c>
      <c r="P84" s="28" t="n">
        <v>0.05</v>
      </c>
      <c r="Q84" s="28" t="n">
        <v>-0.00767</v>
      </c>
      <c r="R84" s="26" t="n">
        <v>16</v>
      </c>
      <c r="S84" s="29" t="n">
        <v>0</v>
      </c>
      <c r="T84" s="24" t="inlineStr">
        <is>
          <t>mlb-elo-trend-lr-v5</t>
        </is>
      </c>
      <c r="U84" s="24" t="inlineStr">
        <is>
          <t>settled</t>
        </is>
      </c>
      <c r="V84" s="24" t="inlineStr">
        <is>
          <t>win</t>
        </is>
      </c>
      <c r="W84" s="26" t="n">
        <v>5</v>
      </c>
      <c r="X84" s="26" t="n">
        <v>15</v>
      </c>
      <c r="Y84" s="25" t="n"/>
      <c r="Z84" s="26" t="n"/>
      <c r="AA84" s="28" t="n"/>
      <c r="AB84" s="28" t="n"/>
      <c r="AC84" s="30" t="n">
        <v>0</v>
      </c>
      <c r="AD84" s="24" t="inlineStr">
        <is>
          <t>2026-07-23T04:43:16.678535Z</t>
        </is>
      </c>
      <c r="AE84" s="31" t="n"/>
      <c r="AF84" s="31" t="n"/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RESEARCH_OBSERVATION</t>
        </is>
      </c>
      <c r="AO84" s="24" t="inlineStr">
        <is>
          <t>NO_CALL_MODEL_UNVALIDATED</t>
        </is>
      </c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8a12d027cf1d2c206cb369c47da80e014f8ac4dfc414ffee96ae34656c46fef5</t>
        </is>
      </c>
      <c r="BB84" s="24" t="inlineStr">
        <is>
          <t>identity</t>
        </is>
      </c>
      <c r="BC84" s="24" t="inlineStr">
        <is>
          <t>identity-v1</t>
        </is>
      </c>
      <c r="BD84" s="24" t="n"/>
      <c r="BE84" s="24" t="inlineStr">
        <is>
          <t>1</t>
        </is>
      </c>
      <c r="BF84" s="24" t="inlineStr">
        <is>
          <t>1</t>
        </is>
      </c>
      <c r="BG84" s="24" t="n"/>
      <c r="BH84" s="24" t="inlineStr">
        <is>
          <t>2026-07-22T22:42:56Z</t>
        </is>
      </c>
      <c r="BI84" s="24" t="n"/>
      <c r="BJ84" s="25" t="n"/>
      <c r="BK84" s="26" t="n">
        <v>-110</v>
      </c>
      <c r="BL84" s="27" t="n">
        <v>1.909</v>
      </c>
      <c r="BM84" s="28" t="n">
        <v>0.523834</v>
      </c>
      <c r="BN84" s="28" t="n">
        <v>0.523834</v>
      </c>
      <c r="BO84" s="28" t="n">
        <v>0.523834</v>
      </c>
      <c r="BP84" s="25" t="n"/>
      <c r="BQ84" s="27" t="n"/>
      <c r="BR84" s="28" t="n"/>
      <c r="BS84" s="28" t="n"/>
      <c r="BT84" s="28" t="n"/>
      <c r="BU84" s="25" t="n"/>
      <c r="BV84" s="29" t="n">
        <v>0.87</v>
      </c>
      <c r="BW84" s="24" t="n"/>
      <c r="BX84" s="30" t="n"/>
      <c r="BY84" s="27" t="n"/>
      <c r="BZ84" s="24" t="n"/>
      <c r="CA84" s="31" t="n"/>
      <c r="CB84" s="24" t="n"/>
      <c r="CC84" s="24" t="inlineStr">
        <is>
          <t>0.612868</t>
        </is>
      </c>
      <c r="CD84" s="24" t="inlineStr">
        <is>
          <t>0.92746</t>
        </is>
      </c>
      <c r="CE84" s="24" t="inlineStr">
        <is>
          <t>1.02</t>
        </is>
      </c>
      <c r="CF84" s="24" t="inlineStr">
        <is>
          <t>1.0</t>
        </is>
      </c>
      <c r="CG84" s="24" t="inlineStr">
        <is>
          <t>-3.4</t>
        </is>
      </c>
      <c r="CH84" s="24" t="n"/>
      <c r="CI84" s="24" t="n"/>
      <c r="CJ84" s="24" t="n"/>
      <c r="CK84" s="24" t="n"/>
      <c r="CL84" s="24" t="n"/>
      <c r="CM84" s="24" t="n"/>
    </row>
    <row r="85" ht="18" customHeight="1">
      <c r="A85" s="24" t="inlineStr">
        <is>
          <t>9f3704ff7c0145c3</t>
        </is>
      </c>
      <c r="B85" s="24" t="inlineStr">
        <is>
          <t>2026-07-22T22:42:56Z</t>
        </is>
      </c>
      <c r="C85" s="24" t="inlineStr">
        <is>
          <t>2026-07-22T19:40Z</t>
        </is>
      </c>
      <c r="D85" s="24" t="inlineStr">
        <is>
          <t>401816229</t>
        </is>
      </c>
      <c r="E85" s="24" t="inlineStr">
        <is>
          <t>MLB</t>
        </is>
      </c>
      <c r="F85" s="24" t="inlineStr">
        <is>
          <t>Cincinnati Reds</t>
        </is>
      </c>
      <c r="G85" s="24" t="inlineStr">
        <is>
          <t>Seattle Mariners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-110</v>
      </c>
      <c r="M85" s="27" t="n">
        <v>1.909091</v>
      </c>
      <c r="N85" s="28" t="n">
        <v>0.52381</v>
      </c>
      <c r="O85" s="28" t="n">
        <v>0.513967</v>
      </c>
      <c r="P85" s="28" t="n">
        <v>0.05</v>
      </c>
      <c r="Q85" s="28" t="n">
        <v>-0.009842</v>
      </c>
      <c r="R85" s="26" t="n">
        <v>15</v>
      </c>
      <c r="S85" s="29" t="n">
        <v>0</v>
      </c>
      <c r="T85" s="24" t="inlineStr">
        <is>
          <t>mlb-elo-trend-lr-v5</t>
        </is>
      </c>
      <c r="U85" s="24" t="inlineStr">
        <is>
          <t>settled</t>
        </is>
      </c>
      <c r="V85" s="24" t="inlineStr">
        <is>
          <t>loss</t>
        </is>
      </c>
      <c r="W85" s="26" t="n">
        <v>5</v>
      </c>
      <c r="X85" s="26" t="n">
        <v>3</v>
      </c>
      <c r="Y85" s="25" t="n"/>
      <c r="Z85" s="26" t="n"/>
      <c r="AA85" s="28" t="n"/>
      <c r="AB85" s="28" t="n"/>
      <c r="AC85" s="30" t="n">
        <v>0</v>
      </c>
      <c r="AD85" s="24" t="inlineStr">
        <is>
          <t>2026-07-23T04:43:17.494272Z</t>
        </is>
      </c>
      <c r="AE85" s="31" t="n"/>
      <c r="AF85" s="31" t="n"/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RESEARCH_OBSERVATION</t>
        </is>
      </c>
      <c r="AO85" s="24" t="inlineStr">
        <is>
          <t>NO_CALL_MODEL_UNVALIDATED</t>
        </is>
      </c>
      <c r="AP85" s="24" t="n"/>
      <c r="AQ85" s="24" t="n"/>
      <c r="AR85" s="24" t="n"/>
      <c r="AS85" s="24" t="n"/>
      <c r="AT85" s="24" t="n"/>
      <c r="AU85" s="24" t="n"/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8a12d027cf1d2c206cb369c47da80e014f8ac4dfc414ffee96ae34656c46fef5</t>
        </is>
      </c>
      <c r="BB85" s="24" t="inlineStr">
        <is>
          <t>identity</t>
        </is>
      </c>
      <c r="BC85" s="24" t="inlineStr">
        <is>
          <t>identity-v1</t>
        </is>
      </c>
      <c r="BD85" s="24" t="n"/>
      <c r="BE85" s="24" t="inlineStr">
        <is>
          <t>1</t>
        </is>
      </c>
      <c r="BF85" s="24" t="inlineStr">
        <is>
          <t>1</t>
        </is>
      </c>
      <c r="BG85" s="24" t="n"/>
      <c r="BH85" s="24" t="inlineStr">
        <is>
          <t>2026-07-22T22:42:56Z</t>
        </is>
      </c>
      <c r="BI85" s="24" t="n"/>
      <c r="BJ85" s="25" t="n"/>
      <c r="BK85" s="26" t="n">
        <v>-110</v>
      </c>
      <c r="BL85" s="27" t="n">
        <v>1.909</v>
      </c>
      <c r="BM85" s="28" t="n">
        <v>0.523834</v>
      </c>
      <c r="BN85" s="28" t="n">
        <v>0.523834</v>
      </c>
      <c r="BO85" s="28" t="n">
        <v>0.523834</v>
      </c>
      <c r="BP85" s="25" t="n"/>
      <c r="BQ85" s="27" t="n"/>
      <c r="BR85" s="28" t="n"/>
      <c r="BS85" s="28" t="n"/>
      <c r="BT85" s="28" t="n"/>
      <c r="BU85" s="25" t="n"/>
      <c r="BV85" s="29" t="n">
        <v>1.04</v>
      </c>
      <c r="BW85" s="24" t="n"/>
      <c r="BX85" s="30" t="n"/>
      <c r="BY85" s="27" t="n"/>
      <c r="BZ85" s="24" t="n"/>
      <c r="CA85" s="31" t="n"/>
      <c r="CB85" s="24" t="n"/>
      <c r="CC85" s="24" t="inlineStr">
        <is>
          <t>0.598757</t>
        </is>
      </c>
      <c r="CD85" s="24" t="inlineStr">
        <is>
          <t>1.370889</t>
        </is>
      </c>
      <c r="CE85" s="24" t="inlineStr">
        <is>
          <t>0.92</t>
        </is>
      </c>
      <c r="CF85" s="24" t="inlineStr">
        <is>
          <t>1.0</t>
        </is>
      </c>
      <c r="CG85" s="24" t="inlineStr">
        <is>
          <t>-3.8</t>
        </is>
      </c>
      <c r="CH85" s="24" t="n"/>
      <c r="CI85" s="24" t="n"/>
      <c r="CJ85" s="24" t="n"/>
      <c r="CK85" s="24" t="n"/>
      <c r="CL85" s="24" t="n"/>
      <c r="CM85" s="24" t="n"/>
    </row>
    <row r="86" ht="18" customHeight="1">
      <c r="A86" s="24" t="inlineStr">
        <is>
          <t>f18fcaee4514479a</t>
        </is>
      </c>
      <c r="B86" s="24" t="inlineStr">
        <is>
          <t>2026-07-22T22:42:56Z</t>
        </is>
      </c>
      <c r="C86" s="24" t="inlineStr">
        <is>
          <t>2026-07-22T20:07Z</t>
        </is>
      </c>
      <c r="D86" s="24" t="inlineStr">
        <is>
          <t>401816230</t>
        </is>
      </c>
      <c r="E86" s="24" t="inlineStr">
        <is>
          <t>MLB</t>
        </is>
      </c>
      <c r="F86" s="24" t="inlineStr">
        <is>
          <t>St. Louis Cardinals</t>
        </is>
      </c>
      <c r="G86" s="24" t="inlineStr">
        <is>
          <t>Los Angeles Angels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-110</v>
      </c>
      <c r="M86" s="27" t="n">
        <v>1.909091</v>
      </c>
      <c r="N86" s="28" t="n">
        <v>0.52381</v>
      </c>
      <c r="O86" s="28" t="n">
        <v>0.451333</v>
      </c>
      <c r="P86" s="28" t="n">
        <v>0.05</v>
      </c>
      <c r="Q86" s="28" t="n">
        <v>-0.072477</v>
      </c>
      <c r="R86" s="26" t="n">
        <v>0</v>
      </c>
      <c r="S86" s="29" t="n">
        <v>0</v>
      </c>
      <c r="T86" s="24" t="inlineStr">
        <is>
          <t>mlb-elo-trend-lr-v5</t>
        </is>
      </c>
      <c r="U86" s="24" t="inlineStr">
        <is>
          <t>settled</t>
        </is>
      </c>
      <c r="V86" s="24" t="inlineStr">
        <is>
          <t>win</t>
        </is>
      </c>
      <c r="W86" s="26" t="n">
        <v>1</v>
      </c>
      <c r="X86" s="26" t="n">
        <v>0</v>
      </c>
      <c r="Y86" s="25" t="n"/>
      <c r="Z86" s="26" t="n"/>
      <c r="AA86" s="28" t="n"/>
      <c r="AB86" s="28" t="n"/>
      <c r="AC86" s="30" t="n">
        <v>0.4545</v>
      </c>
      <c r="AD86" s="24" t="inlineStr">
        <is>
          <t>2026-07-23T00:05:57.129018Z</t>
        </is>
      </c>
      <c r="AE86" s="31" t="n"/>
      <c r="AF86" s="31" t="n"/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RESEARCH_OBSERVATION</t>
        </is>
      </c>
      <c r="AO86" s="24" t="inlineStr">
        <is>
          <t>NO_CALL_MODEL_UNVALIDATED</t>
        </is>
      </c>
      <c r="AP86" s="24" t="n"/>
      <c r="AQ86" s="24" t="n"/>
      <c r="AR86" s="24" t="n"/>
      <c r="AS86" s="24" t="n"/>
      <c r="AT86" s="24" t="n"/>
      <c r="AU86" s="24" t="n"/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8a12d027cf1d2c206cb369c47da80e014f8ac4dfc414ffee96ae34656c46fef5</t>
        </is>
      </c>
      <c r="BB86" s="24" t="inlineStr">
        <is>
          <t>identity</t>
        </is>
      </c>
      <c r="BC86" s="24" t="inlineStr">
        <is>
          <t>identity-v1</t>
        </is>
      </c>
      <c r="BD86" s="24" t="n"/>
      <c r="BE86" s="24" t="inlineStr">
        <is>
          <t>1</t>
        </is>
      </c>
      <c r="BF86" s="24" t="inlineStr">
        <is>
          <t>1</t>
        </is>
      </c>
      <c r="BG86" s="24" t="n"/>
      <c r="BH86" s="24" t="inlineStr">
        <is>
          <t>2026-07-22T22:42:56Z</t>
        </is>
      </c>
      <c r="BI86" s="24" t="n"/>
      <c r="BJ86" s="25" t="n"/>
      <c r="BK86" s="26" t="n">
        <v>-110</v>
      </c>
      <c r="BL86" s="27" t="n">
        <v>1.909</v>
      </c>
      <c r="BM86" s="28" t="n">
        <v>0.523834</v>
      </c>
      <c r="BN86" s="28" t="n">
        <v>0.523834</v>
      </c>
      <c r="BO86" s="28" t="n">
        <v>0.523834</v>
      </c>
      <c r="BP86" s="25" t="n"/>
      <c r="BQ86" s="27" t="n"/>
      <c r="BR86" s="28" t="n"/>
      <c r="BS86" s="28" t="n"/>
      <c r="BT86" s="28" t="n"/>
      <c r="BU86" s="25" t="n"/>
      <c r="BV86" s="29" t="n">
        <v>0.5</v>
      </c>
      <c r="BW86" s="24" t="n"/>
      <c r="BX86" s="30" t="n"/>
      <c r="BY86" s="27" t="n"/>
      <c r="BZ86" s="24" t="n"/>
      <c r="CA86" s="31" t="n"/>
      <c r="CB86" s="24" t="n"/>
      <c r="CC86" s="24" t="inlineStr">
        <is>
          <t>0.452506</t>
        </is>
      </c>
      <c r="CD86" s="24" t="inlineStr">
        <is>
          <t>-0.547981</t>
        </is>
      </c>
      <c r="CE86" s="24" t="inlineStr">
        <is>
          <t>1.01</t>
        </is>
      </c>
      <c r="CF86" s="24" t="inlineStr">
        <is>
          <t>1.0147</t>
        </is>
      </c>
      <c r="CG86" s="24" t="inlineStr">
        <is>
          <t>-1.4</t>
        </is>
      </c>
      <c r="CH86" s="24" t="n"/>
      <c r="CI86" s="24" t="n"/>
      <c r="CJ86" s="24" t="n"/>
      <c r="CK86" s="24" t="n"/>
      <c r="CL86" s="24" t="n"/>
      <c r="CM86" s="24" t="n"/>
    </row>
    <row r="87" ht="18" customHeight="1">
      <c r="A87" s="24" t="inlineStr">
        <is>
          <t>92077347ef6a4f42</t>
        </is>
      </c>
      <c r="B87" s="24" t="inlineStr">
        <is>
          <t>2026-07-22T22:42:56Z</t>
        </is>
      </c>
      <c r="C87" s="24" t="inlineStr">
        <is>
          <t>2026-07-22T22:40Z</t>
        </is>
      </c>
      <c r="D87" s="24" t="inlineStr">
        <is>
          <t>401816217</t>
        </is>
      </c>
      <c r="E87" s="24" t="inlineStr">
        <is>
          <t>MLB</t>
        </is>
      </c>
      <c r="F87" s="24" t="inlineStr">
        <is>
          <t>Los Angeles Dodgers</t>
        </is>
      </c>
      <c r="G87" s="24" t="inlineStr">
        <is>
          <t>Philadelphia Phillies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-110</v>
      </c>
      <c r="M87" s="27" t="n">
        <v>1.909091</v>
      </c>
      <c r="N87" s="28" t="n">
        <v>0.52381</v>
      </c>
      <c r="O87" s="28" t="n">
        <v>0.453006</v>
      </c>
      <c r="P87" s="28" t="n">
        <v>0.05</v>
      </c>
      <c r="Q87" s="28" t="n">
        <v>-0.070803</v>
      </c>
      <c r="R87" s="26" t="n">
        <v>0</v>
      </c>
      <c r="S87" s="29" t="n">
        <v>0</v>
      </c>
      <c r="T87" s="24" t="inlineStr">
        <is>
          <t>mlb-elo-trend-lr-v5</t>
        </is>
      </c>
      <c r="U87" s="24" t="inlineStr">
        <is>
          <t>settled</t>
        </is>
      </c>
      <c r="V87" s="24" t="inlineStr">
        <is>
          <t>win</t>
        </is>
      </c>
      <c r="W87" s="26" t="n">
        <v>9</v>
      </c>
      <c r="X87" s="26" t="n">
        <v>5</v>
      </c>
      <c r="Y87" s="25" t="n"/>
      <c r="Z87" s="26" t="n"/>
      <c r="AA87" s="28" t="n"/>
      <c r="AB87" s="28" t="n"/>
      <c r="AC87" s="30" t="n">
        <v>0</v>
      </c>
      <c r="AD87" s="24" t="inlineStr">
        <is>
          <t>2026-07-23T04:43:18.245462Z</t>
        </is>
      </c>
      <c r="AE87" s="31" t="n"/>
      <c r="AF87" s="31" t="n"/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RESEARCH_OBSERVATION</t>
        </is>
      </c>
      <c r="AO87" s="24" t="inlineStr">
        <is>
          <t>NO_CALL_MODEL_UNVALIDATED</t>
        </is>
      </c>
      <c r="AP87" s="24" t="n"/>
      <c r="AQ87" s="24" t="n"/>
      <c r="AR87" s="24" t="n"/>
      <c r="AS87" s="24" t="n"/>
      <c r="AT87" s="24" t="n"/>
      <c r="AU87" s="24" t="n"/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8a12d027cf1d2c206cb369c47da80e014f8ac4dfc414ffee96ae34656c46fef5</t>
        </is>
      </c>
      <c r="BB87" s="24" t="inlineStr">
        <is>
          <t>identity</t>
        </is>
      </c>
      <c r="BC87" s="24" t="inlineStr">
        <is>
          <t>identity-v1</t>
        </is>
      </c>
      <c r="BD87" s="24" t="n"/>
      <c r="BE87" s="24" t="inlineStr">
        <is>
          <t>1</t>
        </is>
      </c>
      <c r="BF87" s="24" t="inlineStr">
        <is>
          <t>1</t>
        </is>
      </c>
      <c r="BG87" s="24" t="n"/>
      <c r="BH87" s="24" t="inlineStr">
        <is>
          <t>2026-07-22T22:42:56Z</t>
        </is>
      </c>
      <c r="BI87" s="24" t="n"/>
      <c r="BJ87" s="25" t="n"/>
      <c r="BK87" s="26" t="n">
        <v>-110</v>
      </c>
      <c r="BL87" s="27" t="n">
        <v>1.909</v>
      </c>
      <c r="BM87" s="28" t="n">
        <v>0.523834</v>
      </c>
      <c r="BN87" s="28" t="n">
        <v>0.523834</v>
      </c>
      <c r="BO87" s="28" t="n">
        <v>0.523834</v>
      </c>
      <c r="BP87" s="25" t="n"/>
      <c r="BQ87" s="27" t="n"/>
      <c r="BR87" s="28" t="n"/>
      <c r="BS87" s="28" t="n"/>
      <c r="BT87" s="28" t="n"/>
      <c r="BU87" s="25" t="n"/>
      <c r="BV87" s="29" t="n">
        <v>0.5</v>
      </c>
      <c r="BW87" s="24" t="n"/>
      <c r="BX87" s="30" t="n"/>
      <c r="BY87" s="27" t="n"/>
      <c r="BZ87" s="24" t="n"/>
      <c r="CA87" s="31" t="n"/>
      <c r="CB87" s="24" t="n"/>
      <c r="CC87" s="24" t="inlineStr">
        <is>
          <t>0.482023</t>
        </is>
      </c>
      <c r="CD87" s="24" t="inlineStr">
        <is>
          <t>0.898385</t>
        </is>
      </c>
      <c r="CE87" s="24" t="inlineStr">
        <is>
          <t>1.01</t>
        </is>
      </c>
      <c r="CF87" s="24" t="inlineStr">
        <is>
          <t>1.0107</t>
        </is>
      </c>
      <c r="CG87" s="24" t="inlineStr">
        <is>
          <t>-0.8</t>
        </is>
      </c>
      <c r="CH87" s="24" t="n"/>
      <c r="CI87" s="24" t="n"/>
      <c r="CJ87" s="24" t="n"/>
      <c r="CK87" s="24" t="n"/>
      <c r="CL87" s="24" t="n"/>
      <c r="CM87" s="24" t="n"/>
    </row>
    <row r="88" ht="18" customHeight="1">
      <c r="A88" s="24" t="inlineStr">
        <is>
          <t>54e6546e22244a57</t>
        </is>
      </c>
      <c r="B88" s="24" t="inlineStr">
        <is>
          <t>2026-07-22T22:42:56Z</t>
        </is>
      </c>
      <c r="C88" s="24" t="inlineStr">
        <is>
          <t>2026-07-22T22:40Z</t>
        </is>
      </c>
      <c r="D88" s="24" t="inlineStr">
        <is>
          <t>401816218</t>
        </is>
      </c>
      <c r="E88" s="24" t="inlineStr">
        <is>
          <t>MLB</t>
        </is>
      </c>
      <c r="F88" s="24" t="inlineStr">
        <is>
          <t>Minnesota Twins</t>
        </is>
      </c>
      <c r="G88" s="24" t="inlineStr">
        <is>
          <t>Cleveland Guardians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-110</v>
      </c>
      <c r="M88" s="27" t="n">
        <v>1.909091</v>
      </c>
      <c r="N88" s="28" t="n">
        <v>0.52381</v>
      </c>
      <c r="O88" s="28" t="n">
        <v>0.511636</v>
      </c>
      <c r="P88" s="28" t="n">
        <v>0.05</v>
      </c>
      <c r="Q88" s="28" t="n">
        <v>-0.012174</v>
      </c>
      <c r="R88" s="26" t="n">
        <v>14</v>
      </c>
      <c r="S88" s="29" t="n">
        <v>0</v>
      </c>
      <c r="T88" s="24" t="inlineStr">
        <is>
          <t>mlb-elo-trend-lr-v5</t>
        </is>
      </c>
      <c r="U88" s="24" t="inlineStr">
        <is>
          <t>settled</t>
        </is>
      </c>
      <c r="V88" s="24" t="inlineStr">
        <is>
          <t>loss</t>
        </is>
      </c>
      <c r="W88" s="26" t="n">
        <v>10</v>
      </c>
      <c r="X88" s="26" t="n">
        <v>6</v>
      </c>
      <c r="Y88" s="25" t="n"/>
      <c r="Z88" s="26" t="n"/>
      <c r="AA88" s="28" t="n"/>
      <c r="AB88" s="28" t="n"/>
      <c r="AC88" s="30" t="n">
        <v>0</v>
      </c>
      <c r="AD88" s="24" t="inlineStr">
        <is>
          <t>2026-07-23T04:43:18.982269Z</t>
        </is>
      </c>
      <c r="AE88" s="31" t="n"/>
      <c r="AF88" s="31" t="n"/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RESEARCH_OBSERVATION</t>
        </is>
      </c>
      <c r="AO88" s="24" t="inlineStr">
        <is>
          <t>NO_CALL_MODEL_UNVALIDATED</t>
        </is>
      </c>
      <c r="AP88" s="24" t="n"/>
      <c r="AQ88" s="24" t="n"/>
      <c r="AR88" s="24" t="n"/>
      <c r="AS88" s="24" t="n"/>
      <c r="AT88" s="24" t="n"/>
      <c r="AU88" s="24" t="n"/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8a12d027cf1d2c206cb369c47da80e014f8ac4dfc414ffee96ae34656c46fef5</t>
        </is>
      </c>
      <c r="BB88" s="24" t="inlineStr">
        <is>
          <t>identity</t>
        </is>
      </c>
      <c r="BC88" s="24" t="inlineStr">
        <is>
          <t>identity-v1</t>
        </is>
      </c>
      <c r="BD88" s="24" t="n"/>
      <c r="BE88" s="24" t="inlineStr">
        <is>
          <t>1</t>
        </is>
      </c>
      <c r="BF88" s="24" t="inlineStr">
        <is>
          <t>1</t>
        </is>
      </c>
      <c r="BG88" s="24" t="n"/>
      <c r="BH88" s="24" t="inlineStr">
        <is>
          <t>2026-07-22T22:42:56Z</t>
        </is>
      </c>
      <c r="BI88" s="24" t="n"/>
      <c r="BJ88" s="25" t="n"/>
      <c r="BK88" s="26" t="n">
        <v>-110</v>
      </c>
      <c r="BL88" s="27" t="n">
        <v>1.909</v>
      </c>
      <c r="BM88" s="28" t="n">
        <v>0.523834</v>
      </c>
      <c r="BN88" s="28" t="n">
        <v>0.523834</v>
      </c>
      <c r="BO88" s="28" t="n">
        <v>0.523834</v>
      </c>
      <c r="BP88" s="25" t="n"/>
      <c r="BQ88" s="27" t="n"/>
      <c r="BR88" s="28" t="n"/>
      <c r="BS88" s="28" t="n"/>
      <c r="BT88" s="28" t="n"/>
      <c r="BU88" s="25" t="n"/>
      <c r="BV88" s="29" t="n">
        <v>0.79</v>
      </c>
      <c r="BW88" s="24" t="n"/>
      <c r="BX88" s="30" t="n"/>
      <c r="BY88" s="27" t="n"/>
      <c r="BZ88" s="24" t="n"/>
      <c r="CA88" s="31" t="n"/>
      <c r="CB88" s="24" t="n"/>
      <c r="CC88" s="24" t="inlineStr">
        <is>
          <t>0.592159</t>
        </is>
      </c>
      <c r="CD88" s="24" t="inlineStr">
        <is>
          <t>1.96306</t>
        </is>
      </c>
      <c r="CE88" s="24" t="inlineStr">
        <is>
          <t>0.97</t>
        </is>
      </c>
      <c r="CF88" s="24" t="inlineStr">
        <is>
          <t>0.9986</t>
        </is>
      </c>
      <c r="CG88" s="24" t="inlineStr">
        <is>
          <t>-2.0</t>
        </is>
      </c>
      <c r="CH88" s="24" t="n"/>
      <c r="CI88" s="24" t="n"/>
      <c r="CJ88" s="24" t="n"/>
      <c r="CK88" s="24" t="n"/>
      <c r="CL88" s="24" t="n"/>
      <c r="CM88" s="24" t="n"/>
    </row>
    <row r="89" ht="18" customHeight="1">
      <c r="A89" s="24" t="inlineStr">
        <is>
          <t>f7837354c8834594</t>
        </is>
      </c>
      <c r="B89" s="24" t="inlineStr">
        <is>
          <t>2026-07-22T22:42:56Z</t>
        </is>
      </c>
      <c r="C89" s="24" t="inlineStr">
        <is>
          <t>2026-07-22T23:05Z</t>
        </is>
      </c>
      <c r="D89" s="24" t="inlineStr">
        <is>
          <t>401898714</t>
        </is>
      </c>
      <c r="E89" s="24" t="inlineStr">
        <is>
          <t>MLB</t>
        </is>
      </c>
      <c r="F89" s="24" t="inlineStr">
        <is>
          <t>Pittsburgh Pirates</t>
        </is>
      </c>
      <c r="G89" s="24" t="inlineStr">
        <is>
          <t>New York Yankees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-110</v>
      </c>
      <c r="M89" s="27" t="n">
        <v>1.909091</v>
      </c>
      <c r="N89" s="28" t="n">
        <v>0.52381</v>
      </c>
      <c r="O89" s="28" t="n">
        <v>0.593809</v>
      </c>
      <c r="P89" s="28" t="n">
        <v>0.05</v>
      </c>
      <c r="Q89" s="28" t="n">
        <v>0.06999900000000001</v>
      </c>
      <c r="R89" s="26" t="n">
        <v>55</v>
      </c>
      <c r="S89" s="29" t="n">
        <v>0</v>
      </c>
      <c r="T89" s="24" t="inlineStr">
        <is>
          <t>mlb-elo-trend-lr-v5</t>
        </is>
      </c>
      <c r="U89" s="24" t="inlineStr">
        <is>
          <t>settled</t>
        </is>
      </c>
      <c r="V89" s="24" t="inlineStr">
        <is>
          <t>loss</t>
        </is>
      </c>
      <c r="W89" s="26" t="n">
        <v>5</v>
      </c>
      <c r="X89" s="26" t="n">
        <v>3</v>
      </c>
      <c r="Y89" s="25" t="n"/>
      <c r="Z89" s="26" t="n"/>
      <c r="AA89" s="28" t="n"/>
      <c r="AB89" s="28" t="n"/>
      <c r="AC89" s="30" t="n">
        <v>0</v>
      </c>
      <c r="AD89" s="24" t="inlineStr">
        <is>
          <t>2026-07-23T04:43:19.722685Z</t>
        </is>
      </c>
      <c r="AE89" s="31" t="n"/>
      <c r="AF89" s="31" t="n"/>
      <c r="AG89" s="24" t="inlineStr">
        <is>
          <t>review_required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RESEARCH_OBSERVATION</t>
        </is>
      </c>
      <c r="AO89" s="24" t="inlineStr">
        <is>
          <t>NO_CALL_MODEL_UNVALIDATED</t>
        </is>
      </c>
      <c r="AP89" s="24" t="n"/>
      <c r="AQ89" s="24" t="n"/>
      <c r="AR89" s="24" t="n"/>
      <c r="AS89" s="24" t="n"/>
      <c r="AT89" s="24" t="n"/>
      <c r="AU89" s="24" t="n"/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8a12d027cf1d2c206cb369c47da80e014f8ac4dfc414ffee96ae34656c46fef5</t>
        </is>
      </c>
      <c r="BB89" s="24" t="inlineStr">
        <is>
          <t>identity</t>
        </is>
      </c>
      <c r="BC89" s="24" t="inlineStr">
        <is>
          <t>identity-v1</t>
        </is>
      </c>
      <c r="BD89" s="24" t="n"/>
      <c r="BE89" s="24" t="inlineStr">
        <is>
          <t>1</t>
        </is>
      </c>
      <c r="BF89" s="24" t="inlineStr">
        <is>
          <t>1</t>
        </is>
      </c>
      <c r="BG89" s="24" t="n"/>
      <c r="BH89" s="24" t="inlineStr">
        <is>
          <t>2026-07-22T22:42:56Z</t>
        </is>
      </c>
      <c r="BI89" s="24" t="n"/>
      <c r="BJ89" s="25" t="n"/>
      <c r="BK89" s="26" t="n">
        <v>-110</v>
      </c>
      <c r="BL89" s="27" t="n">
        <v>1.909</v>
      </c>
      <c r="BM89" s="28" t="n">
        <v>0.523834</v>
      </c>
      <c r="BN89" s="28" t="n">
        <v>0.523834</v>
      </c>
      <c r="BO89" s="28" t="n">
        <v>0.523834</v>
      </c>
      <c r="BP89" s="25" t="n"/>
      <c r="BQ89" s="27" t="n"/>
      <c r="BR89" s="28" t="n"/>
      <c r="BS89" s="28" t="n"/>
      <c r="BT89" s="28" t="n"/>
      <c r="BU89" s="25" t="n"/>
      <c r="BV89" s="29" t="n">
        <v>1.04</v>
      </c>
      <c r="BW89" s="24" t="n"/>
      <c r="BX89" s="30" t="n"/>
      <c r="BY89" s="27" t="n"/>
      <c r="BZ89" s="24" t="n"/>
      <c r="CA89" s="31" t="n"/>
      <c r="CB89" s="24" t="n"/>
      <c r="CC89" s="24" t="inlineStr">
        <is>
          <t>0.57372</t>
        </is>
      </c>
      <c r="CD89" s="24" t="inlineStr">
        <is>
          <t>-1.351066</t>
        </is>
      </c>
      <c r="CE89" s="24" t="inlineStr">
        <is>
          <t>0.99</t>
        </is>
      </c>
      <c r="CF89" s="24" t="inlineStr">
        <is>
          <t>1.0171</t>
        </is>
      </c>
      <c r="CG89" s="24" t="inlineStr">
        <is>
          <t>-0.2</t>
        </is>
      </c>
      <c r="CH89" s="24" t="n"/>
      <c r="CI89" s="24" t="n"/>
      <c r="CJ89" s="24" t="n"/>
      <c r="CK89" s="24" t="n"/>
      <c r="CL89" s="24" t="n"/>
      <c r="CM89" s="24" t="n"/>
    </row>
    <row r="90" ht="18" customHeight="1">
      <c r="A90" s="24" t="inlineStr">
        <is>
          <t>b6bf238c64d74e24</t>
        </is>
      </c>
      <c r="B90" s="24" t="inlineStr">
        <is>
          <t>2026-07-22T22:42:56Z</t>
        </is>
      </c>
      <c r="C90" s="24" t="inlineStr">
        <is>
          <t>2026-07-22T23:07Z</t>
        </is>
      </c>
      <c r="D90" s="24" t="inlineStr">
        <is>
          <t>401816221</t>
        </is>
      </c>
      <c r="E90" s="24" t="inlineStr">
        <is>
          <t>MLB</t>
        </is>
      </c>
      <c r="F90" s="24" t="inlineStr">
        <is>
          <t>Tampa Bay Rays</t>
        </is>
      </c>
      <c r="G90" s="24" t="inlineStr">
        <is>
          <t>Toronto Blue Jays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-110</v>
      </c>
      <c r="M90" s="27" t="n">
        <v>1.909091</v>
      </c>
      <c r="N90" s="28" t="n">
        <v>0.52381</v>
      </c>
      <c r="O90" s="28" t="n">
        <v>0.536567</v>
      </c>
      <c r="P90" s="28" t="n">
        <v>0.05</v>
      </c>
      <c r="Q90" s="28" t="n">
        <v>0.012758</v>
      </c>
      <c r="R90" s="26" t="n">
        <v>26</v>
      </c>
      <c r="S90" s="29" t="n">
        <v>0</v>
      </c>
      <c r="T90" s="24" t="inlineStr">
        <is>
          <t>mlb-elo-trend-lr-v5</t>
        </is>
      </c>
      <c r="U90" s="24" t="inlineStr">
        <is>
          <t>settled</t>
        </is>
      </c>
      <c r="V90" s="24" t="inlineStr">
        <is>
          <t>loss</t>
        </is>
      </c>
      <c r="W90" s="26" t="n">
        <v>4</v>
      </c>
      <c r="X90" s="26" t="n">
        <v>2</v>
      </c>
      <c r="Y90" s="25" t="n"/>
      <c r="Z90" s="26" t="n"/>
      <c r="AA90" s="28" t="n"/>
      <c r="AB90" s="28" t="n"/>
      <c r="AC90" s="30" t="n">
        <v>0</v>
      </c>
      <c r="AD90" s="24" t="inlineStr">
        <is>
          <t>2026-07-23T04:43:20.469144Z</t>
        </is>
      </c>
      <c r="AE90" s="31" t="n"/>
      <c r="AF90" s="31" t="n"/>
      <c r="AG90" s="24" t="inlineStr">
        <is>
          <t>review_required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RESEARCH_OBSERVATION</t>
        </is>
      </c>
      <c r="AO90" s="24" t="inlineStr">
        <is>
          <t>NO_CALL_MODEL_UNVALIDATED</t>
        </is>
      </c>
      <c r="AP90" s="24" t="n"/>
      <c r="AQ90" s="24" t="n"/>
      <c r="AR90" s="24" t="n"/>
      <c r="AS90" s="24" t="n"/>
      <c r="AT90" s="24" t="n"/>
      <c r="AU90" s="24" t="n"/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8a12d027cf1d2c206cb369c47da80e014f8ac4dfc414ffee96ae34656c46fef5</t>
        </is>
      </c>
      <c r="BB90" s="24" t="inlineStr">
        <is>
          <t>identity</t>
        </is>
      </c>
      <c r="BC90" s="24" t="inlineStr">
        <is>
          <t>identity-v1</t>
        </is>
      </c>
      <c r="BD90" s="24" t="n"/>
      <c r="BE90" s="24" t="inlineStr">
        <is>
          <t>1</t>
        </is>
      </c>
      <c r="BF90" s="24" t="inlineStr">
        <is>
          <t>1</t>
        </is>
      </c>
      <c r="BG90" s="24" t="n"/>
      <c r="BH90" s="24" t="inlineStr">
        <is>
          <t>2026-07-22T22:42:56Z</t>
        </is>
      </c>
      <c r="BI90" s="24" t="n"/>
      <c r="BJ90" s="25" t="n"/>
      <c r="BK90" s="26" t="n">
        <v>-110</v>
      </c>
      <c r="BL90" s="27" t="n">
        <v>1.909</v>
      </c>
      <c r="BM90" s="28" t="n">
        <v>0.523834</v>
      </c>
      <c r="BN90" s="28" t="n">
        <v>0.523834</v>
      </c>
      <c r="BO90" s="28" t="n">
        <v>0.523834</v>
      </c>
      <c r="BP90" s="25" t="n"/>
      <c r="BQ90" s="27" t="n"/>
      <c r="BR90" s="28" t="n"/>
      <c r="BS90" s="28" t="n"/>
      <c r="BT90" s="28" t="n"/>
      <c r="BU90" s="25" t="n"/>
      <c r="BV90" s="29" t="n">
        <v>0.5</v>
      </c>
      <c r="BW90" s="24" t="n"/>
      <c r="BX90" s="30" t="n"/>
      <c r="BY90" s="27" t="n"/>
      <c r="BZ90" s="24" t="n"/>
      <c r="CA90" s="31" t="n"/>
      <c r="CB90" s="24" t="n"/>
      <c r="CC90" s="24" t="inlineStr">
        <is>
          <t>0.518124</t>
        </is>
      </c>
      <c r="CD90" s="24" t="inlineStr">
        <is>
          <t>-1.017936</t>
        </is>
      </c>
      <c r="CE90" s="24" t="inlineStr">
        <is>
          <t>1.0</t>
        </is>
      </c>
      <c r="CF90" s="24" t="inlineStr">
        <is>
          <t>1.0</t>
        </is>
      </c>
      <c r="CG90" s="24" t="inlineStr">
        <is>
          <t>-0.4</t>
        </is>
      </c>
      <c r="CH90" s="24" t="n"/>
      <c r="CI90" s="24" t="n"/>
      <c r="CJ90" s="24" t="n"/>
      <c r="CK90" s="24" t="n"/>
      <c r="CL90" s="24" t="n"/>
      <c r="CM90" s="24" t="n"/>
    </row>
    <row r="91" ht="18" customHeight="1">
      <c r="A91" s="24" t="inlineStr">
        <is>
          <t>2a00f1f2810948a9</t>
        </is>
      </c>
      <c r="B91" s="24" t="inlineStr">
        <is>
          <t>2026-07-22T22:42:56Z</t>
        </is>
      </c>
      <c r="C91" s="24" t="inlineStr">
        <is>
          <t>2026-07-22T23:10Z</t>
        </is>
      </c>
      <c r="D91" s="24" t="inlineStr">
        <is>
          <t>401816216</t>
        </is>
      </c>
      <c r="E91" s="24" t="inlineStr">
        <is>
          <t>MLB</t>
        </is>
      </c>
      <c r="F91" s="24" t="inlineStr">
        <is>
          <t>Baltimore Orioles</t>
        </is>
      </c>
      <c r="G91" s="24" t="inlineStr">
        <is>
          <t>Boston Red Sox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-110</v>
      </c>
      <c r="M91" s="27" t="n">
        <v>1.909091</v>
      </c>
      <c r="N91" s="28" t="n">
        <v>0.52381</v>
      </c>
      <c r="O91" s="28" t="n">
        <v>0.561612</v>
      </c>
      <c r="P91" s="28" t="n">
        <v>0.05</v>
      </c>
      <c r="Q91" s="28" t="n">
        <v>0.037802</v>
      </c>
      <c r="R91" s="26" t="n">
        <v>39</v>
      </c>
      <c r="S91" s="29" t="n">
        <v>0</v>
      </c>
      <c r="T91" s="24" t="inlineStr">
        <is>
          <t>mlb-elo-trend-lr-v5</t>
        </is>
      </c>
      <c r="U91" s="24" t="inlineStr">
        <is>
          <t>settled</t>
        </is>
      </c>
      <c r="V91" s="24" t="inlineStr">
        <is>
          <t>win</t>
        </is>
      </c>
      <c r="W91" s="26" t="n">
        <v>3</v>
      </c>
      <c r="X91" s="26" t="n">
        <v>6</v>
      </c>
      <c r="Y91" s="25" t="n"/>
      <c r="Z91" s="26" t="n"/>
      <c r="AA91" s="28" t="n"/>
      <c r="AB91" s="28" t="n"/>
      <c r="AC91" s="30" t="n">
        <v>0</v>
      </c>
      <c r="AD91" s="24" t="inlineStr">
        <is>
          <t>2026-07-23T04:43:21.204632Z</t>
        </is>
      </c>
      <c r="AE91" s="31" t="n"/>
      <c r="AF91" s="31" t="n"/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RESEARCH_OBSERVATION</t>
        </is>
      </c>
      <c r="AO91" s="24" t="inlineStr">
        <is>
          <t>NO_CALL_MODEL_UNVALIDATED</t>
        </is>
      </c>
      <c r="AP91" s="24" t="n"/>
      <c r="AQ91" s="24" t="n"/>
      <c r="AR91" s="24" t="n"/>
      <c r="AS91" s="24" t="n"/>
      <c r="AT91" s="24" t="n"/>
      <c r="AU91" s="24" t="n"/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8a12d027cf1d2c206cb369c47da80e014f8ac4dfc414ffee96ae34656c46fef5</t>
        </is>
      </c>
      <c r="BB91" s="24" t="inlineStr">
        <is>
          <t>identity</t>
        </is>
      </c>
      <c r="BC91" s="24" t="inlineStr">
        <is>
          <t>identity-v1</t>
        </is>
      </c>
      <c r="BD91" s="24" t="n"/>
      <c r="BE91" s="24" t="inlineStr">
        <is>
          <t>1</t>
        </is>
      </c>
      <c r="BF91" s="24" t="inlineStr">
        <is>
          <t>1</t>
        </is>
      </c>
      <c r="BG91" s="24" t="n"/>
      <c r="BH91" s="24" t="inlineStr">
        <is>
          <t>2026-07-22T22:42:56Z</t>
        </is>
      </c>
      <c r="BI91" s="24" t="n"/>
      <c r="BJ91" s="25" t="n"/>
      <c r="BK91" s="26" t="n">
        <v>-110</v>
      </c>
      <c r="BL91" s="27" t="n">
        <v>1.909</v>
      </c>
      <c r="BM91" s="28" t="n">
        <v>0.523834</v>
      </c>
      <c r="BN91" s="28" t="n">
        <v>0.523834</v>
      </c>
      <c r="BO91" s="28" t="n">
        <v>0.523834</v>
      </c>
      <c r="BP91" s="25" t="n"/>
      <c r="BQ91" s="27" t="n"/>
      <c r="BR91" s="28" t="n"/>
      <c r="BS91" s="28" t="n"/>
      <c r="BT91" s="28" t="n"/>
      <c r="BU91" s="25" t="n"/>
      <c r="BV91" s="29" t="n">
        <v>1.01</v>
      </c>
      <c r="BW91" s="24" t="n"/>
      <c r="BX91" s="30" t="n"/>
      <c r="BY91" s="27" t="n"/>
      <c r="BZ91" s="24" t="n"/>
      <c r="CA91" s="31" t="n"/>
      <c r="CB91" s="24" t="n"/>
      <c r="CC91" s="24" t="inlineStr">
        <is>
          <t>0.604946</t>
        </is>
      </c>
      <c r="CD91" s="24" t="inlineStr">
        <is>
          <t>0.986593</t>
        </is>
      </c>
      <c r="CE91" s="24" t="inlineStr">
        <is>
          <t>1.04</t>
        </is>
      </c>
      <c r="CF91" s="24" t="inlineStr">
        <is>
          <t>1.0049</t>
        </is>
      </c>
      <c r="CG91" s="24" t="inlineStr">
        <is>
          <t>0.2</t>
        </is>
      </c>
      <c r="CH91" s="24" t="n"/>
      <c r="CI91" s="24" t="n"/>
      <c r="CJ91" s="24" t="n"/>
      <c r="CK91" s="24" t="n"/>
      <c r="CL91" s="24" t="n"/>
      <c r="CM91" s="24" t="n"/>
    </row>
    <row r="92" ht="18" customHeight="1">
      <c r="A92" s="24" t="inlineStr">
        <is>
          <t>7e0d1d3d253c4e7e</t>
        </is>
      </c>
      <c r="B92" s="24" t="inlineStr">
        <is>
          <t>2026-07-22T22:42:56Z</t>
        </is>
      </c>
      <c r="C92" s="24" t="inlineStr">
        <is>
          <t>2026-07-22T23:15Z</t>
        </is>
      </c>
      <c r="D92" s="24" t="inlineStr">
        <is>
          <t>401816220</t>
        </is>
      </c>
      <c r="E92" s="24" t="inlineStr">
        <is>
          <t>MLB</t>
        </is>
      </c>
      <c r="F92" s="24" t="inlineStr">
        <is>
          <t>San Diego Padres</t>
        </is>
      </c>
      <c r="G92" s="24" t="inlineStr">
        <is>
          <t>Atlanta Braves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-110</v>
      </c>
      <c r="M92" s="27" t="n">
        <v>1.909091</v>
      </c>
      <c r="N92" s="28" t="n">
        <v>0.52381</v>
      </c>
      <c r="O92" s="28" t="n">
        <v>0.562873</v>
      </c>
      <c r="P92" s="28" t="n">
        <v>0.05</v>
      </c>
      <c r="Q92" s="28" t="n">
        <v>0.039064</v>
      </c>
      <c r="R92" s="26" t="n">
        <v>40</v>
      </c>
      <c r="S92" s="29" t="n">
        <v>0</v>
      </c>
      <c r="T92" s="24" t="inlineStr">
        <is>
          <t>mlb-elo-trend-lr-v5</t>
        </is>
      </c>
      <c r="U92" s="24" t="inlineStr">
        <is>
          <t>settled</t>
        </is>
      </c>
      <c r="V92" s="24" t="inlineStr">
        <is>
          <t>win</t>
        </is>
      </c>
      <c r="W92" s="26" t="n">
        <v>6</v>
      </c>
      <c r="X92" s="26" t="n">
        <v>7</v>
      </c>
      <c r="Y92" s="25" t="n"/>
      <c r="Z92" s="26" t="n"/>
      <c r="AA92" s="28" t="n"/>
      <c r="AB92" s="28" t="n"/>
      <c r="AC92" s="30" t="n">
        <v>0</v>
      </c>
      <c r="AD92" s="24" t="inlineStr">
        <is>
          <t>2026-07-23T04:43:22.025592Z</t>
        </is>
      </c>
      <c r="AE92" s="31" t="n"/>
      <c r="AF92" s="31" t="n"/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RESEARCH_OBSERVATION</t>
        </is>
      </c>
      <c r="AO92" s="24" t="inlineStr">
        <is>
          <t>NO_CALL_MODEL_UNVALIDATED</t>
        </is>
      </c>
      <c r="AP92" s="24" t="n"/>
      <c r="AQ92" s="24" t="n"/>
      <c r="AR92" s="24" t="n"/>
      <c r="AS92" s="24" t="n"/>
      <c r="AT92" s="24" t="n"/>
      <c r="AU92" s="24" t="n"/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8a12d027cf1d2c206cb369c47da80e014f8ac4dfc414ffee96ae34656c46fef5</t>
        </is>
      </c>
      <c r="BB92" s="24" t="inlineStr">
        <is>
          <t>identity</t>
        </is>
      </c>
      <c r="BC92" s="24" t="inlineStr">
        <is>
          <t>identity-v1</t>
        </is>
      </c>
      <c r="BD92" s="24" t="n"/>
      <c r="BE92" s="24" t="inlineStr">
        <is>
          <t>1</t>
        </is>
      </c>
      <c r="BF92" s="24" t="inlineStr">
        <is>
          <t>1</t>
        </is>
      </c>
      <c r="BG92" s="24" t="n"/>
      <c r="BH92" s="24" t="inlineStr">
        <is>
          <t>2026-07-22T22:42:56Z</t>
        </is>
      </c>
      <c r="BI92" s="24" t="n"/>
      <c r="BJ92" s="25" t="n"/>
      <c r="BK92" s="26" t="n">
        <v>-110</v>
      </c>
      <c r="BL92" s="27" t="n">
        <v>1.909</v>
      </c>
      <c r="BM92" s="28" t="n">
        <v>0.523834</v>
      </c>
      <c r="BN92" s="28" t="n">
        <v>0.523834</v>
      </c>
      <c r="BO92" s="28" t="n">
        <v>0.523834</v>
      </c>
      <c r="BP92" s="25" t="n"/>
      <c r="BQ92" s="27" t="n"/>
      <c r="BR92" s="28" t="n"/>
      <c r="BS92" s="28" t="n"/>
      <c r="BT92" s="28" t="n"/>
      <c r="BU92" s="25" t="n"/>
      <c r="BV92" s="29" t="n">
        <v>0.76</v>
      </c>
      <c r="BW92" s="24" t="n"/>
      <c r="BX92" s="30" t="n"/>
      <c r="BY92" s="27" t="n"/>
      <c r="BZ92" s="24" t="n"/>
      <c r="CA92" s="31" t="n"/>
      <c r="CB92" s="24" t="n"/>
      <c r="CC92" s="24" t="inlineStr">
        <is>
          <t>0.572651</t>
        </is>
      </c>
      <c r="CD92" s="24" t="inlineStr">
        <is>
          <t>-0.653566</t>
        </is>
      </c>
      <c r="CE92" s="24" t="inlineStr">
        <is>
          <t>1.01</t>
        </is>
      </c>
      <c r="CF92" s="24" t="inlineStr">
        <is>
          <t>1.0143</t>
        </is>
      </c>
      <c r="CG92" s="24" t="inlineStr">
        <is>
          <t>-0.8</t>
        </is>
      </c>
      <c r="CH92" s="24" t="n"/>
      <c r="CI92" s="24" t="n"/>
      <c r="CJ92" s="24" t="n"/>
      <c r="CK92" s="24" t="n"/>
      <c r="CL92" s="24" t="n"/>
      <c r="CM92" s="24" t="n"/>
    </row>
    <row r="93" ht="18" customHeight="1">
      <c r="A93" s="24" t="inlineStr">
        <is>
          <t>e03092bbbc674362</t>
        </is>
      </c>
      <c r="B93" s="24" t="inlineStr">
        <is>
          <t>2026-07-22T22:42:56Z</t>
        </is>
      </c>
      <c r="C93" s="24" t="inlineStr">
        <is>
          <t>2026-07-17T23:30Z</t>
        </is>
      </c>
      <c r="D93" s="24" t="inlineStr">
        <is>
          <t>401857073</t>
        </is>
      </c>
      <c r="E93" s="24" t="inlineStr">
        <is>
          <t>WNBA</t>
        </is>
      </c>
      <c r="F93" s="24" t="inlineStr">
        <is>
          <t>Seattle Storm</t>
        </is>
      </c>
      <c r="G93" s="24" t="inlineStr">
        <is>
          <t>Indiana Fever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-110</v>
      </c>
      <c r="M93" s="27" t="n">
        <v>1.909091</v>
      </c>
      <c r="N93" s="28" t="n">
        <v>0.52381</v>
      </c>
      <c r="O93" s="28" t="n">
        <v>0.739063</v>
      </c>
      <c r="P93" s="28" t="n">
        <v>0.05</v>
      </c>
      <c r="Q93" s="28" t="n">
        <v>0.215253</v>
      </c>
      <c r="R93" s="26" t="n">
        <v>100</v>
      </c>
      <c r="S93" s="29" t="n">
        <v>0</v>
      </c>
      <c r="T93" s="24" t="inlineStr">
        <is>
          <t>wnba-elo-trend-lr-v4</t>
        </is>
      </c>
      <c r="U93" s="24" t="inlineStr">
        <is>
          <t>settled</t>
        </is>
      </c>
      <c r="V93" s="24" t="inlineStr">
        <is>
          <t>win</t>
        </is>
      </c>
      <c r="W93" s="26" t="n">
        <v>107</v>
      </c>
      <c r="X93" s="26" t="n">
        <v>110</v>
      </c>
      <c r="Y93" s="25" t="n"/>
      <c r="Z93" s="26" t="n"/>
      <c r="AA93" s="28" t="n"/>
      <c r="AB93" s="28" t="n"/>
      <c r="AC93" s="30" t="n">
        <v>1.818</v>
      </c>
      <c r="AD93" s="24" t="inlineStr">
        <is>
          <t>2026-07-22T23:40:33.680264Z</t>
        </is>
      </c>
      <c r="AE93" s="31" t="n"/>
      <c r="AF93" s="31" t="n"/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RESEARCH_OBSERVATION</t>
        </is>
      </c>
      <c r="AO93" s="24" t="inlineStr">
        <is>
          <t>NO_CALL_MODEL_UNVALIDATED</t>
        </is>
      </c>
      <c r="AP93" s="24" t="n"/>
      <c r="AQ93" s="24" t="n"/>
      <c r="AR93" s="24" t="n"/>
      <c r="AS93" s="24" t="n"/>
      <c r="AT93" s="24" t="n"/>
      <c r="AU93" s="24" t="n"/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7afd5274214b58b7efd7f7febc7be3ab33b92351cda5cc6403c0a39faea0cc8c</t>
        </is>
      </c>
      <c r="BB93" s="24" t="inlineStr">
        <is>
          <t>identity</t>
        </is>
      </c>
      <c r="BC93" s="24" t="inlineStr">
        <is>
          <t>identity-v1</t>
        </is>
      </c>
      <c r="BD93" s="24" t="n"/>
      <c r="BE93" s="24" t="inlineStr">
        <is>
          <t>1</t>
        </is>
      </c>
      <c r="BF93" s="24" t="inlineStr">
        <is>
          <t>1</t>
        </is>
      </c>
      <c r="BG93" s="24" t="n"/>
      <c r="BH93" s="24" t="inlineStr">
        <is>
          <t>2026-07-22T22:42:56Z</t>
        </is>
      </c>
      <c r="BI93" s="24" t="n"/>
      <c r="BJ93" s="25" t="n"/>
      <c r="BK93" s="26" t="n">
        <v>-110</v>
      </c>
      <c r="BL93" s="27" t="n">
        <v>1.909</v>
      </c>
      <c r="BM93" s="28" t="n">
        <v>0.523834</v>
      </c>
      <c r="BN93" s="28" t="n">
        <v>0.523834</v>
      </c>
      <c r="BO93" s="28" t="n">
        <v>0.523834</v>
      </c>
      <c r="BP93" s="25" t="n"/>
      <c r="BQ93" s="27" t="n"/>
      <c r="BR93" s="28" t="n"/>
      <c r="BS93" s="28" t="n"/>
      <c r="BT93" s="28" t="n"/>
      <c r="BU93" s="25" t="n"/>
      <c r="BV93" s="29" t="n">
        <v>2</v>
      </c>
      <c r="BW93" s="24" t="n"/>
      <c r="BX93" s="30" t="n"/>
      <c r="BY93" s="27" t="n"/>
      <c r="BZ93" s="24" t="n"/>
      <c r="CA93" s="31" t="n"/>
      <c r="CB93" s="24" t="n"/>
      <c r="CC93" s="24" t="inlineStr">
        <is>
          <t>0.842</t>
        </is>
      </c>
      <c r="CD93" s="24" t="inlineStr">
        <is>
          <t>2.908359</t>
        </is>
      </c>
      <c r="CE93" s="24" t="n"/>
      <c r="CF93" s="24" t="n"/>
      <c r="CG93" s="24" t="n"/>
      <c r="CH93" s="24" t="inlineStr">
        <is>
          <t>2.250675</t>
        </is>
      </c>
      <c r="CI93" s="24" t="n"/>
      <c r="CJ93" s="24" t="n"/>
      <c r="CK93" s="24" t="n"/>
      <c r="CL93" s="24" t="n"/>
      <c r="CM93" s="24" t="n"/>
    </row>
    <row r="94" ht="18" customHeight="1">
      <c r="A94" s="24" t="inlineStr">
        <is>
          <t>1dc6153dfb844190</t>
        </is>
      </c>
      <c r="B94" s="24" t="inlineStr">
        <is>
          <t>2026-07-22T22:42:56Z</t>
        </is>
      </c>
      <c r="C94" s="24" t="inlineStr">
        <is>
          <t>2026-07-17T23:30Z</t>
        </is>
      </c>
      <c r="D94" s="24" t="inlineStr">
        <is>
          <t>401857074</t>
        </is>
      </c>
      <c r="E94" s="24" t="inlineStr">
        <is>
          <t>WNBA</t>
        </is>
      </c>
      <c r="F94" s="24" t="inlineStr">
        <is>
          <t>Atlanta Dream</t>
        </is>
      </c>
      <c r="G94" s="24" t="inlineStr">
        <is>
          <t>Toronto Tempo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-110</v>
      </c>
      <c r="M94" s="27" t="n">
        <v>1.909091</v>
      </c>
      <c r="N94" s="28" t="n">
        <v>0.52381</v>
      </c>
      <c r="O94" s="28" t="n">
        <v>0.426557</v>
      </c>
      <c r="P94" s="28" t="n">
        <v>0.05</v>
      </c>
      <c r="Q94" s="28" t="n">
        <v>-0.09725300000000001</v>
      </c>
      <c r="R94" s="26" t="n">
        <v>0</v>
      </c>
      <c r="S94" s="29" t="n">
        <v>0</v>
      </c>
      <c r="T94" s="24" t="inlineStr">
        <is>
          <t>wnba-elo-trend-lr-v4</t>
        </is>
      </c>
      <c r="U94" s="24" t="inlineStr">
        <is>
          <t>settled</t>
        </is>
      </c>
      <c r="V94" s="24" t="inlineStr">
        <is>
          <t>win</t>
        </is>
      </c>
      <c r="W94" s="26" t="n">
        <v>111</v>
      </c>
      <c r="X94" s="26" t="n">
        <v>92</v>
      </c>
      <c r="Y94" s="25" t="n"/>
      <c r="Z94" s="26" t="n">
        <v>-110</v>
      </c>
      <c r="AA94" s="28" t="n">
        <v>0.523834</v>
      </c>
      <c r="AB94" s="28" t="n"/>
      <c r="AC94" s="30" t="n">
        <v>0.8999</v>
      </c>
      <c r="AD94" s="24" t="inlineStr">
        <is>
          <t>2026-07-22T23:44:22Z</t>
        </is>
      </c>
      <c r="AE94" s="31" t="n"/>
      <c r="AF94" s="31" t="n"/>
      <c r="AG94" s="24" t="n"/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RESEARCH_OBSERVATION</t>
        </is>
      </c>
      <c r="AO94" s="24" t="inlineStr">
        <is>
          <t>NO_CALL_MODEL_UNVALIDATED</t>
        </is>
      </c>
      <c r="AP94" s="24" t="n"/>
      <c r="AQ94" s="24" t="n"/>
      <c r="AR94" s="24" t="n"/>
      <c r="AS94" s="24" t="n"/>
      <c r="AT94" s="24" t="n"/>
      <c r="AU94" s="24" t="n"/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7afd5274214b58b7efd7f7febc7be3ab33b92351cda5cc6403c0a39faea0cc8c</t>
        </is>
      </c>
      <c r="BB94" s="24" t="inlineStr">
        <is>
          <t>identity</t>
        </is>
      </c>
      <c r="BC94" s="24" t="inlineStr">
        <is>
          <t>identity-v1</t>
        </is>
      </c>
      <c r="BD94" s="24" t="n"/>
      <c r="BE94" s="24" t="inlineStr">
        <is>
          <t>1</t>
        </is>
      </c>
      <c r="BF94" s="24" t="inlineStr">
        <is>
          <t>1</t>
        </is>
      </c>
      <c r="BG94" s="24" t="n"/>
      <c r="BH94" s="24" t="inlineStr">
        <is>
          <t>2026-07-22T22:42:56Z</t>
        </is>
      </c>
      <c r="BI94" s="24" t="n"/>
      <c r="BJ94" s="25" t="n"/>
      <c r="BK94" s="26" t="n">
        <v>-110</v>
      </c>
      <c r="BL94" s="27" t="n">
        <v>1.909</v>
      </c>
      <c r="BM94" s="28" t="n">
        <v>0.523834</v>
      </c>
      <c r="BN94" s="28" t="n">
        <v>0.523834</v>
      </c>
      <c r="BO94" s="28" t="n">
        <v>0.523834</v>
      </c>
      <c r="BP94" s="25" t="n"/>
      <c r="BQ94" s="27" t="n">
        <v>1.909</v>
      </c>
      <c r="BR94" s="28" t="n"/>
      <c r="BS94" s="28" t="n"/>
      <c r="BT94" s="28" t="n"/>
      <c r="BU94" s="25" t="n"/>
      <c r="BV94" s="29" t="n">
        <v>0.99</v>
      </c>
      <c r="BW94" s="24" t="n"/>
      <c r="BX94" s="30" t="n"/>
      <c r="BY94" s="27" t="n"/>
      <c r="BZ94" s="24" t="n"/>
      <c r="CA94" s="31" t="n"/>
      <c r="CB94" s="24" t="n"/>
      <c r="CC94" s="24" t="inlineStr">
        <is>
          <t>0.402028</t>
        </is>
      </c>
      <c r="CD94" s="24" t="inlineStr">
        <is>
          <t>-5.726123</t>
        </is>
      </c>
      <c r="CE94" s="24" t="n"/>
      <c r="CF94" s="24" t="n"/>
      <c r="CG94" s="24" t="n"/>
      <c r="CH94" s="24" t="inlineStr">
        <is>
          <t>7.807213</t>
        </is>
      </c>
      <c r="CI94" s="24" t="n"/>
      <c r="CJ94" s="24" t="n"/>
      <c r="CK94" s="24" t="n"/>
      <c r="CL94" s="24" t="n"/>
      <c r="CM94" s="24" t="n"/>
    </row>
    <row r="95" ht="18" customHeight="1">
      <c r="A95" s="24" t="inlineStr">
        <is>
          <t>69476bb015744ef2</t>
        </is>
      </c>
      <c r="B95" s="24" t="inlineStr">
        <is>
          <t>2026-07-22T22:42:56Z</t>
        </is>
      </c>
      <c r="C95" s="24" t="inlineStr">
        <is>
          <t>2026-07-17T23:30Z</t>
        </is>
      </c>
      <c r="D95" s="24" t="inlineStr">
        <is>
          <t>401857075</t>
        </is>
      </c>
      <c r="E95" s="24" t="inlineStr">
        <is>
          <t>WNBA</t>
        </is>
      </c>
      <c r="F95" s="24" t="inlineStr">
        <is>
          <t>Los Angeles Sparks</t>
        </is>
      </c>
      <c r="G95" s="24" t="inlineStr">
        <is>
          <t>Chicago Sky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-110</v>
      </c>
      <c r="M95" s="27" t="n">
        <v>1.909091</v>
      </c>
      <c r="N95" s="28" t="n">
        <v>0.52381</v>
      </c>
      <c r="O95" s="28" t="n">
        <v>0.503161</v>
      </c>
      <c r="P95" s="28" t="n">
        <v>0.05</v>
      </c>
      <c r="Q95" s="28" t="n">
        <v>-0.020649</v>
      </c>
      <c r="R95" s="26" t="n">
        <v>10</v>
      </c>
      <c r="S95" s="29" t="n">
        <v>0</v>
      </c>
      <c r="T95" s="24" t="inlineStr">
        <is>
          <t>wnba-elo-trend-lr-v4</t>
        </is>
      </c>
      <c r="U95" s="24" t="inlineStr">
        <is>
          <t>settled</t>
        </is>
      </c>
      <c r="V95" s="24" t="inlineStr">
        <is>
          <t>win</t>
        </is>
      </c>
      <c r="W95" s="26" t="n">
        <v>82</v>
      </c>
      <c r="X95" s="26" t="n">
        <v>96</v>
      </c>
      <c r="Y95" s="25" t="n"/>
      <c r="Z95" s="26" t="n">
        <v>-110</v>
      </c>
      <c r="AA95" s="28" t="n">
        <v>0.523834</v>
      </c>
      <c r="AB95" s="28" t="n"/>
      <c r="AC95" s="30" t="n">
        <v>0.4545</v>
      </c>
      <c r="AD95" s="24" t="inlineStr">
        <is>
          <t>2026-07-22T23:44:22Z</t>
        </is>
      </c>
      <c r="AE95" s="31" t="n"/>
      <c r="AF95" s="31" t="n"/>
      <c r="AG95" s="24" t="n"/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RESEARCH_OBSERVATION</t>
        </is>
      </c>
      <c r="AO95" s="24" t="inlineStr">
        <is>
          <t>NO_CALL_MODEL_UNVALIDATED</t>
        </is>
      </c>
      <c r="AP95" s="24" t="n"/>
      <c r="AQ95" s="24" t="n"/>
      <c r="AR95" s="24" t="n"/>
      <c r="AS95" s="24" t="n"/>
      <c r="AT95" s="24" t="n"/>
      <c r="AU95" s="24" t="n"/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7afd5274214b58b7efd7f7febc7be3ab33b92351cda5cc6403c0a39faea0cc8c</t>
        </is>
      </c>
      <c r="BB95" s="24" t="inlineStr">
        <is>
          <t>identity</t>
        </is>
      </c>
      <c r="BC95" s="24" t="inlineStr">
        <is>
          <t>identity-v1</t>
        </is>
      </c>
      <c r="BD95" s="24" t="n"/>
      <c r="BE95" s="24" t="inlineStr">
        <is>
          <t>1</t>
        </is>
      </c>
      <c r="BF95" s="24" t="inlineStr">
        <is>
          <t>1</t>
        </is>
      </c>
      <c r="BG95" s="24" t="n"/>
      <c r="BH95" s="24" t="inlineStr">
        <is>
          <t>2026-07-22T22:42:56Z</t>
        </is>
      </c>
      <c r="BI95" s="24" t="n"/>
      <c r="BJ95" s="25" t="n"/>
      <c r="BK95" s="26" t="n">
        <v>-110</v>
      </c>
      <c r="BL95" s="27" t="n">
        <v>1.909</v>
      </c>
      <c r="BM95" s="28" t="n">
        <v>0.523834</v>
      </c>
      <c r="BN95" s="28" t="n">
        <v>0.523834</v>
      </c>
      <c r="BO95" s="28" t="n">
        <v>0.523834</v>
      </c>
      <c r="BP95" s="25" t="n"/>
      <c r="BQ95" s="27" t="n">
        <v>1.909</v>
      </c>
      <c r="BR95" s="28" t="n"/>
      <c r="BS95" s="28" t="n"/>
      <c r="BT95" s="28" t="n"/>
      <c r="BU95" s="25" t="n"/>
      <c r="BV95" s="29" t="n">
        <v>0.5</v>
      </c>
      <c r="BW95" s="24" t="n"/>
      <c r="BX95" s="30" t="n"/>
      <c r="BY95" s="27" t="n"/>
      <c r="BZ95" s="24" t="n"/>
      <c r="CA95" s="31" t="n"/>
      <c r="CB95" s="24" t="n"/>
      <c r="CC95" s="24" t="inlineStr">
        <is>
          <t>0.511168</t>
        </is>
      </c>
      <c r="CD95" s="24" t="inlineStr">
        <is>
          <t>2.166237</t>
        </is>
      </c>
      <c r="CE95" s="24" t="n"/>
      <c r="CF95" s="24" t="n"/>
      <c r="CG95" s="24" t="n"/>
      <c r="CH95" s="24" t="inlineStr">
        <is>
          <t>1.069315</t>
        </is>
      </c>
      <c r="CI95" s="24" t="n"/>
      <c r="CJ95" s="24" t="n"/>
      <c r="CK95" s="24" t="n"/>
      <c r="CL95" s="24" t="n"/>
      <c r="CM95" s="24" t="n"/>
    </row>
    <row r="96" ht="18" customHeight="1">
      <c r="A96" s="24" t="inlineStr">
        <is>
          <t>52a9e8b125a64f28</t>
        </is>
      </c>
      <c r="B96" s="24" t="inlineStr">
        <is>
          <t>2026-07-22T22:42:56Z</t>
        </is>
      </c>
      <c r="C96" s="24" t="inlineStr">
        <is>
          <t>2026-07-18T02:00Z</t>
        </is>
      </c>
      <c r="D96" s="24" t="inlineStr">
        <is>
          <t>401857076</t>
        </is>
      </c>
      <c r="E96" s="24" t="inlineStr">
        <is>
          <t>WNBA</t>
        </is>
      </c>
      <c r="F96" s="24" t="inlineStr">
        <is>
          <t>Connecticut Sun</t>
        </is>
      </c>
      <c r="G96" s="24" t="inlineStr">
        <is>
          <t>Phoenix Mercury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-110</v>
      </c>
      <c r="M96" s="27" t="n">
        <v>1.909091</v>
      </c>
      <c r="N96" s="28" t="n">
        <v>0.52381</v>
      </c>
      <c r="O96" s="28" t="n">
        <v>0.647753</v>
      </c>
      <c r="P96" s="28" t="n">
        <v>0.05</v>
      </c>
      <c r="Q96" s="28" t="n">
        <v>0.123943</v>
      </c>
      <c r="R96" s="26" t="n">
        <v>82</v>
      </c>
      <c r="S96" s="29" t="n">
        <v>0</v>
      </c>
      <c r="T96" s="24" t="inlineStr">
        <is>
          <t>wnba-elo-trend-lr-v4</t>
        </is>
      </c>
      <c r="U96" s="24" t="inlineStr">
        <is>
          <t>settled</t>
        </is>
      </c>
      <c r="V96" s="24" t="inlineStr">
        <is>
          <t>loss</t>
        </is>
      </c>
      <c r="W96" s="26" t="n">
        <v>96</v>
      </c>
      <c r="X96" s="26" t="n">
        <v>83</v>
      </c>
      <c r="Y96" s="25" t="n"/>
      <c r="Z96" s="26" t="n">
        <v>-110</v>
      </c>
      <c r="AA96" s="28" t="n">
        <v>0.523834</v>
      </c>
      <c r="AB96" s="28" t="n"/>
      <c r="AC96" s="30" t="n">
        <v>-2</v>
      </c>
      <c r="AD96" s="24" t="inlineStr">
        <is>
          <t>2026-07-23T00:02:09Z</t>
        </is>
      </c>
      <c r="AE96" s="31" t="n"/>
      <c r="AF96" s="31" t="n"/>
      <c r="AG96" s="24" t="n"/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RESEARCH_OBSERVATION</t>
        </is>
      </c>
      <c r="AO96" s="24" t="inlineStr">
        <is>
          <t>NO_CALL_MODEL_UNVALIDATED</t>
        </is>
      </c>
      <c r="AP96" s="24" t="n"/>
      <c r="AQ96" s="24" t="n"/>
      <c r="AR96" s="24" t="n"/>
      <c r="AS96" s="24" t="n"/>
      <c r="AT96" s="24" t="n"/>
      <c r="AU96" s="24" t="n"/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7afd5274214b58b7efd7f7febc7be3ab33b92351cda5cc6403c0a39faea0cc8c</t>
        </is>
      </c>
      <c r="BB96" s="24" t="inlineStr">
        <is>
          <t>identity</t>
        </is>
      </c>
      <c r="BC96" s="24" t="inlineStr">
        <is>
          <t>identity-v1</t>
        </is>
      </c>
      <c r="BD96" s="24" t="n"/>
      <c r="BE96" s="24" t="inlineStr">
        <is>
          <t>1</t>
        </is>
      </c>
      <c r="BF96" s="24" t="inlineStr">
        <is>
          <t>1</t>
        </is>
      </c>
      <c r="BG96" s="24" t="n"/>
      <c r="BH96" s="24" t="inlineStr">
        <is>
          <t>2026-07-22T22:42:56Z</t>
        </is>
      </c>
      <c r="BI96" s="24" t="n"/>
      <c r="BJ96" s="25" t="n"/>
      <c r="BK96" s="26" t="n">
        <v>-110</v>
      </c>
      <c r="BL96" s="27" t="n">
        <v>1.909</v>
      </c>
      <c r="BM96" s="28" t="n">
        <v>0.523834</v>
      </c>
      <c r="BN96" s="28" t="n">
        <v>0.523834</v>
      </c>
      <c r="BO96" s="28" t="n">
        <v>0.523834</v>
      </c>
      <c r="BP96" s="25" t="n"/>
      <c r="BQ96" s="27" t="n">
        <v>1.909</v>
      </c>
      <c r="BR96" s="28" t="n"/>
      <c r="BS96" s="28" t="n"/>
      <c r="BT96" s="28" t="n"/>
      <c r="BU96" s="25" t="n"/>
      <c r="BV96" s="29" t="n">
        <v>2</v>
      </c>
      <c r="BW96" s="24" t="n"/>
      <c r="BX96" s="30" t="n"/>
      <c r="BY96" s="27" t="n"/>
      <c r="BZ96" s="24" t="n"/>
      <c r="CA96" s="31" t="n"/>
      <c r="CB96" s="24" t="n"/>
      <c r="CC96" s="24" t="inlineStr">
        <is>
          <t>0.686754</t>
        </is>
      </c>
      <c r="CD96" s="24" t="inlineStr">
        <is>
          <t>-1.583278</t>
        </is>
      </c>
      <c r="CE96" s="24" t="n"/>
      <c r="CF96" s="24" t="n"/>
      <c r="CG96" s="24" t="n"/>
      <c r="CH96" s="24" t="inlineStr">
        <is>
          <t>-6.029632</t>
        </is>
      </c>
      <c r="CI96" s="24" t="n"/>
      <c r="CJ96" s="24" t="n"/>
      <c r="CK96" s="24" t="n"/>
      <c r="CL96" s="24" t="n"/>
      <c r="CM96" s="24" t="n"/>
    </row>
    <row r="97" ht="18" customHeight="1">
      <c r="A97" s="24" t="inlineStr">
        <is>
          <t>b1816e577dc745ab</t>
        </is>
      </c>
      <c r="B97" s="24" t="inlineStr">
        <is>
          <t>2026-07-22T22:42:56Z</t>
        </is>
      </c>
      <c r="C97" s="24" t="inlineStr">
        <is>
          <t>2026-07-19T00:00Z</t>
        </is>
      </c>
      <c r="D97" s="24" t="inlineStr">
        <is>
          <t>401857077</t>
        </is>
      </c>
      <c r="E97" s="24" t="inlineStr">
        <is>
          <t>WNBA</t>
        </is>
      </c>
      <c r="F97" s="24" t="inlineStr">
        <is>
          <t>New York Liberty</t>
        </is>
      </c>
      <c r="G97" s="24" t="inlineStr">
        <is>
          <t>Indiana Fever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-110</v>
      </c>
      <c r="M97" s="27" t="n">
        <v>1.909091</v>
      </c>
      <c r="N97" s="28" t="n">
        <v>0.52381</v>
      </c>
      <c r="O97" s="28" t="n">
        <v>0.608474</v>
      </c>
      <c r="P97" s="28" t="n">
        <v>0.05</v>
      </c>
      <c r="Q97" s="28" t="n">
        <v>0.084664</v>
      </c>
      <c r="R97" s="26" t="n">
        <v>62</v>
      </c>
      <c r="S97" s="29" t="n">
        <v>0</v>
      </c>
      <c r="T97" s="24" t="inlineStr">
        <is>
          <t>wnba-elo-trend-lr-v4</t>
        </is>
      </c>
      <c r="U97" s="24" t="inlineStr">
        <is>
          <t>settled</t>
        </is>
      </c>
      <c r="V97" s="24" t="inlineStr">
        <is>
          <t>win</t>
        </is>
      </c>
      <c r="W97" s="26" t="n">
        <v>88</v>
      </c>
      <c r="X97" s="26" t="n">
        <v>108</v>
      </c>
      <c r="Y97" s="25" t="n"/>
      <c r="Z97" s="26" t="n"/>
      <c r="AA97" s="28" t="n"/>
      <c r="AB97" s="28" t="n"/>
      <c r="AC97" s="30" t="n">
        <v>1.5362</v>
      </c>
      <c r="AD97" s="24" t="inlineStr">
        <is>
          <t>2026-07-22T23:40:35.288113Z</t>
        </is>
      </c>
      <c r="AE97" s="31" t="n"/>
      <c r="AF97" s="31" t="n"/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RESEARCH_OBSERVATION</t>
        </is>
      </c>
      <c r="AO97" s="24" t="inlineStr">
        <is>
          <t>NO_CALL_MODEL_UNVALIDATED</t>
        </is>
      </c>
      <c r="AP97" s="24" t="n"/>
      <c r="AQ97" s="24" t="n"/>
      <c r="AR97" s="24" t="n"/>
      <c r="AS97" s="24" t="n"/>
      <c r="AT97" s="24" t="n"/>
      <c r="AU97" s="24" t="n"/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7afd5274214b58b7efd7f7febc7be3ab33b92351cda5cc6403c0a39faea0cc8c</t>
        </is>
      </c>
      <c r="BB97" s="24" t="inlineStr">
        <is>
          <t>identity</t>
        </is>
      </c>
      <c r="BC97" s="24" t="inlineStr">
        <is>
          <t>identity-v1</t>
        </is>
      </c>
      <c r="BD97" s="24" t="n"/>
      <c r="BE97" s="24" t="inlineStr">
        <is>
          <t>1</t>
        </is>
      </c>
      <c r="BF97" s="24" t="inlineStr">
        <is>
          <t>1</t>
        </is>
      </c>
      <c r="BG97" s="24" t="n"/>
      <c r="BH97" s="24" t="inlineStr">
        <is>
          <t>2026-07-22T22:42:56Z</t>
        </is>
      </c>
      <c r="BI97" s="24" t="n"/>
      <c r="BJ97" s="25" t="n"/>
      <c r="BK97" s="26" t="n">
        <v>-110</v>
      </c>
      <c r="BL97" s="27" t="n">
        <v>1.909</v>
      </c>
      <c r="BM97" s="28" t="n">
        <v>0.523834</v>
      </c>
      <c r="BN97" s="28" t="n">
        <v>0.523834</v>
      </c>
      <c r="BO97" s="28" t="n">
        <v>0.523834</v>
      </c>
      <c r="BP97" s="25" t="n"/>
      <c r="BQ97" s="27" t="n"/>
      <c r="BR97" s="28" t="n"/>
      <c r="BS97" s="28" t="n"/>
      <c r="BT97" s="28" t="n"/>
      <c r="BU97" s="25" t="n"/>
      <c r="BV97" s="29" t="n">
        <v>1.69</v>
      </c>
      <c r="BW97" s="24" t="n"/>
      <c r="BX97" s="30" t="n"/>
      <c r="BY97" s="27" t="n"/>
      <c r="BZ97" s="24" t="n"/>
      <c r="CA97" s="31" t="n"/>
      <c r="CB97" s="24" t="n"/>
      <c r="CC97" s="24" t="inlineStr">
        <is>
          <t>0.651403</t>
        </is>
      </c>
      <c r="CD97" s="24" t="inlineStr">
        <is>
          <t>5.093446</t>
        </is>
      </c>
      <c r="CE97" s="24" t="n"/>
      <c r="CF97" s="24" t="n"/>
      <c r="CG97" s="24" t="n"/>
      <c r="CH97" s="24" t="inlineStr">
        <is>
          <t>-1.819385</t>
        </is>
      </c>
      <c r="CI97" s="24" t="n"/>
      <c r="CJ97" s="24" t="n"/>
      <c r="CK97" s="24" t="n"/>
      <c r="CL97" s="24" t="n"/>
      <c r="CM97" s="24" t="n"/>
    </row>
    <row r="98" ht="18" customHeight="1">
      <c r="A98" s="24" t="inlineStr">
        <is>
          <t>c0f49ba9c2914f66</t>
        </is>
      </c>
      <c r="B98" s="24" t="inlineStr">
        <is>
          <t>2026-07-22T22:42:56Z</t>
        </is>
      </c>
      <c r="C98" s="24" t="inlineStr">
        <is>
          <t>2026-07-19T00:00Z</t>
        </is>
      </c>
      <c r="D98" s="24" t="inlineStr">
        <is>
          <t>401857078</t>
        </is>
      </c>
      <c r="E98" s="24" t="inlineStr">
        <is>
          <t>WNBA</t>
        </is>
      </c>
      <c r="F98" s="24" t="inlineStr">
        <is>
          <t>Portland Fire</t>
        </is>
      </c>
      <c r="G98" s="24" t="inlineStr">
        <is>
          <t>Minnesota Lynx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-110</v>
      </c>
      <c r="M98" s="27" t="n">
        <v>1.909091</v>
      </c>
      <c r="N98" s="28" t="n">
        <v>0.52381</v>
      </c>
      <c r="O98" s="28" t="n">
        <v>0.76009</v>
      </c>
      <c r="P98" s="28" t="n">
        <v>0.05</v>
      </c>
      <c r="Q98" s="28" t="n">
        <v>0.23628</v>
      </c>
      <c r="R98" s="26" t="n">
        <v>100</v>
      </c>
      <c r="S98" s="29" t="n">
        <v>0</v>
      </c>
      <c r="T98" s="24" t="inlineStr">
        <is>
          <t>wnba-elo-trend-lr-v4</t>
        </is>
      </c>
      <c r="U98" s="24" t="inlineStr">
        <is>
          <t>settled</t>
        </is>
      </c>
      <c r="V98" s="24" t="inlineStr">
        <is>
          <t>win</t>
        </is>
      </c>
      <c r="W98" s="26" t="n">
        <v>93</v>
      </c>
      <c r="X98" s="26" t="n">
        <v>101</v>
      </c>
      <c r="Y98" s="25" t="n"/>
      <c r="Z98" s="26" t="n">
        <v>-110</v>
      </c>
      <c r="AA98" s="28" t="n">
        <v>0.523834</v>
      </c>
      <c r="AB98" s="28" t="n"/>
      <c r="AC98" s="30" t="n">
        <v>1.818</v>
      </c>
      <c r="AD98" s="24" t="inlineStr">
        <is>
          <t>2026-07-23T00:02:09Z</t>
        </is>
      </c>
      <c r="AE98" s="31" t="n"/>
      <c r="AF98" s="31" t="n"/>
      <c r="AG98" s="24" t="n"/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RESEARCH_OBSERVATION</t>
        </is>
      </c>
      <c r="AO98" s="24" t="inlineStr">
        <is>
          <t>NO_CALL_MODEL_UNVALIDATED</t>
        </is>
      </c>
      <c r="AP98" s="24" t="n"/>
      <c r="AQ98" s="24" t="n"/>
      <c r="AR98" s="24" t="n"/>
      <c r="AS98" s="24" t="n"/>
      <c r="AT98" s="24" t="n"/>
      <c r="AU98" s="24" t="n"/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7afd5274214b58b7efd7f7febc7be3ab33b92351cda5cc6403c0a39faea0cc8c</t>
        </is>
      </c>
      <c r="BB98" s="24" t="inlineStr">
        <is>
          <t>identity</t>
        </is>
      </c>
      <c r="BC98" s="24" t="inlineStr">
        <is>
          <t>identity-v1</t>
        </is>
      </c>
      <c r="BD98" s="24" t="n"/>
      <c r="BE98" s="24" t="inlineStr">
        <is>
          <t>1</t>
        </is>
      </c>
      <c r="BF98" s="24" t="inlineStr">
        <is>
          <t>1</t>
        </is>
      </c>
      <c r="BG98" s="24" t="n"/>
      <c r="BH98" s="24" t="inlineStr">
        <is>
          <t>2026-07-22T22:42:56Z</t>
        </is>
      </c>
      <c r="BI98" s="24" t="n"/>
      <c r="BJ98" s="25" t="n"/>
      <c r="BK98" s="26" t="n">
        <v>-110</v>
      </c>
      <c r="BL98" s="27" t="n">
        <v>1.909</v>
      </c>
      <c r="BM98" s="28" t="n">
        <v>0.523834</v>
      </c>
      <c r="BN98" s="28" t="n">
        <v>0.523834</v>
      </c>
      <c r="BO98" s="28" t="n">
        <v>0.523834</v>
      </c>
      <c r="BP98" s="25" t="n"/>
      <c r="BQ98" s="27" t="n">
        <v>1.909</v>
      </c>
      <c r="BR98" s="28" t="n"/>
      <c r="BS98" s="28" t="n"/>
      <c r="BT98" s="28" t="n"/>
      <c r="BU98" s="25" t="n"/>
      <c r="BV98" s="29" t="n">
        <v>2</v>
      </c>
      <c r="BW98" s="24" t="n"/>
      <c r="BX98" s="30" t="n"/>
      <c r="BY98" s="27" t="n"/>
      <c r="BZ98" s="24" t="n"/>
      <c r="CA98" s="31" t="n"/>
      <c r="CB98" s="24" t="n"/>
      <c r="CC98" s="24" t="inlineStr">
        <is>
          <t>0.866104</t>
        </is>
      </c>
      <c r="CD98" s="24" t="inlineStr">
        <is>
          <t>2.001573</t>
        </is>
      </c>
      <c r="CE98" s="24" t="n"/>
      <c r="CF98" s="24" t="n"/>
      <c r="CG98" s="24" t="n"/>
      <c r="CH98" s="24" t="inlineStr">
        <is>
          <t>-8.096233</t>
        </is>
      </c>
      <c r="CI98" s="24" t="n"/>
      <c r="CJ98" s="24" t="n"/>
      <c r="CK98" s="24" t="n"/>
      <c r="CL98" s="24" t="n"/>
      <c r="CM98" s="24" t="n"/>
    </row>
    <row r="99" ht="18" customHeight="1">
      <c r="A99" s="24" t="inlineStr">
        <is>
          <t>748e6a0fe88d46db</t>
        </is>
      </c>
      <c r="B99" s="24" t="inlineStr">
        <is>
          <t>2026-07-22T22:42:56Z</t>
        </is>
      </c>
      <c r="C99" s="24" t="inlineStr">
        <is>
          <t>2026-07-19T00:30Z</t>
        </is>
      </c>
      <c r="D99" s="24" t="inlineStr">
        <is>
          <t>401857079</t>
        </is>
      </c>
      <c r="E99" s="24" t="inlineStr">
        <is>
          <t>WNBA</t>
        </is>
      </c>
      <c r="F99" s="24" t="inlineStr">
        <is>
          <t>Washington Mystics</t>
        </is>
      </c>
      <c r="G99" s="24" t="inlineStr">
        <is>
          <t>Golden State Valkyries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-110</v>
      </c>
      <c r="M99" s="27" t="n">
        <v>1.909091</v>
      </c>
      <c r="N99" s="28" t="n">
        <v>0.52381</v>
      </c>
      <c r="O99" s="28" t="n">
        <v>0.75064</v>
      </c>
      <c r="P99" s="28" t="n">
        <v>0.05</v>
      </c>
      <c r="Q99" s="28" t="n">
        <v>0.22683</v>
      </c>
      <c r="R99" s="26" t="n">
        <v>100</v>
      </c>
      <c r="S99" s="29" t="n">
        <v>0</v>
      </c>
      <c r="T99" s="24" t="inlineStr">
        <is>
          <t>wnba-elo-trend-lr-v4</t>
        </is>
      </c>
      <c r="U99" s="24" t="inlineStr">
        <is>
          <t>settled</t>
        </is>
      </c>
      <c r="V99" s="24" t="inlineStr">
        <is>
          <t>win</t>
        </is>
      </c>
      <c r="W99" s="26" t="n">
        <v>69</v>
      </c>
      <c r="X99" s="26" t="n">
        <v>74</v>
      </c>
      <c r="Y99" s="25" t="n"/>
      <c r="Z99" s="26" t="n">
        <v>-110</v>
      </c>
      <c r="AA99" s="28" t="n">
        <v>0.523834</v>
      </c>
      <c r="AB99" s="28" t="n"/>
      <c r="AC99" s="30" t="n">
        <v>1.818</v>
      </c>
      <c r="AD99" s="24" t="inlineStr">
        <is>
          <t>2026-07-23T00:02:09Z</t>
        </is>
      </c>
      <c r="AE99" s="31" t="n"/>
      <c r="AF99" s="31" t="n"/>
      <c r="AG99" s="24" t="n"/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RESEARCH_OBSERVATION</t>
        </is>
      </c>
      <c r="AO99" s="24" t="inlineStr">
        <is>
          <t>NO_CALL_MODEL_UNVALIDATED</t>
        </is>
      </c>
      <c r="AP99" s="24" t="n"/>
      <c r="AQ99" s="24" t="n"/>
      <c r="AR99" s="24" t="n"/>
      <c r="AS99" s="24" t="n"/>
      <c r="AT99" s="24" t="n"/>
      <c r="AU99" s="24" t="n"/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7afd5274214b58b7efd7f7febc7be3ab33b92351cda5cc6403c0a39faea0cc8c</t>
        </is>
      </c>
      <c r="BB99" s="24" t="inlineStr">
        <is>
          <t>identity</t>
        </is>
      </c>
      <c r="BC99" s="24" t="inlineStr">
        <is>
          <t>identity-v1</t>
        </is>
      </c>
      <c r="BD99" s="24" t="n"/>
      <c r="BE99" s="24" t="inlineStr">
        <is>
          <t>1</t>
        </is>
      </c>
      <c r="BF99" s="24" t="inlineStr">
        <is>
          <t>1</t>
        </is>
      </c>
      <c r="BG99" s="24" t="n"/>
      <c r="BH99" s="24" t="inlineStr">
        <is>
          <t>2026-07-22T22:42:56Z</t>
        </is>
      </c>
      <c r="BI99" s="24" t="n"/>
      <c r="BJ99" s="25" t="n"/>
      <c r="BK99" s="26" t="n">
        <v>-110</v>
      </c>
      <c r="BL99" s="27" t="n">
        <v>1.909</v>
      </c>
      <c r="BM99" s="28" t="n">
        <v>0.523834</v>
      </c>
      <c r="BN99" s="28" t="n">
        <v>0.523834</v>
      </c>
      <c r="BO99" s="28" t="n">
        <v>0.523834</v>
      </c>
      <c r="BP99" s="25" t="n"/>
      <c r="BQ99" s="27" t="n">
        <v>1.909</v>
      </c>
      <c r="BR99" s="28" t="n"/>
      <c r="BS99" s="28" t="n"/>
      <c r="BT99" s="28" t="n"/>
      <c r="BU99" s="25" t="n"/>
      <c r="BV99" s="29" t="n">
        <v>2</v>
      </c>
      <c r="BW99" s="24" t="n"/>
      <c r="BX99" s="30" t="n"/>
      <c r="BY99" s="27" t="n"/>
      <c r="BZ99" s="24" t="n"/>
      <c r="CA99" s="31" t="n"/>
      <c r="CB99" s="24" t="n"/>
      <c r="CC99" s="24" t="inlineStr">
        <is>
          <t>0.862414</t>
        </is>
      </c>
      <c r="CD99" s="24" t="inlineStr">
        <is>
          <t>4.720226</t>
        </is>
      </c>
      <c r="CE99" s="24" t="n"/>
      <c r="CF99" s="24" t="n"/>
      <c r="CG99" s="24" t="n"/>
      <c r="CH99" s="24" t="inlineStr">
        <is>
          <t>-0.874447</t>
        </is>
      </c>
      <c r="CI99" s="24" t="n"/>
      <c r="CJ99" s="24" t="n"/>
      <c r="CK99" s="24" t="n"/>
      <c r="CL99" s="24" t="n"/>
      <c r="CM99" s="24" t="n"/>
    </row>
    <row r="100" ht="18" customHeight="1">
      <c r="A100" s="24" t="inlineStr">
        <is>
          <t>9bd17ef5f2f7415e</t>
        </is>
      </c>
      <c r="B100" s="24" t="inlineStr">
        <is>
          <t>2026-07-22T22:42:56Z</t>
        </is>
      </c>
      <c r="C100" s="24" t="inlineStr">
        <is>
          <t>2026-07-19T17:00Z</t>
        </is>
      </c>
      <c r="D100" s="24" t="inlineStr">
        <is>
          <t>401857080</t>
        </is>
      </c>
      <c r="E100" s="24" t="inlineStr">
        <is>
          <t>WNBA</t>
        </is>
      </c>
      <c r="F100" s="24" t="inlineStr">
        <is>
          <t>Los Angeles Sparks</t>
        </is>
      </c>
      <c r="G100" s="24" t="inlineStr">
        <is>
          <t>Dallas Wings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-110</v>
      </c>
      <c r="M100" s="27" t="n">
        <v>1.909091</v>
      </c>
      <c r="N100" s="28" t="n">
        <v>0.52381</v>
      </c>
      <c r="O100" s="28" t="n">
        <v>0.738341</v>
      </c>
      <c r="P100" s="28" t="n">
        <v>0.05</v>
      </c>
      <c r="Q100" s="28" t="n">
        <v>0.214531</v>
      </c>
      <c r="R100" s="26" t="n">
        <v>100</v>
      </c>
      <c r="S100" s="29" t="n">
        <v>0</v>
      </c>
      <c r="T100" s="24" t="inlineStr">
        <is>
          <t>wnba-elo-trend-lr-v4</t>
        </is>
      </c>
      <c r="U100" s="24" t="inlineStr">
        <is>
          <t>settled</t>
        </is>
      </c>
      <c r="V100" s="24" t="inlineStr">
        <is>
          <t>win</t>
        </is>
      </c>
      <c r="W100" s="26" t="n">
        <v>82</v>
      </c>
      <c r="X100" s="26" t="n">
        <v>90</v>
      </c>
      <c r="Y100" s="25" t="n"/>
      <c r="Z100" s="26" t="n"/>
      <c r="AA100" s="28" t="n"/>
      <c r="AB100" s="28" t="n"/>
      <c r="AC100" s="30" t="n">
        <v>1.818</v>
      </c>
      <c r="AD100" s="24" t="inlineStr">
        <is>
          <t>2026-07-22T23:40:36.780212Z</t>
        </is>
      </c>
      <c r="AE100" s="31" t="n"/>
      <c r="AF100" s="31" t="n"/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RESEARCH_OBSERVATION</t>
        </is>
      </c>
      <c r="AO100" s="24" t="inlineStr">
        <is>
          <t>NO_CALL_MODEL_UNVALIDATED</t>
        </is>
      </c>
      <c r="AP100" s="24" t="n"/>
      <c r="AQ100" s="24" t="n"/>
      <c r="AR100" s="24" t="n"/>
      <c r="AS100" s="24" t="n"/>
      <c r="AT100" s="24" t="n"/>
      <c r="AU100" s="24" t="n"/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7afd5274214b58b7efd7f7febc7be3ab33b92351cda5cc6403c0a39faea0cc8c</t>
        </is>
      </c>
      <c r="BB100" s="24" t="inlineStr">
        <is>
          <t>identity</t>
        </is>
      </c>
      <c r="BC100" s="24" t="inlineStr">
        <is>
          <t>identity-v1</t>
        </is>
      </c>
      <c r="BD100" s="24" t="n"/>
      <c r="BE100" s="24" t="inlineStr">
        <is>
          <t>1</t>
        </is>
      </c>
      <c r="BF100" s="24" t="inlineStr">
        <is>
          <t>1</t>
        </is>
      </c>
      <c r="BG100" s="24" t="n"/>
      <c r="BH100" s="24" t="inlineStr">
        <is>
          <t>2026-07-22T22:42:56Z</t>
        </is>
      </c>
      <c r="BI100" s="24" t="n"/>
      <c r="BJ100" s="25" t="n"/>
      <c r="BK100" s="26" t="n">
        <v>-110</v>
      </c>
      <c r="BL100" s="27" t="n">
        <v>1.909</v>
      </c>
      <c r="BM100" s="28" t="n">
        <v>0.523834</v>
      </c>
      <c r="BN100" s="28" t="n">
        <v>0.523834</v>
      </c>
      <c r="BO100" s="28" t="n">
        <v>0.523834</v>
      </c>
      <c r="BP100" s="25" t="n"/>
      <c r="BQ100" s="27" t="n"/>
      <c r="BR100" s="28" t="n"/>
      <c r="BS100" s="28" t="n"/>
      <c r="BT100" s="28" t="n"/>
      <c r="BU100" s="25" t="n"/>
      <c r="BV100" s="29" t="n">
        <v>2</v>
      </c>
      <c r="BW100" s="24" t="n"/>
      <c r="BX100" s="30" t="n"/>
      <c r="BY100" s="27" t="n"/>
      <c r="BZ100" s="24" t="n"/>
      <c r="CA100" s="31" t="n"/>
      <c r="CB100" s="24" t="n"/>
      <c r="CC100" s="24" t="inlineStr">
        <is>
          <t>0.839957</t>
        </is>
      </c>
      <c r="CD100" s="24" t="inlineStr">
        <is>
          <t>1.256293</t>
        </is>
      </c>
      <c r="CE100" s="24" t="n"/>
      <c r="CF100" s="24" t="n"/>
      <c r="CG100" s="24" t="n"/>
      <c r="CH100" s="24" t="inlineStr">
        <is>
          <t>5.144466</t>
        </is>
      </c>
      <c r="CI100" s="24" t="n"/>
      <c r="CJ100" s="24" t="n"/>
      <c r="CK100" s="24" t="n"/>
      <c r="CL100" s="24" t="n"/>
      <c r="CM100" s="24" t="n"/>
    </row>
    <row r="101" ht="18" customHeight="1">
      <c r="A101" s="24" t="inlineStr">
        <is>
          <t>4b3569e386fc436c</t>
        </is>
      </c>
      <c r="B101" s="24" t="inlineStr">
        <is>
          <t>2026-07-22T22:42:56Z</t>
        </is>
      </c>
      <c r="C101" s="24" t="inlineStr">
        <is>
          <t>2026-07-19T20:00Z</t>
        </is>
      </c>
      <c r="D101" s="24" t="inlineStr">
        <is>
          <t>401857081</t>
        </is>
      </c>
      <c r="E101" s="24" t="inlineStr">
        <is>
          <t>WNBA</t>
        </is>
      </c>
      <c r="F101" s="24" t="inlineStr">
        <is>
          <t>Chicago Sky</t>
        </is>
      </c>
      <c r="G101" s="24" t="inlineStr">
        <is>
          <t>Atlanta Dream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-110</v>
      </c>
      <c r="M101" s="27" t="n">
        <v>1.909091</v>
      </c>
      <c r="N101" s="28" t="n">
        <v>0.52381</v>
      </c>
      <c r="O101" s="28" t="n">
        <v>0.684245</v>
      </c>
      <c r="P101" s="28" t="n">
        <v>0.05</v>
      </c>
      <c r="Q101" s="28" t="n">
        <v>0.160435</v>
      </c>
      <c r="R101" s="26" t="n">
        <v>100</v>
      </c>
      <c r="S101" s="29" t="n">
        <v>0</v>
      </c>
      <c r="T101" s="24" t="inlineStr">
        <is>
          <t>wnba-elo-trend-lr-v4</t>
        </is>
      </c>
      <c r="U101" s="24" t="inlineStr">
        <is>
          <t>settled</t>
        </is>
      </c>
      <c r="V101" s="24" t="inlineStr">
        <is>
          <t>win</t>
        </is>
      </c>
      <c r="W101" s="26" t="n">
        <v>91</v>
      </c>
      <c r="X101" s="26" t="n">
        <v>93</v>
      </c>
      <c r="Y101" s="25" t="n"/>
      <c r="Z101" s="26" t="n">
        <v>-110</v>
      </c>
      <c r="AA101" s="28" t="n">
        <v>0.523834</v>
      </c>
      <c r="AB101" s="28" t="n"/>
      <c r="AC101" s="30" t="n">
        <v>1.818</v>
      </c>
      <c r="AD101" s="24" t="inlineStr">
        <is>
          <t>2026-07-22T23:44:22Z</t>
        </is>
      </c>
      <c r="AE101" s="31" t="n"/>
      <c r="AF101" s="31" t="n"/>
      <c r="AG101" s="24" t="n"/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RESEARCH_OBSERVATION</t>
        </is>
      </c>
      <c r="AO101" s="24" t="inlineStr">
        <is>
          <t>NO_CALL_MODEL_UNVALIDATED</t>
        </is>
      </c>
      <c r="AP101" s="24" t="n"/>
      <c r="AQ101" s="24" t="n"/>
      <c r="AR101" s="24" t="n"/>
      <c r="AS101" s="24" t="n"/>
      <c r="AT101" s="24" t="n"/>
      <c r="AU101" s="24" t="n"/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7afd5274214b58b7efd7f7febc7be3ab33b92351cda5cc6403c0a39faea0cc8c</t>
        </is>
      </c>
      <c r="BB101" s="24" t="inlineStr">
        <is>
          <t>identity</t>
        </is>
      </c>
      <c r="BC101" s="24" t="inlineStr">
        <is>
          <t>identity-v1</t>
        </is>
      </c>
      <c r="BD101" s="24" t="n"/>
      <c r="BE101" s="24" t="inlineStr">
        <is>
          <t>1</t>
        </is>
      </c>
      <c r="BF101" s="24" t="inlineStr">
        <is>
          <t>1</t>
        </is>
      </c>
      <c r="BG101" s="24" t="n"/>
      <c r="BH101" s="24" t="inlineStr">
        <is>
          <t>2026-07-22T22:42:56Z</t>
        </is>
      </c>
      <c r="BI101" s="24" t="n"/>
      <c r="BJ101" s="25" t="n"/>
      <c r="BK101" s="26" t="n">
        <v>-110</v>
      </c>
      <c r="BL101" s="27" t="n">
        <v>1.909</v>
      </c>
      <c r="BM101" s="28" t="n">
        <v>0.523834</v>
      </c>
      <c r="BN101" s="28" t="n">
        <v>0.523834</v>
      </c>
      <c r="BO101" s="28" t="n">
        <v>0.523834</v>
      </c>
      <c r="BP101" s="25" t="n"/>
      <c r="BQ101" s="27" t="n">
        <v>1.909</v>
      </c>
      <c r="BR101" s="28" t="n"/>
      <c r="BS101" s="28" t="n"/>
      <c r="BT101" s="28" t="n"/>
      <c r="BU101" s="25" t="n"/>
      <c r="BV101" s="29" t="n">
        <v>2</v>
      </c>
      <c r="BW101" s="24" t="n"/>
      <c r="BX101" s="30" t="n"/>
      <c r="BY101" s="27" t="n"/>
      <c r="BZ101" s="24" t="n"/>
      <c r="CA101" s="31" t="n"/>
      <c r="CB101" s="24" t="n"/>
      <c r="CC101" s="24" t="inlineStr">
        <is>
          <t>0.740089</t>
        </is>
      </c>
      <c r="CD101" s="24" t="inlineStr">
        <is>
          <t>-1.350894</t>
        </is>
      </c>
      <c r="CE101" s="24" t="n"/>
      <c r="CF101" s="24" t="n"/>
      <c r="CG101" s="24" t="n"/>
      <c r="CH101" s="24" t="inlineStr">
        <is>
          <t>-5.543573</t>
        </is>
      </c>
      <c r="CI101" s="24" t="n"/>
      <c r="CJ101" s="24" t="n"/>
      <c r="CK101" s="24" t="n"/>
      <c r="CL101" s="24" t="n"/>
      <c r="CM101" s="24" t="n"/>
    </row>
    <row r="102" ht="18" customHeight="1">
      <c r="A102" s="24" t="inlineStr">
        <is>
          <t>a2190393c7374b7a</t>
        </is>
      </c>
      <c r="B102" s="24" t="inlineStr">
        <is>
          <t>2026-07-22T22:42:56Z</t>
        </is>
      </c>
      <c r="C102" s="24" t="inlineStr">
        <is>
          <t>2026-07-19T23:00Z</t>
        </is>
      </c>
      <c r="D102" s="24" t="inlineStr">
        <is>
          <t>401857082</t>
        </is>
      </c>
      <c r="E102" s="24" t="inlineStr">
        <is>
          <t>WNBA</t>
        </is>
      </c>
      <c r="F102" s="24" t="inlineStr">
        <is>
          <t>Connecticut Sun</t>
        </is>
      </c>
      <c r="G102" s="24" t="inlineStr">
        <is>
          <t>Phoenix Mercury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-110</v>
      </c>
      <c r="M102" s="27" t="n">
        <v>1.909091</v>
      </c>
      <c r="N102" s="28" t="n">
        <v>0.52381</v>
      </c>
      <c r="O102" s="28" t="n">
        <v>0.576234</v>
      </c>
      <c r="P102" s="28" t="n">
        <v>0.05</v>
      </c>
      <c r="Q102" s="28" t="n">
        <v>0.052424</v>
      </c>
      <c r="R102" s="26" t="n">
        <v>46</v>
      </c>
      <c r="S102" s="29" t="n">
        <v>0</v>
      </c>
      <c r="T102" s="24" t="inlineStr">
        <is>
          <t>wnba-elo-trend-lr-v4</t>
        </is>
      </c>
      <c r="U102" s="24" t="inlineStr">
        <is>
          <t>settled</t>
        </is>
      </c>
      <c r="V102" s="24" t="inlineStr">
        <is>
          <t>win</t>
        </is>
      </c>
      <c r="W102" s="26" t="n">
        <v>63</v>
      </c>
      <c r="X102" s="26" t="n">
        <v>72</v>
      </c>
      <c r="Y102" s="25" t="n"/>
      <c r="Z102" s="26" t="n">
        <v>-110</v>
      </c>
      <c r="AA102" s="28" t="n">
        <v>0.523834</v>
      </c>
      <c r="AB102" s="28" t="n"/>
      <c r="AC102" s="30" t="n">
        <v>0.9545</v>
      </c>
      <c r="AD102" s="24" t="inlineStr">
        <is>
          <t>2026-07-22T23:44:22Z</t>
        </is>
      </c>
      <c r="AE102" s="31" t="n"/>
      <c r="AF102" s="31" t="n"/>
      <c r="AG102" s="24" t="n"/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RESEARCH_OBSERVATION</t>
        </is>
      </c>
      <c r="AO102" s="24" t="inlineStr">
        <is>
          <t>NO_CALL_MODEL_UNVALIDATED</t>
        </is>
      </c>
      <c r="AP102" s="24" t="n"/>
      <c r="AQ102" s="24" t="n"/>
      <c r="AR102" s="24" t="n"/>
      <c r="AS102" s="24" t="n"/>
      <c r="AT102" s="24" t="n"/>
      <c r="AU102" s="24" t="n"/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7afd5274214b58b7efd7f7febc7be3ab33b92351cda5cc6403c0a39faea0cc8c</t>
        </is>
      </c>
      <c r="BB102" s="24" t="inlineStr">
        <is>
          <t>identity</t>
        </is>
      </c>
      <c r="BC102" s="24" t="inlineStr">
        <is>
          <t>identity-v1</t>
        </is>
      </c>
      <c r="BD102" s="24" t="n"/>
      <c r="BE102" s="24" t="inlineStr">
        <is>
          <t>1</t>
        </is>
      </c>
      <c r="BF102" s="24" t="inlineStr">
        <is>
          <t>1</t>
        </is>
      </c>
      <c r="BG102" s="24" t="n"/>
      <c r="BH102" s="24" t="inlineStr">
        <is>
          <t>2026-07-22T22:42:56Z</t>
        </is>
      </c>
      <c r="BI102" s="24" t="n"/>
      <c r="BJ102" s="25" t="n"/>
      <c r="BK102" s="26" t="n">
        <v>-110</v>
      </c>
      <c r="BL102" s="27" t="n">
        <v>1.909</v>
      </c>
      <c r="BM102" s="28" t="n">
        <v>0.523834</v>
      </c>
      <c r="BN102" s="28" t="n">
        <v>0.523834</v>
      </c>
      <c r="BO102" s="28" t="n">
        <v>0.523834</v>
      </c>
      <c r="BP102" s="25" t="n"/>
      <c r="BQ102" s="27" t="n">
        <v>1.909</v>
      </c>
      <c r="BR102" s="28" t="n"/>
      <c r="BS102" s="28" t="n"/>
      <c r="BT102" s="28" t="n"/>
      <c r="BU102" s="25" t="n"/>
      <c r="BV102" s="29" t="n">
        <v>1.05</v>
      </c>
      <c r="BW102" s="24" t="n"/>
      <c r="BX102" s="30" t="n"/>
      <c r="BY102" s="27" t="n"/>
      <c r="BZ102" s="24" t="n"/>
      <c r="CA102" s="31" t="n"/>
      <c r="CB102" s="24" t="n"/>
      <c r="CC102" s="24" t="inlineStr">
        <is>
          <t>0.584213</t>
        </is>
      </c>
      <c r="CD102" s="24" t="inlineStr">
        <is>
          <t>-3.773353</t>
        </is>
      </c>
      <c r="CE102" s="24" t="n"/>
      <c r="CF102" s="24" t="n"/>
      <c r="CG102" s="24" t="n"/>
      <c r="CH102" s="24" t="inlineStr">
        <is>
          <t>-7.650785</t>
        </is>
      </c>
      <c r="CI102" s="24" t="n"/>
      <c r="CJ102" s="24" t="n"/>
      <c r="CK102" s="24" t="n"/>
      <c r="CL102" s="24" t="n"/>
      <c r="CM102" s="24" t="n"/>
    </row>
    <row r="103" ht="18" customHeight="1">
      <c r="A103" s="24" t="inlineStr">
        <is>
          <t>2422bff8c3854dbe</t>
        </is>
      </c>
      <c r="B103" s="24" t="inlineStr">
        <is>
          <t>2026-07-22T22:42:56Z</t>
        </is>
      </c>
      <c r="C103" s="24" t="inlineStr">
        <is>
          <t>2026-07-21T00:00Z</t>
        </is>
      </c>
      <c r="D103" s="24" t="inlineStr">
        <is>
          <t>401857083</t>
        </is>
      </c>
      <c r="E103" s="24" t="inlineStr">
        <is>
          <t>WNBA</t>
        </is>
      </c>
      <c r="F103" s="24" t="inlineStr">
        <is>
          <t>Las Vegas Aces</t>
        </is>
      </c>
      <c r="G103" s="24" t="inlineStr">
        <is>
          <t>Toronto Tempo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-110</v>
      </c>
      <c r="M103" s="27" t="n">
        <v>1.909091</v>
      </c>
      <c r="N103" s="28" t="n">
        <v>0.52381</v>
      </c>
      <c r="O103" s="28" t="n">
        <v>0.342195</v>
      </c>
      <c r="P103" s="28" t="n">
        <v>0.05</v>
      </c>
      <c r="Q103" s="28" t="n">
        <v>-0.181615</v>
      </c>
      <c r="R103" s="26" t="n">
        <v>0</v>
      </c>
      <c r="S103" s="29" t="n">
        <v>0</v>
      </c>
      <c r="T103" s="24" t="inlineStr">
        <is>
          <t>wnba-elo-trend-lr-v4</t>
        </is>
      </c>
      <c r="U103" s="24" t="inlineStr">
        <is>
          <t>settled</t>
        </is>
      </c>
      <c r="V103" s="24" t="inlineStr">
        <is>
          <t>win</t>
        </is>
      </c>
      <c r="W103" s="26" t="n">
        <v>109</v>
      </c>
      <c r="X103" s="26" t="n">
        <v>83</v>
      </c>
      <c r="Y103" s="25" t="n"/>
      <c r="Z103" s="26" t="n"/>
      <c r="AA103" s="28" t="n"/>
      <c r="AB103" s="28" t="n"/>
      <c r="AC103" s="30" t="n">
        <v>1.818</v>
      </c>
      <c r="AD103" s="24" t="inlineStr">
        <is>
          <t>2026-07-22T23:40:38.173494Z</t>
        </is>
      </c>
      <c r="AE103" s="31" t="n"/>
      <c r="AF103" s="31" t="n"/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RESEARCH_OBSERVATION</t>
        </is>
      </c>
      <c r="AO103" s="24" t="inlineStr">
        <is>
          <t>NO_CALL_MODEL_UNVALIDATED</t>
        </is>
      </c>
      <c r="AP103" s="24" t="n"/>
      <c r="AQ103" s="24" t="n"/>
      <c r="AR103" s="24" t="n"/>
      <c r="AS103" s="24" t="n"/>
      <c r="AT103" s="24" t="n"/>
      <c r="AU103" s="24" t="n"/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7afd5274214b58b7efd7f7febc7be3ab33b92351cda5cc6403c0a39faea0cc8c</t>
        </is>
      </c>
      <c r="BB103" s="24" t="inlineStr">
        <is>
          <t>identity</t>
        </is>
      </c>
      <c r="BC103" s="24" t="inlineStr">
        <is>
          <t>identity-v1</t>
        </is>
      </c>
      <c r="BD103" s="24" t="n"/>
      <c r="BE103" s="24" t="inlineStr">
        <is>
          <t>1</t>
        </is>
      </c>
      <c r="BF103" s="24" t="inlineStr">
        <is>
          <t>1</t>
        </is>
      </c>
      <c r="BG103" s="24" t="n"/>
      <c r="BH103" s="24" t="inlineStr">
        <is>
          <t>2026-07-22T22:42:56Z</t>
        </is>
      </c>
      <c r="BI103" s="24" t="n"/>
      <c r="BJ103" s="25" t="n"/>
      <c r="BK103" s="26" t="n">
        <v>-110</v>
      </c>
      <c r="BL103" s="27" t="n">
        <v>1.909</v>
      </c>
      <c r="BM103" s="28" t="n">
        <v>0.523834</v>
      </c>
      <c r="BN103" s="28" t="n">
        <v>0.523834</v>
      </c>
      <c r="BO103" s="28" t="n">
        <v>0.523834</v>
      </c>
      <c r="BP103" s="25" t="n"/>
      <c r="BQ103" s="27" t="n"/>
      <c r="BR103" s="28" t="n"/>
      <c r="BS103" s="28" t="n"/>
      <c r="BT103" s="28" t="n"/>
      <c r="BU103" s="25" t="n"/>
      <c r="BV103" s="29" t="n">
        <v>2</v>
      </c>
      <c r="BW103" s="24" t="n"/>
      <c r="BX103" s="30" t="n"/>
      <c r="BY103" s="27" t="n"/>
      <c r="BZ103" s="24" t="n"/>
      <c r="CA103" s="31" t="n"/>
      <c r="CB103" s="24" t="n"/>
      <c r="CC103" s="24" t="inlineStr">
        <is>
          <t>0.292333</t>
        </is>
      </c>
      <c r="CD103" s="24" t="inlineStr">
        <is>
          <t>0.102905</t>
        </is>
      </c>
      <c r="CE103" s="24" t="n"/>
      <c r="CF103" s="24" t="n"/>
      <c r="CG103" s="24" t="n"/>
      <c r="CH103" s="24" t="inlineStr">
        <is>
          <t>-0.903973</t>
        </is>
      </c>
      <c r="CI103" s="24" t="n"/>
      <c r="CJ103" s="24" t="n"/>
      <c r="CK103" s="24" t="n"/>
      <c r="CL103" s="24" t="n"/>
      <c r="CM103" s="24" t="n"/>
    </row>
    <row r="104" ht="18" customHeight="1">
      <c r="A104" s="24" t="inlineStr">
        <is>
          <t>e3d631386a044bd8</t>
        </is>
      </c>
      <c r="B104" s="24" t="inlineStr">
        <is>
          <t>2026-07-22T22:42:56Z</t>
        </is>
      </c>
      <c r="C104" s="24" t="inlineStr">
        <is>
          <t>2026-07-21T00:00Z</t>
        </is>
      </c>
      <c r="D104" s="24" t="inlineStr">
        <is>
          <t>401892393</t>
        </is>
      </c>
      <c r="E104" s="24" t="inlineStr">
        <is>
          <t>WNBA</t>
        </is>
      </c>
      <c r="F104" s="24" t="inlineStr">
        <is>
          <t>New York Liberty</t>
        </is>
      </c>
      <c r="G104" s="24" t="inlineStr">
        <is>
          <t>Dallas Wings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-110</v>
      </c>
      <c r="M104" s="27" t="n">
        <v>1.909091</v>
      </c>
      <c r="N104" s="28" t="n">
        <v>0.52381</v>
      </c>
      <c r="O104" s="28" t="n">
        <v>0.6690160000000001</v>
      </c>
      <c r="P104" s="28" t="n">
        <v>0.05</v>
      </c>
      <c r="Q104" s="28" t="n">
        <v>0.145206</v>
      </c>
      <c r="R104" s="26" t="n">
        <v>93</v>
      </c>
      <c r="S104" s="29" t="n">
        <v>0</v>
      </c>
      <c r="T104" s="24" t="inlineStr">
        <is>
          <t>wnba-elo-trend-lr-v4</t>
        </is>
      </c>
      <c r="U104" s="24" t="inlineStr">
        <is>
          <t>settled</t>
        </is>
      </c>
      <c r="V104" s="24" t="inlineStr">
        <is>
          <t>loss</t>
        </is>
      </c>
      <c r="W104" s="26" t="n">
        <v>99</v>
      </c>
      <c r="X104" s="26" t="n">
        <v>98</v>
      </c>
      <c r="Y104" s="25" t="n"/>
      <c r="Z104" s="26" t="n"/>
      <c r="AA104" s="28" t="n"/>
      <c r="AB104" s="28" t="n"/>
      <c r="AC104" s="30" t="n">
        <v>-2</v>
      </c>
      <c r="AD104" s="24" t="inlineStr">
        <is>
          <t>2026-07-22T23:40:38.872966Z</t>
        </is>
      </c>
      <c r="AE104" s="31" t="n"/>
      <c r="AF104" s="31" t="n"/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RESEARCH_OBSERVATION</t>
        </is>
      </c>
      <c r="AO104" s="24" t="inlineStr">
        <is>
          <t>NO_CALL_MODEL_UNVALIDATED</t>
        </is>
      </c>
      <c r="AP104" s="24" t="n"/>
      <c r="AQ104" s="24" t="n"/>
      <c r="AR104" s="24" t="n"/>
      <c r="AS104" s="24" t="n"/>
      <c r="AT104" s="24" t="n"/>
      <c r="AU104" s="24" t="n"/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7afd5274214b58b7efd7f7febc7be3ab33b92351cda5cc6403c0a39faea0cc8c</t>
        </is>
      </c>
      <c r="BB104" s="24" t="inlineStr">
        <is>
          <t>identity</t>
        </is>
      </c>
      <c r="BC104" s="24" t="inlineStr">
        <is>
          <t>identity-v1</t>
        </is>
      </c>
      <c r="BD104" s="24" t="n"/>
      <c r="BE104" s="24" t="inlineStr">
        <is>
          <t>1</t>
        </is>
      </c>
      <c r="BF104" s="24" t="inlineStr">
        <is>
          <t>1</t>
        </is>
      </c>
      <c r="BG104" s="24" t="n"/>
      <c r="BH104" s="24" t="inlineStr">
        <is>
          <t>2026-07-22T22:42:56Z</t>
        </is>
      </c>
      <c r="BI104" s="24" t="n"/>
      <c r="BJ104" s="25" t="n"/>
      <c r="BK104" s="26" t="n">
        <v>-110</v>
      </c>
      <c r="BL104" s="27" t="n">
        <v>1.909</v>
      </c>
      <c r="BM104" s="28" t="n">
        <v>0.523834</v>
      </c>
      <c r="BN104" s="28" t="n">
        <v>0.523834</v>
      </c>
      <c r="BO104" s="28" t="n">
        <v>0.523834</v>
      </c>
      <c r="BP104" s="25" t="n"/>
      <c r="BQ104" s="27" t="n"/>
      <c r="BR104" s="28" t="n"/>
      <c r="BS104" s="28" t="n"/>
      <c r="BT104" s="28" t="n"/>
      <c r="BU104" s="25" t="n"/>
      <c r="BV104" s="29" t="n">
        <v>2</v>
      </c>
      <c r="BW104" s="24" t="n"/>
      <c r="BX104" s="30" t="n"/>
      <c r="BY104" s="27" t="n"/>
      <c r="BZ104" s="24" t="n"/>
      <c r="CA104" s="31" t="n"/>
      <c r="CB104" s="24" t="n"/>
      <c r="CC104" s="24" t="inlineStr">
        <is>
          <t>0.73469</t>
        </is>
      </c>
      <c r="CD104" s="24" t="inlineStr">
        <is>
          <t>0.959059</t>
        </is>
      </c>
      <c r="CE104" s="24" t="n"/>
      <c r="CF104" s="24" t="n"/>
      <c r="CG104" s="24" t="n"/>
      <c r="CH104" s="24" t="inlineStr">
        <is>
          <t>7.081581</t>
        </is>
      </c>
      <c r="CI104" s="24" t="n"/>
      <c r="CJ104" s="24" t="n"/>
      <c r="CK104" s="24" t="n"/>
      <c r="CL104" s="24" t="n"/>
      <c r="CM104" s="24" t="n"/>
    </row>
    <row r="105" ht="18" customHeight="1">
      <c r="A105" s="24" t="inlineStr">
        <is>
          <t>8cd5b95b88c647a6</t>
        </is>
      </c>
      <c r="B105" s="24" t="inlineStr">
        <is>
          <t>2026-07-22T22:42:56Z</t>
        </is>
      </c>
      <c r="C105" s="24" t="inlineStr">
        <is>
          <t>2026-07-21T02:00Z</t>
        </is>
      </c>
      <c r="D105" s="24" t="inlineStr">
        <is>
          <t>401857084</t>
        </is>
      </c>
      <c r="E105" s="24" t="inlineStr">
        <is>
          <t>WNBA</t>
        </is>
      </c>
      <c r="F105" s="24" t="inlineStr">
        <is>
          <t>Washington Mystics</t>
        </is>
      </c>
      <c r="G105" s="24" t="inlineStr">
        <is>
          <t>Golden State Valkyries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-110</v>
      </c>
      <c r="M105" s="27" t="n">
        <v>1.909091</v>
      </c>
      <c r="N105" s="28" t="n">
        <v>0.52381</v>
      </c>
      <c r="O105" s="28" t="n">
        <v>0.755526</v>
      </c>
      <c r="P105" s="28" t="n">
        <v>0.05</v>
      </c>
      <c r="Q105" s="28" t="n">
        <v>0.231716</v>
      </c>
      <c r="R105" s="26" t="n">
        <v>100</v>
      </c>
      <c r="S105" s="29" t="n">
        <v>0</v>
      </c>
      <c r="T105" s="24" t="inlineStr">
        <is>
          <t>wnba-elo-trend-lr-v4</t>
        </is>
      </c>
      <c r="U105" s="24" t="inlineStr">
        <is>
          <t>settled</t>
        </is>
      </c>
      <c r="V105" s="24" t="inlineStr">
        <is>
          <t>loss</t>
        </is>
      </c>
      <c r="W105" s="26" t="n">
        <v>90</v>
      </c>
      <c r="X105" s="26" t="n">
        <v>82</v>
      </c>
      <c r="Y105" s="25" t="n"/>
      <c r="Z105" s="26" t="n">
        <v>-110</v>
      </c>
      <c r="AA105" s="28" t="n">
        <v>0.523834</v>
      </c>
      <c r="AB105" s="28" t="n"/>
      <c r="AC105" s="30" t="n">
        <v>-2</v>
      </c>
      <c r="AD105" s="24" t="inlineStr">
        <is>
          <t>2026-07-23T00:02:09Z</t>
        </is>
      </c>
      <c r="AE105" s="31" t="n"/>
      <c r="AF105" s="31" t="n"/>
      <c r="AG105" s="24" t="n"/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RESEARCH_OBSERVATION</t>
        </is>
      </c>
      <c r="AO105" s="24" t="inlineStr">
        <is>
          <t>NO_CALL_MODEL_UNVALIDATED</t>
        </is>
      </c>
      <c r="AP105" s="24" t="n"/>
      <c r="AQ105" s="24" t="n"/>
      <c r="AR105" s="24" t="n"/>
      <c r="AS105" s="24" t="n"/>
      <c r="AT105" s="24" t="n"/>
      <c r="AU105" s="24" t="n"/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7afd5274214b58b7efd7f7febc7be3ab33b92351cda5cc6403c0a39faea0cc8c</t>
        </is>
      </c>
      <c r="BB105" s="24" t="inlineStr">
        <is>
          <t>identity</t>
        </is>
      </c>
      <c r="BC105" s="24" t="inlineStr">
        <is>
          <t>identity-v1</t>
        </is>
      </c>
      <c r="BD105" s="24" t="n"/>
      <c r="BE105" s="24" t="inlineStr">
        <is>
          <t>1</t>
        </is>
      </c>
      <c r="BF105" s="24" t="inlineStr">
        <is>
          <t>1</t>
        </is>
      </c>
      <c r="BG105" s="24" t="n"/>
      <c r="BH105" s="24" t="inlineStr">
        <is>
          <t>2026-07-22T22:42:56Z</t>
        </is>
      </c>
      <c r="BI105" s="24" t="n"/>
      <c r="BJ105" s="25" t="n"/>
      <c r="BK105" s="26" t="n">
        <v>-110</v>
      </c>
      <c r="BL105" s="27" t="n">
        <v>1.909</v>
      </c>
      <c r="BM105" s="28" t="n">
        <v>0.523834</v>
      </c>
      <c r="BN105" s="28" t="n">
        <v>0.523834</v>
      </c>
      <c r="BO105" s="28" t="n">
        <v>0.523834</v>
      </c>
      <c r="BP105" s="25" t="n"/>
      <c r="BQ105" s="27" t="n">
        <v>1.909</v>
      </c>
      <c r="BR105" s="28" t="n"/>
      <c r="BS105" s="28" t="n"/>
      <c r="BT105" s="28" t="n"/>
      <c r="BU105" s="25" t="n"/>
      <c r="BV105" s="29" t="n">
        <v>2</v>
      </c>
      <c r="BW105" s="24" t="n"/>
      <c r="BX105" s="30" t="n"/>
      <c r="BY105" s="27" t="n"/>
      <c r="BZ105" s="24" t="n"/>
      <c r="CA105" s="31" t="n"/>
      <c r="CB105" s="24" t="n"/>
      <c r="CC105" s="24" t="inlineStr">
        <is>
          <t>0.868191</t>
        </is>
      </c>
      <c r="CD105" s="24" t="inlineStr">
        <is>
          <t>3.569622</t>
        </is>
      </c>
      <c r="CE105" s="24" t="n"/>
      <c r="CF105" s="24" t="n"/>
      <c r="CG105" s="24" t="n"/>
      <c r="CH105" s="24" t="inlineStr">
        <is>
          <t>-1.008413</t>
        </is>
      </c>
      <c r="CI105" s="24" t="n"/>
      <c r="CJ105" s="24" t="n"/>
      <c r="CK105" s="24" t="n"/>
      <c r="CL105" s="24" t="n"/>
      <c r="CM105" s="24" t="n"/>
    </row>
    <row r="106" ht="18" customHeight="1">
      <c r="A106" s="24" t="inlineStr">
        <is>
          <t>70184f5a5701443f</t>
        </is>
      </c>
      <c r="B106" s="24" t="inlineStr">
        <is>
          <t>2026-07-22T22:42:56Z</t>
        </is>
      </c>
      <c r="C106" s="24" t="inlineStr">
        <is>
          <t>2026-07-21T02:00Z</t>
        </is>
      </c>
      <c r="D106" s="24" t="inlineStr">
        <is>
          <t>401857085</t>
        </is>
      </c>
      <c r="E106" s="24" t="inlineStr">
        <is>
          <t>WNBA</t>
        </is>
      </c>
      <c r="F106" s="24" t="inlineStr">
        <is>
          <t>Minnesota Lynx</t>
        </is>
      </c>
      <c r="G106" s="24" t="inlineStr">
        <is>
          <t>Seattle Storm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-110</v>
      </c>
      <c r="M106" s="27" t="n">
        <v>1.909091</v>
      </c>
      <c r="N106" s="28" t="n">
        <v>0.52381</v>
      </c>
      <c r="O106" s="28" t="n">
        <v>0.258591</v>
      </c>
      <c r="P106" s="28" t="n">
        <v>0.05</v>
      </c>
      <c r="Q106" s="28" t="n">
        <v>-0.265219</v>
      </c>
      <c r="R106" s="26" t="n">
        <v>0</v>
      </c>
      <c r="S106" s="29" t="n">
        <v>0</v>
      </c>
      <c r="T106" s="24" t="inlineStr">
        <is>
          <t>wnba-elo-trend-lr-v4</t>
        </is>
      </c>
      <c r="U106" s="24" t="inlineStr">
        <is>
          <t>settled</t>
        </is>
      </c>
      <c r="V106" s="24" t="inlineStr">
        <is>
          <t>win</t>
        </is>
      </c>
      <c r="W106" s="26" t="n">
        <v>105</v>
      </c>
      <c r="X106" s="26" t="n">
        <v>102</v>
      </c>
      <c r="Y106" s="25" t="n"/>
      <c r="Z106" s="26" t="n">
        <v>-110</v>
      </c>
      <c r="AA106" s="28" t="n">
        <v>0.523834</v>
      </c>
      <c r="AB106" s="28" t="n"/>
      <c r="AC106" s="30" t="n">
        <v>1.818</v>
      </c>
      <c r="AD106" s="24" t="inlineStr">
        <is>
          <t>2026-07-23T00:02:09Z</t>
        </is>
      </c>
      <c r="AE106" s="31" t="n"/>
      <c r="AF106" s="31" t="n"/>
      <c r="AG106" s="24" t="n"/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RESEARCH_OBSERVATION</t>
        </is>
      </c>
      <c r="AO106" s="24" t="inlineStr">
        <is>
          <t>NO_CALL_MODEL_UNVALIDATED</t>
        </is>
      </c>
      <c r="AP106" s="24" t="n"/>
      <c r="AQ106" s="24" t="n"/>
      <c r="AR106" s="24" t="n"/>
      <c r="AS106" s="24" t="n"/>
      <c r="AT106" s="24" t="n"/>
      <c r="AU106" s="24" t="n"/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7afd5274214b58b7efd7f7febc7be3ab33b92351cda5cc6403c0a39faea0cc8c</t>
        </is>
      </c>
      <c r="BB106" s="24" t="inlineStr">
        <is>
          <t>identity</t>
        </is>
      </c>
      <c r="BC106" s="24" t="inlineStr">
        <is>
          <t>identity-v1</t>
        </is>
      </c>
      <c r="BD106" s="24" t="n"/>
      <c r="BE106" s="24" t="inlineStr">
        <is>
          <t>1</t>
        </is>
      </c>
      <c r="BF106" s="24" t="inlineStr">
        <is>
          <t>1</t>
        </is>
      </c>
      <c r="BG106" s="24" t="n"/>
      <c r="BH106" s="24" t="inlineStr">
        <is>
          <t>2026-07-22T22:42:56Z</t>
        </is>
      </c>
      <c r="BI106" s="24" t="n"/>
      <c r="BJ106" s="25" t="n"/>
      <c r="BK106" s="26" t="n">
        <v>-110</v>
      </c>
      <c r="BL106" s="27" t="n">
        <v>1.909</v>
      </c>
      <c r="BM106" s="28" t="n">
        <v>0.523834</v>
      </c>
      <c r="BN106" s="28" t="n">
        <v>0.523834</v>
      </c>
      <c r="BO106" s="28" t="n">
        <v>0.523834</v>
      </c>
      <c r="BP106" s="25" t="n"/>
      <c r="BQ106" s="27" t="n">
        <v>1.909</v>
      </c>
      <c r="BR106" s="28" t="n"/>
      <c r="BS106" s="28" t="n"/>
      <c r="BT106" s="28" t="n"/>
      <c r="BU106" s="25" t="n"/>
      <c r="BV106" s="29" t="n">
        <v>2</v>
      </c>
      <c r="BW106" s="24" t="n"/>
      <c r="BX106" s="30" t="n"/>
      <c r="BY106" s="27" t="n"/>
      <c r="BZ106" s="24" t="n"/>
      <c r="CA106" s="31" t="n"/>
      <c r="CB106" s="24" t="n"/>
      <c r="CC106" s="24" t="inlineStr">
        <is>
          <t>0.166516</t>
        </is>
      </c>
      <c r="CD106" s="24" t="inlineStr">
        <is>
          <t>0.40482</t>
        </is>
      </c>
      <c r="CE106" s="24" t="n"/>
      <c r="CF106" s="24" t="n"/>
      <c r="CG106" s="24" t="n"/>
      <c r="CH106" s="24" t="inlineStr">
        <is>
          <t>0.247317</t>
        </is>
      </c>
      <c r="CI106" s="24" t="n"/>
      <c r="CJ106" s="24" t="n"/>
      <c r="CK106" s="24" t="n"/>
      <c r="CL106" s="24" t="n"/>
      <c r="CM106" s="24" t="n"/>
    </row>
    <row r="107" ht="18" customHeight="1">
      <c r="A107" s="24" t="inlineStr">
        <is>
          <t>f7d8f6260cee4ce7</t>
        </is>
      </c>
      <c r="B107" s="24" t="inlineStr">
        <is>
          <t>2026-07-22T22:42:56Z</t>
        </is>
      </c>
      <c r="C107" s="24" t="inlineStr">
        <is>
          <t>2026-07-22T19:00Z</t>
        </is>
      </c>
      <c r="D107" s="24" t="inlineStr">
        <is>
          <t>401857086</t>
        </is>
      </c>
      <c r="E107" s="24" t="inlineStr">
        <is>
          <t>WNBA</t>
        </is>
      </c>
      <c r="F107" s="24" t="inlineStr">
        <is>
          <t>Phoenix Mercury</t>
        </is>
      </c>
      <c r="G107" s="24" t="inlineStr">
        <is>
          <t>Los Angeles Sparks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-110</v>
      </c>
      <c r="M107" s="27" t="n">
        <v>1.909091</v>
      </c>
      <c r="N107" s="28" t="n">
        <v>0.52381</v>
      </c>
      <c r="O107" s="28" t="n">
        <v>0.5725980000000001</v>
      </c>
      <c r="P107" s="28" t="n">
        <v>0.05</v>
      </c>
      <c r="Q107" s="28" t="n">
        <v>0.048788</v>
      </c>
      <c r="R107" s="26" t="n">
        <v>44</v>
      </c>
      <c r="S107" s="29" t="n">
        <v>0</v>
      </c>
      <c r="T107" s="24" t="inlineStr">
        <is>
          <t>wnba-elo-trend-lr-v4</t>
        </is>
      </c>
      <c r="U107" s="24" t="inlineStr">
        <is>
          <t>settled</t>
        </is>
      </c>
      <c r="V107" s="24" t="inlineStr">
        <is>
          <t>loss</t>
        </is>
      </c>
      <c r="W107" s="26" t="n">
        <v>86</v>
      </c>
      <c r="X107" s="26" t="n">
        <v>82</v>
      </c>
      <c r="Y107" s="25" t="n"/>
      <c r="Z107" s="26" t="n"/>
      <c r="AA107" s="28" t="n"/>
      <c r="AB107" s="28" t="n"/>
      <c r="AC107" s="30" t="n">
        <v>-0.98</v>
      </c>
      <c r="AD107" s="24" t="inlineStr">
        <is>
          <t>2026-07-23T00:05:58.437222Z</t>
        </is>
      </c>
      <c r="AE107" s="31" t="n"/>
      <c r="AF107" s="31" t="n"/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RESEARCH_OBSERVATION</t>
        </is>
      </c>
      <c r="AO107" s="24" t="inlineStr">
        <is>
          <t>NO_CALL_MODEL_UNVALIDATED</t>
        </is>
      </c>
      <c r="AP107" s="24" t="n"/>
      <c r="AQ107" s="24" t="n"/>
      <c r="AR107" s="24" t="n"/>
      <c r="AS107" s="24" t="n"/>
      <c r="AT107" s="24" t="n"/>
      <c r="AU107" s="24" t="n"/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7afd5274214b58b7efd7f7febc7be3ab33b92351cda5cc6403c0a39faea0cc8c</t>
        </is>
      </c>
      <c r="BB107" s="24" t="inlineStr">
        <is>
          <t>identity</t>
        </is>
      </c>
      <c r="BC107" s="24" t="inlineStr">
        <is>
          <t>identity-v1</t>
        </is>
      </c>
      <c r="BD107" s="24" t="n"/>
      <c r="BE107" s="24" t="inlineStr">
        <is>
          <t>1</t>
        </is>
      </c>
      <c r="BF107" s="24" t="inlineStr">
        <is>
          <t>1</t>
        </is>
      </c>
      <c r="BG107" s="24" t="n"/>
      <c r="BH107" s="24" t="inlineStr">
        <is>
          <t>2026-07-22T22:42:56Z</t>
        </is>
      </c>
      <c r="BI107" s="24" t="n"/>
      <c r="BJ107" s="25" t="n"/>
      <c r="BK107" s="26" t="n">
        <v>-110</v>
      </c>
      <c r="BL107" s="27" t="n">
        <v>1.909</v>
      </c>
      <c r="BM107" s="28" t="n">
        <v>0.523834</v>
      </c>
      <c r="BN107" s="28" t="n">
        <v>0.523834</v>
      </c>
      <c r="BO107" s="28" t="n">
        <v>0.523834</v>
      </c>
      <c r="BP107" s="25" t="n"/>
      <c r="BQ107" s="27" t="n"/>
      <c r="BR107" s="28" t="n"/>
      <c r="BS107" s="28" t="n"/>
      <c r="BT107" s="28" t="n"/>
      <c r="BU107" s="25" t="n"/>
      <c r="BV107" s="29" t="n">
        <v>0.98</v>
      </c>
      <c r="BW107" s="24" t="n"/>
      <c r="BX107" s="30" t="n"/>
      <c r="BY107" s="27" t="n"/>
      <c r="BZ107" s="24" t="n"/>
      <c r="CA107" s="31" t="n"/>
      <c r="CB107" s="24" t="n"/>
      <c r="CC107" s="24" t="inlineStr">
        <is>
          <t>0.597061</t>
        </is>
      </c>
      <c r="CD107" s="24" t="inlineStr">
        <is>
          <t>1.440922</t>
        </is>
      </c>
      <c r="CE107" s="24" t="n"/>
      <c r="CF107" s="24" t="n"/>
      <c r="CG107" s="24" t="n"/>
      <c r="CH107" s="24" t="inlineStr">
        <is>
          <t>-0.87024</t>
        </is>
      </c>
      <c r="CI107" s="24" t="n"/>
      <c r="CJ107" s="24" t="n"/>
      <c r="CK107" s="24" t="n"/>
      <c r="CL107" s="24" t="n"/>
      <c r="CM107" s="24" t="n"/>
    </row>
    <row r="108" ht="18" customHeight="1">
      <c r="A108" s="24" t="inlineStr">
        <is>
          <t>6a1cd4826c354787</t>
        </is>
      </c>
      <c r="B108" s="24" t="inlineStr">
        <is>
          <t>2026-07-22T22:42:56Z</t>
        </is>
      </c>
      <c r="C108" s="24" t="inlineStr">
        <is>
          <t>2026-07-22T19:00Z</t>
        </is>
      </c>
      <c r="D108" s="24" t="inlineStr">
        <is>
          <t>401857087</t>
        </is>
      </c>
      <c r="E108" s="24" t="inlineStr">
        <is>
          <t>WNBA</t>
        </is>
      </c>
      <c r="F108" s="24" t="inlineStr">
        <is>
          <t>Minnesota Lynx</t>
        </is>
      </c>
      <c r="G108" s="24" t="inlineStr">
        <is>
          <t>Seattle Storm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-110</v>
      </c>
      <c r="M108" s="27" t="n">
        <v>1.909091</v>
      </c>
      <c r="N108" s="28" t="n">
        <v>0.52381</v>
      </c>
      <c r="O108" s="28" t="n">
        <v>0.258591</v>
      </c>
      <c r="P108" s="28" t="n">
        <v>0.05</v>
      </c>
      <c r="Q108" s="28" t="n">
        <v>-0.265219</v>
      </c>
      <c r="R108" s="26" t="n">
        <v>0</v>
      </c>
      <c r="S108" s="29" t="n">
        <v>0</v>
      </c>
      <c r="T108" s="24" t="inlineStr">
        <is>
          <t>wnba-elo-trend-lr-v4</t>
        </is>
      </c>
      <c r="U108" s="24" t="inlineStr">
        <is>
          <t>settled</t>
        </is>
      </c>
      <c r="V108" s="24" t="inlineStr">
        <is>
          <t>win</t>
        </is>
      </c>
      <c r="W108" s="26" t="n">
        <v>86</v>
      </c>
      <c r="X108" s="26" t="n">
        <v>76</v>
      </c>
      <c r="Y108" s="25" t="n"/>
      <c r="Z108" s="26" t="n"/>
      <c r="AA108" s="28" t="n"/>
      <c r="AB108" s="28" t="n"/>
      <c r="AC108" s="30" t="n">
        <v>0</v>
      </c>
      <c r="AD108" s="24" t="inlineStr">
        <is>
          <t>2026-07-23T04:43:23.266999Z</t>
        </is>
      </c>
      <c r="AE108" s="31" t="n"/>
      <c r="AF108" s="31" t="n"/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RESEARCH_OBSERVATION</t>
        </is>
      </c>
      <c r="AO108" s="24" t="inlineStr">
        <is>
          <t>NO_CALL_MODEL_UNVALIDATED</t>
        </is>
      </c>
      <c r="AP108" s="24" t="n"/>
      <c r="AQ108" s="24" t="n"/>
      <c r="AR108" s="24" t="n"/>
      <c r="AS108" s="24" t="n"/>
      <c r="AT108" s="24" t="n"/>
      <c r="AU108" s="24" t="n"/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7afd5274214b58b7efd7f7febc7be3ab33b92351cda5cc6403c0a39faea0cc8c</t>
        </is>
      </c>
      <c r="BB108" s="24" t="inlineStr">
        <is>
          <t>identity</t>
        </is>
      </c>
      <c r="BC108" s="24" t="inlineStr">
        <is>
          <t>identity-v1</t>
        </is>
      </c>
      <c r="BD108" s="24" t="n"/>
      <c r="BE108" s="24" t="inlineStr">
        <is>
          <t>1</t>
        </is>
      </c>
      <c r="BF108" s="24" t="inlineStr">
        <is>
          <t>1</t>
        </is>
      </c>
      <c r="BG108" s="24" t="n"/>
      <c r="BH108" s="24" t="inlineStr">
        <is>
          <t>2026-07-22T22:42:56Z</t>
        </is>
      </c>
      <c r="BI108" s="24" t="n"/>
      <c r="BJ108" s="25" t="n"/>
      <c r="BK108" s="26" t="n">
        <v>-110</v>
      </c>
      <c r="BL108" s="27" t="n">
        <v>1.909</v>
      </c>
      <c r="BM108" s="28" t="n">
        <v>0.523834</v>
      </c>
      <c r="BN108" s="28" t="n">
        <v>0.523834</v>
      </c>
      <c r="BO108" s="28" t="n">
        <v>0.523834</v>
      </c>
      <c r="BP108" s="25" t="n"/>
      <c r="BQ108" s="27" t="n"/>
      <c r="BR108" s="28" t="n"/>
      <c r="BS108" s="28" t="n"/>
      <c r="BT108" s="28" t="n"/>
      <c r="BU108" s="25" t="n"/>
      <c r="BV108" s="29" t="n">
        <v>2</v>
      </c>
      <c r="BW108" s="24" t="n"/>
      <c r="BX108" s="30" t="n"/>
      <c r="BY108" s="27" t="n"/>
      <c r="BZ108" s="24" t="n"/>
      <c r="CA108" s="31" t="n"/>
      <c r="CB108" s="24" t="n"/>
      <c r="CC108" s="24" t="inlineStr">
        <is>
          <t>0.166516</t>
        </is>
      </c>
      <c r="CD108" s="24" t="inlineStr">
        <is>
          <t>0.40482</t>
        </is>
      </c>
      <c r="CE108" s="24" t="n"/>
      <c r="CF108" s="24" t="n"/>
      <c r="CG108" s="24" t="n"/>
      <c r="CH108" s="24" t="inlineStr">
        <is>
          <t>0.247317</t>
        </is>
      </c>
      <c r="CI108" s="24" t="n"/>
      <c r="CJ108" s="24" t="n"/>
      <c r="CK108" s="24" t="n"/>
      <c r="CL108" s="24" t="n"/>
      <c r="CM108" s="24" t="n"/>
    </row>
    <row r="109" ht="18" customHeight="1">
      <c r="A109" s="24" t="inlineStr">
        <is>
          <t>ee2a1fa5e8d049d9</t>
        </is>
      </c>
      <c r="B109" s="24" t="inlineStr">
        <is>
          <t>2026-07-22T22:42:56Z</t>
        </is>
      </c>
      <c r="C109" s="24" t="inlineStr">
        <is>
          <t>2026-07-22T23:00Z</t>
        </is>
      </c>
      <c r="D109" s="24" t="inlineStr">
        <is>
          <t>401857088</t>
        </is>
      </c>
      <c r="E109" s="24" t="inlineStr">
        <is>
          <t>WNBA</t>
        </is>
      </c>
      <c r="F109" s="24" t="inlineStr">
        <is>
          <t>Chicago Sky</t>
        </is>
      </c>
      <c r="G109" s="24" t="inlineStr">
        <is>
          <t>New York Liberty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-110</v>
      </c>
      <c r="M109" s="27" t="n">
        <v>1.909091</v>
      </c>
      <c r="N109" s="28" t="n">
        <v>0.52381</v>
      </c>
      <c r="O109" s="28" t="n">
        <v>0.689532</v>
      </c>
      <c r="P109" s="28" t="n">
        <v>0.05</v>
      </c>
      <c r="Q109" s="28" t="n">
        <v>0.165722</v>
      </c>
      <c r="R109" s="26" t="n">
        <v>100</v>
      </c>
      <c r="S109" s="29" t="n">
        <v>0</v>
      </c>
      <c r="T109" s="24" t="inlineStr">
        <is>
          <t>wnba-elo-trend-lr-v4</t>
        </is>
      </c>
      <c r="U109" s="24" t="inlineStr">
        <is>
          <t>settled</t>
        </is>
      </c>
      <c r="V109" s="24" t="inlineStr">
        <is>
          <t>win</t>
        </is>
      </c>
      <c r="W109" s="26" t="n">
        <v>94</v>
      </c>
      <c r="X109" s="26" t="n">
        <v>95</v>
      </c>
      <c r="Y109" s="25" t="n"/>
      <c r="Z109" s="26" t="n"/>
      <c r="AA109" s="28" t="n"/>
      <c r="AB109" s="28" t="n"/>
      <c r="AC109" s="30" t="n">
        <v>0</v>
      </c>
      <c r="AD109" s="24" t="inlineStr">
        <is>
          <t>2026-07-23T04:43:24.011995Z</t>
        </is>
      </c>
      <c r="AE109" s="31" t="n"/>
      <c r="AF109" s="31" t="n"/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RESEARCH_OBSERVATION</t>
        </is>
      </c>
      <c r="AO109" s="24" t="inlineStr">
        <is>
          <t>NO_CALL_MODEL_UNVALIDATED</t>
        </is>
      </c>
      <c r="AP109" s="24" t="n"/>
      <c r="AQ109" s="24" t="n"/>
      <c r="AR109" s="24" t="n"/>
      <c r="AS109" s="24" t="n"/>
      <c r="AT109" s="24" t="n"/>
      <c r="AU109" s="24" t="n"/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7afd5274214b58b7efd7f7febc7be3ab33b92351cda5cc6403c0a39faea0cc8c</t>
        </is>
      </c>
      <c r="BB109" s="24" t="inlineStr">
        <is>
          <t>identity</t>
        </is>
      </c>
      <c r="BC109" s="24" t="inlineStr">
        <is>
          <t>identity-v1</t>
        </is>
      </c>
      <c r="BD109" s="24" t="n"/>
      <c r="BE109" s="24" t="inlineStr">
        <is>
          <t>1</t>
        </is>
      </c>
      <c r="BF109" s="24" t="inlineStr">
        <is>
          <t>1</t>
        </is>
      </c>
      <c r="BG109" s="24" t="n"/>
      <c r="BH109" s="24" t="inlineStr">
        <is>
          <t>2026-07-22T22:42:56Z</t>
        </is>
      </c>
      <c r="BI109" s="24" t="n"/>
      <c r="BJ109" s="25" t="n"/>
      <c r="BK109" s="26" t="n">
        <v>-110</v>
      </c>
      <c r="BL109" s="27" t="n">
        <v>1.909</v>
      </c>
      <c r="BM109" s="28" t="n">
        <v>0.523834</v>
      </c>
      <c r="BN109" s="28" t="n">
        <v>0.523834</v>
      </c>
      <c r="BO109" s="28" t="n">
        <v>0.523834</v>
      </c>
      <c r="BP109" s="25" t="n"/>
      <c r="BQ109" s="27" t="n"/>
      <c r="BR109" s="28" t="n"/>
      <c r="BS109" s="28" t="n"/>
      <c r="BT109" s="28" t="n"/>
      <c r="BU109" s="25" t="n"/>
      <c r="BV109" s="29" t="n">
        <v>2</v>
      </c>
      <c r="BW109" s="24" t="n"/>
      <c r="BX109" s="30" t="n"/>
      <c r="BY109" s="27" t="n"/>
      <c r="BZ109" s="24" t="n"/>
      <c r="CA109" s="31" t="n"/>
      <c r="CB109" s="24" t="n"/>
      <c r="CC109" s="24" t="inlineStr">
        <is>
          <t>0.740367</t>
        </is>
      </c>
      <c r="CD109" s="24" t="inlineStr">
        <is>
          <t>-5.650512</t>
        </is>
      </c>
      <c r="CE109" s="24" t="n"/>
      <c r="CF109" s="24" t="n"/>
      <c r="CG109" s="24" t="n"/>
      <c r="CH109" s="24" t="inlineStr">
        <is>
          <t>-3.727661</t>
        </is>
      </c>
      <c r="CI109" s="24" t="n"/>
      <c r="CJ109" s="24" t="n"/>
      <c r="CK109" s="24" t="n"/>
      <c r="CL109" s="24" t="n"/>
      <c r="CM109" s="24" t="n"/>
    </row>
    <row r="110" ht="18" customHeight="1">
      <c r="A110" s="24" t="inlineStr">
        <is>
          <t>c312ffe2bcbf41ad</t>
        </is>
      </c>
      <c r="B110" s="24" t="inlineStr">
        <is>
          <t>2026-07-22T22:42:56Z</t>
        </is>
      </c>
      <c r="C110" s="24" t="inlineStr">
        <is>
          <t>2026-07-22T23:30Z</t>
        </is>
      </c>
      <c r="D110" s="24" t="inlineStr">
        <is>
          <t>401857089</t>
        </is>
      </c>
      <c r="E110" s="24" t="inlineStr">
        <is>
          <t>WNBA</t>
        </is>
      </c>
      <c r="F110" s="24" t="inlineStr">
        <is>
          <t>Las Vegas Aces</t>
        </is>
      </c>
      <c r="G110" s="24" t="inlineStr">
        <is>
          <t>Washington Mystics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-110</v>
      </c>
      <c r="M110" s="27" t="n">
        <v>1.909091</v>
      </c>
      <c r="N110" s="28" t="n">
        <v>0.52381</v>
      </c>
      <c r="O110" s="28" t="n">
        <v>0.422196</v>
      </c>
      <c r="P110" s="28" t="n">
        <v>0.05</v>
      </c>
      <c r="Q110" s="28" t="n">
        <v>-0.101614</v>
      </c>
      <c r="R110" s="26" t="n">
        <v>0</v>
      </c>
      <c r="S110" s="29" t="n">
        <v>0</v>
      </c>
      <c r="T110" s="24" t="inlineStr">
        <is>
          <t>wnba-elo-trend-lr-v4</t>
        </is>
      </c>
      <c r="U110" s="24" t="inlineStr">
        <is>
          <t>settled</t>
        </is>
      </c>
      <c r="V110" s="24" t="inlineStr">
        <is>
          <t>loss</t>
        </is>
      </c>
      <c r="W110" s="26" t="n">
        <v>99</v>
      </c>
      <c r="X110" s="26" t="n">
        <v>100</v>
      </c>
      <c r="Y110" s="25" t="n"/>
      <c r="Z110" s="26" t="n"/>
      <c r="AA110" s="28" t="n"/>
      <c r="AB110" s="28" t="n"/>
      <c r="AC110" s="30" t="n">
        <v>0</v>
      </c>
      <c r="AD110" s="24" t="inlineStr">
        <is>
          <t>2026-07-23T04:43:24.758969Z</t>
        </is>
      </c>
      <c r="AE110" s="31" t="n"/>
      <c r="AF110" s="31" t="n"/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RESEARCH_OBSERVATION</t>
        </is>
      </c>
      <c r="AO110" s="24" t="inlineStr">
        <is>
          <t>NO_CALL_MODEL_UNVALIDATED</t>
        </is>
      </c>
      <c r="AP110" s="24" t="n"/>
      <c r="AQ110" s="24" t="n"/>
      <c r="AR110" s="24" t="n"/>
      <c r="AS110" s="24" t="n"/>
      <c r="AT110" s="24" t="n"/>
      <c r="AU110" s="24" t="n"/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7afd5274214b58b7efd7f7febc7be3ab33b92351cda5cc6403c0a39faea0cc8c</t>
        </is>
      </c>
      <c r="BB110" s="24" t="inlineStr">
        <is>
          <t>identity</t>
        </is>
      </c>
      <c r="BC110" s="24" t="inlineStr">
        <is>
          <t>identity-v1</t>
        </is>
      </c>
      <c r="BD110" s="24" t="n"/>
      <c r="BE110" s="24" t="inlineStr">
        <is>
          <t>1</t>
        </is>
      </c>
      <c r="BF110" s="24" t="inlineStr">
        <is>
          <t>1</t>
        </is>
      </c>
      <c r="BG110" s="24" t="n"/>
      <c r="BH110" s="24" t="inlineStr">
        <is>
          <t>2026-07-22T22:42:56Z</t>
        </is>
      </c>
      <c r="BI110" s="24" t="n"/>
      <c r="BJ110" s="25" t="n"/>
      <c r="BK110" s="26" t="n">
        <v>-110</v>
      </c>
      <c r="BL110" s="27" t="n">
        <v>1.909</v>
      </c>
      <c r="BM110" s="28" t="n">
        <v>0.523834</v>
      </c>
      <c r="BN110" s="28" t="n">
        <v>0.523834</v>
      </c>
      <c r="BO110" s="28" t="n">
        <v>0.523834</v>
      </c>
      <c r="BP110" s="25" t="n"/>
      <c r="BQ110" s="27" t="n"/>
      <c r="BR110" s="28" t="n"/>
      <c r="BS110" s="28" t="n"/>
      <c r="BT110" s="28" t="n"/>
      <c r="BU110" s="25" t="n"/>
      <c r="BV110" s="29" t="n">
        <v>1.08</v>
      </c>
      <c r="BW110" s="24" t="n"/>
      <c r="BX110" s="30" t="n"/>
      <c r="BY110" s="27" t="n"/>
      <c r="BZ110" s="24" t="n"/>
      <c r="CA110" s="31" t="n"/>
      <c r="CB110" s="24" t="n"/>
      <c r="CC110" s="24" t="inlineStr">
        <is>
          <t>0.399749</t>
        </is>
      </c>
      <c r="CD110" s="24" t="inlineStr">
        <is>
          <t>-3.246697</t>
        </is>
      </c>
      <c r="CE110" s="24" t="n"/>
      <c r="CF110" s="24" t="n"/>
      <c r="CG110" s="24" t="n"/>
      <c r="CH110" s="24" t="inlineStr">
        <is>
          <t>5.749532</t>
        </is>
      </c>
      <c r="CI110" s="24" t="n"/>
      <c r="CJ110" s="24" t="n"/>
      <c r="CK110" s="24" t="n"/>
      <c r="CL110" s="24" t="n"/>
      <c r="CM110" s="24" t="n"/>
    </row>
    <row r="111" ht="36" customHeight="1">
      <c r="A111" s="24" t="inlineStr">
        <is>
          <t>3e68c62def444eb1</t>
        </is>
      </c>
      <c r="B111" s="24" t="inlineStr">
        <is>
          <t>2026-07-23T04:36:37.074229Z</t>
        </is>
      </c>
      <c r="C111" s="24" t="inlineStr">
        <is>
          <t>2026-07-22T20:00:00-0400</t>
        </is>
      </c>
      <c r="D111" s="24" t="inlineStr">
        <is>
          <t>401816223</t>
        </is>
      </c>
      <c r="E111" s="24" t="inlineStr">
        <is>
          <t>MLB</t>
        </is>
      </c>
      <c r="F111" s="24" t="inlineStr">
        <is>
          <t>Detroit Tigers</t>
        </is>
      </c>
      <c r="G111" s="24" t="inlineStr">
        <is>
          <t>Chicago Cubs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-110</v>
      </c>
      <c r="M111" s="27" t="n">
        <v>1.909091</v>
      </c>
      <c r="N111" s="28" t="n">
        <v>0.52381</v>
      </c>
      <c r="O111" s="28" t="n">
        <v>0.592436</v>
      </c>
      <c r="P111" s="28" t="n">
        <v>0.05</v>
      </c>
      <c r="Q111" s="28" t="n">
        <v>0.06862600000000001</v>
      </c>
      <c r="R111" s="26" t="n">
        <v>54</v>
      </c>
      <c r="S111" s="29" t="n">
        <v>0</v>
      </c>
      <c r="T111" s="24" t="inlineStr">
        <is>
          <t>mlb-elo-trend-lr-v5</t>
        </is>
      </c>
      <c r="U111" s="24" t="inlineStr">
        <is>
          <t>settled</t>
        </is>
      </c>
      <c r="V111" s="24" t="inlineStr">
        <is>
          <t>loss</t>
        </is>
      </c>
      <c r="W111" s="26" t="n">
        <v>5</v>
      </c>
      <c r="X111" s="26" t="n">
        <v>1</v>
      </c>
      <c r="Y111" s="25" t="n"/>
      <c r="Z111" s="26" t="n">
        <v>-110</v>
      </c>
      <c r="AA111" s="28" t="n">
        <v>0.52381</v>
      </c>
      <c r="AB111" s="28" t="n">
        <v>0</v>
      </c>
      <c r="AC111" s="30" t="n">
        <v>0</v>
      </c>
      <c r="AD111" s="24" t="inlineStr">
        <is>
          <t>2026-07-23T04:36:37.074229Z</t>
        </is>
      </c>
      <c r="AE111" s="31" t="inlineStr">
        <is>
          <t>Retroactive model run — features from team averages.</t>
        </is>
      </c>
      <c r="AF111" s="31" t="inlineStr">
        <is>
          <t>Retroactive; features approximated from teammate averages, not point-in-time.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NO_CALL_MISSING_FEATURES</t>
        </is>
      </c>
      <c r="AP111" s="24" t="inlineStr">
        <is>
          <t>mlb-detroittigers</t>
        </is>
      </c>
      <c r="AQ111" s="24" t="inlineStr">
        <is>
          <t>Detroit Tigers</t>
        </is>
      </c>
      <c r="AR111" s="24" t="inlineStr">
        <is>
          <t>Detroit Tigers</t>
        </is>
      </c>
      <c r="AS111" s="24" t="inlineStr">
        <is>
          <t>mlb-chicagocubs</t>
        </is>
      </c>
      <c r="AT111" s="24" t="inlineStr">
        <is>
          <t>Chicago Cubs</t>
        </is>
      </c>
      <c r="AU111" s="24" t="inlineStr">
        <is>
          <t>Chicago Cubs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f4ba988a51fcfbc42f017c34f5d25f481de500c1e844165b98cf0acea10d1539</t>
        </is>
      </c>
      <c r="BB111" s="24" t="inlineStr">
        <is>
          <t>learned_lr</t>
        </is>
      </c>
      <c r="BC111" s="24" t="inlineStr">
        <is>
          <t>mlb-elo-trend-lr-v5</t>
        </is>
      </c>
      <c r="BD111" s="24" t="inlineStr">
        <is>
          <t>f4ba988a51fcfbc42f017c34f5d25f481de500c1e844165b98cf0acea10d1539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mlb-elo-trend-lr-v5</t>
        </is>
      </c>
      <c r="BH111" s="24" t="inlineStr">
        <is>
          <t>2026-07-23T04:36:37.074229Z</t>
        </is>
      </c>
      <c r="BI111" s="24" t="n"/>
      <c r="BJ111" s="25" t="n"/>
      <c r="BK111" s="26" t="n">
        <v>-110</v>
      </c>
      <c r="BL111" s="27" t="n">
        <v>1.909091</v>
      </c>
      <c r="BM111" s="28" t="n">
        <v>0.52381</v>
      </c>
      <c r="BN111" s="28" t="n"/>
      <c r="BO111" s="28" t="n"/>
      <c r="BP111" s="25" t="n"/>
      <c r="BQ111" s="27" t="n">
        <v>1.909091</v>
      </c>
      <c r="BR111" s="28" t="n">
        <v>0.52381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</row>
    <row r="112" ht="36" customHeight="1">
      <c r="A112" s="24" t="inlineStr">
        <is>
          <t>9d4cc694127f432f</t>
        </is>
      </c>
      <c r="B112" s="24" t="inlineStr">
        <is>
          <t>2026-07-23T04:36:37.074229Z</t>
        </is>
      </c>
      <c r="C112" s="24" t="inlineStr">
        <is>
          <t>2026-07-22T20:05:00-0400</t>
        </is>
      </c>
      <c r="D112" s="24" t="inlineStr">
        <is>
          <t>401816222</t>
        </is>
      </c>
      <c r="E112" s="24" t="inlineStr">
        <is>
          <t>MLB</t>
        </is>
      </c>
      <c r="F112" s="24" t="inlineStr">
        <is>
          <t>Chicago White Sox</t>
        </is>
      </c>
      <c r="G112" s="24" t="inlineStr">
        <is>
          <t>Texas Rangers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-110</v>
      </c>
      <c r="M112" s="27" t="n">
        <v>1.909091</v>
      </c>
      <c r="N112" s="28" t="n">
        <v>0.52381</v>
      </c>
      <c r="O112" s="28" t="n">
        <v>0.549254</v>
      </c>
      <c r="P112" s="28" t="n">
        <v>0.05</v>
      </c>
      <c r="Q112" s="28" t="n">
        <v>0.025445</v>
      </c>
      <c r="R112" s="26" t="n">
        <v>33</v>
      </c>
      <c r="S112" s="29" t="n">
        <v>0</v>
      </c>
      <c r="T112" s="24" t="inlineStr">
        <is>
          <t>mlb-elo-trend-lr-v5</t>
        </is>
      </c>
      <c r="U112" s="24" t="inlineStr">
        <is>
          <t>settled</t>
        </is>
      </c>
      <c r="V112" s="24" t="inlineStr">
        <is>
          <t>loss</t>
        </is>
      </c>
      <c r="W112" s="26" t="n">
        <v>4</v>
      </c>
      <c r="X112" s="26" t="n">
        <v>2</v>
      </c>
      <c r="Y112" s="25" t="n"/>
      <c r="Z112" s="26" t="n">
        <v>-110</v>
      </c>
      <c r="AA112" s="28" t="n">
        <v>0.52381</v>
      </c>
      <c r="AB112" s="28" t="n">
        <v>0</v>
      </c>
      <c r="AC112" s="30" t="n">
        <v>0</v>
      </c>
      <c r="AD112" s="24" t="inlineStr">
        <is>
          <t>2026-07-23T04:36:37.074229Z</t>
        </is>
      </c>
      <c r="AE112" s="31" t="inlineStr">
        <is>
          <t>Retroactive model run — features from team averages.</t>
        </is>
      </c>
      <c r="AF112" s="31" t="inlineStr">
        <is>
          <t>Retroactive; features approximated from teammate averages, not point-in-time.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NO_CALL_MISSING_FEATURES</t>
        </is>
      </c>
      <c r="AP112" s="24" t="inlineStr">
        <is>
          <t>mlb-chicagowhitesox</t>
        </is>
      </c>
      <c r="AQ112" s="24" t="inlineStr">
        <is>
          <t>Chicago White Sox</t>
        </is>
      </c>
      <c r="AR112" s="24" t="inlineStr">
        <is>
          <t>Chicago White Sox</t>
        </is>
      </c>
      <c r="AS112" s="24" t="inlineStr">
        <is>
          <t>mlb-texasrangers</t>
        </is>
      </c>
      <c r="AT112" s="24" t="inlineStr">
        <is>
          <t>Texas Rangers</t>
        </is>
      </c>
      <c r="AU112" s="24" t="inlineStr">
        <is>
          <t>Texas Rangers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f4ba988a51fcfbc42f017c34f5d25f481de500c1e844165b98cf0acea10d1539</t>
        </is>
      </c>
      <c r="BB112" s="24" t="inlineStr">
        <is>
          <t>learned_lr</t>
        </is>
      </c>
      <c r="BC112" s="24" t="inlineStr">
        <is>
          <t>mlb-elo-trend-lr-v5</t>
        </is>
      </c>
      <c r="BD112" s="24" t="inlineStr">
        <is>
          <t>f4ba988a51fcfbc42f017c34f5d25f481de500c1e844165b98cf0acea10d1539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mlb-elo-trend-lr-v5</t>
        </is>
      </c>
      <c r="BH112" s="24" t="inlineStr">
        <is>
          <t>2026-07-23T04:36:37.074229Z</t>
        </is>
      </c>
      <c r="BI112" s="24" t="n"/>
      <c r="BJ112" s="25" t="n"/>
      <c r="BK112" s="26" t="n">
        <v>-110</v>
      </c>
      <c r="BL112" s="27" t="n">
        <v>1.909091</v>
      </c>
      <c r="BM112" s="28" t="n">
        <v>0.52381</v>
      </c>
      <c r="BN112" s="28" t="n"/>
      <c r="BO112" s="28" t="n"/>
      <c r="BP112" s="25" t="n"/>
      <c r="BQ112" s="27" t="n">
        <v>1.909091</v>
      </c>
      <c r="BR112" s="28" t="n">
        <v>0.52381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</row>
    <row r="113" ht="36" customHeight="1">
      <c r="A113" s="24" t="inlineStr">
        <is>
          <t>a8c0022f56dd4d20</t>
        </is>
      </c>
      <c r="B113" s="24" t="inlineStr">
        <is>
          <t>2026-07-23T04:41:27.795424Z</t>
        </is>
      </c>
      <c r="C113" s="24" t="inlineStr">
        <is>
          <t>2026-07-23T14:00:00Z</t>
        </is>
      </c>
      <c r="D113" s="24" t="inlineStr">
        <is>
          <t>59038</t>
        </is>
      </c>
      <c r="E113" s="24" t="inlineStr">
        <is>
          <t>CS2</t>
        </is>
      </c>
      <c r="F113" s="24" t="inlineStr">
        <is>
          <t>SPARTA</t>
        </is>
      </c>
      <c r="G113" s="24" t="inlineStr">
        <is>
          <t>BET-M 33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127</v>
      </c>
      <c r="M113" s="27" t="n">
        <v>2.27</v>
      </c>
      <c r="N113" s="28" t="n">
        <v>0.440529</v>
      </c>
      <c r="O113" s="28" t="n">
        <v>0.524292</v>
      </c>
      <c r="P113" s="28" t="n"/>
      <c r="Q113" s="28" t="n">
        <v>0.083763</v>
      </c>
      <c r="R113" s="26" t="n">
        <v>62</v>
      </c>
      <c r="S113" s="29" t="n">
        <v>0.75</v>
      </c>
      <c r="T113" s="24" t="inlineStr">
        <is>
          <t>cs2-tiered-elo-v3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Neutral Elo baseline; executable ask 0.4400 (market_slug=aec-cs2-33-sparta-2026-07-23).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SPARTA</t>
        </is>
      </c>
      <c r="AQ113" s="24" t="inlineStr">
        <is>
          <t>SPARTA</t>
        </is>
      </c>
      <c r="AR113" s="24" t="inlineStr">
        <is>
          <t>SPARTA</t>
        </is>
      </c>
      <c r="AS113" s="24" t="inlineStr">
        <is>
          <t>BET-M 33</t>
        </is>
      </c>
      <c r="AT113" s="24" t="inlineStr">
        <is>
          <t>BET-M 33</t>
        </is>
      </c>
      <c r="AU113" s="24" t="inlineStr">
        <is>
          <t>BET-M 33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48424b79d75fc1173c9c465d95feb6fc041a2ccfbc64455058b3f74905ce28d5</t>
        </is>
      </c>
      <c r="BB113" s="24" t="inlineStr">
        <is>
          <t>neutral_elo</t>
        </is>
      </c>
      <c r="BC113" s="24" t="inlineStr">
        <is>
          <t>cs2-tiered-elo-v3</t>
        </is>
      </c>
      <c r="BD113" s="24" t="inlineStr">
        <is>
          <t>48424b79d75fc1173c9c465d95feb6fc041a2ccfbc64455058b3f74905ce28d5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cs2-tiered-elo-v3</t>
        </is>
      </c>
      <c r="BH113" s="24" t="inlineStr">
        <is>
          <t>2026-07-23T04:40:51.634148Z</t>
        </is>
      </c>
      <c r="BI113" s="24" t="inlineStr">
        <is>
          <t>["same_event","same_team_same_day","same_league_same_day"]</t>
        </is>
      </c>
      <c r="BJ113" s="25" t="n"/>
      <c r="BK113" s="26" t="n">
        <v>127</v>
      </c>
      <c r="BL113" s="27" t="n">
        <v>2.27</v>
      </c>
      <c r="BM113" s="28" t="n">
        <v>0.440529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</row>
    <row r="114" ht="36" customHeight="1">
      <c r="A114" s="24" t="inlineStr">
        <is>
          <t>5d28c87374ab4e12</t>
        </is>
      </c>
      <c r="B114" s="24" t="inlineStr">
        <is>
          <t>2026-07-23T04:41:27.795424Z</t>
        </is>
      </c>
      <c r="C114" s="24" t="inlineStr">
        <is>
          <t>2026-07-23T15:00:00Z</t>
        </is>
      </c>
      <c r="D114" s="24" t="inlineStr">
        <is>
          <t>56958</t>
        </is>
      </c>
      <c r="E114" s="24" t="inlineStr">
        <is>
          <t>CS2</t>
        </is>
      </c>
      <c r="F114" s="24" t="inlineStr">
        <is>
          <t>paiN</t>
        </is>
      </c>
      <c r="G114" s="24" t="inlineStr">
        <is>
          <t>Gentle Mates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133</v>
      </c>
      <c r="M114" s="27" t="n">
        <v>2.33</v>
      </c>
      <c r="N114" s="28" t="n">
        <v>0.429185</v>
      </c>
      <c r="O114" s="28" t="n">
        <v>0.524605</v>
      </c>
      <c r="P114" s="28" t="n"/>
      <c r="Q114" s="28" t="n">
        <v>0.09542</v>
      </c>
      <c r="R114" s="26" t="n">
        <v>68</v>
      </c>
      <c r="S114" s="29" t="n">
        <v>0.75</v>
      </c>
      <c r="T114" s="24" t="inlineStr">
        <is>
          <t>cs2-tiered-elo-v3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Neutral Elo baseline; executable ask 0.4300 (market_slug=aec-cs2-m8-pain-2026-07-23).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paiN</t>
        </is>
      </c>
      <c r="AQ114" s="24" t="inlineStr">
        <is>
          <t>paiN</t>
        </is>
      </c>
      <c r="AR114" s="24" t="inlineStr">
        <is>
          <t>paiN</t>
        </is>
      </c>
      <c r="AS114" s="24" t="inlineStr">
        <is>
          <t>Gentle Mates</t>
        </is>
      </c>
      <c r="AT114" s="24" t="inlineStr">
        <is>
          <t>Gentle Mates</t>
        </is>
      </c>
      <c r="AU114" s="24" t="inlineStr">
        <is>
          <t>Gentle Mates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48424b79d75fc1173c9c465d95feb6fc041a2ccfbc64455058b3f74905ce28d5</t>
        </is>
      </c>
      <c r="BB114" s="24" t="inlineStr">
        <is>
          <t>neutral_elo</t>
        </is>
      </c>
      <c r="BC114" s="24" t="inlineStr">
        <is>
          <t>cs2-tiered-elo-v3</t>
        </is>
      </c>
      <c r="BD114" s="24" t="inlineStr">
        <is>
          <t>48424b79d75fc1173c9c465d95feb6fc041a2ccfbc64455058b3f74905ce28d5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cs2-tiered-elo-v3</t>
        </is>
      </c>
      <c r="BH114" s="24" t="inlineStr">
        <is>
          <t>2026-07-23T04:40:54.019025Z</t>
        </is>
      </c>
      <c r="BI114" s="24" t="inlineStr">
        <is>
          <t>["same_event","same_team_same_day","same_league_same_day"]</t>
        </is>
      </c>
      <c r="BJ114" s="25" t="n"/>
      <c r="BK114" s="26" t="n">
        <v>133</v>
      </c>
      <c r="BL114" s="27" t="n">
        <v>2.33</v>
      </c>
      <c r="BM114" s="28" t="n">
        <v>0.429185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</row>
    <row r="115" ht="36" customHeight="1">
      <c r="A115" s="24" t="inlineStr">
        <is>
          <t>cc943aff3ae2463e</t>
        </is>
      </c>
      <c r="B115" s="24" t="inlineStr">
        <is>
          <t>2026-07-23T04:42:58.125023Z</t>
        </is>
      </c>
      <c r="C115" s="24" t="inlineStr">
        <is>
          <t>2026-07-23T15:00:00Z</t>
        </is>
      </c>
      <c r="D115" s="24" t="inlineStr">
        <is>
          <t>56966</t>
        </is>
      </c>
      <c r="E115" s="24" t="inlineStr">
        <is>
          <t>VALORANT</t>
        </is>
      </c>
      <c r="F115" s="24" t="inlineStr">
        <is>
          <t>Team Heretics</t>
        </is>
      </c>
      <c r="G115" s="24" t="inlineStr">
        <is>
          <t>Eternal Fire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144</v>
      </c>
      <c r="M115" s="27" t="n">
        <v>2.44</v>
      </c>
      <c r="N115" s="28" t="n">
        <v>0.409836</v>
      </c>
      <c r="O115" s="28" t="n">
        <v>0.5</v>
      </c>
      <c r="P115" s="28" t="n"/>
      <c r="Q115" s="28" t="n">
        <v>0.09016399999999999</v>
      </c>
      <c r="R115" s="26" t="n">
        <v>65</v>
      </c>
      <c r="S115" s="29" t="n">
        <v>0.5</v>
      </c>
      <c r="T115" s="24" t="inlineStr">
        <is>
          <t>valorant-tiered-elo-v3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Neutral Elo baseline; executable ask 0.4100 (market_slug=aec-valorant-ef-th-2026-07-23).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Team Heretics</t>
        </is>
      </c>
      <c r="AQ115" s="24" t="inlineStr">
        <is>
          <t>Team Heretics</t>
        </is>
      </c>
      <c r="AR115" s="24" t="inlineStr">
        <is>
          <t>Team Heretics</t>
        </is>
      </c>
      <c r="AS115" s="24" t="inlineStr">
        <is>
          <t>Eternal Fire</t>
        </is>
      </c>
      <c r="AT115" s="24" t="inlineStr">
        <is>
          <t>Eternal Fire</t>
        </is>
      </c>
      <c r="AU115" s="24" t="inlineStr">
        <is>
          <t>Eternal Fire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df5a226c64918a54c70b8af3e0cd4abb6c4f42b67acb5547da319458502b0ed4</t>
        </is>
      </c>
      <c r="BB115" s="24" t="inlineStr">
        <is>
          <t>neutral_elo</t>
        </is>
      </c>
      <c r="BC115" s="24" t="inlineStr">
        <is>
          <t>valorant-tiered-elo-v3</t>
        </is>
      </c>
      <c r="BD115" s="24" t="inlineStr">
        <is>
          <t>df5a226c64918a54c70b8af3e0cd4abb6c4f42b67acb5547da319458502b0ed4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valorant-tiered-elo-v3</t>
        </is>
      </c>
      <c r="BH115" s="24" t="inlineStr">
        <is>
          <t>2026-07-23T04:42:44.870279Z</t>
        </is>
      </c>
      <c r="BI115" s="24" t="inlineStr">
        <is>
          <t>["same_event","same_team_same_day","same_league_same_day"]</t>
        </is>
      </c>
      <c r="BJ115" s="25" t="n"/>
      <c r="BK115" s="26" t="n">
        <v>144</v>
      </c>
      <c r="BL115" s="27" t="n">
        <v>2.44</v>
      </c>
      <c r="BM115" s="28" t="n">
        <v>0.409836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</row>
    <row r="116" ht="36" customHeight="1">
      <c r="A116" s="24" t="inlineStr">
        <is>
          <t>4fdd43d0ca324413</t>
        </is>
      </c>
      <c r="B116" s="24" t="inlineStr">
        <is>
          <t>2026-07-23T04:42:58.125023Z</t>
        </is>
      </c>
      <c r="C116" s="24" t="inlineStr">
        <is>
          <t>2026-07-24T15:00:00Z</t>
        </is>
      </c>
      <c r="D116" s="24" t="inlineStr">
        <is>
          <t>58399</t>
        </is>
      </c>
      <c r="E116" s="24" t="inlineStr">
        <is>
          <t>VALORANT</t>
        </is>
      </c>
      <c r="F116" s="24" t="inlineStr">
        <is>
          <t>BBL Esports</t>
        </is>
      </c>
      <c r="G116" s="24" t="inlineStr">
        <is>
          <t>FUT Esports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144</v>
      </c>
      <c r="M116" s="27" t="n">
        <v>2.44</v>
      </c>
      <c r="N116" s="28" t="n">
        <v>0.409836</v>
      </c>
      <c r="O116" s="28" t="n">
        <v>0.5</v>
      </c>
      <c r="P116" s="28" t="n"/>
      <c r="Q116" s="28" t="n">
        <v>0.09016399999999999</v>
      </c>
      <c r="R116" s="26" t="n">
        <v>65</v>
      </c>
      <c r="S116" s="29" t="n">
        <v>0.5</v>
      </c>
      <c r="T116" s="24" t="inlineStr">
        <is>
          <t>valorant-tiered-elo-v3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Neutral Elo baseline; executable ask 0.4100 (market_slug=aec-valorant-fut-bbl-2026-07-24).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BBL Esports</t>
        </is>
      </c>
      <c r="AQ116" s="24" t="inlineStr">
        <is>
          <t>BBL Esports</t>
        </is>
      </c>
      <c r="AR116" s="24" t="inlineStr">
        <is>
          <t>BBL Esports</t>
        </is>
      </c>
      <c r="AS116" s="24" t="inlineStr">
        <is>
          <t>FUT Esports</t>
        </is>
      </c>
      <c r="AT116" s="24" t="inlineStr">
        <is>
          <t>FUT Esports</t>
        </is>
      </c>
      <c r="AU116" s="24" t="inlineStr">
        <is>
          <t>FUT Esports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df5a226c64918a54c70b8af3e0cd4abb6c4f42b67acb5547da319458502b0ed4</t>
        </is>
      </c>
      <c r="BB116" s="24" t="inlineStr">
        <is>
          <t>neutral_elo</t>
        </is>
      </c>
      <c r="BC116" s="24" t="inlineStr">
        <is>
          <t>valorant-tiered-elo-v3</t>
        </is>
      </c>
      <c r="BD116" s="24" t="inlineStr">
        <is>
          <t>df5a226c64918a54c70b8af3e0cd4abb6c4f42b67acb5547da319458502b0ed4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valorant-tiered-elo-v3</t>
        </is>
      </c>
      <c r="BH116" s="24" t="inlineStr">
        <is>
          <t>2026-07-23T04:42:52.160851Z</t>
        </is>
      </c>
      <c r="BI116" s="24" t="inlineStr">
        <is>
          <t>["same_event","same_team_same_day","same_league_same_day"]</t>
        </is>
      </c>
      <c r="BJ116" s="25" t="n"/>
      <c r="BK116" s="26" t="n">
        <v>144</v>
      </c>
      <c r="BL116" s="27" t="n">
        <v>2.44</v>
      </c>
      <c r="BM116" s="28" t="n">
        <v>0.409836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</row>
    <row r="117" ht="36" customHeight="1">
      <c r="A117" s="24" t="inlineStr">
        <is>
          <t>ef46d8668d244522</t>
        </is>
      </c>
      <c r="B117" s="24" t="inlineStr">
        <is>
          <t>2026-07-23T07:19:02.457025Z</t>
        </is>
      </c>
      <c r="C117" s="24" t="inlineStr">
        <is>
          <t>2026-07-23T12:15:00-0400</t>
        </is>
      </c>
      <c r="D117" s="24" t="inlineStr">
        <is>
          <t>401816233</t>
        </is>
      </c>
      <c r="E117" s="24" t="inlineStr">
        <is>
          <t>MLB</t>
        </is>
      </c>
      <c r="F117" s="24" t="inlineStr">
        <is>
          <t>San Diego Padres</t>
        </is>
      </c>
      <c r="G117" s="24" t="inlineStr">
        <is>
          <t>Atlanta Braves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-223</v>
      </c>
      <c r="M117" s="27" t="n">
        <v>1.44843</v>
      </c>
      <c r="N117" s="28" t="n">
        <v>0.690402</v>
      </c>
      <c r="O117" s="28" t="n">
        <v>0.560794</v>
      </c>
      <c r="P117" s="28" t="n"/>
      <c r="Q117" s="28" t="n">
        <v>-0.129608</v>
      </c>
      <c r="R117" s="26" t="n">
        <v>0</v>
      </c>
      <c r="S117" s="29" t="n">
        <v>1</v>
      </c>
      <c r="T117" s="24" t="inlineStr">
        <is>
          <t>mlb-elo-trend-lr-v5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Learned LR call at threshold 0.5750; executable ask 0.6900 (aec-mlb-sd-atl-2026-07-23).</t>
        </is>
      </c>
      <c r="AF117" s="31" t="inlineStr">
        <is>
          <t>Learned model; promotion gate not yet open; zero-unit research until review.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NO_CALL_LARGE_DISAGREEMENT_REVIEW</t>
        </is>
      </c>
      <c r="AP117" s="24" t="inlineStr">
        <is>
          <t>mlb-sd</t>
        </is>
      </c>
      <c r="AQ117" s="24" t="inlineStr">
        <is>
          <t>San Diego Padres</t>
        </is>
      </c>
      <c r="AR117" s="24" t="inlineStr">
        <is>
          <t>San Diego Padres</t>
        </is>
      </c>
      <c r="AS117" s="24" t="inlineStr">
        <is>
          <t>mlb-atl</t>
        </is>
      </c>
      <c r="AT117" s="24" t="inlineStr">
        <is>
          <t>Atlanta Braves</t>
        </is>
      </c>
      <c r="AU117" s="24" t="inlineStr">
        <is>
          <t>Atlanta Braves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8a12d027cf1d2c206cb369c47da80e014f8ac4dfc414ffee96ae34656c46fef5</t>
        </is>
      </c>
      <c r="BB117" s="24" t="inlineStr">
        <is>
          <t>learned_lr</t>
        </is>
      </c>
      <c r="BC117" s="24" t="inlineStr">
        <is>
          <t>mlb-elo-trend-lr-v5</t>
        </is>
      </c>
      <c r="BD117" s="24" t="inlineStr">
        <is>
          <t>8a12d027cf1d2c206cb369c47da80e014f8ac4dfc414ffee96ae34656c46fef5</t>
        </is>
      </c>
      <c r="BE117" s="24" t="inlineStr">
        <is>
          <t>5bf38cd857f1f6ba</t>
        </is>
      </c>
      <c r="BF117" s="24" t="inlineStr">
        <is>
          <t>1</t>
        </is>
      </c>
      <c r="BG117" s="24" t="inlineStr">
        <is>
          <t>mlb-elo-trend-lr-v5</t>
        </is>
      </c>
      <c r="BH117" s="24" t="inlineStr">
        <is>
          <t>2026-07-23T07:17:34.858414Z</t>
        </is>
      </c>
      <c r="BI117" s="24" t="inlineStr">
        <is>
          <t>["same_event","same_team_same_day","same_league_same_day"]</t>
        </is>
      </c>
      <c r="BJ117" s="25" t="n"/>
      <c r="BK117" s="26" t="n">
        <v>-223</v>
      </c>
      <c r="BL117" s="27" t="n">
        <v>1.44843</v>
      </c>
      <c r="BM117" s="28" t="n">
        <v>0.690402</v>
      </c>
      <c r="BN117" s="28" t="n">
        <v>0.686567</v>
      </c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</row>
    <row r="118" ht="36" customHeight="1">
      <c r="A118" s="24" t="inlineStr">
        <is>
          <t>c53f3caa602047c3</t>
        </is>
      </c>
      <c r="B118" s="24" t="inlineStr">
        <is>
          <t>2026-07-23T07:19:02.457025Z</t>
        </is>
      </c>
      <c r="C118" s="24" t="inlineStr">
        <is>
          <t>2026-07-23T13:10:00-0400</t>
        </is>
      </c>
      <c r="D118" s="24" t="inlineStr">
        <is>
          <t>401816232</t>
        </is>
      </c>
      <c r="E118" s="24" t="inlineStr">
        <is>
          <t>MLB</t>
        </is>
      </c>
      <c r="F118" s="24" t="inlineStr">
        <is>
          <t>Minnesota Twins</t>
        </is>
      </c>
      <c r="G118" s="24" t="inlineStr">
        <is>
          <t>Cleveland Guardians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-133</v>
      </c>
      <c r="M118" s="27" t="n">
        <v>1.75188</v>
      </c>
      <c r="N118" s="28" t="n">
        <v>0.570815</v>
      </c>
      <c r="O118" s="28" t="n">
        <v>0.545088</v>
      </c>
      <c r="P118" s="28" t="n"/>
      <c r="Q118" s="28" t="n">
        <v>-0.025727</v>
      </c>
      <c r="R118" s="26" t="n">
        <v>7</v>
      </c>
      <c r="S118" s="29" t="n">
        <v>1</v>
      </c>
      <c r="T118" s="24" t="inlineStr">
        <is>
          <t>mlb-elo-trend-lr-v5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Learned LR call at threshold 0.5750; executable ask 0.5700 (aec-mlb-min-cle-2026-07-23).</t>
        </is>
      </c>
      <c r="AF118" s="31" t="inlineStr">
        <is>
          <t>Learned model; promotion gate not yet open; zero-unit research until review.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mlb-min</t>
        </is>
      </c>
      <c r="AQ118" s="24" t="inlineStr">
        <is>
          <t>Minnesota Twins</t>
        </is>
      </c>
      <c r="AR118" s="24" t="inlineStr">
        <is>
          <t>Minnesota Twins</t>
        </is>
      </c>
      <c r="AS118" s="24" t="inlineStr">
        <is>
          <t>mlb-cle</t>
        </is>
      </c>
      <c r="AT118" s="24" t="inlineStr">
        <is>
          <t>Cleveland Guardians</t>
        </is>
      </c>
      <c r="AU118" s="24" t="inlineStr">
        <is>
          <t>Cleveland Guardians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8a12d027cf1d2c206cb369c47da80e014f8ac4dfc414ffee96ae34656c46fef5</t>
        </is>
      </c>
      <c r="BB118" s="24" t="inlineStr">
        <is>
          <t>learned_lr</t>
        </is>
      </c>
      <c r="BC118" s="24" t="inlineStr">
        <is>
          <t>mlb-elo-trend-lr-v5</t>
        </is>
      </c>
      <c r="BD118" s="24" t="inlineStr">
        <is>
          <t>8a12d027cf1d2c206cb369c47da80e014f8ac4dfc414ffee96ae34656c46fef5</t>
        </is>
      </c>
      <c r="BE118" s="24" t="inlineStr">
        <is>
          <t>ea1c99a965e33c08</t>
        </is>
      </c>
      <c r="BF118" s="24" t="inlineStr">
        <is>
          <t>1</t>
        </is>
      </c>
      <c r="BG118" s="24" t="inlineStr">
        <is>
          <t>mlb-elo-trend-lr-v5</t>
        </is>
      </c>
      <c r="BH118" s="24" t="inlineStr">
        <is>
          <t>2026-07-23T07:17:36.221014Z</t>
        </is>
      </c>
      <c r="BI118" s="24" t="inlineStr">
        <is>
          <t>["same_event","same_team_same_day","same_league_same_day"]</t>
        </is>
      </c>
      <c r="BJ118" s="25" t="n"/>
      <c r="BK118" s="26" t="n">
        <v>-133</v>
      </c>
      <c r="BL118" s="27" t="n">
        <v>1.75188</v>
      </c>
      <c r="BM118" s="28" t="n">
        <v>0.570815</v>
      </c>
      <c r="BN118" s="28" t="n">
        <v>0.567164</v>
      </c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</row>
    <row r="119" ht="36" customHeight="1">
      <c r="A119" s="24" t="inlineStr">
        <is>
          <t>09d5eb5ec23c4b55</t>
        </is>
      </c>
      <c r="B119" s="24" t="inlineStr">
        <is>
          <t>2026-07-23T07:19:02.457025Z</t>
        </is>
      </c>
      <c r="C119" s="24" t="inlineStr">
        <is>
          <t>2026-07-23T15:07:00-0400</t>
        </is>
      </c>
      <c r="D119" s="24" t="inlineStr">
        <is>
          <t>401816234</t>
        </is>
      </c>
      <c r="E119" s="24" t="inlineStr">
        <is>
          <t>MLB</t>
        </is>
      </c>
      <c r="F119" s="24" t="inlineStr">
        <is>
          <t>Tampa Bay Rays</t>
        </is>
      </c>
      <c r="G119" s="24" t="inlineStr">
        <is>
          <t>Toronto Blue Jays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-104</v>
      </c>
      <c r="M119" s="27" t="n">
        <v>1.961538</v>
      </c>
      <c r="N119" s="28" t="n">
        <v>0.509804</v>
      </c>
      <c r="O119" s="28" t="n">
        <v>0.555263</v>
      </c>
      <c r="P119" s="28" t="n"/>
      <c r="Q119" s="28" t="n">
        <v>0.045459</v>
      </c>
      <c r="R119" s="26" t="n">
        <v>43</v>
      </c>
      <c r="S119" s="29" t="n">
        <v>1</v>
      </c>
      <c r="T119" s="24" t="inlineStr">
        <is>
          <t>mlb-elo-trend-lr-v5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Learned LR call at threshold 0.5750; executable ask 0.5100 (aec-mlb-tb-tor-2026-07-23).</t>
        </is>
      </c>
      <c r="AF119" s="31" t="inlineStr">
        <is>
          <t>Learned model; promotion gate not yet open; zero-unit research until review.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NO_CALL_LOW_EDGE</t>
        </is>
      </c>
      <c r="AP119" s="24" t="inlineStr">
        <is>
          <t>mlb-tb</t>
        </is>
      </c>
      <c r="AQ119" s="24" t="inlineStr">
        <is>
          <t>Tampa Bay Rays</t>
        </is>
      </c>
      <c r="AR119" s="24" t="inlineStr">
        <is>
          <t>Tampa Bay Rays</t>
        </is>
      </c>
      <c r="AS119" s="24" t="inlineStr">
        <is>
          <t>mlb-tor</t>
        </is>
      </c>
      <c r="AT119" s="24" t="inlineStr">
        <is>
          <t>Toronto Blue Jays</t>
        </is>
      </c>
      <c r="AU119" s="24" t="inlineStr">
        <is>
          <t>Toronto Blue Jays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8a12d027cf1d2c206cb369c47da80e014f8ac4dfc414ffee96ae34656c46fef5</t>
        </is>
      </c>
      <c r="BB119" s="24" t="inlineStr">
        <is>
          <t>learned_lr</t>
        </is>
      </c>
      <c r="BC119" s="24" t="inlineStr">
        <is>
          <t>mlb-elo-trend-lr-v5</t>
        </is>
      </c>
      <c r="BD119" s="24" t="inlineStr">
        <is>
          <t>8a12d027cf1d2c206cb369c47da80e014f8ac4dfc414ffee96ae34656c46fef5</t>
        </is>
      </c>
      <c r="BE119" s="24" t="inlineStr">
        <is>
          <t>30f1580a797cd317</t>
        </is>
      </c>
      <c r="BF119" s="24" t="inlineStr">
        <is>
          <t>1</t>
        </is>
      </c>
      <c r="BG119" s="24" t="inlineStr">
        <is>
          <t>mlb-elo-trend-lr-v5</t>
        </is>
      </c>
      <c r="BH119" s="24" t="inlineStr">
        <is>
          <t>2026-07-23T07:17:38.849393Z</t>
        </is>
      </c>
      <c r="BI119" s="24" t="inlineStr">
        <is>
          <t>["same_event","same_team_same_day","same_league_same_day"]</t>
        </is>
      </c>
      <c r="BJ119" s="25" t="n"/>
      <c r="BK119" s="26" t="n">
        <v>-104</v>
      </c>
      <c r="BL119" s="27" t="n">
        <v>1.961538</v>
      </c>
      <c r="BM119" s="28" t="n">
        <v>0.509804</v>
      </c>
      <c r="BN119" s="28" t="n">
        <v>0.507463</v>
      </c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</row>
    <row r="120" ht="36" customHeight="1">
      <c r="A120" s="24" t="inlineStr">
        <is>
          <t>ea482211616b4003</t>
        </is>
      </c>
      <c r="B120" s="24" t="inlineStr">
        <is>
          <t>2026-07-23T07:19:02.457025Z</t>
        </is>
      </c>
      <c r="C120" s="24" t="inlineStr">
        <is>
          <t>2026-07-23T17:15:00-0400</t>
        </is>
      </c>
      <c r="D120" s="24" t="inlineStr">
        <is>
          <t>401881162</t>
        </is>
      </c>
      <c r="E120" s="24" t="inlineStr">
        <is>
          <t>MLB</t>
        </is>
      </c>
      <c r="F120" s="24" t="inlineStr">
        <is>
          <t>Arizona Diamondbacks</t>
        </is>
      </c>
      <c r="G120" s="24" t="inlineStr">
        <is>
          <t>St. Louis Cardinals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-113</v>
      </c>
      <c r="M120" s="27" t="n">
        <v>1.884956</v>
      </c>
      <c r="N120" s="28" t="n">
        <v>0.530516</v>
      </c>
      <c r="O120" s="28" t="n">
        <v>0.572554</v>
      </c>
      <c r="P120" s="28" t="n"/>
      <c r="Q120" s="28" t="n">
        <v>0.042038</v>
      </c>
      <c r="R120" s="26" t="n">
        <v>41</v>
      </c>
      <c r="S120" s="29" t="n">
        <v>1.25</v>
      </c>
      <c r="T120" s="24" t="inlineStr">
        <is>
          <t>mlb-elo-trend-lr-v5</t>
        </is>
      </c>
      <c r="U120" s="24" t="inlineStr">
        <is>
          <t>open</t>
        </is>
      </c>
      <c r="V120" s="24" t="n"/>
      <c r="W120" s="26" t="n"/>
      <c r="X120" s="26" t="n"/>
      <c r="Y120" s="25" t="n"/>
      <c r="Z120" s="26" t="n"/>
      <c r="AA120" s="28" t="n"/>
      <c r="AB120" s="28" t="n"/>
      <c r="AC120" s="30" t="n"/>
      <c r="AD120" s="24" t="n"/>
      <c r="AE120" s="31" t="inlineStr">
        <is>
          <t>Learned LR call at threshold 0.5750; executable ask 0.5300 (aec-mlb-az-stl-2026-07-23).</t>
        </is>
      </c>
      <c r="AF120" s="31" t="inlineStr">
        <is>
          <t>Learned model; promotion gate not yet open; zero-unit research until review.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NO_CALL_LOW_EDGE</t>
        </is>
      </c>
      <c r="AP120" s="24" t="inlineStr">
        <is>
          <t>mlb-ari</t>
        </is>
      </c>
      <c r="AQ120" s="24" t="inlineStr">
        <is>
          <t>Arizona Diamondbacks</t>
        </is>
      </c>
      <c r="AR120" s="24" t="inlineStr">
        <is>
          <t>Arizona Diamondbacks</t>
        </is>
      </c>
      <c r="AS120" s="24" t="inlineStr">
        <is>
          <t>mlb-stl</t>
        </is>
      </c>
      <c r="AT120" s="24" t="inlineStr">
        <is>
          <t>St. Louis Cardinals</t>
        </is>
      </c>
      <c r="AU120" s="24" t="inlineStr">
        <is>
          <t>St. Louis Cardinals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8a12d027cf1d2c206cb369c47da80e014f8ac4dfc414ffee96ae34656c46fef5</t>
        </is>
      </c>
      <c r="BB120" s="24" t="inlineStr">
        <is>
          <t>learned_lr</t>
        </is>
      </c>
      <c r="BC120" s="24" t="inlineStr">
        <is>
          <t>mlb-elo-trend-lr-v5</t>
        </is>
      </c>
      <c r="BD120" s="24" t="inlineStr">
        <is>
          <t>8a12d027cf1d2c206cb369c47da80e014f8ac4dfc414ffee96ae34656c46fef5</t>
        </is>
      </c>
      <c r="BE120" s="24" t="inlineStr">
        <is>
          <t>58036879867644e0</t>
        </is>
      </c>
      <c r="BF120" s="24" t="inlineStr">
        <is>
          <t>1</t>
        </is>
      </c>
      <c r="BG120" s="24" t="inlineStr">
        <is>
          <t>mlb-elo-trend-lr-v5</t>
        </is>
      </c>
      <c r="BH120" s="24" t="inlineStr">
        <is>
          <t>2026-07-23T07:17:41.244158Z</t>
        </is>
      </c>
      <c r="BI120" s="24" t="inlineStr">
        <is>
          <t>["same_event","same_team_same_day","same_league_same_day"]</t>
        </is>
      </c>
      <c r="BJ120" s="25" t="n"/>
      <c r="BK120" s="26" t="n">
        <v>-113</v>
      </c>
      <c r="BL120" s="27" t="n">
        <v>1.884956</v>
      </c>
      <c r="BM120" s="28" t="n">
        <v>0.530516</v>
      </c>
      <c r="BN120" s="28" t="n">
        <v>0.527363</v>
      </c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</row>
    <row r="121" ht="36" customHeight="1">
      <c r="A121" s="24" t="inlineStr">
        <is>
          <t>7eae3a7680cc4f6c</t>
        </is>
      </c>
      <c r="B121" s="24" t="inlineStr">
        <is>
          <t>2026-07-23T07:19:02.457025Z</t>
        </is>
      </c>
      <c r="C121" s="24" t="inlineStr">
        <is>
          <t>2026-07-23T18:40:00-0400</t>
        </is>
      </c>
      <c r="D121" s="24" t="inlineStr">
        <is>
          <t>401816231</t>
        </is>
      </c>
      <c r="E121" s="24" t="inlineStr">
        <is>
          <t>MLB</t>
        </is>
      </c>
      <c r="F121" s="24" t="inlineStr">
        <is>
          <t>Kansas City Royals</t>
        </is>
      </c>
      <c r="G121" s="24" t="inlineStr">
        <is>
          <t>Detroit Tigers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-194</v>
      </c>
      <c r="M121" s="27" t="n">
        <v>1.515464</v>
      </c>
      <c r="N121" s="28" t="n">
        <v>0.659864</v>
      </c>
      <c r="O121" s="28" t="n">
        <v>0.51588</v>
      </c>
      <c r="P121" s="28" t="n"/>
      <c r="Q121" s="28" t="n">
        <v>-0.143984</v>
      </c>
      <c r="R121" s="26" t="n">
        <v>0</v>
      </c>
      <c r="S121" s="29" t="n">
        <v>0.75</v>
      </c>
      <c r="T121" s="24" t="inlineStr">
        <is>
          <t>mlb-elo-trend-lr-v5</t>
        </is>
      </c>
      <c r="U121" s="24" t="inlineStr">
        <is>
          <t>open</t>
        </is>
      </c>
      <c r="V121" s="24" t="n"/>
      <c r="W121" s="26" t="n"/>
      <c r="X121" s="26" t="n"/>
      <c r="Y121" s="25" t="n"/>
      <c r="Z121" s="26" t="n"/>
      <c r="AA121" s="28" t="n"/>
      <c r="AB121" s="28" t="n"/>
      <c r="AC121" s="30" t="n"/>
      <c r="AD121" s="24" t="n"/>
      <c r="AE121" s="31" t="inlineStr">
        <is>
          <t>Learned LR call at threshold 0.5750; executable ask 0.6600 (aec-mlb-kc-det-2026-07-23).</t>
        </is>
      </c>
      <c r="AF121" s="31" t="inlineStr">
        <is>
          <t>Learned model; promotion gate not yet open; zero-unit research until review.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NO_CALL_LARGE_DISAGREEMENT_REVIEW</t>
        </is>
      </c>
      <c r="AP121" s="24" t="inlineStr">
        <is>
          <t>mlb-kc</t>
        </is>
      </c>
      <c r="AQ121" s="24" t="inlineStr">
        <is>
          <t>Kansas City Royals</t>
        </is>
      </c>
      <c r="AR121" s="24" t="inlineStr">
        <is>
          <t>Kansas City Royals</t>
        </is>
      </c>
      <c r="AS121" s="24" t="inlineStr">
        <is>
          <t>mlb-det</t>
        </is>
      </c>
      <c r="AT121" s="24" t="inlineStr">
        <is>
          <t>Detroit Tigers</t>
        </is>
      </c>
      <c r="AU121" s="24" t="inlineStr">
        <is>
          <t>Detroit Tigers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8a12d027cf1d2c206cb369c47da80e014f8ac4dfc414ffee96ae34656c46fef5</t>
        </is>
      </c>
      <c r="BB121" s="24" t="inlineStr">
        <is>
          <t>learned_lr</t>
        </is>
      </c>
      <c r="BC121" s="24" t="inlineStr">
        <is>
          <t>mlb-elo-trend-lr-v5</t>
        </is>
      </c>
      <c r="BD121" s="24" t="inlineStr">
        <is>
          <t>8a12d027cf1d2c206cb369c47da80e014f8ac4dfc414ffee96ae34656c46fef5</t>
        </is>
      </c>
      <c r="BE121" s="24" t="inlineStr">
        <is>
          <t>0f8ab58ea2d9341a</t>
        </is>
      </c>
      <c r="BF121" s="24" t="inlineStr">
        <is>
          <t>1</t>
        </is>
      </c>
      <c r="BG121" s="24" t="inlineStr">
        <is>
          <t>mlb-elo-trend-lr-v5</t>
        </is>
      </c>
      <c r="BH121" s="24" t="inlineStr">
        <is>
          <t>2026-07-23T07:17:42.917577Z</t>
        </is>
      </c>
      <c r="BI121" s="24" t="inlineStr">
        <is>
          <t>["same_event","same_team_same_day","same_league_same_day"]</t>
        </is>
      </c>
      <c r="BJ121" s="25" t="n"/>
      <c r="BK121" s="26" t="n">
        <v>-194</v>
      </c>
      <c r="BL121" s="27" t="n">
        <v>1.515464</v>
      </c>
      <c r="BM121" s="28" t="n">
        <v>0.659864</v>
      </c>
      <c r="BN121" s="28" t="n">
        <v>0.656716</v>
      </c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</row>
    <row r="122" ht="36" customHeight="1">
      <c r="A122" s="24" t="inlineStr">
        <is>
          <t>17d349cf61e54815</t>
        </is>
      </c>
      <c r="B122" s="24" t="inlineStr">
        <is>
          <t>2026-07-23T07:19:42.077429Z</t>
        </is>
      </c>
      <c r="C122" s="24" t="inlineStr">
        <is>
          <t>2026-07-23T09:00:00Z</t>
        </is>
      </c>
      <c r="D122" s="24" t="inlineStr">
        <is>
          <t>56810</t>
        </is>
      </c>
      <c r="E122" s="24" t="inlineStr">
        <is>
          <t>LOL</t>
        </is>
      </c>
      <c r="F122" s="24" t="inlineStr">
        <is>
          <t>Anyone's Legend</t>
        </is>
      </c>
      <c r="G122" s="24" t="inlineStr">
        <is>
          <t>JD Gaming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104</v>
      </c>
      <c r="M122" s="27" t="n">
        <v>2.04</v>
      </c>
      <c r="N122" s="28" t="n">
        <v>0.490196</v>
      </c>
      <c r="O122" s="28" t="n">
        <v>0.529047</v>
      </c>
      <c r="P122" s="28" t="n"/>
      <c r="Q122" s="28" t="n">
        <v>0.038851</v>
      </c>
      <c r="R122" s="26" t="n">
        <v>39</v>
      </c>
      <c r="S122" s="29" t="n">
        <v>0.75</v>
      </c>
      <c r="T122" s="24" t="inlineStr">
        <is>
          <t>lol-tiered-elo-v3</t>
        </is>
      </c>
      <c r="U122" s="24" t="inlineStr">
        <is>
          <t>open</t>
        </is>
      </c>
      <c r="V122" s="24" t="n"/>
      <c r="W122" s="26" t="n"/>
      <c r="X122" s="26" t="n"/>
      <c r="Y122" s="25" t="n"/>
      <c r="Z122" s="26" t="n"/>
      <c r="AA122" s="28" t="n"/>
      <c r="AB122" s="28" t="n"/>
      <c r="AC122" s="30" t="n"/>
      <c r="AD122" s="24" t="n"/>
      <c r="AE122" s="31" t="inlineStr">
        <is>
          <t>Neutral Elo baseline; executable ask 0.4900 (market_slug=aec-lol-jdg-al-2026-07-23).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NO_CALL_LOW_EDGE</t>
        </is>
      </c>
      <c r="AP122" s="24" t="inlineStr">
        <is>
          <t>Anyone's Legend</t>
        </is>
      </c>
      <c r="AQ122" s="24" t="inlineStr">
        <is>
          <t>Anyone's Legend</t>
        </is>
      </c>
      <c r="AR122" s="24" t="inlineStr">
        <is>
          <t>Anyone's Legend</t>
        </is>
      </c>
      <c r="AS122" s="24" t="inlineStr">
        <is>
          <t>JD Gaming</t>
        </is>
      </c>
      <c r="AT122" s="24" t="inlineStr">
        <is>
          <t>JD Gaming</t>
        </is>
      </c>
      <c r="AU122" s="24" t="inlineStr">
        <is>
          <t>JD Gaming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dbc38ecdb090b63690db810d40eb29d0a69435c83dfbf24eb00d22aa42c177ae</t>
        </is>
      </c>
      <c r="BB122" s="24" t="inlineStr">
        <is>
          <t>neutral_elo</t>
        </is>
      </c>
      <c r="BC122" s="24" t="inlineStr">
        <is>
          <t>lol-tiered-elo-v3</t>
        </is>
      </c>
      <c r="BD122" s="24" t="inlineStr">
        <is>
          <t>dbc38ecdb090b63690db810d40eb29d0a69435c83dfbf24eb00d22aa42c177ae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lol-tiered-elo-v3</t>
        </is>
      </c>
      <c r="BH122" s="24" t="inlineStr">
        <is>
          <t>2026-07-23T07:19:09.188062Z</t>
        </is>
      </c>
      <c r="BI122" s="24" t="inlineStr">
        <is>
          <t>["same_event","same_team_same_day","same_league_same_day"]</t>
        </is>
      </c>
      <c r="BJ122" s="25" t="n"/>
      <c r="BK122" s="26" t="n">
        <v>104</v>
      </c>
      <c r="BL122" s="27" t="n">
        <v>2.04</v>
      </c>
      <c r="BM122" s="28" t="n">
        <v>0.490196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</row>
    <row r="123" ht="36" customHeight="1">
      <c r="A123" s="24" t="inlineStr">
        <is>
          <t>e29dbaa3f7f84a2d</t>
        </is>
      </c>
      <c r="B123" s="24" t="inlineStr">
        <is>
          <t>2026-07-23T07:19:42.077429Z</t>
        </is>
      </c>
      <c r="C123" s="24" t="inlineStr">
        <is>
          <t>2026-07-23T16:00:00Z</t>
        </is>
      </c>
      <c r="D123" s="24" t="inlineStr">
        <is>
          <t>57023</t>
        </is>
      </c>
      <c r="E123" s="24" t="inlineStr">
        <is>
          <t>LOL</t>
        </is>
      </c>
      <c r="F123" s="24" t="inlineStr">
        <is>
          <t>Esprit Shōnen</t>
        </is>
      </c>
      <c r="G123" s="24" t="inlineStr">
        <is>
          <t>Skillcamp Esport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144</v>
      </c>
      <c r="M123" s="27" t="n">
        <v>2.44</v>
      </c>
      <c r="N123" s="28" t="n">
        <v>0.409836</v>
      </c>
      <c r="O123" s="28" t="n">
        <v>0.598228</v>
      </c>
      <c r="P123" s="28" t="n"/>
      <c r="Q123" s="28" t="n">
        <v>0.188392</v>
      </c>
      <c r="R123" s="26" t="n">
        <v>100</v>
      </c>
      <c r="S123" s="29" t="n">
        <v>1.5</v>
      </c>
      <c r="T123" s="24" t="inlineStr">
        <is>
          <t>lol-tiered-elo-v3</t>
        </is>
      </c>
      <c r="U123" s="24" t="inlineStr">
        <is>
          <t>open</t>
        </is>
      </c>
      <c r="V123" s="24" t="n"/>
      <c r="W123" s="26" t="n"/>
      <c r="X123" s="26" t="n"/>
      <c r="Y123" s="25" t="n"/>
      <c r="Z123" s="26" t="n"/>
      <c r="AA123" s="28" t="n"/>
      <c r="AB123" s="28" t="n"/>
      <c r="AC123" s="30" t="n"/>
      <c r="AD123" s="24" t="n"/>
      <c r="AE123" s="31" t="inlineStr">
        <is>
          <t>Neutral Elo baseline; executable ask 0.4100 (market_slug=aec-lol-sc-ess-2026-07-23).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NO_CALL_LARGE_DISAGREEMENT_REVIEW</t>
        </is>
      </c>
      <c r="AP123" s="24" t="inlineStr">
        <is>
          <t>Esprit Shōnen</t>
        </is>
      </c>
      <c r="AQ123" s="24" t="inlineStr">
        <is>
          <t>Esprit Shōnen</t>
        </is>
      </c>
      <c r="AR123" s="24" t="inlineStr">
        <is>
          <t>Esprit Shōnen</t>
        </is>
      </c>
      <c r="AS123" s="24" t="inlineStr">
        <is>
          <t>Skillcamp Esport</t>
        </is>
      </c>
      <c r="AT123" s="24" t="inlineStr">
        <is>
          <t>Skillcamp Esport</t>
        </is>
      </c>
      <c r="AU123" s="24" t="inlineStr">
        <is>
          <t>Skillcamp Esport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dbc38ecdb090b63690db810d40eb29d0a69435c83dfbf24eb00d22aa42c177ae</t>
        </is>
      </c>
      <c r="BB123" s="24" t="inlineStr">
        <is>
          <t>neutral_elo</t>
        </is>
      </c>
      <c r="BC123" s="24" t="inlineStr">
        <is>
          <t>lol-tiered-elo-v3</t>
        </is>
      </c>
      <c r="BD123" s="24" t="inlineStr">
        <is>
          <t>dbc38ecdb090b63690db810d40eb29d0a69435c83dfbf24eb00d22aa42c177ae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lol-tiered-elo-v3</t>
        </is>
      </c>
      <c r="BH123" s="24" t="inlineStr">
        <is>
          <t>2026-07-23T07:19:11.879111Z</t>
        </is>
      </c>
      <c r="BI123" s="24" t="inlineStr">
        <is>
          <t>["same_event","same_team_same_day","same_league_same_day"]</t>
        </is>
      </c>
      <c r="BJ123" s="25" t="n"/>
      <c r="BK123" s="26" t="n">
        <v>144</v>
      </c>
      <c r="BL123" s="27" t="n">
        <v>2.44</v>
      </c>
      <c r="BM123" s="28" t="n">
        <v>0.409836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</row>
    <row r="124" ht="36" customHeight="1">
      <c r="A124" s="24" t="inlineStr">
        <is>
          <t>a264f6f1360541ce</t>
        </is>
      </c>
      <c r="B124" s="24" t="inlineStr">
        <is>
          <t>2026-07-23T07:19:42.077429Z</t>
        </is>
      </c>
      <c r="C124" s="24" t="inlineStr">
        <is>
          <t>2026-07-23T17:00:00Z</t>
        </is>
      </c>
      <c r="D124" s="24" t="inlineStr">
        <is>
          <t>58174</t>
        </is>
      </c>
      <c r="E124" s="24" t="inlineStr">
        <is>
          <t>LOL</t>
        </is>
      </c>
      <c r="F124" s="24" t="inlineStr">
        <is>
          <t>E WIE EINFACH E-SPORTS</t>
        </is>
      </c>
      <c r="G124" s="24" t="inlineStr">
        <is>
          <t>ROSSMANN Centaurs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-223</v>
      </c>
      <c r="M124" s="27" t="n">
        <v>1.44843</v>
      </c>
      <c r="N124" s="28" t="n">
        <v>0.690402</v>
      </c>
      <c r="O124" s="28" t="n">
        <v>0.626995</v>
      </c>
      <c r="P124" s="28" t="n"/>
      <c r="Q124" s="28" t="n">
        <v>-0.06340700000000001</v>
      </c>
      <c r="R124" s="26" t="n">
        <v>0</v>
      </c>
      <c r="S124" s="29" t="n">
        <v>1.75</v>
      </c>
      <c r="T124" s="24" t="inlineStr">
        <is>
          <t>lol-tiered-elo-v3</t>
        </is>
      </c>
      <c r="U124" s="24" t="inlineStr">
        <is>
          <t>open</t>
        </is>
      </c>
      <c r="V124" s="24" t="n"/>
      <c r="W124" s="26" t="n"/>
      <c r="X124" s="26" t="n"/>
      <c r="Y124" s="25" t="n"/>
      <c r="Z124" s="26" t="n"/>
      <c r="AA124" s="28" t="n"/>
      <c r="AB124" s="28" t="n"/>
      <c r="AC124" s="30" t="n"/>
      <c r="AD124" s="24" t="n"/>
      <c r="AE124" s="31" t="inlineStr">
        <is>
          <t>Neutral Elo baseline; executable ask 0.6900 (market_slug=aec-lol-ross-ewi-2026-07-23).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E WIE EINFACH E-SPORTS</t>
        </is>
      </c>
      <c r="AQ124" s="24" t="inlineStr">
        <is>
          <t>E WIE EINFACH E-SPORTS</t>
        </is>
      </c>
      <c r="AR124" s="24" t="inlineStr">
        <is>
          <t>E WIE EINFACH E-SPORTS</t>
        </is>
      </c>
      <c r="AS124" s="24" t="inlineStr">
        <is>
          <t>ROSSMANN Centaurs</t>
        </is>
      </c>
      <c r="AT124" s="24" t="inlineStr">
        <is>
          <t>ROSSMANN Centaurs</t>
        </is>
      </c>
      <c r="AU124" s="24" t="inlineStr">
        <is>
          <t>ROSSMANN Centaurs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dbc38ecdb090b63690db810d40eb29d0a69435c83dfbf24eb00d22aa42c177ae</t>
        </is>
      </c>
      <c r="BB124" s="24" t="inlineStr">
        <is>
          <t>neutral_elo</t>
        </is>
      </c>
      <c r="BC124" s="24" t="inlineStr">
        <is>
          <t>lol-tiered-elo-v3</t>
        </is>
      </c>
      <c r="BD124" s="24" t="inlineStr">
        <is>
          <t>dbc38ecdb090b63690db810d40eb29d0a69435c83dfbf24eb00d22aa42c177ae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lol-tiered-elo-v3</t>
        </is>
      </c>
      <c r="BH124" s="24" t="inlineStr">
        <is>
          <t>2026-07-23T07:19:14.470472Z</t>
        </is>
      </c>
      <c r="BI124" s="24" t="inlineStr">
        <is>
          <t>["same_event","same_team_same_day","same_league_same_day"]</t>
        </is>
      </c>
      <c r="BJ124" s="25" t="n"/>
      <c r="BK124" s="26" t="n">
        <v>-223</v>
      </c>
      <c r="BL124" s="27" t="n">
        <v>1.44843</v>
      </c>
      <c r="BM124" s="28" t="n">
        <v>0.690402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</row>
    <row r="125" ht="36" customHeight="1">
      <c r="A125" s="24" t="inlineStr">
        <is>
          <t>f57c248727f549ec</t>
        </is>
      </c>
      <c r="B125" s="24" t="inlineStr">
        <is>
          <t>2026-07-23T07:19:42.077429Z</t>
        </is>
      </c>
      <c r="C125" s="24" t="inlineStr">
        <is>
          <t>2026-07-23T17:00:00Z</t>
        </is>
      </c>
      <c r="D125" s="24" t="inlineStr">
        <is>
          <t>57086</t>
        </is>
      </c>
      <c r="E125" s="24" t="inlineStr">
        <is>
          <t>LOL</t>
        </is>
      </c>
      <c r="F125" s="24" t="inlineStr">
        <is>
          <t>Ici Japon Corp. Esport</t>
        </is>
      </c>
      <c r="G125" s="24" t="inlineStr">
        <is>
          <t>Joblife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186</v>
      </c>
      <c r="M125" s="27" t="n">
        <v>2.86</v>
      </c>
      <c r="N125" s="28" t="n">
        <v>0.34965</v>
      </c>
      <c r="O125" s="28" t="n">
        <v>0.549847</v>
      </c>
      <c r="P125" s="28" t="n"/>
      <c r="Q125" s="28" t="n">
        <v>0.200197</v>
      </c>
      <c r="R125" s="26" t="n">
        <v>100</v>
      </c>
      <c r="S125" s="29" t="n">
        <v>1</v>
      </c>
      <c r="T125" s="24" t="inlineStr">
        <is>
          <t>lol-tiered-elo-v3</t>
        </is>
      </c>
      <c r="U125" s="24" t="inlineStr">
        <is>
          <t>open</t>
        </is>
      </c>
      <c r="V125" s="24" t="n"/>
      <c r="W125" s="26" t="n"/>
      <c r="X125" s="26" t="n"/>
      <c r="Y125" s="25" t="n"/>
      <c r="Z125" s="26" t="n"/>
      <c r="AA125" s="28" t="n"/>
      <c r="AB125" s="28" t="n"/>
      <c r="AC125" s="30" t="n"/>
      <c r="AD125" s="24" t="n"/>
      <c r="AE125" s="31" t="inlineStr">
        <is>
          <t>Neutral Elo baseline; executable ask 0.3500 (market_slug=aec-lol-jl-ijc-2026-07-23).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NO_CALL_LARGE_DISAGREEMENT_REVIEW</t>
        </is>
      </c>
      <c r="AP125" s="24" t="inlineStr">
        <is>
          <t>Ici Japon Corp. Esport</t>
        </is>
      </c>
      <c r="AQ125" s="24" t="inlineStr">
        <is>
          <t>Ici Japon Corp. Esport</t>
        </is>
      </c>
      <c r="AR125" s="24" t="inlineStr">
        <is>
          <t>Ici Japon Corp. Esport</t>
        </is>
      </c>
      <c r="AS125" s="24" t="inlineStr">
        <is>
          <t>Joblife</t>
        </is>
      </c>
      <c r="AT125" s="24" t="inlineStr">
        <is>
          <t>Joblife</t>
        </is>
      </c>
      <c r="AU125" s="24" t="inlineStr">
        <is>
          <t>Joblife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dbc38ecdb090b63690db810d40eb29d0a69435c83dfbf24eb00d22aa42c177ae</t>
        </is>
      </c>
      <c r="BB125" s="24" t="inlineStr">
        <is>
          <t>neutral_elo</t>
        </is>
      </c>
      <c r="BC125" s="24" t="inlineStr">
        <is>
          <t>lol-tiered-elo-v3</t>
        </is>
      </c>
      <c r="BD125" s="24" t="inlineStr">
        <is>
          <t>dbc38ecdb090b63690db810d40eb29d0a69435c83dfbf24eb00d22aa42c177ae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lol-tiered-elo-v3</t>
        </is>
      </c>
      <c r="BH125" s="24" t="inlineStr">
        <is>
          <t>2026-07-23T07:19:15.348357Z</t>
        </is>
      </c>
      <c r="BI125" s="24" t="inlineStr">
        <is>
          <t>["same_event","same_team_same_day","same_league_same_day"]</t>
        </is>
      </c>
      <c r="BJ125" s="25" t="n"/>
      <c r="BK125" s="26" t="n">
        <v>186</v>
      </c>
      <c r="BL125" s="27" t="n">
        <v>2.86</v>
      </c>
      <c r="BM125" s="28" t="n">
        <v>0.34965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</row>
    <row r="126" ht="36" customHeight="1">
      <c r="A126" s="24" t="inlineStr">
        <is>
          <t>45ee1b6b006b4ddf</t>
        </is>
      </c>
      <c r="B126" s="24" t="inlineStr">
        <is>
          <t>2026-07-23T07:19:42.077429Z</t>
        </is>
      </c>
      <c r="C126" s="24" t="inlineStr">
        <is>
          <t>2026-07-23T17:00:00Z</t>
        </is>
      </c>
      <c r="D126" s="24" t="inlineStr">
        <is>
          <t>57088</t>
        </is>
      </c>
      <c r="E126" s="24" t="inlineStr">
        <is>
          <t>LOL</t>
        </is>
      </c>
      <c r="F126" s="24" t="inlineStr">
        <is>
          <t>Dynasty</t>
        </is>
      </c>
      <c r="G126" s="24" t="inlineStr">
        <is>
          <t>Myth Esports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203</v>
      </c>
      <c r="M126" s="27" t="n">
        <v>3.03</v>
      </c>
      <c r="N126" s="28" t="n">
        <v>0.330033</v>
      </c>
      <c r="O126" s="28" t="n">
        <v>0.501096</v>
      </c>
      <c r="P126" s="28" t="n"/>
      <c r="Q126" s="28" t="n">
        <v>0.171063</v>
      </c>
      <c r="R126" s="26" t="n">
        <v>100</v>
      </c>
      <c r="S126" s="29" t="n">
        <v>0.5</v>
      </c>
      <c r="T126" s="24" t="inlineStr">
        <is>
          <t>lol-tiered-elo-v3</t>
        </is>
      </c>
      <c r="U126" s="24" t="inlineStr">
        <is>
          <t>open</t>
        </is>
      </c>
      <c r="V126" s="24" t="n"/>
      <c r="W126" s="26" t="n"/>
      <c r="X126" s="26" t="n"/>
      <c r="Y126" s="25" t="n"/>
      <c r="Z126" s="26" t="n"/>
      <c r="AA126" s="28" t="n"/>
      <c r="AB126" s="28" t="n"/>
      <c r="AC126" s="30" t="n"/>
      <c r="AD126" s="24" t="n"/>
      <c r="AE126" s="31" t="inlineStr">
        <is>
          <t>Neutral Elo baseline; executable ask 0.3300 (market_slug=aec-lol-myth-dyn-2026-07-23).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NO_CALL_LARGE_DISAGREEMENT_REVIEW</t>
        </is>
      </c>
      <c r="AP126" s="24" t="inlineStr">
        <is>
          <t>Dynasty</t>
        </is>
      </c>
      <c r="AQ126" s="24" t="inlineStr">
        <is>
          <t>Dynasty</t>
        </is>
      </c>
      <c r="AR126" s="24" t="inlineStr">
        <is>
          <t>Dynasty</t>
        </is>
      </c>
      <c r="AS126" s="24" t="inlineStr">
        <is>
          <t>Myth Esports</t>
        </is>
      </c>
      <c r="AT126" s="24" t="inlineStr">
        <is>
          <t>Myth Esports</t>
        </is>
      </c>
      <c r="AU126" s="24" t="inlineStr">
        <is>
          <t>Myth Esports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dbc38ecdb090b63690db810d40eb29d0a69435c83dfbf24eb00d22aa42c177ae</t>
        </is>
      </c>
      <c r="BB126" s="24" t="inlineStr">
        <is>
          <t>neutral_elo</t>
        </is>
      </c>
      <c r="BC126" s="24" t="inlineStr">
        <is>
          <t>lol-tiered-elo-v3</t>
        </is>
      </c>
      <c r="BD126" s="24" t="inlineStr">
        <is>
          <t>dbc38ecdb090b63690db810d40eb29d0a69435c83dfbf24eb00d22aa42c177ae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lol-tiered-elo-v3</t>
        </is>
      </c>
      <c r="BH126" s="24" t="inlineStr">
        <is>
          <t>2026-07-23T07:19:17.018506Z</t>
        </is>
      </c>
      <c r="BI126" s="24" t="inlineStr">
        <is>
          <t>["same_event","same_team_same_day","same_league_same_day"]</t>
        </is>
      </c>
      <c r="BJ126" s="25" t="n"/>
      <c r="BK126" s="26" t="n">
        <v>203</v>
      </c>
      <c r="BL126" s="27" t="n">
        <v>3.03</v>
      </c>
      <c r="BM126" s="28" t="n">
        <v>0.330033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</row>
    <row r="127" ht="36" customHeight="1">
      <c r="A127" s="24" t="inlineStr">
        <is>
          <t>f29c993a4f4b4df2</t>
        </is>
      </c>
      <c r="B127" s="24" t="inlineStr">
        <is>
          <t>2026-07-23T07:19:42.077429Z</t>
        </is>
      </c>
      <c r="C127" s="24" t="inlineStr">
        <is>
          <t>2026-07-23T20:00:00Z</t>
        </is>
      </c>
      <c r="D127" s="24" t="inlineStr">
        <is>
          <t>57411</t>
        </is>
      </c>
      <c r="E127" s="24" t="inlineStr">
        <is>
          <t>LOL</t>
        </is>
      </c>
      <c r="F127" s="24" t="inlineStr">
        <is>
          <t>TLN Pirates</t>
        </is>
      </c>
      <c r="G127" s="24" t="inlineStr">
        <is>
          <t>Karmine Corp Blue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-156</v>
      </c>
      <c r="M127" s="27" t="n">
        <v>1.641026</v>
      </c>
      <c r="N127" s="28" t="n">
        <v>0.609375</v>
      </c>
      <c r="O127" s="28" t="n">
        <v>0.555132</v>
      </c>
      <c r="P127" s="28" t="n"/>
      <c r="Q127" s="28" t="n">
        <v>-0.054243</v>
      </c>
      <c r="R127" s="26" t="n">
        <v>0</v>
      </c>
      <c r="S127" s="29" t="n">
        <v>1</v>
      </c>
      <c r="T127" s="24" t="inlineStr">
        <is>
          <t>lol-tiered-elo-v3</t>
        </is>
      </c>
      <c r="U127" s="24" t="inlineStr">
        <is>
          <t>open</t>
        </is>
      </c>
      <c r="V127" s="24" t="n"/>
      <c r="W127" s="26" t="n"/>
      <c r="X127" s="26" t="n"/>
      <c r="Y127" s="25" t="n"/>
      <c r="Z127" s="26" t="n"/>
      <c r="AA127" s="28" t="n"/>
      <c r="AB127" s="28" t="n"/>
      <c r="AC127" s="30" t="n"/>
      <c r="AD127" s="24" t="n"/>
      <c r="AE127" s="31" t="inlineStr">
        <is>
          <t>Neutral Elo baseline; executable ask 0.6100 (market_slug=aec-lol-kcb-tlnp-2026-07-23).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NO_CALL_LOW_EDGE</t>
        </is>
      </c>
      <c r="AP127" s="24" t="inlineStr">
        <is>
          <t>TLN Pirates</t>
        </is>
      </c>
      <c r="AQ127" s="24" t="inlineStr">
        <is>
          <t>TLN Pirates</t>
        </is>
      </c>
      <c r="AR127" s="24" t="inlineStr">
        <is>
          <t>TLN Pirates</t>
        </is>
      </c>
      <c r="AS127" s="24" t="inlineStr">
        <is>
          <t>Karmine Corp Blue</t>
        </is>
      </c>
      <c r="AT127" s="24" t="inlineStr">
        <is>
          <t>Karmine Corp Blue</t>
        </is>
      </c>
      <c r="AU127" s="24" t="inlineStr">
        <is>
          <t>Karmine Corp Blue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dbc38ecdb090b63690db810d40eb29d0a69435c83dfbf24eb00d22aa42c177ae</t>
        </is>
      </c>
      <c r="BB127" s="24" t="inlineStr">
        <is>
          <t>neutral_elo</t>
        </is>
      </c>
      <c r="BC127" s="24" t="inlineStr">
        <is>
          <t>lol-tiered-elo-v3</t>
        </is>
      </c>
      <c r="BD127" s="24" t="inlineStr">
        <is>
          <t>dbc38ecdb090b63690db810d40eb29d0a69435c83dfbf24eb00d22aa42c177ae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lol-tiered-elo-v3</t>
        </is>
      </c>
      <c r="BH127" s="24" t="inlineStr">
        <is>
          <t>2026-07-23T07:19:27.618692Z</t>
        </is>
      </c>
      <c r="BI127" s="24" t="inlineStr">
        <is>
          <t>["same_event","same_team_same_day","same_league_same_day"]</t>
        </is>
      </c>
      <c r="BJ127" s="25" t="n"/>
      <c r="BK127" s="26" t="n">
        <v>-156</v>
      </c>
      <c r="BL127" s="27" t="n">
        <v>1.641026</v>
      </c>
      <c r="BM127" s="28" t="n">
        <v>0.609375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</row>
    <row r="128" ht="36" customHeight="1">
      <c r="A128" s="24" t="inlineStr">
        <is>
          <t>39626d9d58e943ed</t>
        </is>
      </c>
      <c r="B128" s="24" t="inlineStr">
        <is>
          <t>2026-07-23T07:19:42.077429Z</t>
        </is>
      </c>
      <c r="C128" s="24" t="inlineStr">
        <is>
          <t>2026-07-24T14:00:00Z</t>
        </is>
      </c>
      <c r="D128" s="24" t="inlineStr">
        <is>
          <t>58364</t>
        </is>
      </c>
      <c r="E128" s="24" t="inlineStr">
        <is>
          <t>LOL</t>
        </is>
      </c>
      <c r="F128" s="24" t="inlineStr">
        <is>
          <t>Movistar KOI</t>
        </is>
      </c>
      <c r="G128" s="24" t="inlineStr">
        <is>
          <t>G2 Esports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-223</v>
      </c>
      <c r="M128" s="27" t="n">
        <v>1.44843</v>
      </c>
      <c r="N128" s="28" t="n">
        <v>0.690402</v>
      </c>
      <c r="O128" s="28" t="n">
        <v>0.601644</v>
      </c>
      <c r="P128" s="28" t="n"/>
      <c r="Q128" s="28" t="n">
        <v>-0.088758</v>
      </c>
      <c r="R128" s="26" t="n">
        <v>0</v>
      </c>
      <c r="S128" s="29" t="n">
        <v>1.5</v>
      </c>
      <c r="T128" s="24" t="inlineStr">
        <is>
          <t>lol-tiered-elo-v3</t>
        </is>
      </c>
      <c r="U128" s="24" t="inlineStr">
        <is>
          <t>open</t>
        </is>
      </c>
      <c r="V128" s="24" t="n"/>
      <c r="W128" s="26" t="n"/>
      <c r="X128" s="26" t="n"/>
      <c r="Y128" s="25" t="n"/>
      <c r="Z128" s="26" t="n"/>
      <c r="AA128" s="28" t="n"/>
      <c r="AB128" s="28" t="n"/>
      <c r="AC128" s="30" t="n"/>
      <c r="AD128" s="24" t="n"/>
      <c r="AE128" s="31" t="inlineStr">
        <is>
          <t>Neutral Elo baseline; executable ask 0.6900 (market_slug=aec-lol-g2-mkoi-2026-07-24).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NO_CALL_LOW_EDGE</t>
        </is>
      </c>
      <c r="AP128" s="24" t="inlineStr">
        <is>
          <t>Movistar KOI</t>
        </is>
      </c>
      <c r="AQ128" s="24" t="inlineStr">
        <is>
          <t>Movistar KOI</t>
        </is>
      </c>
      <c r="AR128" s="24" t="inlineStr">
        <is>
          <t>Movistar KOI</t>
        </is>
      </c>
      <c r="AS128" s="24" t="inlineStr">
        <is>
          <t>G2 Esports</t>
        </is>
      </c>
      <c r="AT128" s="24" t="inlineStr">
        <is>
          <t>G2 Esports</t>
        </is>
      </c>
      <c r="AU128" s="24" t="inlineStr">
        <is>
          <t>G2 Esports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dbc38ecdb090b63690db810d40eb29d0a69435c83dfbf24eb00d22aa42c177ae</t>
        </is>
      </c>
      <c r="BB128" s="24" t="inlineStr">
        <is>
          <t>neutral_elo</t>
        </is>
      </c>
      <c r="BC128" s="24" t="inlineStr">
        <is>
          <t>lol-tiered-elo-v3</t>
        </is>
      </c>
      <c r="BD128" s="24" t="inlineStr">
        <is>
          <t>dbc38ecdb090b63690db810d40eb29d0a69435c83dfbf24eb00d22aa42c177ae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lol-tiered-elo-v3</t>
        </is>
      </c>
      <c r="BH128" s="24" t="inlineStr">
        <is>
          <t>2026-07-23T07:19:36.355707Z</t>
        </is>
      </c>
      <c r="BI128" s="24" t="inlineStr">
        <is>
          <t>["same_event","same_team_same_day","same_league_same_day"]</t>
        </is>
      </c>
      <c r="BJ128" s="25" t="n"/>
      <c r="BK128" s="26" t="n">
        <v>-223</v>
      </c>
      <c r="BL128" s="27" t="n">
        <v>1.44843</v>
      </c>
      <c r="BM128" s="28" t="n">
        <v>0.690402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</row>
    <row r="129" ht="36" customHeight="1">
      <c r="A129" s="24" t="inlineStr">
        <is>
          <t>152863293a864456</t>
        </is>
      </c>
      <c r="B129" s="24" t="inlineStr">
        <is>
          <t>2026-07-23T07:20:44.252809Z</t>
        </is>
      </c>
      <c r="C129" s="24" t="inlineStr">
        <is>
          <t>2026-07-23T08:00:00Z</t>
        </is>
      </c>
      <c r="D129" s="24" t="inlineStr">
        <is>
          <t>59672</t>
        </is>
      </c>
      <c r="E129" s="24" t="inlineStr">
        <is>
          <t>CS2</t>
        </is>
      </c>
      <c r="F129" s="24" t="inlineStr">
        <is>
          <t>Entropy</t>
        </is>
      </c>
      <c r="G129" s="24" t="inlineStr">
        <is>
          <t>Rune Eaters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117</v>
      </c>
      <c r="M129" s="27" t="n">
        <v>2.17</v>
      </c>
      <c r="N129" s="28" t="n">
        <v>0.460829</v>
      </c>
      <c r="O129" s="28" t="n">
        <v>0.517948</v>
      </c>
      <c r="P129" s="28" t="n"/>
      <c r="Q129" s="28" t="n">
        <v>0.057119</v>
      </c>
      <c r="R129" s="26" t="n">
        <v>49</v>
      </c>
      <c r="S129" s="29" t="n">
        <v>0.75</v>
      </c>
      <c r="T129" s="24" t="inlineStr">
        <is>
          <t>cs2-tiered-elo-v3</t>
        </is>
      </c>
      <c r="U129" s="24" t="inlineStr">
        <is>
          <t>open</t>
        </is>
      </c>
      <c r="V129" s="24" t="n"/>
      <c r="W129" s="26" t="n"/>
      <c r="X129" s="26" t="n"/>
      <c r="Y129" s="25" t="n"/>
      <c r="Z129" s="26" t="n"/>
      <c r="AA129" s="28" t="n"/>
      <c r="AB129" s="28" t="n"/>
      <c r="AC129" s="30" t="n"/>
      <c r="AD129" s="24" t="n"/>
      <c r="AE129" s="31" t="inlineStr">
        <is>
          <t>Neutral Elo baseline; executable ask 0.4600 (market_slug=aec-cs2-re-ent-2026-07-23).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Entropy</t>
        </is>
      </c>
      <c r="AQ129" s="24" t="inlineStr">
        <is>
          <t>Entropy</t>
        </is>
      </c>
      <c r="AR129" s="24" t="inlineStr">
        <is>
          <t>Entropy</t>
        </is>
      </c>
      <c r="AS129" s="24" t="inlineStr">
        <is>
          <t>Rune Eaters</t>
        </is>
      </c>
      <c r="AT129" s="24" t="inlineStr">
        <is>
          <t>Rune Eaters</t>
        </is>
      </c>
      <c r="AU129" s="24" t="inlineStr">
        <is>
          <t>Rune Eaters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48424b79d75fc1173c9c465d95feb6fc041a2ccfbc64455058b3f74905ce28d5</t>
        </is>
      </c>
      <c r="BB129" s="24" t="inlineStr">
        <is>
          <t>neutral_elo</t>
        </is>
      </c>
      <c r="BC129" s="24" t="inlineStr">
        <is>
          <t>cs2-tiered-elo-v3</t>
        </is>
      </c>
      <c r="BD129" s="24" t="inlineStr">
        <is>
          <t>48424b79d75fc1173c9c465d95feb6fc041a2ccfbc64455058b3f74905ce28d5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cs2-tiered-elo-v3</t>
        </is>
      </c>
      <c r="BH129" s="24" t="inlineStr">
        <is>
          <t>2026-07-23T07:19:53.300087Z</t>
        </is>
      </c>
      <c r="BI129" s="24" t="inlineStr">
        <is>
          <t>["same_event","same_team_same_day","same_league_same_day"]</t>
        </is>
      </c>
      <c r="BJ129" s="25" t="n"/>
      <c r="BK129" s="26" t="n">
        <v>117</v>
      </c>
      <c r="BL129" s="27" t="n">
        <v>2.17</v>
      </c>
      <c r="BM129" s="28" t="n">
        <v>0.460829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</row>
    <row r="130" ht="36" customHeight="1">
      <c r="A130" s="24" t="inlineStr">
        <is>
          <t>63072f08d75d4c5f</t>
        </is>
      </c>
      <c r="B130" s="24" t="inlineStr">
        <is>
          <t>2026-07-23T07:20:44.252809Z</t>
        </is>
      </c>
      <c r="C130" s="24" t="inlineStr">
        <is>
          <t>2026-07-23T11:00:00Z</t>
        </is>
      </c>
      <c r="D130" s="24" t="inlineStr">
        <is>
          <t>59673</t>
        </is>
      </c>
      <c r="E130" s="24" t="inlineStr">
        <is>
          <t>CS2</t>
        </is>
      </c>
      <c r="F130" s="24" t="inlineStr">
        <is>
          <t>SAW Youngsters</t>
        </is>
      </c>
      <c r="G130" s="24" t="inlineStr">
        <is>
          <t>los kogutos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-122</v>
      </c>
      <c r="M130" s="27" t="n">
        <v>1.819672</v>
      </c>
      <c r="N130" s="28" t="n">
        <v>0.54955</v>
      </c>
      <c r="O130" s="28" t="n">
        <v>0.5020829999999999</v>
      </c>
      <c r="P130" s="28" t="n"/>
      <c r="Q130" s="28" t="n">
        <v>-0.047467</v>
      </c>
      <c r="R130" s="26" t="n">
        <v>0</v>
      </c>
      <c r="S130" s="29" t="n">
        <v>0.5</v>
      </c>
      <c r="T130" s="24" t="inlineStr">
        <is>
          <t>cs2-tiered-elo-v3</t>
        </is>
      </c>
      <c r="U130" s="24" t="inlineStr">
        <is>
          <t>open</t>
        </is>
      </c>
      <c r="V130" s="24" t="n"/>
      <c r="W130" s="26" t="n"/>
      <c r="X130" s="26" t="n"/>
      <c r="Y130" s="25" t="n"/>
      <c r="Z130" s="26" t="n"/>
      <c r="AA130" s="28" t="n"/>
      <c r="AB130" s="28" t="n"/>
      <c r="AC130" s="30" t="n"/>
      <c r="AD130" s="24" t="n"/>
      <c r="AE130" s="31" t="inlineStr">
        <is>
          <t>Neutral Elo baseline; executable ask 0.5500 (market_slug=aec-cs2-lk-sawy-2026-07-23).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SAW Youngsters</t>
        </is>
      </c>
      <c r="AQ130" s="24" t="inlineStr">
        <is>
          <t>SAW Youngsters</t>
        </is>
      </c>
      <c r="AR130" s="24" t="inlineStr">
        <is>
          <t>SAW Youngsters</t>
        </is>
      </c>
      <c r="AS130" s="24" t="inlineStr">
        <is>
          <t>los kogutos</t>
        </is>
      </c>
      <c r="AT130" s="24" t="inlineStr">
        <is>
          <t>los kogutos</t>
        </is>
      </c>
      <c r="AU130" s="24" t="inlineStr">
        <is>
          <t>los kogutos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48424b79d75fc1173c9c465d95feb6fc041a2ccfbc64455058b3f74905ce28d5</t>
        </is>
      </c>
      <c r="BB130" s="24" t="inlineStr">
        <is>
          <t>neutral_elo</t>
        </is>
      </c>
      <c r="BC130" s="24" t="inlineStr">
        <is>
          <t>cs2-tiered-elo-v3</t>
        </is>
      </c>
      <c r="BD130" s="24" t="inlineStr">
        <is>
          <t>48424b79d75fc1173c9c465d95feb6fc041a2ccfbc64455058b3f74905ce28d5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cs2-tiered-elo-v3</t>
        </is>
      </c>
      <c r="BH130" s="24" t="inlineStr">
        <is>
          <t>2026-07-23T07:19:55.187494Z</t>
        </is>
      </c>
      <c r="BI130" s="24" t="inlineStr">
        <is>
          <t>["same_event","same_team_same_day","same_league_same_day"]</t>
        </is>
      </c>
      <c r="BJ130" s="25" t="n"/>
      <c r="BK130" s="26" t="n">
        <v>-122</v>
      </c>
      <c r="BL130" s="27" t="n">
        <v>1.819672</v>
      </c>
      <c r="BM130" s="28" t="n">
        <v>0.54955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</row>
    <row r="131" ht="36" customHeight="1">
      <c r="A131" s="24" t="inlineStr">
        <is>
          <t>28d5e036000044f2</t>
        </is>
      </c>
      <c r="B131" s="24" t="inlineStr">
        <is>
          <t>2026-07-23T07:20:44.252809Z</t>
        </is>
      </c>
      <c r="C131" s="24" t="inlineStr">
        <is>
          <t>2026-07-23T11:00:00Z</t>
        </is>
      </c>
      <c r="D131" s="24" t="inlineStr">
        <is>
          <t>56870</t>
        </is>
      </c>
      <c r="E131" s="24" t="inlineStr">
        <is>
          <t>CS2</t>
        </is>
      </c>
      <c r="F131" s="24" t="inlineStr">
        <is>
          <t>Benched gods</t>
        </is>
      </c>
      <c r="G131" s="24" t="inlineStr">
        <is>
          <t>NEW VISION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-122</v>
      </c>
      <c r="M131" s="27" t="n">
        <v>1.819672</v>
      </c>
      <c r="N131" s="28" t="n">
        <v>0.54955</v>
      </c>
      <c r="O131" s="28" t="n">
        <v>0.682691</v>
      </c>
      <c r="P131" s="28" t="n"/>
      <c r="Q131" s="28" t="n">
        <v>0.133141</v>
      </c>
      <c r="R131" s="26" t="n">
        <v>100</v>
      </c>
      <c r="S131" s="29" t="n">
        <v>2</v>
      </c>
      <c r="T131" s="24" t="inlineStr">
        <is>
          <t>cs2-tiered-elo-v3</t>
        </is>
      </c>
      <c r="U131" s="24" t="inlineStr">
        <is>
          <t>open</t>
        </is>
      </c>
      <c r="V131" s="24" t="n"/>
      <c r="W131" s="26" t="n"/>
      <c r="X131" s="26" t="n"/>
      <c r="Y131" s="25" t="n"/>
      <c r="Z131" s="26" t="n"/>
      <c r="AA131" s="28" t="n"/>
      <c r="AB131" s="28" t="n"/>
      <c r="AC131" s="30" t="n"/>
      <c r="AD131" s="24" t="n"/>
      <c r="AE131" s="31" t="inlineStr">
        <is>
          <t>Neutral Elo baseline; executable ask 0.5500 (market_slug=aec-cs2-nve-bge-2026-07-23).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NO_CALL_LARGE_DISAGREEMENT_REVIEW</t>
        </is>
      </c>
      <c r="AP131" s="24" t="inlineStr">
        <is>
          <t>Benched gods</t>
        </is>
      </c>
      <c r="AQ131" s="24" t="inlineStr">
        <is>
          <t>Benched gods</t>
        </is>
      </c>
      <c r="AR131" s="24" t="inlineStr">
        <is>
          <t>Benched gods</t>
        </is>
      </c>
      <c r="AS131" s="24" t="inlineStr">
        <is>
          <t>NEW VISION</t>
        </is>
      </c>
      <c r="AT131" s="24" t="inlineStr">
        <is>
          <t>NEW VISION</t>
        </is>
      </c>
      <c r="AU131" s="24" t="inlineStr">
        <is>
          <t>NEW VISION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48424b79d75fc1173c9c465d95feb6fc041a2ccfbc64455058b3f74905ce28d5</t>
        </is>
      </c>
      <c r="BB131" s="24" t="inlineStr">
        <is>
          <t>neutral_elo</t>
        </is>
      </c>
      <c r="BC131" s="24" t="inlineStr">
        <is>
          <t>cs2-tiered-elo-v3</t>
        </is>
      </c>
      <c r="BD131" s="24" t="inlineStr">
        <is>
          <t>48424b79d75fc1173c9c465d95feb6fc041a2ccfbc64455058b3f74905ce28d5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cs2-tiered-elo-v3</t>
        </is>
      </c>
      <c r="BH131" s="24" t="inlineStr">
        <is>
          <t>2026-07-23T07:19:56.117565Z</t>
        </is>
      </c>
      <c r="BI131" s="24" t="inlineStr">
        <is>
          <t>["same_event","same_team_same_day","same_league_same_day"]</t>
        </is>
      </c>
      <c r="BJ131" s="25" t="n"/>
      <c r="BK131" s="26" t="n">
        <v>-122</v>
      </c>
      <c r="BL131" s="27" t="n">
        <v>1.819672</v>
      </c>
      <c r="BM131" s="28" t="n">
        <v>0.54955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</row>
    <row r="132" ht="36" customHeight="1">
      <c r="A132" s="24" t="inlineStr">
        <is>
          <t>b48cdc5f8ae34be1</t>
        </is>
      </c>
      <c r="B132" s="24" t="inlineStr">
        <is>
          <t>2026-07-23T07:20:44.252809Z</t>
        </is>
      </c>
      <c r="C132" s="24" t="inlineStr">
        <is>
          <t>2026-07-23T11:00:00Z</t>
        </is>
      </c>
      <c r="D132" s="24" t="inlineStr">
        <is>
          <t>59036</t>
        </is>
      </c>
      <c r="E132" s="24" t="inlineStr">
        <is>
          <t>CS2</t>
        </is>
      </c>
      <c r="F132" s="24" t="inlineStr">
        <is>
          <t>ex-RUSTEC</t>
        </is>
      </c>
      <c r="G132" s="24" t="inlineStr">
        <is>
          <t>Lavked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113</v>
      </c>
      <c r="M132" s="27" t="n">
        <v>2.13</v>
      </c>
      <c r="N132" s="28" t="n">
        <v>0.469484</v>
      </c>
      <c r="O132" s="28" t="n">
        <v>0.692685</v>
      </c>
      <c r="P132" s="28" t="n"/>
      <c r="Q132" s="28" t="n">
        <v>0.223201</v>
      </c>
      <c r="R132" s="26" t="n">
        <v>100</v>
      </c>
      <c r="S132" s="29" t="n">
        <v>2</v>
      </c>
      <c r="T132" s="24" t="inlineStr">
        <is>
          <t>cs2-tiered-elo-v3</t>
        </is>
      </c>
      <c r="U132" s="24" t="inlineStr">
        <is>
          <t>open</t>
        </is>
      </c>
      <c r="V132" s="24" t="n"/>
      <c r="W132" s="26" t="n"/>
      <c r="X132" s="26" t="n"/>
      <c r="Y132" s="25" t="n"/>
      <c r="Z132" s="26" t="n"/>
      <c r="AA132" s="28" t="n"/>
      <c r="AB132" s="28" t="n"/>
      <c r="AC132" s="30" t="n"/>
      <c r="AD132" s="24" t="n"/>
      <c r="AE132" s="31" t="inlineStr">
        <is>
          <t>Neutral Elo baseline; executable ask 0.4700 (market_slug=aec-cs2-lav-erx-2026-07-23).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NO_CALL_LARGE_DISAGREEMENT_REVIEW</t>
        </is>
      </c>
      <c r="AP132" s="24" t="inlineStr">
        <is>
          <t>ex-RUSTEC</t>
        </is>
      </c>
      <c r="AQ132" s="24" t="inlineStr">
        <is>
          <t>ex-RUSTEC</t>
        </is>
      </c>
      <c r="AR132" s="24" t="inlineStr">
        <is>
          <t>ex-RUSTEC</t>
        </is>
      </c>
      <c r="AS132" s="24" t="inlineStr">
        <is>
          <t>Lavked</t>
        </is>
      </c>
      <c r="AT132" s="24" t="inlineStr">
        <is>
          <t>Lavked</t>
        </is>
      </c>
      <c r="AU132" s="24" t="inlineStr">
        <is>
          <t>Lavked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48424b79d75fc1173c9c465d95feb6fc041a2ccfbc64455058b3f74905ce28d5</t>
        </is>
      </c>
      <c r="BB132" s="24" t="inlineStr">
        <is>
          <t>neutral_elo</t>
        </is>
      </c>
      <c r="BC132" s="24" t="inlineStr">
        <is>
          <t>cs2-tiered-elo-v3</t>
        </is>
      </c>
      <c r="BD132" s="24" t="inlineStr">
        <is>
          <t>48424b79d75fc1173c9c465d95feb6fc041a2ccfbc64455058b3f74905ce28d5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cs2-tiered-elo-v3</t>
        </is>
      </c>
      <c r="BH132" s="24" t="inlineStr">
        <is>
          <t>2026-07-23T07:19:56.934670Z</t>
        </is>
      </c>
      <c r="BI132" s="24" t="inlineStr">
        <is>
          <t>["same_event","same_team_same_day","same_league_same_day"]</t>
        </is>
      </c>
      <c r="BJ132" s="25" t="n"/>
      <c r="BK132" s="26" t="n">
        <v>113</v>
      </c>
      <c r="BL132" s="27" t="n">
        <v>2.13</v>
      </c>
      <c r="BM132" s="28" t="n">
        <v>0.469484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</row>
    <row r="133" ht="36" customHeight="1">
      <c r="A133" s="24" t="inlineStr">
        <is>
          <t>5f0d529477c24e41</t>
        </is>
      </c>
      <c r="B133" s="24" t="inlineStr">
        <is>
          <t>2026-07-23T07:20:44.252809Z</t>
        </is>
      </c>
      <c r="C133" s="24" t="inlineStr">
        <is>
          <t>2026-07-23T11:00:00Z</t>
        </is>
      </c>
      <c r="D133" s="24" t="inlineStr">
        <is>
          <t>58451</t>
        </is>
      </c>
      <c r="E133" s="24" t="inlineStr">
        <is>
          <t>CS2</t>
        </is>
      </c>
      <c r="F133" s="24" t="inlineStr">
        <is>
          <t>3DMAX</t>
        </is>
      </c>
      <c r="G133" s="24" t="inlineStr">
        <is>
          <t>Walczaki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-203</v>
      </c>
      <c r="M133" s="27" t="n">
        <v>1.492611</v>
      </c>
      <c r="N133" s="28" t="n">
        <v>0.669967</v>
      </c>
      <c r="O133" s="28" t="n">
        <v>0.5245030000000001</v>
      </c>
      <c r="P133" s="28" t="n"/>
      <c r="Q133" s="28" t="n">
        <v>-0.145464</v>
      </c>
      <c r="R133" s="26" t="n">
        <v>0</v>
      </c>
      <c r="S133" s="29" t="n">
        <v>0.75</v>
      </c>
      <c r="T133" s="24" t="inlineStr">
        <is>
          <t>cs2-tiered-elo-v3</t>
        </is>
      </c>
      <c r="U133" s="24" t="inlineStr">
        <is>
          <t>open</t>
        </is>
      </c>
      <c r="V133" s="24" t="n"/>
      <c r="W133" s="26" t="n"/>
      <c r="X133" s="26" t="n"/>
      <c r="Y133" s="25" t="n"/>
      <c r="Z133" s="26" t="n"/>
      <c r="AA133" s="28" t="n"/>
      <c r="AB133" s="28" t="n"/>
      <c r="AC133" s="30" t="n"/>
      <c r="AD133" s="24" t="n"/>
      <c r="AE133" s="31" t="inlineStr">
        <is>
          <t>Neutral Elo baseline; executable ask 0.6700 (market_slug=aec-cs2-wal-3dmax-2026-07-23).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NO_CALL_LARGE_DISAGREEMENT_REVIEW</t>
        </is>
      </c>
      <c r="AP133" s="24" t="inlineStr">
        <is>
          <t>3DMAX</t>
        </is>
      </c>
      <c r="AQ133" s="24" t="inlineStr">
        <is>
          <t>3DMAX</t>
        </is>
      </c>
      <c r="AR133" s="24" t="inlineStr">
        <is>
          <t>3DMAX</t>
        </is>
      </c>
      <c r="AS133" s="24" t="inlineStr">
        <is>
          <t>Walczaki</t>
        </is>
      </c>
      <c r="AT133" s="24" t="inlineStr">
        <is>
          <t>Walczaki</t>
        </is>
      </c>
      <c r="AU133" s="24" t="inlineStr">
        <is>
          <t>Walczaki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48424b79d75fc1173c9c465d95feb6fc041a2ccfbc64455058b3f74905ce28d5</t>
        </is>
      </c>
      <c r="BB133" s="24" t="inlineStr">
        <is>
          <t>neutral_elo</t>
        </is>
      </c>
      <c r="BC133" s="24" t="inlineStr">
        <is>
          <t>cs2-tiered-elo-v3</t>
        </is>
      </c>
      <c r="BD133" s="24" t="inlineStr">
        <is>
          <t>48424b79d75fc1173c9c465d95feb6fc041a2ccfbc64455058b3f74905ce28d5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cs2-tiered-elo-v3</t>
        </is>
      </c>
      <c r="BH133" s="24" t="inlineStr">
        <is>
          <t>2026-07-23T07:19:57.808618Z</t>
        </is>
      </c>
      <c r="BI133" s="24" t="inlineStr">
        <is>
          <t>["same_event","same_team_same_day","same_league_same_day"]</t>
        </is>
      </c>
      <c r="BJ133" s="25" t="n"/>
      <c r="BK133" s="26" t="n">
        <v>-203</v>
      </c>
      <c r="BL133" s="27" t="n">
        <v>1.492611</v>
      </c>
      <c r="BM133" s="28" t="n">
        <v>0.669967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</row>
    <row r="134" ht="36" customHeight="1">
      <c r="A134" s="24" t="inlineStr">
        <is>
          <t>4a0ca969805e42a5</t>
        </is>
      </c>
      <c r="B134" s="24" t="inlineStr">
        <is>
          <t>2026-07-23T07:20:44.252809Z</t>
        </is>
      </c>
      <c r="C134" s="24" t="inlineStr">
        <is>
          <t>2026-07-23T13:00:00Z</t>
        </is>
      </c>
      <c r="D134" s="24" t="inlineStr">
        <is>
          <t>59442</t>
        </is>
      </c>
      <c r="E134" s="24" t="inlineStr">
        <is>
          <t>CS2</t>
        </is>
      </c>
      <c r="F134" s="24" t="inlineStr">
        <is>
          <t>Nuclear TigeRES</t>
        </is>
      </c>
      <c r="G134" s="24" t="inlineStr">
        <is>
          <t>100 Thieves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150</v>
      </c>
      <c r="M134" s="27" t="n">
        <v>2.5</v>
      </c>
      <c r="N134" s="28" t="n">
        <v>0.4</v>
      </c>
      <c r="O134" s="28" t="n">
        <v>0.5681389999999999</v>
      </c>
      <c r="P134" s="28" t="n"/>
      <c r="Q134" s="28" t="n">
        <v>0.168139</v>
      </c>
      <c r="R134" s="26" t="n">
        <v>100</v>
      </c>
      <c r="S134" s="29" t="n">
        <v>1.25</v>
      </c>
      <c r="T134" s="24" t="inlineStr">
        <is>
          <t>cs2-tiered-elo-v3</t>
        </is>
      </c>
      <c r="U134" s="24" t="inlineStr">
        <is>
          <t>open</t>
        </is>
      </c>
      <c r="V134" s="24" t="n"/>
      <c r="W134" s="26" t="n"/>
      <c r="X134" s="26" t="n"/>
      <c r="Y134" s="25" t="n"/>
      <c r="Z134" s="26" t="n"/>
      <c r="AA134" s="28" t="n"/>
      <c r="AB134" s="28" t="n"/>
      <c r="AC134" s="30" t="n"/>
      <c r="AD134" s="24" t="n"/>
      <c r="AE134" s="31" t="inlineStr">
        <is>
          <t>Neutral Elo baseline; executable ask 0.4000 (market_slug=aec-cs2-100t-ntr-2026-07-23).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NO_CALL_LARGE_DISAGREEMENT_REVIEW</t>
        </is>
      </c>
      <c r="AP134" s="24" t="inlineStr">
        <is>
          <t>Nuclear TigeRES</t>
        </is>
      </c>
      <c r="AQ134" s="24" t="inlineStr">
        <is>
          <t>Nuclear TigeRES</t>
        </is>
      </c>
      <c r="AR134" s="24" t="inlineStr">
        <is>
          <t>Nuclear TigeRES</t>
        </is>
      </c>
      <c r="AS134" s="24" t="inlineStr">
        <is>
          <t>100 Thieves</t>
        </is>
      </c>
      <c r="AT134" s="24" t="inlineStr">
        <is>
          <t>100 Thieves</t>
        </is>
      </c>
      <c r="AU134" s="24" t="inlineStr">
        <is>
          <t>100 Thieves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48424b79d75fc1173c9c465d95feb6fc041a2ccfbc64455058b3f74905ce28d5</t>
        </is>
      </c>
      <c r="BB134" s="24" t="inlineStr">
        <is>
          <t>neutral_elo</t>
        </is>
      </c>
      <c r="BC134" s="24" t="inlineStr">
        <is>
          <t>cs2-tiered-elo-v3</t>
        </is>
      </c>
      <c r="BD134" s="24" t="inlineStr">
        <is>
          <t>48424b79d75fc1173c9c465d95feb6fc041a2ccfbc64455058b3f74905ce28d5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cs2-tiered-elo-v3</t>
        </is>
      </c>
      <c r="BH134" s="24" t="inlineStr">
        <is>
          <t>2026-07-23T07:20:01.184225Z</t>
        </is>
      </c>
      <c r="BI134" s="24" t="inlineStr">
        <is>
          <t>["same_event","same_team_same_day","same_league_same_day"]</t>
        </is>
      </c>
      <c r="BJ134" s="25" t="n"/>
      <c r="BK134" s="26" t="n">
        <v>150</v>
      </c>
      <c r="BL134" s="27" t="n">
        <v>2.5</v>
      </c>
      <c r="BM134" s="28" t="n">
        <v>0.4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</row>
    <row r="135" ht="36" customHeight="1">
      <c r="A135" s="24" t="inlineStr">
        <is>
          <t>c1998fbe00914895</t>
        </is>
      </c>
      <c r="B135" s="24" t="inlineStr">
        <is>
          <t>2026-07-23T07:20:44.252809Z</t>
        </is>
      </c>
      <c r="C135" s="24" t="inlineStr">
        <is>
          <t>2026-07-23T13:00:00Z</t>
        </is>
      </c>
      <c r="D135" s="24" t="inlineStr">
        <is>
          <t>59961</t>
        </is>
      </c>
      <c r="E135" s="24" t="inlineStr">
        <is>
          <t>CS2</t>
        </is>
      </c>
      <c r="F135" s="24" t="inlineStr">
        <is>
          <t>Game Hunters</t>
        </is>
      </c>
      <c r="G135" s="24" t="inlineStr">
        <is>
          <t>UNO MILLE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-223</v>
      </c>
      <c r="M135" s="27" t="n">
        <v>1.44843</v>
      </c>
      <c r="N135" s="28" t="n">
        <v>0.690402</v>
      </c>
      <c r="O135" s="28" t="n">
        <v>0.518052</v>
      </c>
      <c r="P135" s="28" t="n"/>
      <c r="Q135" s="28" t="n">
        <v>-0.17235</v>
      </c>
      <c r="R135" s="26" t="n">
        <v>0</v>
      </c>
      <c r="S135" s="29" t="n">
        <v>0.75</v>
      </c>
      <c r="T135" s="24" t="inlineStr">
        <is>
          <t>cs2-tiered-elo-v3</t>
        </is>
      </c>
      <c r="U135" s="24" t="inlineStr">
        <is>
          <t>open</t>
        </is>
      </c>
      <c r="V135" s="24" t="n"/>
      <c r="W135" s="26" t="n"/>
      <c r="X135" s="26" t="n"/>
      <c r="Y135" s="25" t="n"/>
      <c r="Z135" s="26" t="n"/>
      <c r="AA135" s="28" t="n"/>
      <c r="AB135" s="28" t="n"/>
      <c r="AC135" s="30" t="n"/>
      <c r="AD135" s="24" t="n"/>
      <c r="AE135" s="31" t="inlineStr">
        <is>
          <t>Neutral Elo baseline; executable ask 0.6900 (market_slug=aec-cs2-uno-gh-2026-07-23).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NO_CALL_LARGE_DISAGREEMENT_REVIEW</t>
        </is>
      </c>
      <c r="AP135" s="24" t="inlineStr">
        <is>
          <t>Game Hunters</t>
        </is>
      </c>
      <c r="AQ135" s="24" t="inlineStr">
        <is>
          <t>Game Hunters</t>
        </is>
      </c>
      <c r="AR135" s="24" t="inlineStr">
        <is>
          <t>Game Hunters</t>
        </is>
      </c>
      <c r="AS135" s="24" t="inlineStr">
        <is>
          <t>UNO MILLE</t>
        </is>
      </c>
      <c r="AT135" s="24" t="inlineStr">
        <is>
          <t>UNO MILLE</t>
        </is>
      </c>
      <c r="AU135" s="24" t="inlineStr">
        <is>
          <t>UNO MILLE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48424b79d75fc1173c9c465d95feb6fc041a2ccfbc64455058b3f74905ce28d5</t>
        </is>
      </c>
      <c r="BB135" s="24" t="inlineStr">
        <is>
          <t>neutral_elo</t>
        </is>
      </c>
      <c r="BC135" s="24" t="inlineStr">
        <is>
          <t>cs2-tiered-elo-v3</t>
        </is>
      </c>
      <c r="BD135" s="24" t="inlineStr">
        <is>
          <t>48424b79d75fc1173c9c465d95feb6fc041a2ccfbc64455058b3f74905ce28d5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cs2-tiered-elo-v3</t>
        </is>
      </c>
      <c r="BH135" s="24" t="inlineStr">
        <is>
          <t>2026-07-23T07:20:04.431176Z</t>
        </is>
      </c>
      <c r="BI135" s="24" t="inlineStr">
        <is>
          <t>["same_event","same_team_same_day","same_league_same_day"]</t>
        </is>
      </c>
      <c r="BJ135" s="25" t="n"/>
      <c r="BK135" s="26" t="n">
        <v>-223</v>
      </c>
      <c r="BL135" s="27" t="n">
        <v>1.44843</v>
      </c>
      <c r="BM135" s="28" t="n">
        <v>0.690402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</row>
    <row r="136" ht="36" customHeight="1">
      <c r="A136" s="24" t="inlineStr">
        <is>
          <t>19fc1a9f546241f4</t>
        </is>
      </c>
      <c r="B136" s="24" t="inlineStr">
        <is>
          <t>2026-07-23T07:20:44.252809Z</t>
        </is>
      </c>
      <c r="C136" s="24" t="inlineStr">
        <is>
          <t>2026-07-23T14:00:00Z</t>
        </is>
      </c>
      <c r="D136" s="24" t="inlineStr">
        <is>
          <t>56895</t>
        </is>
      </c>
      <c r="E136" s="24" t="inlineStr">
        <is>
          <t>CS2</t>
        </is>
      </c>
      <c r="F136" s="24" t="inlineStr">
        <is>
          <t>Privateer Gaming</t>
        </is>
      </c>
      <c r="G136" s="24" t="inlineStr">
        <is>
          <t>megoshort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127</v>
      </c>
      <c r="M136" s="27" t="n">
        <v>2.27</v>
      </c>
      <c r="N136" s="28" t="n">
        <v>0.440529</v>
      </c>
      <c r="O136" s="28" t="n">
        <v>0.586941</v>
      </c>
      <c r="P136" s="28" t="n"/>
      <c r="Q136" s="28" t="n">
        <v>0.146412</v>
      </c>
      <c r="R136" s="26" t="n">
        <v>100</v>
      </c>
      <c r="S136" s="29" t="n">
        <v>1.25</v>
      </c>
      <c r="T136" s="24" t="inlineStr">
        <is>
          <t>cs2-tiered-elo-v3</t>
        </is>
      </c>
      <c r="U136" s="24" t="inlineStr">
        <is>
          <t>open</t>
        </is>
      </c>
      <c r="V136" s="24" t="n"/>
      <c r="W136" s="26" t="n"/>
      <c r="X136" s="26" t="n"/>
      <c r="Y136" s="25" t="n"/>
      <c r="Z136" s="26" t="n"/>
      <c r="AA136" s="28" t="n"/>
      <c r="AB136" s="28" t="n"/>
      <c r="AC136" s="30" t="n"/>
      <c r="AD136" s="24" t="n"/>
      <c r="AE136" s="31" t="inlineStr">
        <is>
          <t>Neutral Elo baseline; executable ask 0.4400 (market_slug=aec-cs2-mego-pg-2026-07-23).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NO_CALL_LARGE_DISAGREEMENT_REVIEW</t>
        </is>
      </c>
      <c r="AP136" s="24" t="inlineStr">
        <is>
          <t>Privateer Gaming</t>
        </is>
      </c>
      <c r="AQ136" s="24" t="inlineStr">
        <is>
          <t>Privateer Gaming</t>
        </is>
      </c>
      <c r="AR136" s="24" t="inlineStr">
        <is>
          <t>Privateer Gaming</t>
        </is>
      </c>
      <c r="AS136" s="24" t="inlineStr">
        <is>
          <t>megoshort</t>
        </is>
      </c>
      <c r="AT136" s="24" t="inlineStr">
        <is>
          <t>megoshort</t>
        </is>
      </c>
      <c r="AU136" s="24" t="inlineStr">
        <is>
          <t>megoshort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48424b79d75fc1173c9c465d95feb6fc041a2ccfbc64455058b3f74905ce28d5</t>
        </is>
      </c>
      <c r="BB136" s="24" t="inlineStr">
        <is>
          <t>neutral_elo</t>
        </is>
      </c>
      <c r="BC136" s="24" t="inlineStr">
        <is>
          <t>cs2-tiered-elo-v3</t>
        </is>
      </c>
      <c r="BD136" s="24" t="inlineStr">
        <is>
          <t>48424b79d75fc1173c9c465d95feb6fc041a2ccfbc64455058b3f74905ce28d5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cs2-tiered-elo-v3</t>
        </is>
      </c>
      <c r="BH136" s="24" t="inlineStr">
        <is>
          <t>2026-07-23T07:20:06.778014Z</t>
        </is>
      </c>
      <c r="BI136" s="24" t="inlineStr">
        <is>
          <t>["same_event","same_team_same_day","same_league_same_day"]</t>
        </is>
      </c>
      <c r="BJ136" s="25" t="n"/>
      <c r="BK136" s="26" t="n">
        <v>127</v>
      </c>
      <c r="BL136" s="27" t="n">
        <v>2.27</v>
      </c>
      <c r="BM136" s="28" t="n">
        <v>0.440529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</row>
    <row r="137" ht="36" customHeight="1">
      <c r="A137" s="24" t="inlineStr">
        <is>
          <t>c8f3de8e2e074baa</t>
        </is>
      </c>
      <c r="B137" s="24" t="inlineStr">
        <is>
          <t>2026-07-23T07:20:44.252809Z</t>
        </is>
      </c>
      <c r="C137" s="24" t="inlineStr">
        <is>
          <t>2026-07-23T16:00:00Z</t>
        </is>
      </c>
      <c r="D137" s="24" t="inlineStr">
        <is>
          <t>59391</t>
        </is>
      </c>
      <c r="E137" s="24" t="inlineStr">
        <is>
          <t>CS2</t>
        </is>
      </c>
      <c r="F137" s="24" t="inlineStr">
        <is>
          <t>Infinite</t>
        </is>
      </c>
      <c r="G137" s="24" t="inlineStr">
        <is>
          <t>K27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-203</v>
      </c>
      <c r="M137" s="27" t="n">
        <v>1.492611</v>
      </c>
      <c r="N137" s="28" t="n">
        <v>0.669967</v>
      </c>
      <c r="O137" s="28" t="n">
        <v>0.6760890000000001</v>
      </c>
      <c r="P137" s="28" t="n"/>
      <c r="Q137" s="28" t="n">
        <v>0.006122</v>
      </c>
      <c r="R137" s="26" t="n">
        <v>23</v>
      </c>
      <c r="S137" s="29" t="n">
        <v>2</v>
      </c>
      <c r="T137" s="24" t="inlineStr">
        <is>
          <t>cs2-tiered-elo-v3</t>
        </is>
      </c>
      <c r="U137" s="24" t="inlineStr">
        <is>
          <t>open</t>
        </is>
      </c>
      <c r="V137" s="24" t="n"/>
      <c r="W137" s="26" t="n"/>
      <c r="X137" s="26" t="n"/>
      <c r="Y137" s="25" t="n"/>
      <c r="Z137" s="26" t="n"/>
      <c r="AA137" s="28" t="n"/>
      <c r="AB137" s="28" t="n"/>
      <c r="AC137" s="30" t="n"/>
      <c r="AD137" s="24" t="n"/>
      <c r="AE137" s="31" t="inlineStr">
        <is>
          <t>Neutral Elo baseline; executable ask 0.6700 (market_slug=aec-cs2-k27-inf-2026-07-23).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NO_CALL_LOW_EDGE</t>
        </is>
      </c>
      <c r="AP137" s="24" t="inlineStr">
        <is>
          <t>Infinite</t>
        </is>
      </c>
      <c r="AQ137" s="24" t="inlineStr">
        <is>
          <t>Infinite</t>
        </is>
      </c>
      <c r="AR137" s="24" t="inlineStr">
        <is>
          <t>Infinite</t>
        </is>
      </c>
      <c r="AS137" s="24" t="inlineStr">
        <is>
          <t>K27</t>
        </is>
      </c>
      <c r="AT137" s="24" t="inlineStr">
        <is>
          <t>K27</t>
        </is>
      </c>
      <c r="AU137" s="24" t="inlineStr">
        <is>
          <t>K27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48424b79d75fc1173c9c465d95feb6fc041a2ccfbc64455058b3f74905ce28d5</t>
        </is>
      </c>
      <c r="BB137" s="24" t="inlineStr">
        <is>
          <t>neutral_elo</t>
        </is>
      </c>
      <c r="BC137" s="24" t="inlineStr">
        <is>
          <t>cs2-tiered-elo-v3</t>
        </is>
      </c>
      <c r="BD137" s="24" t="inlineStr">
        <is>
          <t>48424b79d75fc1173c9c465d95feb6fc041a2ccfbc64455058b3f74905ce28d5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cs2-tiered-elo-v3</t>
        </is>
      </c>
      <c r="BH137" s="24" t="inlineStr">
        <is>
          <t>2026-07-23T07:20:09.399465Z</t>
        </is>
      </c>
      <c r="BI137" s="24" t="inlineStr">
        <is>
          <t>["same_event","same_team_same_day","same_league_same_day"]</t>
        </is>
      </c>
      <c r="BJ137" s="25" t="n"/>
      <c r="BK137" s="26" t="n">
        <v>-203</v>
      </c>
      <c r="BL137" s="27" t="n">
        <v>1.492611</v>
      </c>
      <c r="BM137" s="28" t="n">
        <v>0.669967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</row>
    <row r="138" ht="36" customHeight="1">
      <c r="A138" s="24" t="inlineStr">
        <is>
          <t>cfead7f5c23f47ef</t>
        </is>
      </c>
      <c r="B138" s="24" t="inlineStr">
        <is>
          <t>2026-07-23T07:20:44.252809Z</t>
        </is>
      </c>
      <c r="C138" s="24" t="inlineStr">
        <is>
          <t>2026-07-23T16:00:00Z</t>
        </is>
      </c>
      <c r="D138" s="24" t="inlineStr">
        <is>
          <t>58826</t>
        </is>
      </c>
      <c r="E138" s="24" t="inlineStr">
        <is>
          <t>CS2</t>
        </is>
      </c>
      <c r="F138" s="24" t="inlineStr">
        <is>
          <t>FOKUS</t>
        </is>
      </c>
      <c r="G138" s="24" t="inlineStr">
        <is>
          <t>Heroic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-203</v>
      </c>
      <c r="M138" s="27" t="n">
        <v>1.492611</v>
      </c>
      <c r="N138" s="28" t="n">
        <v>0.669967</v>
      </c>
      <c r="O138" s="28" t="n">
        <v>0.638115</v>
      </c>
      <c r="P138" s="28" t="n"/>
      <c r="Q138" s="28" t="n">
        <v>-0.031852</v>
      </c>
      <c r="R138" s="26" t="n">
        <v>4</v>
      </c>
      <c r="S138" s="29" t="n">
        <v>2</v>
      </c>
      <c r="T138" s="24" t="inlineStr">
        <is>
          <t>cs2-tiered-elo-v3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Neutral Elo baseline; executable ask 0.6700 (market_slug=aec-cs2-hero-fokus-2026-07-23).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NO_CALL_LOW_EDGE</t>
        </is>
      </c>
      <c r="AP138" s="24" t="inlineStr">
        <is>
          <t>FOKUS</t>
        </is>
      </c>
      <c r="AQ138" s="24" t="inlineStr">
        <is>
          <t>FOKUS</t>
        </is>
      </c>
      <c r="AR138" s="24" t="inlineStr">
        <is>
          <t>FOKUS</t>
        </is>
      </c>
      <c r="AS138" s="24" t="inlineStr">
        <is>
          <t>Heroic</t>
        </is>
      </c>
      <c r="AT138" s="24" t="inlineStr">
        <is>
          <t>Heroic</t>
        </is>
      </c>
      <c r="AU138" s="24" t="inlineStr">
        <is>
          <t>Heroic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48424b79d75fc1173c9c465d95feb6fc041a2ccfbc64455058b3f74905ce28d5</t>
        </is>
      </c>
      <c r="BB138" s="24" t="inlineStr">
        <is>
          <t>neutral_elo</t>
        </is>
      </c>
      <c r="BC138" s="24" t="inlineStr">
        <is>
          <t>cs2-tiered-elo-v3</t>
        </is>
      </c>
      <c r="BD138" s="24" t="inlineStr">
        <is>
          <t>48424b79d75fc1173c9c465d95feb6fc041a2ccfbc64455058b3f74905ce28d5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cs2-tiered-elo-v3</t>
        </is>
      </c>
      <c r="BH138" s="24" t="inlineStr">
        <is>
          <t>2026-07-23T07:20:10.237996Z</t>
        </is>
      </c>
      <c r="BI138" s="24" t="inlineStr">
        <is>
          <t>["same_event","same_team_same_day","same_league_same_day"]</t>
        </is>
      </c>
      <c r="BJ138" s="25" t="n"/>
      <c r="BK138" s="26" t="n">
        <v>-203</v>
      </c>
      <c r="BL138" s="27" t="n">
        <v>1.492611</v>
      </c>
      <c r="BM138" s="28" t="n">
        <v>0.669967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</row>
    <row r="139" ht="36" customHeight="1">
      <c r="A139" s="24" t="inlineStr">
        <is>
          <t>c823faea4b0d4f1c</t>
        </is>
      </c>
      <c r="B139" s="24" t="inlineStr">
        <is>
          <t>2026-07-23T07:20:44.252809Z</t>
        </is>
      </c>
      <c r="C139" s="24" t="inlineStr">
        <is>
          <t>2026-07-23T17:00:00Z</t>
        </is>
      </c>
      <c r="D139" s="24" t="inlineStr">
        <is>
          <t>59678</t>
        </is>
      </c>
      <c r="E139" s="24" t="inlineStr">
        <is>
          <t>CS2</t>
        </is>
      </c>
      <c r="F139" s="24" t="inlineStr">
        <is>
          <t>Benched gods</t>
        </is>
      </c>
      <c r="G139" s="24" t="inlineStr">
        <is>
          <t>CYBERSHOKE Prospects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-144</v>
      </c>
      <c r="M139" s="27" t="n">
        <v>1.694444</v>
      </c>
      <c r="N139" s="28" t="n">
        <v>0.590164</v>
      </c>
      <c r="O139" s="28" t="n">
        <v>0.63774</v>
      </c>
      <c r="P139" s="28" t="n"/>
      <c r="Q139" s="28" t="n">
        <v>0.047576</v>
      </c>
      <c r="R139" s="26" t="n">
        <v>44</v>
      </c>
      <c r="S139" s="29" t="n">
        <v>2</v>
      </c>
      <c r="T139" s="24" t="inlineStr">
        <is>
          <t>cs2-tiered-elo-v3</t>
        </is>
      </c>
      <c r="U139" s="24" t="inlineStr">
        <is>
          <t>open</t>
        </is>
      </c>
      <c r="V139" s="24" t="n"/>
      <c r="W139" s="26" t="n"/>
      <c r="X139" s="26" t="n"/>
      <c r="Y139" s="25" t="n"/>
      <c r="Z139" s="26" t="n"/>
      <c r="AA139" s="28" t="n"/>
      <c r="AB139" s="28" t="n"/>
      <c r="AC139" s="30" t="n"/>
      <c r="AD139" s="24" t="n"/>
      <c r="AE139" s="31" t="inlineStr">
        <is>
          <t>Neutral Elo baseline; executable ask 0.5900 (market_slug=aec-cs2-cshp-bge-2026-07-23).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NO_CALL_LOW_EDGE</t>
        </is>
      </c>
      <c r="AP139" s="24" t="inlineStr">
        <is>
          <t>Benched gods</t>
        </is>
      </c>
      <c r="AQ139" s="24" t="inlineStr">
        <is>
          <t>Benched gods</t>
        </is>
      </c>
      <c r="AR139" s="24" t="inlineStr">
        <is>
          <t>Benched gods</t>
        </is>
      </c>
      <c r="AS139" s="24" t="inlineStr">
        <is>
          <t>CYBERSHOKE Prospects</t>
        </is>
      </c>
      <c r="AT139" s="24" t="inlineStr">
        <is>
          <t>CYBERSHOKE Prospects</t>
        </is>
      </c>
      <c r="AU139" s="24" t="inlineStr">
        <is>
          <t>CYBERSHOKE Prospects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48424b79d75fc1173c9c465d95feb6fc041a2ccfbc64455058b3f74905ce28d5</t>
        </is>
      </c>
      <c r="BB139" s="24" t="inlineStr">
        <is>
          <t>neutral_elo</t>
        </is>
      </c>
      <c r="BC139" s="24" t="inlineStr">
        <is>
          <t>cs2-tiered-elo-v3</t>
        </is>
      </c>
      <c r="BD139" s="24" t="inlineStr">
        <is>
          <t>48424b79d75fc1173c9c465d95feb6fc041a2ccfbc64455058b3f74905ce28d5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cs2-tiered-elo-v3</t>
        </is>
      </c>
      <c r="BH139" s="24" t="inlineStr">
        <is>
          <t>2026-07-23T07:20:13.459542Z</t>
        </is>
      </c>
      <c r="BI139" s="24" t="inlineStr">
        <is>
          <t>["same_event","same_team_same_day","same_league_same_day"]</t>
        </is>
      </c>
      <c r="BJ139" s="25" t="n"/>
      <c r="BK139" s="26" t="n">
        <v>-144</v>
      </c>
      <c r="BL139" s="27" t="n">
        <v>1.694444</v>
      </c>
      <c r="BM139" s="28" t="n">
        <v>0.590164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</row>
    <row r="140" ht="36" customHeight="1">
      <c r="A140" s="24" t="inlineStr">
        <is>
          <t>4044211ad4a44f0f</t>
        </is>
      </c>
      <c r="B140" s="24" t="inlineStr">
        <is>
          <t>2026-07-23T07:20:44.252809Z</t>
        </is>
      </c>
      <c r="C140" s="24" t="inlineStr">
        <is>
          <t>2026-07-23T17:00:00Z</t>
        </is>
      </c>
      <c r="D140" s="24" t="inlineStr">
        <is>
          <t>59039</t>
        </is>
      </c>
      <c r="E140" s="24" t="inlineStr">
        <is>
          <t>CS2</t>
        </is>
      </c>
      <c r="F140" s="24" t="inlineStr">
        <is>
          <t>Just Players</t>
        </is>
      </c>
      <c r="G140" s="24" t="inlineStr">
        <is>
          <t>Butterfly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-144</v>
      </c>
      <c r="M140" s="27" t="n">
        <v>1.694444</v>
      </c>
      <c r="N140" s="28" t="n">
        <v>0.590164</v>
      </c>
      <c r="O140" s="28" t="n">
        <v>0.685765</v>
      </c>
      <c r="P140" s="28" t="n"/>
      <c r="Q140" s="28" t="n">
        <v>0.09560100000000001</v>
      </c>
      <c r="R140" s="26" t="n">
        <v>68</v>
      </c>
      <c r="S140" s="29" t="n">
        <v>1.5</v>
      </c>
      <c r="T140" s="24" t="inlineStr">
        <is>
          <t>cs2-tiered-elo-v3</t>
        </is>
      </c>
      <c r="U140" s="24" t="inlineStr">
        <is>
          <t>open</t>
        </is>
      </c>
      <c r="V140" s="24" t="n"/>
      <c r="W140" s="26" t="n"/>
      <c r="X140" s="26" t="n"/>
      <c r="Y140" s="25" t="n"/>
      <c r="Z140" s="26" t="n"/>
      <c r="AA140" s="28" t="n"/>
      <c r="AB140" s="28" t="n"/>
      <c r="AC140" s="30" t="n"/>
      <c r="AD140" s="24" t="n"/>
      <c r="AE140" s="31" t="inlineStr">
        <is>
          <t>Neutral Elo baseline; executable ask 0.5900 (market_slug=aec-cs2-btf-jpu-2026-07-23).</t>
        </is>
      </c>
      <c r="AF140" s="31" t="inlineStr">
        <is>
          <t>Config-promoted esports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Just Players</t>
        </is>
      </c>
      <c r="AQ140" s="24" t="inlineStr">
        <is>
          <t>Just Players</t>
        </is>
      </c>
      <c r="AR140" s="24" t="inlineStr">
        <is>
          <t>Just Players</t>
        </is>
      </c>
      <c r="AS140" s="24" t="inlineStr">
        <is>
          <t>Butterfly</t>
        </is>
      </c>
      <c r="AT140" s="24" t="inlineStr">
        <is>
          <t>Butterfly</t>
        </is>
      </c>
      <c r="AU140" s="24" t="inlineStr">
        <is>
          <t>Butterfly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48424b79d75fc1173c9c465d95feb6fc041a2ccfbc64455058b3f74905ce28d5</t>
        </is>
      </c>
      <c r="BB140" s="24" t="inlineStr">
        <is>
          <t>neutral_elo</t>
        </is>
      </c>
      <c r="BC140" s="24" t="inlineStr">
        <is>
          <t>cs2-tiered-elo-v3</t>
        </is>
      </c>
      <c r="BD140" s="24" t="inlineStr">
        <is>
          <t>48424b79d75fc1173c9c465d95feb6fc041a2ccfbc64455058b3f74905ce28d5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cs2-tiered-elo-v3</t>
        </is>
      </c>
      <c r="BH140" s="24" t="inlineStr">
        <is>
          <t>2026-07-23T07:20:15.985178Z</t>
        </is>
      </c>
      <c r="BI140" s="24" t="inlineStr">
        <is>
          <t>["same_event","same_team_same_day","same_league_same_day"]</t>
        </is>
      </c>
      <c r="BJ140" s="25" t="n"/>
      <c r="BK140" s="26" t="n">
        <v>-144</v>
      </c>
      <c r="BL140" s="27" t="n">
        <v>1.694444</v>
      </c>
      <c r="BM140" s="28" t="n">
        <v>0.590164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</row>
    <row r="141" ht="36" customHeight="1">
      <c r="A141" s="24" t="inlineStr">
        <is>
          <t>a55b6e466af74ef3</t>
        </is>
      </c>
      <c r="B141" s="24" t="inlineStr">
        <is>
          <t>2026-07-23T07:20:44.252809Z</t>
        </is>
      </c>
      <c r="C141" s="24" t="inlineStr">
        <is>
          <t>2026-07-23T22:00:00Z</t>
        </is>
      </c>
      <c r="D141" s="24" t="inlineStr">
        <is>
          <t>59964</t>
        </is>
      </c>
      <c r="E141" s="24" t="inlineStr">
        <is>
          <t>CS2</t>
        </is>
      </c>
      <c r="F141" s="24" t="inlineStr">
        <is>
          <t>Patins da Ferrari</t>
        </is>
      </c>
      <c r="G141" s="24" t="inlineStr">
        <is>
          <t>Isurus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133</v>
      </c>
      <c r="M141" s="27" t="n">
        <v>2.33</v>
      </c>
      <c r="N141" s="28" t="n">
        <v>0.429185</v>
      </c>
      <c r="O141" s="28" t="n">
        <v>0.502768</v>
      </c>
      <c r="P141" s="28" t="n"/>
      <c r="Q141" s="28" t="n">
        <v>0.073583</v>
      </c>
      <c r="R141" s="26" t="n">
        <v>57</v>
      </c>
      <c r="S141" s="29" t="n">
        <v>0.5</v>
      </c>
      <c r="T141" s="24" t="inlineStr">
        <is>
          <t>cs2-tiered-elo-v3</t>
        </is>
      </c>
      <c r="U141" s="24" t="inlineStr">
        <is>
          <t>open</t>
        </is>
      </c>
      <c r="V141" s="24" t="n"/>
      <c r="W141" s="26" t="n"/>
      <c r="X141" s="26" t="n"/>
      <c r="Y141" s="25" t="n"/>
      <c r="Z141" s="26" t="n"/>
      <c r="AA141" s="28" t="n"/>
      <c r="AB141" s="28" t="n"/>
      <c r="AC141" s="30" t="n"/>
      <c r="AD141" s="24" t="n"/>
      <c r="AE141" s="31" t="inlineStr">
        <is>
          <t>Neutral Elo baseline; executable ask 0.4300 (market_slug=aec-cs2-isg-pdaf-2026-07-23).</t>
        </is>
      </c>
      <c r="AF141" s="31" t="inlineStr">
        <is>
          <t>Config-promoted esports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NO_CALL_EXPOSURE_LIMIT</t>
        </is>
      </c>
      <c r="AP141" s="24" t="inlineStr">
        <is>
          <t>Patins da Ferrari</t>
        </is>
      </c>
      <c r="AQ141" s="24" t="inlineStr">
        <is>
          <t>Patins da Ferrari</t>
        </is>
      </c>
      <c r="AR141" s="24" t="inlineStr">
        <is>
          <t>Patins da Ferrari</t>
        </is>
      </c>
      <c r="AS141" s="24" t="inlineStr">
        <is>
          <t>Isurus</t>
        </is>
      </c>
      <c r="AT141" s="24" t="inlineStr">
        <is>
          <t>Isurus</t>
        </is>
      </c>
      <c r="AU141" s="24" t="inlineStr">
        <is>
          <t>Isurus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48424b79d75fc1173c9c465d95feb6fc041a2ccfbc64455058b3f74905ce28d5</t>
        </is>
      </c>
      <c r="BB141" s="24" t="inlineStr">
        <is>
          <t>neutral_elo</t>
        </is>
      </c>
      <c r="BC141" s="24" t="inlineStr">
        <is>
          <t>cs2-tiered-elo-v3</t>
        </is>
      </c>
      <c r="BD141" s="24" t="inlineStr">
        <is>
          <t>48424b79d75fc1173c9c465d95feb6fc041a2ccfbc64455058b3f74905ce28d5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cs2-tiered-elo-v3</t>
        </is>
      </c>
      <c r="BH141" s="24" t="inlineStr">
        <is>
          <t>2026-07-23T07:20:26.998884Z</t>
        </is>
      </c>
      <c r="BI141" s="24" t="inlineStr">
        <is>
          <t>["same_event","same_team_same_day","same_league_same_day"]</t>
        </is>
      </c>
      <c r="BJ141" s="25" t="n"/>
      <c r="BK141" s="26" t="n">
        <v>133</v>
      </c>
      <c r="BL141" s="27" t="n">
        <v>2.33</v>
      </c>
      <c r="BM141" s="28" t="n">
        <v>0.429185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</row>
    <row r="142" ht="36" customHeight="1">
      <c r="A142" s="24" t="inlineStr">
        <is>
          <t>d4b5fb122195468c</t>
        </is>
      </c>
      <c r="B142" s="24" t="inlineStr">
        <is>
          <t>2026-07-23T07:20:44.252809Z</t>
        </is>
      </c>
      <c r="C142" s="24" t="inlineStr">
        <is>
          <t>2026-07-24T08:00:00Z</t>
        </is>
      </c>
      <c r="D142" s="24" t="inlineStr">
        <is>
          <t>59681</t>
        </is>
      </c>
      <c r="E142" s="24" t="inlineStr">
        <is>
          <t>CS2</t>
        </is>
      </c>
      <c r="F142" s="24" t="inlineStr">
        <is>
          <t>ex-RUSTEC</t>
        </is>
      </c>
      <c r="G142" s="24" t="inlineStr">
        <is>
          <t>INOX Division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-178</v>
      </c>
      <c r="M142" s="27" t="n">
        <v>1.561798</v>
      </c>
      <c r="N142" s="28" t="n">
        <v>0.640288</v>
      </c>
      <c r="O142" s="28" t="n">
        <v>0.677314</v>
      </c>
      <c r="P142" s="28" t="n"/>
      <c r="Q142" s="28" t="n">
        <v>0.037026</v>
      </c>
      <c r="R142" s="26" t="n">
        <v>39</v>
      </c>
      <c r="S142" s="29" t="n">
        <v>2</v>
      </c>
      <c r="T142" s="24" t="inlineStr">
        <is>
          <t>cs2-tiered-elo-v3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Neutral Elo baseline; executable ask 0.6400 (market_slug=aec-cs2-inox-erx-2026-07-24).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NO_CALL_LOW_EDGE</t>
        </is>
      </c>
      <c r="AP142" s="24" t="inlineStr">
        <is>
          <t>ex-RUSTEC</t>
        </is>
      </c>
      <c r="AQ142" s="24" t="inlineStr">
        <is>
          <t>ex-RUSTEC</t>
        </is>
      </c>
      <c r="AR142" s="24" t="inlineStr">
        <is>
          <t>ex-RUSTEC</t>
        </is>
      </c>
      <c r="AS142" s="24" t="inlineStr">
        <is>
          <t>INOX Division</t>
        </is>
      </c>
      <c r="AT142" s="24" t="inlineStr">
        <is>
          <t>INOX Division</t>
        </is>
      </c>
      <c r="AU142" s="24" t="inlineStr">
        <is>
          <t>INOX Division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48424b79d75fc1173c9c465d95feb6fc041a2ccfbc64455058b3f74905ce28d5</t>
        </is>
      </c>
      <c r="BB142" s="24" t="inlineStr">
        <is>
          <t>neutral_elo</t>
        </is>
      </c>
      <c r="BC142" s="24" t="inlineStr">
        <is>
          <t>cs2-tiered-elo-v3</t>
        </is>
      </c>
      <c r="BD142" s="24" t="inlineStr">
        <is>
          <t>48424b79d75fc1173c9c465d95feb6fc041a2ccfbc64455058b3f74905ce28d5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cs2-tiered-elo-v3</t>
        </is>
      </c>
      <c r="BH142" s="24" t="inlineStr">
        <is>
          <t>2026-07-23T07:20:27.867010Z</t>
        </is>
      </c>
      <c r="BI142" s="24" t="inlineStr">
        <is>
          <t>["same_event","same_team_same_day","same_league_same_day"]</t>
        </is>
      </c>
      <c r="BJ142" s="25" t="n"/>
      <c r="BK142" s="26" t="n">
        <v>-178</v>
      </c>
      <c r="BL142" s="27" t="n">
        <v>1.561798</v>
      </c>
      <c r="BM142" s="28" t="n">
        <v>0.640288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</row>
    <row r="143" ht="36" customHeight="1">
      <c r="A143" s="24" t="inlineStr">
        <is>
          <t>63741d63a6744f52</t>
        </is>
      </c>
      <c r="B143" s="24" t="inlineStr">
        <is>
          <t>2026-07-23T07:20:44.252809Z</t>
        </is>
      </c>
      <c r="C143" s="24" t="inlineStr">
        <is>
          <t>2026-07-24T08:00:00Z</t>
        </is>
      </c>
      <c r="D143" s="24" t="inlineStr">
        <is>
          <t>59323</t>
        </is>
      </c>
      <c r="E143" s="24" t="inlineStr">
        <is>
          <t>CS2</t>
        </is>
      </c>
      <c r="F143" s="24" t="inlineStr">
        <is>
          <t>Eternal Fire</t>
        </is>
      </c>
      <c r="G143" s="24" t="inlineStr">
        <is>
          <t>1WIN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117</v>
      </c>
      <c r="M143" s="27" t="n">
        <v>2.17</v>
      </c>
      <c r="N143" s="28" t="n">
        <v>0.460829</v>
      </c>
      <c r="O143" s="28" t="n">
        <v>0.5965279999999999</v>
      </c>
      <c r="P143" s="28" t="n"/>
      <c r="Q143" s="28" t="n">
        <v>0.135699</v>
      </c>
      <c r="R143" s="26" t="n">
        <v>100</v>
      </c>
      <c r="S143" s="29" t="n">
        <v>1.5</v>
      </c>
      <c r="T143" s="24" t="inlineStr">
        <is>
          <t>cs2-tiered-elo-v3</t>
        </is>
      </c>
      <c r="U143" s="24" t="inlineStr">
        <is>
          <t>open</t>
        </is>
      </c>
      <c r="V143" s="24" t="n"/>
      <c r="W143" s="26" t="n"/>
      <c r="X143" s="26" t="n"/>
      <c r="Y143" s="25" t="n"/>
      <c r="Z143" s="26" t="n"/>
      <c r="AA143" s="28" t="n"/>
      <c r="AB143" s="28" t="n"/>
      <c r="AC143" s="30" t="n"/>
      <c r="AD143" s="24" t="n"/>
      <c r="AE143" s="31" t="inlineStr">
        <is>
          <t>Neutral Elo baseline; executable ask 0.4600 (market_slug=aec-cs2-1win-ef-2026-07-24).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NO_CALL_LARGE_DISAGREEMENT_REVIEW</t>
        </is>
      </c>
      <c r="AP143" s="24" t="inlineStr">
        <is>
          <t>Eternal Fire</t>
        </is>
      </c>
      <c r="AQ143" s="24" t="inlineStr">
        <is>
          <t>Eternal Fire</t>
        </is>
      </c>
      <c r="AR143" s="24" t="inlineStr">
        <is>
          <t>Eternal Fire</t>
        </is>
      </c>
      <c r="AS143" s="24" t="inlineStr">
        <is>
          <t>1WIN</t>
        </is>
      </c>
      <c r="AT143" s="24" t="inlineStr">
        <is>
          <t>1WIN</t>
        </is>
      </c>
      <c r="AU143" s="24" t="inlineStr">
        <is>
          <t>1WIN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48424b79d75fc1173c9c465d95feb6fc041a2ccfbc64455058b3f74905ce28d5</t>
        </is>
      </c>
      <c r="BB143" s="24" t="inlineStr">
        <is>
          <t>neutral_elo</t>
        </is>
      </c>
      <c r="BC143" s="24" t="inlineStr">
        <is>
          <t>cs2-tiered-elo-v3</t>
        </is>
      </c>
      <c r="BD143" s="24" t="inlineStr">
        <is>
          <t>48424b79d75fc1173c9c465d95feb6fc041a2ccfbc64455058b3f74905ce28d5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cs2-tiered-elo-v3</t>
        </is>
      </c>
      <c r="BH143" s="24" t="inlineStr">
        <is>
          <t>2026-07-23T07:20:28.828828Z</t>
        </is>
      </c>
      <c r="BI143" s="24" t="inlineStr">
        <is>
          <t>["same_event","same_team_same_day","same_league_same_day"]</t>
        </is>
      </c>
      <c r="BJ143" s="25" t="n"/>
      <c r="BK143" s="26" t="n">
        <v>117</v>
      </c>
      <c r="BL143" s="27" t="n">
        <v>2.17</v>
      </c>
      <c r="BM143" s="28" t="n">
        <v>0.460829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</row>
    <row r="144" ht="36" customHeight="1">
      <c r="A144" s="24" t="inlineStr">
        <is>
          <t>adcd4bd2a83e43ab</t>
        </is>
      </c>
      <c r="B144" s="24" t="inlineStr">
        <is>
          <t>2026-07-23T07:20:44.252809Z</t>
        </is>
      </c>
      <c r="C144" s="24" t="inlineStr">
        <is>
          <t>2026-07-24T10:00:00Z</t>
        </is>
      </c>
      <c r="D144" s="24" t="inlineStr">
        <is>
          <t>58248</t>
        </is>
      </c>
      <c r="E144" s="24" t="inlineStr">
        <is>
          <t>CS2</t>
        </is>
      </c>
      <c r="F144" s="24" t="inlineStr">
        <is>
          <t>3DMAX</t>
        </is>
      </c>
      <c r="G144" s="24" t="inlineStr">
        <is>
          <t>magic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-138</v>
      </c>
      <c r="M144" s="27" t="n">
        <v>1.724638</v>
      </c>
      <c r="N144" s="28" t="n">
        <v>0.579832</v>
      </c>
      <c r="O144" s="28" t="n">
        <v>0.624985</v>
      </c>
      <c r="P144" s="28" t="n"/>
      <c r="Q144" s="28" t="n">
        <v>0.045153</v>
      </c>
      <c r="R144" s="26" t="n">
        <v>43</v>
      </c>
      <c r="S144" s="29" t="n">
        <v>1.75</v>
      </c>
      <c r="T144" s="24" t="inlineStr">
        <is>
          <t>cs2-tiered-elo-v3</t>
        </is>
      </c>
      <c r="U144" s="24" t="inlineStr">
        <is>
          <t>open</t>
        </is>
      </c>
      <c r="V144" s="24" t="n"/>
      <c r="W144" s="26" t="n"/>
      <c r="X144" s="26" t="n"/>
      <c r="Y144" s="25" t="n"/>
      <c r="Z144" s="26" t="n"/>
      <c r="AA144" s="28" t="n"/>
      <c r="AB144" s="28" t="n"/>
      <c r="AC144" s="30" t="n"/>
      <c r="AD144" s="24" t="n"/>
      <c r="AE144" s="31" t="inlineStr">
        <is>
          <t>Neutral Elo baseline; executable ask 0.5800 (market_slug=aec-cs2-mgc-3dmax-2026-07-24).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NO_CALL_LOW_EDGE</t>
        </is>
      </c>
      <c r="AP144" s="24" t="inlineStr">
        <is>
          <t>3DMAX</t>
        </is>
      </c>
      <c r="AQ144" s="24" t="inlineStr">
        <is>
          <t>3DMAX</t>
        </is>
      </c>
      <c r="AR144" s="24" t="inlineStr">
        <is>
          <t>3DMAX</t>
        </is>
      </c>
      <c r="AS144" s="24" t="inlineStr">
        <is>
          <t>magic</t>
        </is>
      </c>
      <c r="AT144" s="24" t="inlineStr">
        <is>
          <t>magic</t>
        </is>
      </c>
      <c r="AU144" s="24" t="inlineStr">
        <is>
          <t>magic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48424b79d75fc1173c9c465d95feb6fc041a2ccfbc64455058b3f74905ce28d5</t>
        </is>
      </c>
      <c r="BB144" s="24" t="inlineStr">
        <is>
          <t>neutral_elo</t>
        </is>
      </c>
      <c r="BC144" s="24" t="inlineStr">
        <is>
          <t>cs2-tiered-elo-v3</t>
        </is>
      </c>
      <c r="BD144" s="24" t="inlineStr">
        <is>
          <t>48424b79d75fc1173c9c465d95feb6fc041a2ccfbc64455058b3f74905ce28d5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cs2-tiered-elo-v3</t>
        </is>
      </c>
      <c r="BH144" s="24" t="inlineStr">
        <is>
          <t>2026-07-23T07:20:31.167816Z</t>
        </is>
      </c>
      <c r="BI144" s="24" t="inlineStr">
        <is>
          <t>["same_event","same_team_same_day","same_league_same_day"]</t>
        </is>
      </c>
      <c r="BJ144" s="25" t="n"/>
      <c r="BK144" s="26" t="n">
        <v>-138</v>
      </c>
      <c r="BL144" s="27" t="n">
        <v>1.724638</v>
      </c>
      <c r="BM144" s="28" t="n">
        <v>0.579832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</row>
    <row r="145" ht="36" customHeight="1">
      <c r="A145" s="24" t="inlineStr">
        <is>
          <t>8d55c6bb844b4c40</t>
        </is>
      </c>
      <c r="B145" s="24" t="inlineStr">
        <is>
          <t>2026-07-23T07:20:44.252809Z</t>
        </is>
      </c>
      <c r="C145" s="24" t="inlineStr">
        <is>
          <t>2026-07-24T11:00:00Z</t>
        </is>
      </c>
      <c r="D145" s="24" t="inlineStr">
        <is>
          <t>59041</t>
        </is>
      </c>
      <c r="E145" s="24" t="inlineStr">
        <is>
          <t>CS2</t>
        </is>
      </c>
      <c r="F145" s="24" t="inlineStr">
        <is>
          <t>G2 Ares</t>
        </is>
      </c>
      <c r="G145" s="24" t="inlineStr">
        <is>
          <t>Phantom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-223</v>
      </c>
      <c r="M145" s="27" t="n">
        <v>1.44843</v>
      </c>
      <c r="N145" s="28" t="n">
        <v>0.690402</v>
      </c>
      <c r="O145" s="28" t="n">
        <v>0.682484</v>
      </c>
      <c r="P145" s="28" t="n"/>
      <c r="Q145" s="28" t="n">
        <v>-0.007918</v>
      </c>
      <c r="R145" s="26" t="n">
        <v>16</v>
      </c>
      <c r="S145" s="29" t="n">
        <v>2</v>
      </c>
      <c r="T145" s="24" t="inlineStr">
        <is>
          <t>cs2-tiered-elo-v3</t>
        </is>
      </c>
      <c r="U145" s="24" t="inlineStr">
        <is>
          <t>open</t>
        </is>
      </c>
      <c r="V145" s="24" t="n"/>
      <c r="W145" s="26" t="n"/>
      <c r="X145" s="26" t="n"/>
      <c r="Y145" s="25" t="n"/>
      <c r="Z145" s="26" t="n"/>
      <c r="AA145" s="28" t="n"/>
      <c r="AB145" s="28" t="n"/>
      <c r="AC145" s="30" t="n"/>
      <c r="AD145" s="24" t="n"/>
      <c r="AE145" s="31" t="inlineStr">
        <is>
          <t>Neutral Elo baseline; executable ask 0.6900 (market_slug=aec-cs2-pha-g2a-2026-07-24).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NO_CALL_LOW_EDGE</t>
        </is>
      </c>
      <c r="AP145" s="24" t="inlineStr">
        <is>
          <t>G2 Ares</t>
        </is>
      </c>
      <c r="AQ145" s="24" t="inlineStr">
        <is>
          <t>G2 Ares</t>
        </is>
      </c>
      <c r="AR145" s="24" t="inlineStr">
        <is>
          <t>G2 Ares</t>
        </is>
      </c>
      <c r="AS145" s="24" t="inlineStr">
        <is>
          <t>Phantom</t>
        </is>
      </c>
      <c r="AT145" s="24" t="inlineStr">
        <is>
          <t>Phantom</t>
        </is>
      </c>
      <c r="AU145" s="24" t="inlineStr">
        <is>
          <t>Phantom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48424b79d75fc1173c9c465d95feb6fc041a2ccfbc64455058b3f74905ce28d5</t>
        </is>
      </c>
      <c r="BB145" s="24" t="inlineStr">
        <is>
          <t>neutral_elo</t>
        </is>
      </c>
      <c r="BC145" s="24" t="inlineStr">
        <is>
          <t>cs2-tiered-elo-v3</t>
        </is>
      </c>
      <c r="BD145" s="24" t="inlineStr">
        <is>
          <t>48424b79d75fc1173c9c465d95feb6fc041a2ccfbc64455058b3f74905ce28d5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cs2-tiered-elo-v3</t>
        </is>
      </c>
      <c r="BH145" s="24" t="inlineStr">
        <is>
          <t>2026-07-23T07:20:32.036205Z</t>
        </is>
      </c>
      <c r="BI145" s="24" t="inlineStr">
        <is>
          <t>["same_event","same_team_same_day","same_league_same_day"]</t>
        </is>
      </c>
      <c r="BJ145" s="25" t="n"/>
      <c r="BK145" s="26" t="n">
        <v>-223</v>
      </c>
      <c r="BL145" s="27" t="n">
        <v>1.44843</v>
      </c>
      <c r="BM145" s="28" t="n">
        <v>0.690402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</row>
    <row r="146" ht="36" customHeight="1">
      <c r="A146" s="24" t="inlineStr">
        <is>
          <t>ad66e5d4a4d84176</t>
        </is>
      </c>
      <c r="B146" s="24" t="inlineStr">
        <is>
          <t>2026-07-23T07:20:44.252809Z</t>
        </is>
      </c>
      <c r="C146" s="24" t="inlineStr">
        <is>
          <t>2026-07-24T11:00:00Z</t>
        </is>
      </c>
      <c r="D146" s="24" t="inlineStr">
        <is>
          <t>59687</t>
        </is>
      </c>
      <c r="E146" s="24" t="inlineStr">
        <is>
          <t>CS2</t>
        </is>
      </c>
      <c r="F146" s="24" t="inlineStr">
        <is>
          <t>Atreides</t>
        </is>
      </c>
      <c r="G146" s="24" t="inlineStr">
        <is>
          <t>SPARTA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-138</v>
      </c>
      <c r="M146" s="27" t="n">
        <v>1.724638</v>
      </c>
      <c r="N146" s="28" t="n">
        <v>0.579832</v>
      </c>
      <c r="O146" s="28" t="n">
        <v>0.5045230000000001</v>
      </c>
      <c r="P146" s="28" t="n"/>
      <c r="Q146" s="28" t="n">
        <v>-0.075309</v>
      </c>
      <c r="R146" s="26" t="n">
        <v>0</v>
      </c>
      <c r="S146" s="29" t="n">
        <v>0.5</v>
      </c>
      <c r="T146" s="24" t="inlineStr">
        <is>
          <t>cs2-tiered-elo-v3</t>
        </is>
      </c>
      <c r="U146" s="24" t="inlineStr">
        <is>
          <t>open</t>
        </is>
      </c>
      <c r="V146" s="24" t="n"/>
      <c r="W146" s="26" t="n"/>
      <c r="X146" s="26" t="n"/>
      <c r="Y146" s="25" t="n"/>
      <c r="Z146" s="26" t="n"/>
      <c r="AA146" s="28" t="n"/>
      <c r="AB146" s="28" t="n"/>
      <c r="AC146" s="30" t="n"/>
      <c r="AD146" s="24" t="n"/>
      <c r="AE146" s="31" t="inlineStr">
        <is>
          <t>Neutral Elo baseline; executable ask 0.5800 (market_slug=aec-cs2-sparta-atr-2026-07-24).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NO_CALL_LOW_EDGE</t>
        </is>
      </c>
      <c r="AP146" s="24" t="inlineStr">
        <is>
          <t>Atreides</t>
        </is>
      </c>
      <c r="AQ146" s="24" t="inlineStr">
        <is>
          <t>Atreides</t>
        </is>
      </c>
      <c r="AR146" s="24" t="inlineStr">
        <is>
          <t>Atreides</t>
        </is>
      </c>
      <c r="AS146" s="24" t="inlineStr">
        <is>
          <t>SPARTA</t>
        </is>
      </c>
      <c r="AT146" s="24" t="inlineStr">
        <is>
          <t>SPARTA</t>
        </is>
      </c>
      <c r="AU146" s="24" t="inlineStr">
        <is>
          <t>SPARTA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48424b79d75fc1173c9c465d95feb6fc041a2ccfbc64455058b3f74905ce28d5</t>
        </is>
      </c>
      <c r="BB146" s="24" t="inlineStr">
        <is>
          <t>neutral_elo</t>
        </is>
      </c>
      <c r="BC146" s="24" t="inlineStr">
        <is>
          <t>cs2-tiered-elo-v3</t>
        </is>
      </c>
      <c r="BD146" s="24" t="inlineStr">
        <is>
          <t>48424b79d75fc1173c9c465d95feb6fc041a2ccfbc64455058b3f74905ce28d5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cs2-tiered-elo-v3</t>
        </is>
      </c>
      <c r="BH146" s="24" t="inlineStr">
        <is>
          <t>2026-07-23T07:20:32.900033Z</t>
        </is>
      </c>
      <c r="BI146" s="24" t="inlineStr">
        <is>
          <t>["same_event","same_team_same_day","same_league_same_day"]</t>
        </is>
      </c>
      <c r="BJ146" s="25" t="n"/>
      <c r="BK146" s="26" t="n">
        <v>-138</v>
      </c>
      <c r="BL146" s="27" t="n">
        <v>1.724638</v>
      </c>
      <c r="BM146" s="28" t="n">
        <v>0.579832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</row>
    <row r="147" ht="36" customHeight="1">
      <c r="A147" s="24" t="inlineStr">
        <is>
          <t>b4f1cdd6e52f4510</t>
        </is>
      </c>
      <c r="B147" s="24" t="inlineStr">
        <is>
          <t>2026-07-23T07:20:44.252809Z</t>
        </is>
      </c>
      <c r="C147" s="24" t="inlineStr">
        <is>
          <t>2026-07-24T12:30:00Z</t>
        </is>
      </c>
      <c r="D147" s="24" t="inlineStr">
        <is>
          <t>58309</t>
        </is>
      </c>
      <c r="E147" s="24" t="inlineStr">
        <is>
          <t>CS2</t>
        </is>
      </c>
      <c r="F147" s="24" t="inlineStr">
        <is>
          <t>TheMongolz</t>
        </is>
      </c>
      <c r="G147" s="24" t="inlineStr">
        <is>
          <t>Heroic</t>
        </is>
      </c>
      <c r="H147" s="24" t="inlineStr">
        <is>
          <t>moneyline</t>
        </is>
      </c>
      <c r="I147" s="24" t="inlineStr">
        <is>
          <t>away</t>
        </is>
      </c>
      <c r="J147" s="25" t="n"/>
      <c r="K147" s="24" t="inlineStr">
        <is>
          <t>polymarket_us</t>
        </is>
      </c>
      <c r="L147" s="26" t="n">
        <v>144</v>
      </c>
      <c r="M147" s="27" t="n">
        <v>2.44</v>
      </c>
      <c r="N147" s="28" t="n">
        <v>0.409836</v>
      </c>
      <c r="O147" s="28" t="n">
        <v>0.633024</v>
      </c>
      <c r="P147" s="28" t="n"/>
      <c r="Q147" s="28" t="n">
        <v>0.223188</v>
      </c>
      <c r="R147" s="26" t="n">
        <v>100</v>
      </c>
      <c r="S147" s="29" t="n">
        <v>1.75</v>
      </c>
      <c r="T147" s="24" t="inlineStr">
        <is>
          <t>cs2-tiered-elo-v3</t>
        </is>
      </c>
      <c r="U147" s="24" t="inlineStr">
        <is>
          <t>open</t>
        </is>
      </c>
      <c r="V147" s="24" t="n"/>
      <c r="W147" s="26" t="n"/>
      <c r="X147" s="26" t="n"/>
      <c r="Y147" s="25" t="n"/>
      <c r="Z147" s="26" t="n"/>
      <c r="AA147" s="28" t="n"/>
      <c r="AB147" s="28" t="n"/>
      <c r="AC147" s="30" t="n"/>
      <c r="AD147" s="24" t="n"/>
      <c r="AE147" s="31" t="inlineStr">
        <is>
          <t>Neutral Elo baseline; executable ask 0.4100 (market_slug=aec-cs2-hero-mglz-2026-07-24).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NO_CALL_LARGE_DISAGREEMENT_REVIEW</t>
        </is>
      </c>
      <c r="AP147" s="24" t="inlineStr">
        <is>
          <t>TheMongolz</t>
        </is>
      </c>
      <c r="AQ147" s="24" t="inlineStr">
        <is>
          <t>TheMongolz</t>
        </is>
      </c>
      <c r="AR147" s="24" t="inlineStr">
        <is>
          <t>TheMongolz</t>
        </is>
      </c>
      <c r="AS147" s="24" t="inlineStr">
        <is>
          <t>Heroic</t>
        </is>
      </c>
      <c r="AT147" s="24" t="inlineStr">
        <is>
          <t>Heroic</t>
        </is>
      </c>
      <c r="AU147" s="24" t="inlineStr">
        <is>
          <t>Heroic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48424b79d75fc1173c9c465d95feb6fc041a2ccfbc64455058b3f74905ce28d5</t>
        </is>
      </c>
      <c r="BB147" s="24" t="inlineStr">
        <is>
          <t>neutral_elo</t>
        </is>
      </c>
      <c r="BC147" s="24" t="inlineStr">
        <is>
          <t>cs2-tiered-elo-v3</t>
        </is>
      </c>
      <c r="BD147" s="24" t="inlineStr">
        <is>
          <t>48424b79d75fc1173c9c465d95feb6fc041a2ccfbc64455058b3f74905ce28d5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cs2-tiered-elo-v3</t>
        </is>
      </c>
      <c r="BH147" s="24" t="inlineStr">
        <is>
          <t>2026-07-23T07:20:34.856171Z</t>
        </is>
      </c>
      <c r="BI147" s="24" t="inlineStr">
        <is>
          <t>["same_event","same_team_same_day","same_league_same_day"]</t>
        </is>
      </c>
      <c r="BJ147" s="25" t="n"/>
      <c r="BK147" s="26" t="n">
        <v>144</v>
      </c>
      <c r="BL147" s="27" t="n">
        <v>2.44</v>
      </c>
      <c r="BM147" s="28" t="n">
        <v>0.409836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</row>
    <row r="148" ht="36" customHeight="1">
      <c r="A148" s="24" t="inlineStr">
        <is>
          <t>0b3bcbc1b3064a88</t>
        </is>
      </c>
      <c r="B148" s="24" t="inlineStr">
        <is>
          <t>2026-07-23T07:21:10.755031Z</t>
        </is>
      </c>
      <c r="C148" s="24" t="inlineStr">
        <is>
          <t>2026-07-23T10:00:00Z</t>
        </is>
      </c>
      <c r="D148" s="24" t="inlineStr">
        <is>
          <t>56839</t>
        </is>
      </c>
      <c r="E148" s="24" t="inlineStr">
        <is>
          <t>DOTA2</t>
        </is>
      </c>
      <c r="F148" s="24" t="inlineStr">
        <is>
          <t>PuckChamp</t>
        </is>
      </c>
      <c r="G148" s="24" t="inlineStr">
        <is>
          <t>Spirit Academy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-127</v>
      </c>
      <c r="M148" s="27" t="n">
        <v>1.787402</v>
      </c>
      <c r="N148" s="28" t="n">
        <v>0.5594710000000001</v>
      </c>
      <c r="O148" s="28" t="n">
        <v>0.5259779999999999</v>
      </c>
      <c r="P148" s="28" t="n"/>
      <c r="Q148" s="28" t="n">
        <v>-0.033493</v>
      </c>
      <c r="R148" s="26" t="n">
        <v>3</v>
      </c>
      <c r="S148" s="29" t="n">
        <v>0.75</v>
      </c>
      <c r="T148" s="24" t="inlineStr">
        <is>
          <t>dota2-tiered-elo-v3</t>
        </is>
      </c>
      <c r="U148" s="24" t="inlineStr">
        <is>
          <t>open</t>
        </is>
      </c>
      <c r="V148" s="24" t="n"/>
      <c r="W148" s="26" t="n"/>
      <c r="X148" s="26" t="n"/>
      <c r="Y148" s="25" t="n"/>
      <c r="Z148" s="26" t="n"/>
      <c r="AA148" s="28" t="n"/>
      <c r="AB148" s="28" t="n"/>
      <c r="AC148" s="30" t="n"/>
      <c r="AD148" s="24" t="n"/>
      <c r="AE148" s="31" t="inlineStr">
        <is>
          <t>Neutral Elo baseline; executable ask 0.5600 (market_slug=aec-dota2-tsa-pckcp-2026-07-23).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NO_CALL_LOW_EDGE</t>
        </is>
      </c>
      <c r="AP148" s="24" t="inlineStr">
        <is>
          <t>PuckChamp</t>
        </is>
      </c>
      <c r="AQ148" s="24" t="inlineStr">
        <is>
          <t>PuckChamp</t>
        </is>
      </c>
      <c r="AR148" s="24" t="inlineStr">
        <is>
          <t>PuckChamp</t>
        </is>
      </c>
      <c r="AS148" s="24" t="inlineStr">
        <is>
          <t>Spirit Academy</t>
        </is>
      </c>
      <c r="AT148" s="24" t="inlineStr">
        <is>
          <t>Spirit Academy</t>
        </is>
      </c>
      <c r="AU148" s="24" t="inlineStr">
        <is>
          <t>Spirit Academy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a799fd6b531f6a50433d392237bace95036714f80bb3516384271ef275ed7763</t>
        </is>
      </c>
      <c r="BB148" s="24" t="inlineStr">
        <is>
          <t>neutral_elo</t>
        </is>
      </c>
      <c r="BC148" s="24" t="inlineStr">
        <is>
          <t>dota2-tiered-elo-v3</t>
        </is>
      </c>
      <c r="BD148" s="24" t="inlineStr">
        <is>
          <t>a799fd6b531f6a50433d392237bace95036714f80bb3516384271ef275ed7763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dota2-tiered-elo-v3</t>
        </is>
      </c>
      <c r="BH148" s="24" t="inlineStr">
        <is>
          <t>2026-07-23T07:21:03.348283Z</t>
        </is>
      </c>
      <c r="BI148" s="24" t="inlineStr">
        <is>
          <t>["same_event","same_team_same_day","same_league_same_day"]</t>
        </is>
      </c>
      <c r="BJ148" s="25" t="n"/>
      <c r="BK148" s="26" t="n">
        <v>-127</v>
      </c>
      <c r="BL148" s="27" t="n">
        <v>1.787402</v>
      </c>
      <c r="BM148" s="28" t="n">
        <v>0.5594710000000001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</row>
    <row r="149" ht="36" customHeight="1">
      <c r="A149" s="24" t="inlineStr">
        <is>
          <t>480434722e244b4a</t>
        </is>
      </c>
      <c r="B149" s="24" t="inlineStr">
        <is>
          <t>2026-07-23T07:21:10.755031Z</t>
        </is>
      </c>
      <c r="C149" s="24" t="inlineStr">
        <is>
          <t>2026-07-23T13:00:00Z</t>
        </is>
      </c>
      <c r="D149" s="24" t="inlineStr">
        <is>
          <t>56888</t>
        </is>
      </c>
      <c r="E149" s="24" t="inlineStr">
        <is>
          <t>DOTA2</t>
        </is>
      </c>
      <c r="F149" s="24" t="inlineStr">
        <is>
          <t>Inner Circle x Insanity</t>
        </is>
      </c>
      <c r="G149" s="24" t="inlineStr">
        <is>
          <t>Team Jenz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212</v>
      </c>
      <c r="M149" s="27" t="n">
        <v>3.12</v>
      </c>
      <c r="N149" s="28" t="n">
        <v>0.320513</v>
      </c>
      <c r="O149" s="28" t="n">
        <v>0.5</v>
      </c>
      <c r="P149" s="28" t="n"/>
      <c r="Q149" s="28" t="n">
        <v>0.179487</v>
      </c>
      <c r="R149" s="26" t="n">
        <v>100</v>
      </c>
      <c r="S149" s="29" t="n">
        <v>0.5</v>
      </c>
      <c r="T149" s="24" t="inlineStr">
        <is>
          <t>dota2-tiered-elo-v3</t>
        </is>
      </c>
      <c r="U149" s="24" t="inlineStr">
        <is>
          <t>open</t>
        </is>
      </c>
      <c r="V149" s="24" t="n"/>
      <c r="W149" s="26" t="n"/>
      <c r="X149" s="26" t="n"/>
      <c r="Y149" s="25" t="n"/>
      <c r="Z149" s="26" t="n"/>
      <c r="AA149" s="28" t="n"/>
      <c r="AB149" s="28" t="n"/>
      <c r="AC149" s="30" t="n"/>
      <c r="AD149" s="24" t="n"/>
      <c r="AE149" s="31" t="inlineStr">
        <is>
          <t>Neutral Elo baseline; executable ask 0.3200 (market_slug=aec-dota2-tje-icxi-2026-07-23).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NO_CALL_LARGE_DISAGREEMENT_REVIEW</t>
        </is>
      </c>
      <c r="AP149" s="24" t="inlineStr">
        <is>
          <t>Inner Circle x Insanity</t>
        </is>
      </c>
      <c r="AQ149" s="24" t="inlineStr">
        <is>
          <t>Inner Circle x Insanity</t>
        </is>
      </c>
      <c r="AR149" s="24" t="inlineStr">
        <is>
          <t>Inner Circle x Insanity</t>
        </is>
      </c>
      <c r="AS149" s="24" t="inlineStr">
        <is>
          <t>Team Jenz</t>
        </is>
      </c>
      <c r="AT149" s="24" t="inlineStr">
        <is>
          <t>Team Jenz</t>
        </is>
      </c>
      <c r="AU149" s="24" t="inlineStr">
        <is>
          <t>Team Jenz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a799fd6b531f6a50433d392237bace95036714f80bb3516384271ef275ed7763</t>
        </is>
      </c>
      <c r="BB149" s="24" t="inlineStr">
        <is>
          <t>neutral_elo</t>
        </is>
      </c>
      <c r="BC149" s="24" t="inlineStr">
        <is>
          <t>dota2-tiered-elo-v3</t>
        </is>
      </c>
      <c r="BD149" s="24" t="inlineStr">
        <is>
          <t>a799fd6b531f6a50433d392237bace95036714f80bb3516384271ef275ed7763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dota2-tiered-elo-v3</t>
        </is>
      </c>
      <c r="BH149" s="24" t="inlineStr">
        <is>
          <t>2026-07-23T07:21:04.162632Z</t>
        </is>
      </c>
      <c r="BI149" s="24" t="inlineStr">
        <is>
          <t>["same_event","same_team_same_day","same_league_same_day"]</t>
        </is>
      </c>
      <c r="BJ149" s="25" t="n"/>
      <c r="BK149" s="26" t="n">
        <v>212</v>
      </c>
      <c r="BL149" s="27" t="n">
        <v>3.12</v>
      </c>
      <c r="BM149" s="28" t="n">
        <v>0.320513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</row>
    <row r="150" ht="36" customHeight="1">
      <c r="A150" s="24" t="inlineStr">
        <is>
          <t>60fb2d1d151146a9</t>
        </is>
      </c>
      <c r="B150" s="24" t="inlineStr">
        <is>
          <t>2026-07-23T07:21:10.755031Z</t>
        </is>
      </c>
      <c r="C150" s="24" t="inlineStr">
        <is>
          <t>2026-07-23T19:00:00Z</t>
        </is>
      </c>
      <c r="D150" s="24" t="inlineStr">
        <is>
          <t>57215</t>
        </is>
      </c>
      <c r="E150" s="24" t="inlineStr">
        <is>
          <t>DOTA2</t>
        </is>
      </c>
      <c r="F150" s="24" t="inlineStr">
        <is>
          <t>Ilbirs eSports</t>
        </is>
      </c>
      <c r="G150" s="24" t="inlineStr">
        <is>
          <t>Nemiga Gaming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-122</v>
      </c>
      <c r="M150" s="27" t="n">
        <v>1.819672</v>
      </c>
      <c r="N150" s="28" t="n">
        <v>0.54955</v>
      </c>
      <c r="O150" s="28" t="n">
        <v>0.5</v>
      </c>
      <c r="P150" s="28" t="n"/>
      <c r="Q150" s="28" t="n">
        <v>-0.04955</v>
      </c>
      <c r="R150" s="26" t="n">
        <v>0</v>
      </c>
      <c r="S150" s="29" t="n">
        <v>0.5</v>
      </c>
      <c r="T150" s="24" t="inlineStr">
        <is>
          <t>dota2-tiered-elo-v3</t>
        </is>
      </c>
      <c r="U150" s="24" t="inlineStr">
        <is>
          <t>open</t>
        </is>
      </c>
      <c r="V150" s="24" t="n"/>
      <c r="W150" s="26" t="n"/>
      <c r="X150" s="26" t="n"/>
      <c r="Y150" s="25" t="n"/>
      <c r="Z150" s="26" t="n"/>
      <c r="AA150" s="28" t="n"/>
      <c r="AB150" s="28" t="n"/>
      <c r="AC150" s="30" t="n"/>
      <c r="AD150" s="24" t="n"/>
      <c r="AE150" s="31" t="inlineStr">
        <is>
          <t>Neutral Elo baseline; executable ask 0.5500 (market_slug=aec-dota2-nemiga-ill-2026-07-23).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NO_CALL_LOW_EDGE</t>
        </is>
      </c>
      <c r="AP150" s="24" t="inlineStr">
        <is>
          <t>Ilbirs eSports</t>
        </is>
      </c>
      <c r="AQ150" s="24" t="inlineStr">
        <is>
          <t>Ilbirs eSports</t>
        </is>
      </c>
      <c r="AR150" s="24" t="inlineStr">
        <is>
          <t>Ilbirs eSports</t>
        </is>
      </c>
      <c r="AS150" s="24" t="inlineStr">
        <is>
          <t>Nemiga Gaming</t>
        </is>
      </c>
      <c r="AT150" s="24" t="inlineStr">
        <is>
          <t>Nemiga Gaming</t>
        </is>
      </c>
      <c r="AU150" s="24" t="inlineStr">
        <is>
          <t>Nemiga Gaming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a799fd6b531f6a50433d392237bace95036714f80bb3516384271ef275ed7763</t>
        </is>
      </c>
      <c r="BB150" s="24" t="inlineStr">
        <is>
          <t>neutral_elo</t>
        </is>
      </c>
      <c r="BC150" s="24" t="inlineStr">
        <is>
          <t>dota2-tiered-elo-v3</t>
        </is>
      </c>
      <c r="BD150" s="24" t="inlineStr">
        <is>
          <t>a799fd6b531f6a50433d392237bace95036714f80bb3516384271ef275ed7763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dota2-tiered-elo-v3</t>
        </is>
      </c>
      <c r="BH150" s="24" t="inlineStr">
        <is>
          <t>2026-07-23T07:21:05.846238Z</t>
        </is>
      </c>
      <c r="BI150" s="24" t="inlineStr">
        <is>
          <t>["same_event","same_team_same_day","same_league_same_day"]</t>
        </is>
      </c>
      <c r="BJ150" s="25" t="n"/>
      <c r="BK150" s="26" t="n">
        <v>-122</v>
      </c>
      <c r="BL150" s="27" t="n">
        <v>1.819672</v>
      </c>
      <c r="BM150" s="28" t="n">
        <v>0.54955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</row>
    <row r="151" ht="36" customHeight="1">
      <c r="A151" s="24" t="inlineStr">
        <is>
          <t>e0be3289e82741b0</t>
        </is>
      </c>
      <c r="B151" s="24" t="inlineStr">
        <is>
          <t>2026-07-23T07:21:36.945370Z</t>
        </is>
      </c>
      <c r="C151" s="24" t="inlineStr">
        <is>
          <t>2026-07-23T08:00:00Z</t>
        </is>
      </c>
      <c r="D151" s="24" t="inlineStr">
        <is>
          <t>56787</t>
        </is>
      </c>
      <c r="E151" s="24" t="inlineStr">
        <is>
          <t>VALORANT</t>
        </is>
      </c>
      <c r="F151" s="24" t="inlineStr">
        <is>
          <t>FULL SENSE</t>
        </is>
      </c>
      <c r="G151" s="24" t="inlineStr">
        <is>
          <t>Global Esports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117</v>
      </c>
      <c r="M151" s="27" t="n">
        <v>2.17</v>
      </c>
      <c r="N151" s="28" t="n">
        <v>0.460829</v>
      </c>
      <c r="O151" s="28" t="n">
        <v>0.5</v>
      </c>
      <c r="P151" s="28" t="n"/>
      <c r="Q151" s="28" t="n">
        <v>0.039171</v>
      </c>
      <c r="R151" s="26" t="n">
        <v>40</v>
      </c>
      <c r="S151" s="29" t="n">
        <v>0.5</v>
      </c>
      <c r="T151" s="24" t="inlineStr">
        <is>
          <t>valorant-tiered-elo-v3</t>
        </is>
      </c>
      <c r="U151" s="24" t="inlineStr">
        <is>
          <t>open</t>
        </is>
      </c>
      <c r="V151" s="24" t="n"/>
      <c r="W151" s="26" t="n"/>
      <c r="X151" s="26" t="n"/>
      <c r="Y151" s="25" t="n"/>
      <c r="Z151" s="26" t="n"/>
      <c r="AA151" s="28" t="n"/>
      <c r="AB151" s="28" t="n"/>
      <c r="AC151" s="30" t="n"/>
      <c r="AD151" s="24" t="n"/>
      <c r="AE151" s="31" t="inlineStr">
        <is>
          <t>Neutral Elo baseline; executable ask 0.4600 (market_slug=aec-valorant-ge-fs-2026-07-23).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NO_CALL_LOW_EDGE</t>
        </is>
      </c>
      <c r="AP151" s="24" t="inlineStr">
        <is>
          <t>FULL SENSE</t>
        </is>
      </c>
      <c r="AQ151" s="24" t="inlineStr">
        <is>
          <t>FULL SENSE</t>
        </is>
      </c>
      <c r="AR151" s="24" t="inlineStr">
        <is>
          <t>FULL SENSE</t>
        </is>
      </c>
      <c r="AS151" s="24" t="inlineStr">
        <is>
          <t>Global Esports</t>
        </is>
      </c>
      <c r="AT151" s="24" t="inlineStr">
        <is>
          <t>Global Esports</t>
        </is>
      </c>
      <c r="AU151" s="24" t="inlineStr">
        <is>
          <t>Global Esports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df5a226c64918a54c70b8af3e0cd4abb6c4f42b67acb5547da319458502b0ed4</t>
        </is>
      </c>
      <c r="BB151" s="24" t="inlineStr">
        <is>
          <t>neutral_elo</t>
        </is>
      </c>
      <c r="BC151" s="24" t="inlineStr">
        <is>
          <t>valorant-tiered-elo-v3</t>
        </is>
      </c>
      <c r="BD151" s="24" t="inlineStr">
        <is>
          <t>df5a226c64918a54c70b8af3e0cd4abb6c4f42b67acb5547da319458502b0ed4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valorant-tiered-elo-v3</t>
        </is>
      </c>
      <c r="BH151" s="24" t="inlineStr">
        <is>
          <t>2026-07-23T07:21:16.291113Z</t>
        </is>
      </c>
      <c r="BI151" s="24" t="inlineStr">
        <is>
          <t>["same_event","same_team_same_day","same_league_same_day"]</t>
        </is>
      </c>
      <c r="BJ151" s="25" t="n"/>
      <c r="BK151" s="26" t="n">
        <v>117</v>
      </c>
      <c r="BL151" s="27" t="n">
        <v>2.17</v>
      </c>
      <c r="BM151" s="28" t="n">
        <v>0.460829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</row>
    <row r="152" ht="36" customHeight="1">
      <c r="A152" s="24" t="inlineStr">
        <is>
          <t>b8fe21d565a048a1</t>
        </is>
      </c>
      <c r="B152" s="24" t="inlineStr">
        <is>
          <t>2026-07-23T07:21:36.945370Z</t>
        </is>
      </c>
      <c r="C152" s="24" t="inlineStr">
        <is>
          <t>2026-07-23T09:00:00Z</t>
        </is>
      </c>
      <c r="D152" s="24" t="inlineStr">
        <is>
          <t>56811</t>
        </is>
      </c>
      <c r="E152" s="24" t="inlineStr">
        <is>
          <t>VALORANT</t>
        </is>
      </c>
      <c r="F152" s="24" t="inlineStr">
        <is>
          <t>Nova Esports</t>
        </is>
      </c>
      <c r="G152" s="24" t="inlineStr">
        <is>
          <t>TYLOO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-108</v>
      </c>
      <c r="M152" s="27" t="n">
        <v>1.925926</v>
      </c>
      <c r="N152" s="28" t="n">
        <v>0.519231</v>
      </c>
      <c r="O152" s="28" t="n">
        <v>0.5</v>
      </c>
      <c r="P152" s="28" t="n"/>
      <c r="Q152" s="28" t="n">
        <v>-0.019231</v>
      </c>
      <c r="R152" s="26" t="n">
        <v>10</v>
      </c>
      <c r="S152" s="29" t="n">
        <v>0.5</v>
      </c>
      <c r="T152" s="24" t="inlineStr">
        <is>
          <t>valorant-tiered-elo-v3</t>
        </is>
      </c>
      <c r="U152" s="24" t="inlineStr">
        <is>
          <t>open</t>
        </is>
      </c>
      <c r="V152" s="24" t="n"/>
      <c r="W152" s="26" t="n"/>
      <c r="X152" s="26" t="n"/>
      <c r="Y152" s="25" t="n"/>
      <c r="Z152" s="26" t="n"/>
      <c r="AA152" s="28" t="n"/>
      <c r="AB152" s="28" t="n"/>
      <c r="AC152" s="30" t="n"/>
      <c r="AD152" s="24" t="n"/>
      <c r="AE152" s="31" t="inlineStr">
        <is>
          <t>Neutral Elo baseline; executable ask 0.5200 (market_slug=aec-valorant-tyloo-nova-2026-07-23).</t>
        </is>
      </c>
      <c r="AF152" s="31" t="inlineStr">
        <is>
          <t>Config-promoted esports baseline; gates enforced at log time.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NO_CALL_LOW_EDGE</t>
        </is>
      </c>
      <c r="AP152" s="24" t="inlineStr">
        <is>
          <t>Nova Esports</t>
        </is>
      </c>
      <c r="AQ152" s="24" t="inlineStr">
        <is>
          <t>Nova Esports</t>
        </is>
      </c>
      <c r="AR152" s="24" t="inlineStr">
        <is>
          <t>Nova Esports</t>
        </is>
      </c>
      <c r="AS152" s="24" t="inlineStr">
        <is>
          <t>TYLOO</t>
        </is>
      </c>
      <c r="AT152" s="24" t="inlineStr">
        <is>
          <t>TYLOO</t>
        </is>
      </c>
      <c r="AU152" s="24" t="inlineStr">
        <is>
          <t>TYLOO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df5a226c64918a54c70b8af3e0cd4abb6c4f42b67acb5547da319458502b0ed4</t>
        </is>
      </c>
      <c r="BB152" s="24" t="inlineStr">
        <is>
          <t>neutral_elo</t>
        </is>
      </c>
      <c r="BC152" s="24" t="inlineStr">
        <is>
          <t>valorant-tiered-elo-v3</t>
        </is>
      </c>
      <c r="BD152" s="24" t="inlineStr">
        <is>
          <t>df5a226c64918a54c70b8af3e0cd4abb6c4f42b67acb5547da319458502b0ed4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valorant-tiered-elo-v3</t>
        </is>
      </c>
      <c r="BH152" s="24" t="inlineStr">
        <is>
          <t>2026-07-23T07:21:17.130753Z</t>
        </is>
      </c>
      <c r="BI152" s="24" t="inlineStr">
        <is>
          <t>["same_event","same_team_same_day","same_league_same_day"]</t>
        </is>
      </c>
      <c r="BJ152" s="25" t="n"/>
      <c r="BK152" s="26" t="n">
        <v>-108</v>
      </c>
      <c r="BL152" s="27" t="n">
        <v>1.925926</v>
      </c>
      <c r="BM152" s="28" t="n">
        <v>0.519231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</row>
    <row r="153" ht="36" customHeight="1">
      <c r="A153" s="24" t="inlineStr">
        <is>
          <t>e24d61ab2f504b16</t>
        </is>
      </c>
      <c r="B153" s="24" t="inlineStr">
        <is>
          <t>2026-07-23T07:21:36.945370Z</t>
        </is>
      </c>
      <c r="C153" s="24" t="inlineStr">
        <is>
          <t>2026-07-23T18:00:00Z</t>
        </is>
      </c>
      <c r="D153" s="24" t="inlineStr">
        <is>
          <t>57151</t>
        </is>
      </c>
      <c r="E153" s="24" t="inlineStr">
        <is>
          <t>VALORANT</t>
        </is>
      </c>
      <c r="F153" s="24" t="inlineStr">
        <is>
          <t>Twisted Minds Orchid</t>
        </is>
      </c>
      <c r="G153" s="24" t="inlineStr">
        <is>
          <t>GIANTX GC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144</v>
      </c>
      <c r="M153" s="27" t="n">
        <v>2.44</v>
      </c>
      <c r="N153" s="28" t="n">
        <v>0.409836</v>
      </c>
      <c r="O153" s="28" t="n">
        <v>0.5043260000000001</v>
      </c>
      <c r="P153" s="28" t="n"/>
      <c r="Q153" s="28" t="n">
        <v>0.09449</v>
      </c>
      <c r="R153" s="26" t="n">
        <v>67</v>
      </c>
      <c r="S153" s="29" t="n">
        <v>0.5</v>
      </c>
      <c r="T153" s="24" t="inlineStr">
        <is>
          <t>valorant-tiered-elo-v3</t>
        </is>
      </c>
      <c r="U153" s="24" t="inlineStr">
        <is>
          <t>open</t>
        </is>
      </c>
      <c r="V153" s="24" t="n"/>
      <c r="W153" s="26" t="n"/>
      <c r="X153" s="26" t="n"/>
      <c r="Y153" s="25" t="n"/>
      <c r="Z153" s="26" t="n"/>
      <c r="AA153" s="28" t="n"/>
      <c r="AB153" s="28" t="n"/>
      <c r="AC153" s="30" t="n"/>
      <c r="AD153" s="24" t="n"/>
      <c r="AE153" s="31" t="inlineStr">
        <is>
          <t>Neutral Elo baseline; executable ask 0.4100 (market_slug=aec-valorant-gxgc-tmo-2026-07-23).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3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Twisted Minds Orchid</t>
        </is>
      </c>
      <c r="AQ153" s="24" t="inlineStr">
        <is>
          <t>Twisted Minds Orchid</t>
        </is>
      </c>
      <c r="AR153" s="24" t="inlineStr">
        <is>
          <t>Twisted Minds Orchid</t>
        </is>
      </c>
      <c r="AS153" s="24" t="inlineStr">
        <is>
          <t>GIANTX GC</t>
        </is>
      </c>
      <c r="AT153" s="24" t="inlineStr">
        <is>
          <t>GIANTX GC</t>
        </is>
      </c>
      <c r="AU153" s="24" t="inlineStr">
        <is>
          <t>GIANTX GC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df5a226c64918a54c70b8af3e0cd4abb6c4f42b67acb5547da319458502b0ed4</t>
        </is>
      </c>
      <c r="BB153" s="24" t="inlineStr">
        <is>
          <t>neutral_elo</t>
        </is>
      </c>
      <c r="BC153" s="24" t="inlineStr">
        <is>
          <t>valorant-tiered-elo-v3</t>
        </is>
      </c>
      <c r="BD153" s="24" t="inlineStr">
        <is>
          <t>df5a226c64918a54c70b8af3e0cd4abb6c4f42b67acb5547da319458502b0ed4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valorant-tiered-elo-v3</t>
        </is>
      </c>
      <c r="BH153" s="24" t="inlineStr">
        <is>
          <t>2026-07-23T07:21:22.385691Z</t>
        </is>
      </c>
      <c r="BI153" s="24" t="inlineStr">
        <is>
          <t>["same_event","same_team_same_day","same_league_same_day"]</t>
        </is>
      </c>
      <c r="BJ153" s="25" t="n"/>
      <c r="BK153" s="26" t="n">
        <v>144</v>
      </c>
      <c r="BL153" s="27" t="n">
        <v>2.44</v>
      </c>
      <c r="BM153" s="28" t="n">
        <v>0.409836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</row>
    <row r="154" ht="36" customHeight="1">
      <c r="A154" s="24" t="inlineStr">
        <is>
          <t>091d76b6f4c34fe9</t>
        </is>
      </c>
      <c r="B154" s="24" t="inlineStr">
        <is>
          <t>2026-07-23T07:21:36.945370Z</t>
        </is>
      </c>
      <c r="C154" s="24" t="inlineStr">
        <is>
          <t>2026-07-23T18:00:00Z</t>
        </is>
      </c>
      <c r="D154" s="24" t="inlineStr">
        <is>
          <t>57153</t>
        </is>
      </c>
      <c r="E154" s="24" t="inlineStr">
        <is>
          <t>VALORANT</t>
        </is>
      </c>
      <c r="F154" s="24" t="inlineStr">
        <is>
          <t>Natus Vincere</t>
        </is>
      </c>
      <c r="G154" s="24" t="inlineStr">
        <is>
          <t>Gentle Mates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-113</v>
      </c>
      <c r="M154" s="27" t="n">
        <v>1.884956</v>
      </c>
      <c r="N154" s="28" t="n">
        <v>0.530516</v>
      </c>
      <c r="O154" s="28" t="n">
        <v>0.681625</v>
      </c>
      <c r="P154" s="28" t="n"/>
      <c r="Q154" s="28" t="n">
        <v>0.151109</v>
      </c>
      <c r="R154" s="26" t="n">
        <v>100</v>
      </c>
      <c r="S154" s="29" t="n">
        <v>2</v>
      </c>
      <c r="T154" s="24" t="inlineStr">
        <is>
          <t>valorant-tiered-elo-v3</t>
        </is>
      </c>
      <c r="U154" s="24" t="inlineStr">
        <is>
          <t>open</t>
        </is>
      </c>
      <c r="V154" s="24" t="n"/>
      <c r="W154" s="26" t="n"/>
      <c r="X154" s="26" t="n"/>
      <c r="Y154" s="25" t="n"/>
      <c r="Z154" s="26" t="n"/>
      <c r="AA154" s="28" t="n"/>
      <c r="AB154" s="28" t="n"/>
      <c r="AC154" s="30" t="n"/>
      <c r="AD154" s="24" t="n"/>
      <c r="AE154" s="31" t="inlineStr">
        <is>
          <t>Neutral Elo baseline; executable ask 0.5300 (market_slug=aec-valorant-gm-navi-2026-07-23).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NO_CALL_LARGE_DISAGREEMENT_REVIEW</t>
        </is>
      </c>
      <c r="AP154" s="24" t="inlineStr">
        <is>
          <t>Natus Vincere</t>
        </is>
      </c>
      <c r="AQ154" s="24" t="inlineStr">
        <is>
          <t>Natus Vincere</t>
        </is>
      </c>
      <c r="AR154" s="24" t="inlineStr">
        <is>
          <t>Natus Vincere</t>
        </is>
      </c>
      <c r="AS154" s="24" t="inlineStr">
        <is>
          <t>Gentle Mates</t>
        </is>
      </c>
      <c r="AT154" s="24" t="inlineStr">
        <is>
          <t>Gentle Mates</t>
        </is>
      </c>
      <c r="AU154" s="24" t="inlineStr">
        <is>
          <t>Gentle Mates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df5a226c64918a54c70b8af3e0cd4abb6c4f42b67acb5547da319458502b0ed4</t>
        </is>
      </c>
      <c r="BB154" s="24" t="inlineStr">
        <is>
          <t>neutral_elo</t>
        </is>
      </c>
      <c r="BC154" s="24" t="inlineStr">
        <is>
          <t>valorant-tiered-elo-v3</t>
        </is>
      </c>
      <c r="BD154" s="24" t="inlineStr">
        <is>
          <t>df5a226c64918a54c70b8af3e0cd4abb6c4f42b67acb5547da319458502b0ed4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valorant-tiered-elo-v3</t>
        </is>
      </c>
      <c r="BH154" s="24" t="inlineStr">
        <is>
          <t>2026-07-23T07:21:24.447106Z</t>
        </is>
      </c>
      <c r="BI154" s="24" t="inlineStr">
        <is>
          <t>["same_event","same_team_same_day","same_league_same_day"]</t>
        </is>
      </c>
      <c r="BJ154" s="25" t="n"/>
      <c r="BK154" s="26" t="n">
        <v>-113</v>
      </c>
      <c r="BL154" s="27" t="n">
        <v>1.884956</v>
      </c>
      <c r="BM154" s="28" t="n">
        <v>0.530516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</row>
    <row r="155" ht="36" customHeight="1">
      <c r="A155" s="24" t="inlineStr">
        <is>
          <t>9f4fbbffaf4f4ab1</t>
        </is>
      </c>
      <c r="B155" s="24" t="inlineStr">
        <is>
          <t>2026-07-23T07:21:36.945370Z</t>
        </is>
      </c>
      <c r="C155" s="24" t="inlineStr">
        <is>
          <t>2026-07-24T09:00:00Z</t>
        </is>
      </c>
      <c r="D155" s="24" t="inlineStr">
        <is>
          <t>58553</t>
        </is>
      </c>
      <c r="E155" s="24" t="inlineStr">
        <is>
          <t>VALORANT</t>
        </is>
      </c>
      <c r="F155" s="24" t="inlineStr">
        <is>
          <t>TEC Esports</t>
        </is>
      </c>
      <c r="G155" s="24" t="inlineStr">
        <is>
          <t>Trace Esports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117</v>
      </c>
      <c r="M155" s="27" t="n">
        <v>2.17</v>
      </c>
      <c r="N155" s="28" t="n">
        <v>0.460829</v>
      </c>
      <c r="O155" s="28" t="n">
        <v>0.5</v>
      </c>
      <c r="P155" s="28" t="n"/>
      <c r="Q155" s="28" t="n">
        <v>0.039171</v>
      </c>
      <c r="R155" s="26" t="n">
        <v>40</v>
      </c>
      <c r="S155" s="29" t="n">
        <v>0.5</v>
      </c>
      <c r="T155" s="24" t="inlineStr">
        <is>
          <t>valorant-tiered-elo-v3</t>
        </is>
      </c>
      <c r="U155" s="24" t="inlineStr">
        <is>
          <t>open</t>
        </is>
      </c>
      <c r="V155" s="24" t="n"/>
      <c r="W155" s="26" t="n"/>
      <c r="X155" s="26" t="n"/>
      <c r="Y155" s="25" t="n"/>
      <c r="Z155" s="26" t="n"/>
      <c r="AA155" s="28" t="n"/>
      <c r="AB155" s="28" t="n"/>
      <c r="AC155" s="30" t="n"/>
      <c r="AD155" s="24" t="n"/>
      <c r="AE155" s="31" t="inlineStr">
        <is>
          <t>Neutral Elo baseline; executable ask 0.4600 (market_slug=aec-valorant-te-tec-2026-07-24).</t>
        </is>
      </c>
      <c r="AF155" s="31" t="inlineStr">
        <is>
          <t>Config-promoted esports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NO_CALL_LOW_EDGE</t>
        </is>
      </c>
      <c r="AP155" s="24" t="inlineStr">
        <is>
          <t>TEC Esports</t>
        </is>
      </c>
      <c r="AQ155" s="24" t="inlineStr">
        <is>
          <t>TEC Esports</t>
        </is>
      </c>
      <c r="AR155" s="24" t="inlineStr">
        <is>
          <t>TEC Esports</t>
        </is>
      </c>
      <c r="AS155" s="24" t="inlineStr">
        <is>
          <t>Trace Esports</t>
        </is>
      </c>
      <c r="AT155" s="24" t="inlineStr">
        <is>
          <t>Trace Esports</t>
        </is>
      </c>
      <c r="AU155" s="24" t="inlineStr">
        <is>
          <t>Trace Esports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df5a226c64918a54c70b8af3e0cd4abb6c4f42b67acb5547da319458502b0ed4</t>
        </is>
      </c>
      <c r="BB155" s="24" t="inlineStr">
        <is>
          <t>neutral_elo</t>
        </is>
      </c>
      <c r="BC155" s="24" t="inlineStr">
        <is>
          <t>valorant-tiered-elo-v3</t>
        </is>
      </c>
      <c r="BD155" s="24" t="inlineStr">
        <is>
          <t>df5a226c64918a54c70b8af3e0cd4abb6c4f42b67acb5547da319458502b0ed4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valorant-tiered-elo-v3</t>
        </is>
      </c>
      <c r="BH155" s="24" t="inlineStr">
        <is>
          <t>2026-07-23T07:21:28.500430Z</t>
        </is>
      </c>
      <c r="BI155" s="24" t="inlineStr">
        <is>
          <t>["same_event","same_team_same_day","same_league_same_day"]</t>
        </is>
      </c>
      <c r="BJ155" s="25" t="n"/>
      <c r="BK155" s="26" t="n">
        <v>117</v>
      </c>
      <c r="BL155" s="27" t="n">
        <v>2.17</v>
      </c>
      <c r="BM155" s="28" t="n">
        <v>0.460829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</row>
    <row r="156" ht="36" customHeight="1">
      <c r="A156" s="24" t="inlineStr">
        <is>
          <t>61cf5d2603504bda</t>
        </is>
      </c>
      <c r="B156" s="24" t="inlineStr">
        <is>
          <t>2026-07-23T07:21:36.945370Z</t>
        </is>
      </c>
      <c r="C156" s="24" t="inlineStr">
        <is>
          <t>2026-07-24T18:00:00Z</t>
        </is>
      </c>
      <c r="D156" s="24" t="inlineStr">
        <is>
          <t>58554</t>
        </is>
      </c>
      <c r="E156" s="24" t="inlineStr">
        <is>
          <t>VALORANT</t>
        </is>
      </c>
      <c r="F156" s="24" t="inlineStr">
        <is>
          <t>Fnatic</t>
        </is>
      </c>
      <c r="G156" s="24" t="inlineStr">
        <is>
          <t>Team Liquid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138</v>
      </c>
      <c r="M156" s="27" t="n">
        <v>2.38</v>
      </c>
      <c r="N156" s="28" t="n">
        <v>0.420168</v>
      </c>
      <c r="O156" s="28" t="n">
        <v>0.696373</v>
      </c>
      <c r="P156" s="28" t="n"/>
      <c r="Q156" s="28" t="n">
        <v>0.276205</v>
      </c>
      <c r="R156" s="26" t="n">
        <v>100</v>
      </c>
      <c r="S156" s="29" t="n">
        <v>2</v>
      </c>
      <c r="T156" s="24" t="inlineStr">
        <is>
          <t>valorant-tiered-elo-v3</t>
        </is>
      </c>
      <c r="U156" s="24" t="inlineStr">
        <is>
          <t>open</t>
        </is>
      </c>
      <c r="V156" s="24" t="n"/>
      <c r="W156" s="26" t="n"/>
      <c r="X156" s="26" t="n"/>
      <c r="Y156" s="25" t="n"/>
      <c r="Z156" s="26" t="n"/>
      <c r="AA156" s="28" t="n"/>
      <c r="AB156" s="28" t="n"/>
      <c r="AC156" s="30" t="n"/>
      <c r="AD156" s="24" t="n"/>
      <c r="AE156" s="31" t="inlineStr">
        <is>
          <t>Neutral Elo baseline; executable ask 0.4200 (market_slug=aec-valorant-tl-fnc-2026-07-24).</t>
        </is>
      </c>
      <c r="AF156" s="31" t="inlineStr">
        <is>
          <t>Config-promoted esports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NO_CALL_LARGE_DISAGREEMENT_REVIEW</t>
        </is>
      </c>
      <c r="AP156" s="24" t="inlineStr">
        <is>
          <t>Fnatic</t>
        </is>
      </c>
      <c r="AQ156" s="24" t="inlineStr">
        <is>
          <t>Fnatic</t>
        </is>
      </c>
      <c r="AR156" s="24" t="inlineStr">
        <is>
          <t>Fnatic</t>
        </is>
      </c>
      <c r="AS156" s="24" t="inlineStr">
        <is>
          <t>Team Liquid</t>
        </is>
      </c>
      <c r="AT156" s="24" t="inlineStr">
        <is>
          <t>Team Liquid</t>
        </is>
      </c>
      <c r="AU156" s="24" t="inlineStr">
        <is>
          <t>Team Liquid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df5a226c64918a54c70b8af3e0cd4abb6c4f42b67acb5547da319458502b0ed4</t>
        </is>
      </c>
      <c r="BB156" s="24" t="inlineStr">
        <is>
          <t>neutral_elo</t>
        </is>
      </c>
      <c r="BC156" s="24" t="inlineStr">
        <is>
          <t>valorant-tiered-elo-v3</t>
        </is>
      </c>
      <c r="BD156" s="24" t="inlineStr">
        <is>
          <t>df5a226c64918a54c70b8af3e0cd4abb6c4f42b67acb5547da319458502b0ed4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valorant-tiered-elo-v3</t>
        </is>
      </c>
      <c r="BH156" s="24" t="inlineStr">
        <is>
          <t>2026-07-23T07:21:31.220238Z</t>
        </is>
      </c>
      <c r="BI156" s="24" t="inlineStr">
        <is>
          <t>["same_event","same_team_same_day","same_league_same_day"]</t>
        </is>
      </c>
      <c r="BJ156" s="25" t="n"/>
      <c r="BK156" s="26" t="n">
        <v>138</v>
      </c>
      <c r="BL156" s="27" t="n">
        <v>2.38</v>
      </c>
      <c r="BM156" s="28" t="n">
        <v>0.420168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</row>
    <row r="157" ht="36" customHeight="1">
      <c r="A157" s="24" t="inlineStr">
        <is>
          <t>b64037d71c394cbb</t>
        </is>
      </c>
      <c r="B157" s="24" t="inlineStr">
        <is>
          <t>2026-07-23T07:21:36.945370Z</t>
        </is>
      </c>
      <c r="C157" s="24" t="inlineStr">
        <is>
          <t>2026-07-25T00:00:00Z</t>
        </is>
      </c>
      <c r="D157" s="24" t="inlineStr">
        <is>
          <t>59138</t>
        </is>
      </c>
      <c r="E157" s="24" t="inlineStr">
        <is>
          <t>VALORANT</t>
        </is>
      </c>
      <c r="F157" s="24" t="inlineStr">
        <is>
          <t>KRÜ Esports</t>
        </is>
      </c>
      <c r="G157" s="24" t="inlineStr">
        <is>
          <t>100 Thieves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-213</v>
      </c>
      <c r="M157" s="27" t="n">
        <v>1.469484</v>
      </c>
      <c r="N157" s="28" t="n">
        <v>0.680511</v>
      </c>
      <c r="O157" s="28" t="n">
        <v>0.5</v>
      </c>
      <c r="P157" s="28" t="n"/>
      <c r="Q157" s="28" t="n">
        <v>-0.180511</v>
      </c>
      <c r="R157" s="26" t="n">
        <v>0</v>
      </c>
      <c r="S157" s="29" t="n">
        <v>0.5</v>
      </c>
      <c r="T157" s="24" t="inlineStr">
        <is>
          <t>valorant-tiered-elo-v3</t>
        </is>
      </c>
      <c r="U157" s="24" t="inlineStr">
        <is>
          <t>open</t>
        </is>
      </c>
      <c r="V157" s="24" t="n"/>
      <c r="W157" s="26" t="n"/>
      <c r="X157" s="26" t="n"/>
      <c r="Y157" s="25" t="n"/>
      <c r="Z157" s="26" t="n"/>
      <c r="AA157" s="28" t="n"/>
      <c r="AB157" s="28" t="n"/>
      <c r="AC157" s="30" t="n"/>
      <c r="AD157" s="24" t="n"/>
      <c r="AE157" s="31" t="inlineStr">
        <is>
          <t>Neutral Elo baseline; executable ask 0.6800 (market_slug=aec-valorant-100t-kr-2026-07-25).</t>
        </is>
      </c>
      <c r="AF157" s="31" t="inlineStr">
        <is>
          <t>Config-promoted esports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NO_CALL_LARGE_DISAGREEMENT_REVIEW</t>
        </is>
      </c>
      <c r="AP157" s="24" t="inlineStr">
        <is>
          <t>KRÜ Esports</t>
        </is>
      </c>
      <c r="AQ157" s="24" t="inlineStr">
        <is>
          <t>KRÜ Esports</t>
        </is>
      </c>
      <c r="AR157" s="24" t="inlineStr">
        <is>
          <t>KRÜ Esports</t>
        </is>
      </c>
      <c r="AS157" s="24" t="inlineStr">
        <is>
          <t>100 Thieves</t>
        </is>
      </c>
      <c r="AT157" s="24" t="inlineStr">
        <is>
          <t>100 Thieves</t>
        </is>
      </c>
      <c r="AU157" s="24" t="inlineStr">
        <is>
          <t>100 Thieves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df5a226c64918a54c70b8af3e0cd4abb6c4f42b67acb5547da319458502b0ed4</t>
        </is>
      </c>
      <c r="BB157" s="24" t="inlineStr">
        <is>
          <t>neutral_elo</t>
        </is>
      </c>
      <c r="BC157" s="24" t="inlineStr">
        <is>
          <t>valorant-tiered-elo-v3</t>
        </is>
      </c>
      <c r="BD157" s="24" t="inlineStr">
        <is>
          <t>df5a226c64918a54c70b8af3e0cd4abb6c4f42b67acb5547da319458502b0ed4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valorant-tiered-elo-v3</t>
        </is>
      </c>
      <c r="BH157" s="24" t="inlineStr">
        <is>
          <t>2026-07-23T07:21:33.005166Z</t>
        </is>
      </c>
      <c r="BI157" s="24" t="inlineStr">
        <is>
          <t>["same_event","same_team_same_day","same_league_same_day"]</t>
        </is>
      </c>
      <c r="BJ157" s="25" t="n"/>
      <c r="BK157" s="26" t="n">
        <v>-213</v>
      </c>
      <c r="BL157" s="27" t="n">
        <v>1.469484</v>
      </c>
      <c r="BM157" s="28" t="n">
        <v>0.680511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2026-07-23T07:21:43Z</dcterms:created>
  <dcterms:modified xsi:type="dcterms:W3CDTF">2026-07-23T07:21:43Z</dcterms:modified>
</cp:coreProperties>
</file>