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Picks" sheetId="2" state="visible" r:id="rId2"/>
  </sheets>
  <definedNames>
    <definedName name="_xlnm.Print_Area" localSheetId="0">'Summary'!$A$1:$L$19</definedName>
    <definedName name="_xlnm.Print_Titles" localSheetId="1">'Picks'!$1:$1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4">
    <numFmt numFmtId="164" formatCode="0.0%"/>
    <numFmt numFmtId="165" formatCode="0.0000"/>
    <numFmt numFmtId="166" formatCode="0.0###"/>
    <numFmt numFmtId="167" formatCode="0.000000"/>
  </numFmts>
  <fonts count="9">
    <font>
      <name val="Calibri"/>
      <family val="2"/>
      <color theme="1"/>
      <sz val="11"/>
      <scheme val="minor"/>
    </font>
    <font>
      <name val="Aptos"/>
      <b val="1"/>
      <color rgb="00FFFFFF"/>
      <sz val="10"/>
    </font>
    <font>
      <name val="Aptos"/>
      <color rgb="001F2937"/>
      <sz val="10"/>
    </font>
    <font>
      <name val="Aptos Display"/>
      <b val="1"/>
      <color rgb="00FFFFFF"/>
      <sz val="18"/>
    </font>
    <font>
      <name val="Aptos"/>
      <b val="1"/>
      <color rgb="0017365D"/>
      <sz val="10"/>
    </font>
    <font>
      <name val="Aptos"/>
      <color rgb="00374151"/>
      <sz val="10"/>
    </font>
    <font>
      <name val="Aptos Display"/>
      <b val="1"/>
      <color rgb="00111827"/>
      <sz val="15"/>
    </font>
    <font>
      <name val="Aptos"/>
      <b val="1"/>
      <color rgb="00FFFFFF"/>
      <sz val="11"/>
    </font>
    <font>
      <name val="Aptos"/>
      <i val="1"/>
      <color rgb="007A4E00"/>
      <sz val="10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17365D"/>
      </patternFill>
    </fill>
    <fill>
      <patternFill patternType="solid">
        <fgColor rgb="00D9EAF7"/>
      </patternFill>
    </fill>
    <fill>
      <patternFill patternType="solid">
        <fgColor rgb="00F7FAFC"/>
      </patternFill>
    </fill>
    <fill>
      <patternFill patternType="solid">
        <fgColor rgb="00FFFFFF"/>
      </patternFill>
    </fill>
    <fill>
      <patternFill patternType="solid">
        <fgColor rgb="00F3F6F9"/>
      </patternFill>
    </fill>
    <fill>
      <patternFill patternType="solid">
        <fgColor rgb="00FFF4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4" fillId="4" borderId="0" pivotButton="0" quotePrefix="0" xfId="0"/>
    <xf numFmtId="0" fontId="5" fillId="0" borderId="0" pivotButton="0" quotePrefix="0" xfId="0"/>
    <xf numFmtId="1" fontId="4" fillId="0" borderId="0" pivotButton="0" quotePrefix="0" xfId="0"/>
    <xf numFmtId="0" fontId="4" fillId="4" borderId="0" applyAlignment="1" pivotButton="0" quotePrefix="0" xfId="0">
      <alignment vertical="center"/>
    </xf>
    <xf numFmtId="0" fontId="6" fillId="5" borderId="0" applyAlignment="1" pivotButton="0" quotePrefix="0" xfId="0">
      <alignment vertical="center"/>
    </xf>
    <xf numFmtId="164" fontId="6" fillId="5" borderId="0" applyAlignment="1" pivotButton="0" quotePrefix="0" xfId="0">
      <alignment vertical="center"/>
    </xf>
    <xf numFmtId="165" fontId="6" fillId="5" borderId="0" applyAlignment="1" pivotButton="0" quotePrefix="0" xfId="0">
      <alignment vertical="center"/>
    </xf>
    <xf numFmtId="10" fontId="6" fillId="5" borderId="0" applyAlignment="1" pivotButton="0" quotePrefix="0" xfId="0">
      <alignment vertical="center"/>
    </xf>
    <xf numFmtId="0" fontId="7" fillId="3" borderId="0" pivotButton="0" quotePrefix="0" xfId="0"/>
    <xf numFmtId="0" fontId="4" fillId="4" borderId="0" applyAlignment="1" pivotButton="0" quotePrefix="0" xfId="0">
      <alignment horizontal="center"/>
    </xf>
    <xf numFmtId="0" fontId="2" fillId="6" borderId="0" applyAlignment="1" pivotButton="0" quotePrefix="0" xfId="0">
      <alignment horizontal="left"/>
    </xf>
    <xf numFmtId="0" fontId="2" fillId="6" borderId="0" applyAlignment="1" pivotButton="0" quotePrefix="0" xfId="0">
      <alignment horizontal="right"/>
    </xf>
    <xf numFmtId="164" fontId="2" fillId="6" borderId="0" applyAlignment="1" pivotButton="0" quotePrefix="0" xfId="0">
      <alignment horizontal="right"/>
    </xf>
    <xf numFmtId="165" fontId="2" fillId="6" borderId="0" applyAlignment="1" pivotButton="0" quotePrefix="0" xfId="0">
      <alignment horizontal="right"/>
    </xf>
    <xf numFmtId="10" fontId="2" fillId="6" borderId="0" applyAlignment="1" pivotButton="0" quotePrefix="0" xfId="0">
      <alignment horizontal="right"/>
    </xf>
    <xf numFmtId="0" fontId="2" fillId="7" borderId="0" applyAlignment="1" pivotButton="0" quotePrefix="0" xfId="0">
      <alignment horizontal="left"/>
    </xf>
    <xf numFmtId="0" fontId="2" fillId="7" borderId="0" applyAlignment="1" pivotButton="0" quotePrefix="0" xfId="0">
      <alignment horizontal="right"/>
    </xf>
    <xf numFmtId="164" fontId="2" fillId="7" borderId="0" applyAlignment="1" pivotButton="0" quotePrefix="0" xfId="0">
      <alignment horizontal="right"/>
    </xf>
    <xf numFmtId="165" fontId="2" fillId="7" borderId="0" applyAlignment="1" pivotButton="0" quotePrefix="0" xfId="0">
      <alignment horizontal="right"/>
    </xf>
    <xf numFmtId="10" fontId="2" fillId="7" borderId="0" applyAlignment="1" pivotButton="0" quotePrefix="0" xfId="0">
      <alignment horizontal="right"/>
    </xf>
    <xf numFmtId="0" fontId="8" fillId="8" borderId="0" applyAlignment="1" pivotButton="0" quotePrefix="0" xfId="0">
      <alignment vertical="center" wrapText="1"/>
    </xf>
    <xf numFmtId="0" fontId="1" fillId="2" borderId="0" applyAlignment="1" pivotButton="0" quotePrefix="0" xfId="0">
      <alignment horizontal="center" vertical="center" wrapText="1"/>
    </xf>
    <xf numFmtId="49" fontId="2" fillId="0" borderId="0" applyAlignment="1" pivotButton="0" quotePrefix="0" xfId="0">
      <alignment horizontal="left" vertical="top"/>
    </xf>
    <xf numFmtId="166" fontId="2" fillId="0" borderId="0" applyAlignment="1" pivotButton="0" quotePrefix="0" xfId="0">
      <alignment horizontal="right" vertical="top"/>
    </xf>
    <xf numFmtId="1" fontId="2" fillId="0" borderId="0" applyAlignment="1" pivotButton="0" quotePrefix="0" xfId="0">
      <alignment horizontal="right" vertical="top"/>
    </xf>
    <xf numFmtId="167" fontId="2" fillId="0" borderId="0" applyAlignment="1" pivotButton="0" quotePrefix="0" xfId="0">
      <alignment horizontal="right" vertical="top"/>
    </xf>
    <xf numFmtId="10" fontId="2" fillId="0" borderId="0" applyAlignment="1" pivotButton="0" quotePrefix="0" xfId="0">
      <alignment horizontal="right" vertical="top"/>
    </xf>
    <xf numFmtId="2" fontId="2" fillId="0" borderId="0" applyAlignment="1" pivotButton="0" quotePrefix="0" xfId="0">
      <alignment horizontal="right" vertical="top"/>
    </xf>
    <xf numFmtId="165" fontId="2" fillId="0" borderId="0" applyAlignment="1" pivotButton="0" quotePrefix="0" xfId="0">
      <alignment horizontal="right" vertical="top"/>
    </xf>
    <xf numFmtId="49" fontId="2" fillId="0" borderId="0" applyAlignment="1" pivotButton="0" quotePrefix="0" xfId="0">
      <alignment horizontal="left" vertical="top" wrapText="1"/>
    </xf>
    <xf numFmtId="164" fontId="6" fillId="5" borderId="0" applyAlignment="1" pivotButton="0" quotePrefix="0" xfId="0">
      <alignment vertical="center"/>
    </xf>
    <xf numFmtId="165" fontId="6" fillId="5" borderId="0" applyAlignment="1" pivotButton="0" quotePrefix="0" xfId="0">
      <alignment vertical="center"/>
    </xf>
    <xf numFmtId="164" fontId="2" fillId="6" borderId="0" applyAlignment="1" pivotButton="0" quotePrefix="0" xfId="0">
      <alignment horizontal="right"/>
    </xf>
    <xf numFmtId="165" fontId="2" fillId="6" borderId="0" applyAlignment="1" pivotButton="0" quotePrefix="0" xfId="0">
      <alignment horizontal="right"/>
    </xf>
    <xf numFmtId="164" fontId="2" fillId="7" borderId="0" applyAlignment="1" pivotButton="0" quotePrefix="0" xfId="0">
      <alignment horizontal="right"/>
    </xf>
    <xf numFmtId="165" fontId="2" fillId="7" borderId="0" applyAlignment="1" pivotButton="0" quotePrefix="0" xfId="0">
      <alignment horizontal="right"/>
    </xf>
    <xf numFmtId="166" fontId="2" fillId="0" borderId="0" applyAlignment="1" pivotButton="0" quotePrefix="0" xfId="0">
      <alignment horizontal="right" vertical="top"/>
    </xf>
    <xf numFmtId="167" fontId="2" fillId="0" borderId="0" applyAlignment="1" pivotButton="0" quotePrefix="0" xfId="0">
      <alignment horizontal="right" vertical="top"/>
    </xf>
    <xf numFmtId="165" fontId="2" fillId="0" borderId="0" applyAlignment="1" pivotButton="0" quotePrefix="0" xfId="0">
      <alignment horizontal="right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ables/table1.xml><?xml version="1.0" encoding="utf-8"?>
<table xmlns="http://schemas.openxmlformats.org/spreadsheetml/2006/main" id="1" name="PicksLedger" displayName="PicksLedger" ref="A1:CA86" headerRowCount="1">
  <autoFilter ref="A1:CA86"/>
  <tableColumns count="79">
    <tableColumn id="1" name="pick_id"/>
    <tableColumn id="2" name="created_at_utc"/>
    <tableColumn id="3" name="event_start_utc"/>
    <tableColumn id="4" name="event_id"/>
    <tableColumn id="5" name="league"/>
    <tableColumn id="6" name="away_team"/>
    <tableColumn id="7" name="home_team"/>
    <tableColumn id="8" name="market_type"/>
    <tableColumn id="9" name="selection"/>
    <tableColumn id="10" name="line"/>
    <tableColumn id="11" name="sportsbook"/>
    <tableColumn id="12" name="american_odds"/>
    <tableColumn id="13" name="decimal_odds"/>
    <tableColumn id="14" name="market_implied_probability"/>
    <tableColumn id="15" name="model_probability"/>
    <tableColumn id="16" name="model_uncertainty"/>
    <tableColumn id="17" name="edge"/>
    <tableColumn id="18" name="confidence_score"/>
    <tableColumn id="19" name="units"/>
    <tableColumn id="20" name="model_version"/>
    <tableColumn id="21" name="status"/>
    <tableColumn id="22" name="result"/>
    <tableColumn id="23" name="away_score"/>
    <tableColumn id="24" name="home_score"/>
    <tableColumn id="25" name="closing_line"/>
    <tableColumn id="26" name="closing_american_odds"/>
    <tableColumn id="27" name="closing_implied_probability"/>
    <tableColumn id="28" name="probability_clv"/>
    <tableColumn id="29" name="pnl_units"/>
    <tableColumn id="30" name="settled_at_utc"/>
    <tableColumn id="31" name="rationale"/>
    <tableColumn id="32" name="risks"/>
    <tableColumn id="33" name="review_status"/>
    <tableColumn id="34" name="loss_classification"/>
    <tableColumn id="35" name="loss_cause"/>
    <tableColumn id="36" name="corrective_action"/>
    <tableColumn id="37" name="call_type"/>
    <tableColumn id="38" name="ledger_schema_version"/>
    <tableColumn id="39" name="record_type"/>
    <tableColumn id="40" name="decision"/>
    <tableColumn id="41" name="reason_code"/>
    <tableColumn id="42" name="canonical_away_team_id"/>
    <tableColumn id="43" name="canonical_away_team_name"/>
    <tableColumn id="44" name="original_away_team"/>
    <tableColumn id="45" name="canonical_home_team_id"/>
    <tableColumn id="46" name="canonical_home_team_name"/>
    <tableColumn id="47" name="original_home_team"/>
    <tableColumn id="48" name="banned_team_id"/>
    <tableColumn id="49" name="banned_team_name"/>
    <tableColumn id="50" name="model_origin"/>
    <tableColumn id="51" name="baseline_identifier"/>
    <tableColumn id="52" name="model_state_at_decision"/>
    <tableColumn id="53" name="model_artifact_hash"/>
    <tableColumn id="54" name="calibration_method"/>
    <tableColumn id="55" name="calibration_version"/>
    <tableColumn id="56" name="calibration_artifact_hash"/>
    <tableColumn id="57" name="feature_schema_version"/>
    <tableColumn id="58" name="entity_map_version"/>
    <tableColumn id="59" name="code_revision"/>
    <tableColumn id="60" name="observed_at_utc"/>
    <tableColumn id="61" name="correlation_tags"/>
    <tableColumn id="62" name="decision_line"/>
    <tableColumn id="63" name="decision_american_odds"/>
    <tableColumn id="64" name="decision_decimal_odds"/>
    <tableColumn id="65" name="decision_raw_implied_probability"/>
    <tableColumn id="66" name="decision_no_vig_probability"/>
    <tableColumn id="67" name="decision_consensus_probability"/>
    <tableColumn id="68" name="decision_consensus_line"/>
    <tableColumn id="69" name="closing_decimal_odds"/>
    <tableColumn id="70" name="closing_raw_implied_probability"/>
    <tableColumn id="71" name="closing_no_vig_probability"/>
    <tableColumn id="72" name="closing_consensus_probability"/>
    <tableColumn id="73" name="closing_consensus_line"/>
    <tableColumn id="74" name="legacy_units"/>
    <tableColumn id="75" name="void_reason"/>
    <tableColumn id="76" name="research_score_units"/>
    <tableColumn id="77" name="research_pnl_units"/>
    <tableColumn id="78" name="research_scored_at_utc"/>
    <tableColumn id="79" name="research_scoring_not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1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7" customWidth="1" min="10" max="10"/>
    <col width="4" customWidth="1" min="11" max="11"/>
    <col width="12" customWidth="1" min="12" max="12"/>
  </cols>
  <sheetData>
    <row r="1" ht="34" customHeight="1">
      <c r="A1" s="1" t="inlineStr">
        <is>
          <t>MODEL PREDICTION — PICKS LEDGER</t>
        </is>
      </c>
      <c r="J1" s="2" t="inlineStr">
        <is>
          <t>METRIC CONTROL</t>
        </is>
      </c>
    </row>
    <row r="2">
      <c r="J2" s="3" t="inlineStr">
        <is>
          <t>Minimum calibration sample</t>
        </is>
      </c>
      <c r="L2" s="4" t="n">
        <v>30</v>
      </c>
    </row>
    <row r="3" ht="20" customHeight="1">
      <c r="A3" s="5" t="inlineStr">
        <is>
          <t>Total records</t>
        </is>
      </c>
      <c r="C3" s="5" t="inlineStr">
        <is>
          <t>Open records</t>
        </is>
      </c>
      <c r="E3" s="5" t="inlineStr">
        <is>
          <t>Settled records</t>
        </is>
      </c>
      <c r="G3" s="5" t="inlineStr">
        <is>
          <t>Calibration status</t>
        </is>
      </c>
    </row>
    <row r="4" ht="28" customHeight="1">
      <c r="A4" s="6">
        <f>COUNTA('Picks'!$A$2:$A$86)</f>
        <v/>
      </c>
      <c r="C4" s="6">
        <f>COUNTIF('Picks'!$U$2:$U$86,"open")</f>
        <v/>
      </c>
      <c r="E4" s="6">
        <f>COUNTIF('Picks'!$U$2:$U$86,"settled")</f>
        <v/>
      </c>
      <c r="G4" s="6">
        <f>IF(COUNTIFS('Picks'!$U$2:$U$86,"settled",'Picks'!$V$2:$V$86,"win")+COUNTIFS('Picks'!$U$2:$U$86,"settled",'Picks'!$V$2:$V$86,"loss")&gt;=$L$2,"Ready","Insufficient sample")</f>
        <v/>
      </c>
    </row>
    <row r="5"/>
    <row r="6" ht="20" customHeight="1">
      <c r="A6" s="5" t="inlineStr">
        <is>
          <t>Research scored</t>
        </is>
      </c>
      <c r="C6" s="5" t="inlineStr">
        <is>
          <t>Research record</t>
        </is>
      </c>
      <c r="E6" s="5" t="inlineStr">
        <is>
          <t>Research accuracy</t>
        </is>
      </c>
      <c r="G6" s="5" t="inlineStr">
        <is>
          <t>Research ROI</t>
        </is>
      </c>
    </row>
    <row r="7" ht="28" customHeight="1">
      <c r="A7" s="6">
        <f>COUNTIF('Picks'!$BX$2:$BX$86,"&gt;0")</f>
        <v/>
      </c>
      <c r="C7" s="6">
        <f>COUNTIFS('Picks'!$BX$2:$BX$86,"&gt;0",'Picks'!$V$2:$V$86,"win")&amp;"-"&amp;COUNTIFS('Picks'!$BX$2:$BX$86,"&gt;0",'Picks'!$V$2:$V$86,"loss")</f>
        <v/>
      </c>
      <c r="E7" s="32">
        <f>IFERROR(COUNTIFS('Picks'!$BX$2:$BX$86,"&gt;0",'Picks'!$V$2:$V$86,"win")/(COUNTIFS('Picks'!$BX$2:$BX$86,"&gt;0",'Picks'!$V$2:$V$86,"win")+COUNTIFS('Picks'!$BX$2:$BX$86,"&gt;0",'Picks'!$V$2:$V$86,"loss")),0)</f>
        <v/>
      </c>
      <c r="G7" s="32">
        <f>IFERROR(SUM('Picks'!$BY$2:$BY$86)/SUM('Picks'!$BX$2:$BX$86),0)</f>
        <v/>
      </c>
    </row>
    <row r="8"/>
    <row r="9" ht="20" customHeight="1">
      <c r="A9" s="5" t="inlineStr">
        <is>
          <t>Research P&amp;L</t>
        </is>
      </c>
      <c r="C9" s="5" t="inlineStr">
        <is>
          <t>Mean raw-probability CLV</t>
        </is>
      </c>
      <c r="E9" s="5" t="inlineStr">
        <is>
          <t>Qualified calls</t>
        </is>
      </c>
      <c r="G9" s="5" t="inlineStr">
        <is>
          <t>Qualified P&amp;L</t>
        </is>
      </c>
    </row>
    <row r="10" ht="28" customHeight="1">
      <c r="A10" s="33">
        <f>SUM('Picks'!$BY$2:$BY$86)</f>
        <v/>
      </c>
      <c r="C10" s="9">
        <f>IFERROR(AVERAGEIF('Picks'!$AB$2:$AB$86,"&lt;&gt;",'Picks'!$AB$2:$AB$86),0)</f>
        <v/>
      </c>
      <c r="E10" s="6">
        <f>COUNTIFS('Picks'!$AM$2:$AM$86,"QUALIFIED_SHADOW_CALL",'Picks'!$U$2:$U$86,"settled")</f>
        <v/>
      </c>
      <c r="G10" s="33">
        <f>SUMIFS('Picks'!$AC$2:$AC$86,'Picks'!$AM$2:$AM$86,"QUALIFIED_SHADOW_CALL")</f>
        <v/>
      </c>
    </row>
    <row r="11"/>
    <row r="12">
      <c r="A12" s="10" t="inlineStr">
        <is>
          <t>SETTLED ACCURACY BY MARKET</t>
        </is>
      </c>
    </row>
    <row r="13">
      <c r="A13" s="11" t="inlineStr">
        <is>
          <t>Market</t>
        </is>
      </c>
      <c r="B13" s="11" t="inlineStr">
        <is>
          <t>Settled</t>
        </is>
      </c>
      <c r="C13" s="11" t="inlineStr">
        <is>
          <t>Wins</t>
        </is>
      </c>
      <c r="D13" s="11" t="inlineStr">
        <is>
          <t>Losses</t>
        </is>
      </c>
      <c r="E13" s="11" t="inlineStr">
        <is>
          <t>Accuracy</t>
        </is>
      </c>
      <c r="F13" s="11" t="inlineStr">
        <is>
          <t>Research P&amp;L</t>
        </is>
      </c>
      <c r="G13" s="11" t="inlineStr">
        <is>
          <t>Mean CLV</t>
        </is>
      </c>
    </row>
    <row r="14">
      <c r="A14" s="12" t="inlineStr">
        <is>
          <t>moneyline</t>
        </is>
      </c>
      <c r="B14" s="13">
        <f>COUNTIFS('Picks'!$H$2:$H$86,$A14,'Picks'!$U$2:$U$86,"settled")</f>
        <v/>
      </c>
      <c r="C14" s="13">
        <f>COUNTIFS('Picks'!$H$2:$H$86,$A14,'Picks'!$U$2:$U$86,"settled",'Picks'!$V$2:$V$86,"win")</f>
        <v/>
      </c>
      <c r="D14" s="13">
        <f>COUNTIFS('Picks'!$H$2:$H$86,$A14,'Picks'!$U$2:$U$86,"settled",'Picks'!$V$2:$V$86,"loss")</f>
        <v/>
      </c>
      <c r="E14" s="34">
        <f>IFERROR(C14/(C14+D14),0)</f>
        <v/>
      </c>
      <c r="F14" s="35">
        <f>SUMIFS('Picks'!$BY$2:$BY$86,'Picks'!$H$2:$H$86,$A14)</f>
        <v/>
      </c>
      <c r="G14" s="16">
        <f>IFERROR(AVERAGEIFS('Picks'!$AB$2:$AB$86,'Picks'!$H$2:$H$86,$A14,'Picks'!$U$2:$U$86,"settled"),0)</f>
        <v/>
      </c>
    </row>
    <row r="15">
      <c r="A15" s="17" t="inlineStr">
        <is>
          <t>spread</t>
        </is>
      </c>
      <c r="B15" s="18">
        <f>COUNTIFS('Picks'!$H$2:$H$86,$A15,'Picks'!$U$2:$U$86,"settled")</f>
        <v/>
      </c>
      <c r="C15" s="18">
        <f>COUNTIFS('Picks'!$H$2:$H$86,$A15,'Picks'!$U$2:$U$86,"settled",'Picks'!$V$2:$V$86,"win")</f>
        <v/>
      </c>
      <c r="D15" s="18">
        <f>COUNTIFS('Picks'!$H$2:$H$86,$A15,'Picks'!$U$2:$U$86,"settled",'Picks'!$V$2:$V$86,"loss")</f>
        <v/>
      </c>
      <c r="E15" s="36">
        <f>IFERROR(C15/(C15+D15),0)</f>
        <v/>
      </c>
      <c r="F15" s="37">
        <f>SUMIFS('Picks'!$BY$2:$BY$86,'Picks'!$H$2:$H$86,$A15)</f>
        <v/>
      </c>
      <c r="G15" s="21">
        <f>IFERROR(AVERAGEIFS('Picks'!$AB$2:$AB$86,'Picks'!$H$2:$H$86,$A15,'Picks'!$U$2:$U$86,"settled"),0)</f>
        <v/>
      </c>
    </row>
    <row r="16">
      <c r="A16" s="12" t="inlineStr">
        <is>
          <t>total</t>
        </is>
      </c>
      <c r="B16" s="13">
        <f>COUNTIFS('Picks'!$H$2:$H$86,$A16,'Picks'!$U$2:$U$86,"settled")</f>
        <v/>
      </c>
      <c r="C16" s="13">
        <f>COUNTIFS('Picks'!$H$2:$H$86,$A16,'Picks'!$U$2:$U$86,"settled",'Picks'!$V$2:$V$86,"win")</f>
        <v/>
      </c>
      <c r="D16" s="13">
        <f>COUNTIFS('Picks'!$H$2:$H$86,$A16,'Picks'!$U$2:$U$86,"settled",'Picks'!$V$2:$V$86,"loss")</f>
        <v/>
      </c>
      <c r="E16" s="34">
        <f>IFERROR(C16/(C16+D16),0)</f>
        <v/>
      </c>
      <c r="F16" s="35">
        <f>SUMIFS('Picks'!$BY$2:$BY$86,'Picks'!$H$2:$H$86,$A16)</f>
        <v/>
      </c>
      <c r="G16" s="16">
        <f>IFERROR(AVERAGEIFS('Picks'!$AB$2:$AB$86,'Picks'!$H$2:$H$86,$A16,'Picks'!$U$2:$U$86,"settled"),0)</f>
        <v/>
      </c>
    </row>
    <row r="17"/>
    <row r="18">
      <c r="A18" s="22" t="inlineStr">
        <is>
          <t>Descriptive only—not evidence of profitability. Calibration needs 30 settled binary picks.</t>
        </is>
      </c>
    </row>
    <row r="19"/>
  </sheetData>
  <mergeCells count="3">
    <mergeCell ref="A18:L19"/>
    <mergeCell ref="A12:G12"/>
    <mergeCell ref="A1:H1"/>
  </mergeCells>
  <pageMargins left="0.75" right="0.75" top="1" bottom="1" header="0.5" footer="0.5"/>
  <pageSetup orientation="landscape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A8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5" customWidth="1" min="2" max="2"/>
    <col width="25" customWidth="1" min="3" max="3"/>
    <col width="18" customWidth="1" min="4" max="4"/>
    <col width="12" customWidth="1" min="5" max="5"/>
    <col width="24" customWidth="1" min="6" max="6"/>
    <col width="24" customWidth="1" min="7" max="7"/>
    <col width="13" customWidth="1" min="8" max="8"/>
    <col width="12" customWidth="1" min="9" max="9"/>
    <col width="15" customWidth="1" min="10" max="10"/>
    <col width="24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24" customWidth="1" min="20" max="20"/>
    <col width="12" customWidth="1" min="21" max="21"/>
    <col width="12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15" customWidth="1" min="28" max="28"/>
    <col width="15" customWidth="1" min="29" max="29"/>
    <col width="25" customWidth="1" min="30" max="30"/>
    <col width="48" customWidth="1" min="31" max="31"/>
    <col width="48" customWidth="1" min="32" max="32"/>
    <col width="15" customWidth="1" min="33" max="33"/>
    <col width="21" customWidth="1" min="34" max="34"/>
    <col width="48" customWidth="1" min="35" max="35"/>
    <col width="48" customWidth="1" min="36" max="36"/>
    <col width="12" customWidth="1" min="37" max="37"/>
    <col width="15" customWidth="1" min="38" max="38"/>
    <col width="13" customWidth="1" min="39" max="39"/>
    <col width="12" customWidth="1" min="40" max="40"/>
    <col width="24" customWidth="1" min="41" max="41"/>
    <col width="18" customWidth="1" min="42" max="42"/>
    <col width="22" customWidth="1" min="43" max="43"/>
    <col width="22" customWidth="1" min="44" max="44"/>
    <col width="18" customWidth="1" min="45" max="45"/>
    <col width="22" customWidth="1" min="46" max="46"/>
    <col width="22" customWidth="1" min="47" max="47"/>
    <col width="18" customWidth="1" min="48" max="48"/>
    <col width="22" customWidth="1" min="49" max="49"/>
    <col width="14" customWidth="1" min="50" max="50"/>
    <col width="21" customWidth="1" min="51" max="51"/>
    <col width="22" customWidth="1" min="52" max="52"/>
    <col width="20" customWidth="1" min="53" max="53"/>
    <col width="20" customWidth="1" min="54" max="54"/>
    <col width="21" customWidth="1" min="55" max="55"/>
    <col width="20" customWidth="1" min="56" max="56"/>
    <col width="22" customWidth="1" min="57" max="57"/>
    <col width="20" customWidth="1" min="58" max="58"/>
    <col width="15" customWidth="1" min="59" max="59"/>
    <col width="25" customWidth="1" min="60" max="60"/>
    <col width="18" customWidth="1" min="61" max="61"/>
    <col width="15" customWidth="1" min="62" max="62"/>
    <col width="15" customWidth="1" min="63" max="63"/>
    <col width="15" customWidth="1" min="64" max="64"/>
    <col width="15" customWidth="1" min="65" max="65"/>
    <col width="15" customWidth="1" min="66" max="66"/>
    <col width="15" customWidth="1" min="67" max="67"/>
    <col width="15" customWidth="1" min="68" max="68"/>
    <col width="15" customWidth="1" min="69" max="69"/>
    <col width="15" customWidth="1" min="70" max="70"/>
    <col width="15" customWidth="1" min="71" max="71"/>
    <col width="15" customWidth="1" min="72" max="72"/>
    <col width="15" customWidth="1" min="73" max="73"/>
    <col width="15" customWidth="1" min="74" max="74"/>
    <col width="13" customWidth="1" min="75" max="75"/>
    <col width="15" customWidth="1" min="76" max="76"/>
    <col width="15" customWidth="1" min="77" max="77"/>
    <col width="25" customWidth="1" min="78" max="78"/>
    <col width="48" customWidth="1" min="79" max="79"/>
  </cols>
  <sheetData>
    <row r="1" ht="32" customHeight="1">
      <c r="A1" s="23" t="inlineStr">
        <is>
          <t>pick_id</t>
        </is>
      </c>
      <c r="B1" s="23" t="inlineStr">
        <is>
          <t>created_at_utc</t>
        </is>
      </c>
      <c r="C1" s="23" t="inlineStr">
        <is>
          <t>event_start_utc</t>
        </is>
      </c>
      <c r="D1" s="23" t="inlineStr">
        <is>
          <t>event_id</t>
        </is>
      </c>
      <c r="E1" s="23" t="inlineStr">
        <is>
          <t>league</t>
        </is>
      </c>
      <c r="F1" s="23" t="inlineStr">
        <is>
          <t>away_team</t>
        </is>
      </c>
      <c r="G1" s="23" t="inlineStr">
        <is>
          <t>home_team</t>
        </is>
      </c>
      <c r="H1" s="23" t="inlineStr">
        <is>
          <t>market_type</t>
        </is>
      </c>
      <c r="I1" s="23" t="inlineStr">
        <is>
          <t>selection</t>
        </is>
      </c>
      <c r="J1" s="23" t="inlineStr">
        <is>
          <t>line</t>
        </is>
      </c>
      <c r="K1" s="23" t="inlineStr">
        <is>
          <t>sportsbook</t>
        </is>
      </c>
      <c r="L1" s="23" t="inlineStr">
        <is>
          <t>american_odds</t>
        </is>
      </c>
      <c r="M1" s="23" t="inlineStr">
        <is>
          <t>decimal_odds</t>
        </is>
      </c>
      <c r="N1" s="23" t="inlineStr">
        <is>
          <t>market_implied_probability</t>
        </is>
      </c>
      <c r="O1" s="23" t="inlineStr">
        <is>
          <t>model_probability</t>
        </is>
      </c>
      <c r="P1" s="23" t="inlineStr">
        <is>
          <t>model_uncertainty</t>
        </is>
      </c>
      <c r="Q1" s="23" t="inlineStr">
        <is>
          <t>edge</t>
        </is>
      </c>
      <c r="R1" s="23" t="inlineStr">
        <is>
          <t>confidence_score</t>
        </is>
      </c>
      <c r="S1" s="23" t="inlineStr">
        <is>
          <t>units</t>
        </is>
      </c>
      <c r="T1" s="23" t="inlineStr">
        <is>
          <t>model_version</t>
        </is>
      </c>
      <c r="U1" s="23" t="inlineStr">
        <is>
          <t>status</t>
        </is>
      </c>
      <c r="V1" s="23" t="inlineStr">
        <is>
          <t>result</t>
        </is>
      </c>
      <c r="W1" s="23" t="inlineStr">
        <is>
          <t>away_score</t>
        </is>
      </c>
      <c r="X1" s="23" t="inlineStr">
        <is>
          <t>home_score</t>
        </is>
      </c>
      <c r="Y1" s="23" t="inlineStr">
        <is>
          <t>closing_line</t>
        </is>
      </c>
      <c r="Z1" s="23" t="inlineStr">
        <is>
          <t>closing_american_odds</t>
        </is>
      </c>
      <c r="AA1" s="23" t="inlineStr">
        <is>
          <t>closing_implied_probability</t>
        </is>
      </c>
      <c r="AB1" s="23" t="inlineStr">
        <is>
          <t>probability_clv</t>
        </is>
      </c>
      <c r="AC1" s="23" t="inlineStr">
        <is>
          <t>pnl_units</t>
        </is>
      </c>
      <c r="AD1" s="23" t="inlineStr">
        <is>
          <t>settled_at_utc</t>
        </is>
      </c>
      <c r="AE1" s="23" t="inlineStr">
        <is>
          <t>rationale</t>
        </is>
      </c>
      <c r="AF1" s="23" t="inlineStr">
        <is>
          <t>risks</t>
        </is>
      </c>
      <c r="AG1" s="23" t="inlineStr">
        <is>
          <t>review_status</t>
        </is>
      </c>
      <c r="AH1" s="23" t="inlineStr">
        <is>
          <t>loss_classification</t>
        </is>
      </c>
      <c r="AI1" s="23" t="inlineStr">
        <is>
          <t>loss_cause</t>
        </is>
      </c>
      <c r="AJ1" s="23" t="inlineStr">
        <is>
          <t>corrective_action</t>
        </is>
      </c>
      <c r="AK1" s="23" t="inlineStr">
        <is>
          <t>call_type</t>
        </is>
      </c>
      <c r="AL1" s="23" t="inlineStr">
        <is>
          <t>ledger_schema_version</t>
        </is>
      </c>
      <c r="AM1" s="23" t="inlineStr">
        <is>
          <t>record_type</t>
        </is>
      </c>
      <c r="AN1" s="23" t="inlineStr">
        <is>
          <t>decision</t>
        </is>
      </c>
      <c r="AO1" s="23" t="inlineStr">
        <is>
          <t>reason_code</t>
        </is>
      </c>
      <c r="AP1" s="23" t="inlineStr">
        <is>
          <t>canonical_away_team_id</t>
        </is>
      </c>
      <c r="AQ1" s="23" t="inlineStr">
        <is>
          <t>canonical_away_team_name</t>
        </is>
      </c>
      <c r="AR1" s="23" t="inlineStr">
        <is>
          <t>original_away_team</t>
        </is>
      </c>
      <c r="AS1" s="23" t="inlineStr">
        <is>
          <t>canonical_home_team_id</t>
        </is>
      </c>
      <c r="AT1" s="23" t="inlineStr">
        <is>
          <t>canonical_home_team_name</t>
        </is>
      </c>
      <c r="AU1" s="23" t="inlineStr">
        <is>
          <t>original_home_team</t>
        </is>
      </c>
      <c r="AV1" s="23" t="inlineStr">
        <is>
          <t>banned_team_id</t>
        </is>
      </c>
      <c r="AW1" s="23" t="inlineStr">
        <is>
          <t>banned_team_name</t>
        </is>
      </c>
      <c r="AX1" s="23" t="inlineStr">
        <is>
          <t>model_origin</t>
        </is>
      </c>
      <c r="AY1" s="23" t="inlineStr">
        <is>
          <t>baseline_identifier</t>
        </is>
      </c>
      <c r="AZ1" s="23" t="inlineStr">
        <is>
          <t>model_state_at_decision</t>
        </is>
      </c>
      <c r="BA1" s="23" t="inlineStr">
        <is>
          <t>model_artifact_hash</t>
        </is>
      </c>
      <c r="BB1" s="23" t="inlineStr">
        <is>
          <t>calibration_method</t>
        </is>
      </c>
      <c r="BC1" s="23" t="inlineStr">
        <is>
          <t>calibration_version</t>
        </is>
      </c>
      <c r="BD1" s="23" t="inlineStr">
        <is>
          <t>calibration_artifact_hash</t>
        </is>
      </c>
      <c r="BE1" s="23" t="inlineStr">
        <is>
          <t>feature_schema_version</t>
        </is>
      </c>
      <c r="BF1" s="23" t="inlineStr">
        <is>
          <t>entity_map_version</t>
        </is>
      </c>
      <c r="BG1" s="23" t="inlineStr">
        <is>
          <t>code_revision</t>
        </is>
      </c>
      <c r="BH1" s="23" t="inlineStr">
        <is>
          <t>observed_at_utc</t>
        </is>
      </c>
      <c r="BI1" s="23" t="inlineStr">
        <is>
          <t>correlation_tags</t>
        </is>
      </c>
      <c r="BJ1" s="23" t="inlineStr">
        <is>
          <t>decision_line</t>
        </is>
      </c>
      <c r="BK1" s="23" t="inlineStr">
        <is>
          <t>decision_american_odds</t>
        </is>
      </c>
      <c r="BL1" s="23" t="inlineStr">
        <is>
          <t>decision_decimal_odds</t>
        </is>
      </c>
      <c r="BM1" s="23" t="inlineStr">
        <is>
          <t>decision_raw_implied_probability</t>
        </is>
      </c>
      <c r="BN1" s="23" t="inlineStr">
        <is>
          <t>decision_no_vig_probability</t>
        </is>
      </c>
      <c r="BO1" s="23" t="inlineStr">
        <is>
          <t>decision_consensus_probability</t>
        </is>
      </c>
      <c r="BP1" s="23" t="inlineStr">
        <is>
          <t>decision_consensus_line</t>
        </is>
      </c>
      <c r="BQ1" s="23" t="inlineStr">
        <is>
          <t>closing_decimal_odds</t>
        </is>
      </c>
      <c r="BR1" s="23" t="inlineStr">
        <is>
          <t>closing_raw_implied_probability</t>
        </is>
      </c>
      <c r="BS1" s="23" t="inlineStr">
        <is>
          <t>closing_no_vig_probability</t>
        </is>
      </c>
      <c r="BT1" s="23" t="inlineStr">
        <is>
          <t>closing_consensus_probability</t>
        </is>
      </c>
      <c r="BU1" s="23" t="inlineStr">
        <is>
          <t>closing_consensus_line</t>
        </is>
      </c>
      <c r="BV1" s="23" t="inlineStr">
        <is>
          <t>legacy_units</t>
        </is>
      </c>
      <c r="BW1" s="23" t="inlineStr">
        <is>
          <t>void_reason</t>
        </is>
      </c>
      <c r="BX1" s="23" t="inlineStr">
        <is>
          <t>research_score_units</t>
        </is>
      </c>
      <c r="BY1" s="23" t="inlineStr">
        <is>
          <t>research_pnl_units</t>
        </is>
      </c>
      <c r="BZ1" s="23" t="inlineStr">
        <is>
          <t>research_scored_at_utc</t>
        </is>
      </c>
      <c r="CA1" s="23" t="inlineStr">
        <is>
          <t>research_scoring_note</t>
        </is>
      </c>
    </row>
    <row r="2" ht="36" customHeight="1">
      <c r="A2" s="24" t="inlineStr">
        <is>
          <t>ef7830f025d54963</t>
        </is>
      </c>
      <c r="B2" s="24" t="inlineStr">
        <is>
          <t>2026-07-18T07:12:56.298602Z</t>
        </is>
      </c>
      <c r="C2" s="24" t="inlineStr">
        <is>
          <t>2026-07-18T20:00:00-0400</t>
        </is>
      </c>
      <c r="D2" s="24" t="inlineStr">
        <is>
          <t>401857077</t>
        </is>
      </c>
      <c r="E2" s="24" t="inlineStr">
        <is>
          <t>WNBA</t>
        </is>
      </c>
      <c r="F2" s="24" t="inlineStr">
        <is>
          <t>New York Liberty</t>
        </is>
      </c>
      <c r="G2" s="24" t="inlineStr">
        <is>
          <t>Indiana Fever</t>
        </is>
      </c>
      <c r="H2" s="24" t="inlineStr">
        <is>
          <t>moneyline</t>
        </is>
      </c>
      <c r="I2" s="24" t="inlineStr">
        <is>
          <t>home</t>
        </is>
      </c>
      <c r="J2" s="38" t="n"/>
      <c r="K2" s="24" t="inlineStr">
        <is>
          <t>polymarket_us</t>
        </is>
      </c>
      <c r="L2" s="26" t="n">
        <v>117</v>
      </c>
      <c r="M2" s="39" t="n">
        <v>2.17</v>
      </c>
      <c r="N2" s="28" t="n">
        <v>0.460829</v>
      </c>
      <c r="O2" s="28" t="n">
        <v>0.593309</v>
      </c>
      <c r="P2" s="28" t="n"/>
      <c r="Q2" s="28" t="n">
        <v>0.13248</v>
      </c>
      <c r="R2" s="26" t="n">
        <v>100</v>
      </c>
      <c r="S2" s="29" t="n">
        <v>1.5</v>
      </c>
      <c r="T2" s="24" t="inlineStr">
        <is>
          <t>wnba-elo-trend-lr-v3</t>
        </is>
      </c>
      <c r="U2" s="24" t="inlineStr">
        <is>
          <t>settled</t>
        </is>
      </c>
      <c r="V2" s="24" t="inlineStr">
        <is>
          <t>win</t>
        </is>
      </c>
      <c r="W2" s="26" t="n">
        <v>88</v>
      </c>
      <c r="X2" s="26" t="n">
        <v>108</v>
      </c>
      <c r="Y2" s="38" t="n"/>
      <c r="Z2" s="26" t="n"/>
      <c r="AA2" s="28" t="n"/>
      <c r="AB2" s="28" t="n"/>
      <c r="AC2" s="40" t="n">
        <v>1.755</v>
      </c>
      <c r="AD2" s="24" t="inlineStr">
        <is>
          <t>2026-07-19T03:07:19.656208Z</t>
        </is>
      </c>
      <c r="AE2" s="31" t="inlineStr">
        <is>
          <t>Learned LR call at threshold 0.5413; executable ask 0.4600 (aec-wnba-ny-ind-2026-07-18).</t>
        </is>
      </c>
      <c r="AF2" s="31" t="inlineStr">
        <is>
          <t>Learned model; promotion gate not yet open; zero-unit research until review.</t>
        </is>
      </c>
      <c r="AG2" s="24" t="inlineStr">
        <is>
          <t>not_applicable</t>
        </is>
      </c>
      <c r="AH2" s="24" t="n"/>
      <c r="AI2" s="31" t="n"/>
      <c r="AJ2" s="31" t="n"/>
      <c r="AK2" s="24" t="inlineStr">
        <is>
          <t>research_observation</t>
        </is>
      </c>
      <c r="AL2" s="26" t="n">
        <v>3</v>
      </c>
      <c r="AM2" s="24" t="inlineStr">
        <is>
          <t>RESEARCH_OBSERVATION</t>
        </is>
      </c>
      <c r="AN2" s="24" t="inlineStr">
        <is>
          <t>NO_CALL</t>
        </is>
      </c>
      <c r="AO2" s="24" t="inlineStr">
        <is>
          <t>NO_CALL_MODEL_UNVALIDATED</t>
        </is>
      </c>
      <c r="AP2" s="24" t="inlineStr">
        <is>
          <t>wnba-nyl</t>
        </is>
      </c>
      <c r="AQ2" s="24" t="inlineStr">
        <is>
          <t>New York Liberty</t>
        </is>
      </c>
      <c r="AR2" s="24" t="inlineStr">
        <is>
          <t>New York Liberty</t>
        </is>
      </c>
      <c r="AS2" s="24" t="inlineStr">
        <is>
          <t>wnba-ind</t>
        </is>
      </c>
      <c r="AT2" s="24" t="inlineStr">
        <is>
          <t>Indiana Fever</t>
        </is>
      </c>
      <c r="AU2" s="24" t="inlineStr">
        <is>
          <t>Indiana Fever</t>
        </is>
      </c>
      <c r="AV2" s="24" t="n"/>
      <c r="AW2" s="24" t="n"/>
      <c r="AX2" s="24" t="inlineStr">
        <is>
          <t>statistical_model</t>
        </is>
      </c>
      <c r="AY2" s="24" t="n"/>
      <c r="AZ2" s="24" t="inlineStr">
        <is>
          <t>research</t>
        </is>
      </c>
      <c r="BA2" s="24" t="inlineStr">
        <is>
          <t>6b38a269117f4c6c1ae1e324273c2f9b9d11b2c15d99242f39aa89882d15db32</t>
        </is>
      </c>
      <c r="BB2" s="24" t="inlineStr">
        <is>
          <t>learned_lr</t>
        </is>
      </c>
      <c r="BC2" s="24" t="inlineStr">
        <is>
          <t>wnba-elo-trend-lr-v3</t>
        </is>
      </c>
      <c r="BD2" s="24" t="inlineStr">
        <is>
          <t>6b38a269117f4c6c1ae1e324273c2f9b9d11b2c15d99242f39aa89882d15db32</t>
        </is>
      </c>
      <c r="BE2" s="24" t="inlineStr">
        <is>
          <t>3a7dae2b4e6e8f88</t>
        </is>
      </c>
      <c r="BF2" s="24" t="inlineStr">
        <is>
          <t>1</t>
        </is>
      </c>
      <c r="BG2" s="24" t="inlineStr">
        <is>
          <t>wnba-elo-trend-lr-v3</t>
        </is>
      </c>
      <c r="BH2" s="24" t="inlineStr">
        <is>
          <t>2026-07-18T07:12:40.468242Z</t>
        </is>
      </c>
      <c r="BI2" s="24" t="inlineStr">
        <is>
          <t>["same_event","same_team_same_day","same_league_same_day"]</t>
        </is>
      </c>
      <c r="BJ2" s="38" t="n"/>
      <c r="BK2" s="26" t="n">
        <v>117</v>
      </c>
      <c r="BL2" s="39" t="n">
        <v>2.17</v>
      </c>
      <c r="BM2" s="28" t="n">
        <v>0.460829</v>
      </c>
      <c r="BN2" s="28" t="n">
        <v>0.455446</v>
      </c>
      <c r="BO2" s="28" t="n"/>
      <c r="BP2" s="38" t="n"/>
      <c r="BQ2" s="39" t="n"/>
      <c r="BR2" s="28" t="n"/>
      <c r="BS2" s="28" t="n"/>
      <c r="BT2" s="28" t="n"/>
      <c r="BU2" s="38" t="n"/>
      <c r="BV2" s="29" t="n"/>
      <c r="BW2" s="24" t="n"/>
      <c r="BX2" s="40" t="n">
        <v>1</v>
      </c>
      <c r="BY2" s="39" t="n">
        <v>1.17</v>
      </c>
      <c r="BZ2" s="24" t="inlineStr">
        <is>
          <t>2026-07-19T03:07:19.656208Z</t>
        </is>
      </c>
      <c r="CA2" s="31" t="inlineStr">
        <is>
          <t>fixed one-unit hypothetical scoring; no real exposure or execution</t>
        </is>
      </c>
    </row>
    <row r="3" ht="36" customHeight="1">
      <c r="A3" s="24" t="inlineStr">
        <is>
          <t>931feaf381a247bc</t>
        </is>
      </c>
      <c r="B3" s="24" t="inlineStr">
        <is>
          <t>2026-07-18T16:16:11.093520Z</t>
        </is>
      </c>
      <c r="C3" s="24" t="inlineStr">
        <is>
          <t>2026-07-18T16:10:00-0400</t>
        </is>
      </c>
      <c r="D3" s="24" t="inlineStr">
        <is>
          <t>401816163</t>
        </is>
      </c>
      <c r="E3" s="24" t="inlineStr">
        <is>
          <t>MLB</t>
        </is>
      </c>
      <c r="F3" s="24" t="inlineStr">
        <is>
          <t>Miami Marlins</t>
        </is>
      </c>
      <c r="G3" s="24" t="inlineStr">
        <is>
          <t>Milwaukee Brewers</t>
        </is>
      </c>
      <c r="H3" s="24" t="inlineStr">
        <is>
          <t>moneyline</t>
        </is>
      </c>
      <c r="I3" s="24" t="inlineStr">
        <is>
          <t>home</t>
        </is>
      </c>
      <c r="J3" s="38" t="n"/>
      <c r="K3" s="24" t="inlineStr">
        <is>
          <t>polymarket_us</t>
        </is>
      </c>
      <c r="L3" s="26" t="n">
        <v>-133</v>
      </c>
      <c r="M3" s="39" t="n">
        <v>1.75188</v>
      </c>
      <c r="N3" s="28" t="n">
        <v>0.570815</v>
      </c>
      <c r="O3" s="28" t="n">
        <v>0.608753</v>
      </c>
      <c r="P3" s="28" t="n"/>
      <c r="Q3" s="28" t="n">
        <v>0.037938</v>
      </c>
      <c r="R3" s="26" t="n">
        <v>37</v>
      </c>
      <c r="S3" s="29" t="n">
        <v>1.5</v>
      </c>
      <c r="T3" s="24" t="inlineStr">
        <is>
          <t>mlb-elo-trend-lr-v4</t>
        </is>
      </c>
      <c r="U3" s="24" t="inlineStr">
        <is>
          <t>settled</t>
        </is>
      </c>
      <c r="V3" s="24" t="inlineStr">
        <is>
          <t>win</t>
        </is>
      </c>
      <c r="W3" s="26" t="n">
        <v>6</v>
      </c>
      <c r="X3" s="26" t="n">
        <v>8</v>
      </c>
      <c r="Y3" s="38" t="n"/>
      <c r="Z3" s="26" t="n"/>
      <c r="AA3" s="28" t="n"/>
      <c r="AB3" s="28" t="n"/>
      <c r="AC3" s="40" t="n">
        <v>1.1278</v>
      </c>
      <c r="AD3" s="24" t="inlineStr">
        <is>
          <t>2026-07-18T23:59:20.431552Z</t>
        </is>
      </c>
      <c r="AE3" s="31" t="inlineStr">
        <is>
          <t>Learned LR call at threshold 0.6000; executable ask 0.5700 (aec-mlb-mia-mil-2026-07-18).</t>
        </is>
      </c>
      <c r="AF3" s="31" t="inlineStr">
        <is>
          <t>Learned model; promotion gate not yet open; zero-unit research until review.</t>
        </is>
      </c>
      <c r="AG3" s="24" t="inlineStr">
        <is>
          <t>not_applicable</t>
        </is>
      </c>
      <c r="AH3" s="24" t="n"/>
      <c r="AI3" s="31" t="n"/>
      <c r="AJ3" s="31" t="n"/>
      <c r="AK3" s="24" t="inlineStr">
        <is>
          <t>research_observation</t>
        </is>
      </c>
      <c r="AL3" s="26" t="n">
        <v>3</v>
      </c>
      <c r="AM3" s="24" t="inlineStr">
        <is>
          <t>RESEARCH_OBSERVATION</t>
        </is>
      </c>
      <c r="AN3" s="24" t="inlineStr">
        <is>
          <t>NO_CALL</t>
        </is>
      </c>
      <c r="AO3" s="24" t="inlineStr">
        <is>
          <t>NO_CALL_MODEL_UNVALIDATED</t>
        </is>
      </c>
      <c r="AP3" s="24" t="inlineStr">
        <is>
          <t>mlb-mia</t>
        </is>
      </c>
      <c r="AQ3" s="24" t="inlineStr">
        <is>
          <t>Miami Marlins</t>
        </is>
      </c>
      <c r="AR3" s="24" t="inlineStr">
        <is>
          <t>Miami Marlins</t>
        </is>
      </c>
      <c r="AS3" s="24" t="inlineStr">
        <is>
          <t>mlb-mil</t>
        </is>
      </c>
      <c r="AT3" s="24" t="inlineStr">
        <is>
          <t>Milwaukee Brewers</t>
        </is>
      </c>
      <c r="AU3" s="24" t="inlineStr">
        <is>
          <t>Milwaukee Brewers</t>
        </is>
      </c>
      <c r="AV3" s="24" t="n"/>
      <c r="AW3" s="24" t="n"/>
      <c r="AX3" s="24" t="inlineStr">
        <is>
          <t>statistical_model</t>
        </is>
      </c>
      <c r="AY3" s="24" t="n"/>
      <c r="AZ3" s="24" t="inlineStr">
        <is>
          <t>research</t>
        </is>
      </c>
      <c r="BA3" s="24" t="inlineStr">
        <is>
          <t>5224fb6ffbc9ddf8fa517627b830ac851192da94d241963d556945393a42bb9d</t>
        </is>
      </c>
      <c r="BB3" s="24" t="inlineStr">
        <is>
          <t>learned_lr</t>
        </is>
      </c>
      <c r="BC3" s="24" t="inlineStr">
        <is>
          <t>mlb-elo-trend-lr-v4</t>
        </is>
      </c>
      <c r="BD3" s="24" t="inlineStr">
        <is>
          <t>5224fb6ffbc9ddf8fa517627b830ac851192da94d241963d556945393a42bb9d</t>
        </is>
      </c>
      <c r="BE3" s="24" t="inlineStr">
        <is>
          <t>0f54459b91a18ff1</t>
        </is>
      </c>
      <c r="BF3" s="24" t="inlineStr">
        <is>
          <t>1</t>
        </is>
      </c>
      <c r="BG3" s="24" t="inlineStr">
        <is>
          <t>mlb-elo-trend-lr-v3</t>
        </is>
      </c>
      <c r="BH3" s="24" t="inlineStr">
        <is>
          <t>2026-07-18T16:15:15.200995Z</t>
        </is>
      </c>
      <c r="BI3" s="24" t="inlineStr">
        <is>
          <t>["same_event","same_team_same_day","same_league_same_day"]</t>
        </is>
      </c>
      <c r="BJ3" s="38" t="n"/>
      <c r="BK3" s="26" t="n">
        <v>-133</v>
      </c>
      <c r="BL3" s="39" t="n">
        <v>1.75188</v>
      </c>
      <c r="BM3" s="28" t="n">
        <v>0.570815</v>
      </c>
      <c r="BN3" s="28" t="n">
        <v>0.567164</v>
      </c>
      <c r="BO3" s="28" t="n"/>
      <c r="BP3" s="38" t="n"/>
      <c r="BQ3" s="39" t="n"/>
      <c r="BR3" s="28" t="n"/>
      <c r="BS3" s="28" t="n"/>
      <c r="BT3" s="28" t="n"/>
      <c r="BU3" s="38" t="n"/>
      <c r="BV3" s="29" t="n"/>
      <c r="BW3" s="24" t="n"/>
      <c r="BX3" s="40" t="n">
        <v>1</v>
      </c>
      <c r="BY3" s="39" t="n">
        <v>0.75188</v>
      </c>
      <c r="BZ3" s="24" t="inlineStr">
        <is>
          <t>2026-07-18T23:59:20.431552Z</t>
        </is>
      </c>
      <c r="CA3" s="31" t="inlineStr">
        <is>
          <t>fixed one-unit hypothetical scoring; no real exposure or execution</t>
        </is>
      </c>
    </row>
    <row r="4" ht="36" customHeight="1">
      <c r="A4" s="24" t="inlineStr">
        <is>
          <t>8789a71883f94701</t>
        </is>
      </c>
      <c r="B4" s="24" t="inlineStr">
        <is>
          <t>2026-07-18T16:44:20.099051Z</t>
        </is>
      </c>
      <c r="C4" s="24" t="inlineStr">
        <is>
          <t>2026-07-18T13:10:00-0400</t>
        </is>
      </c>
      <c r="D4" s="24" t="inlineStr">
        <is>
          <t>401896568</t>
        </is>
      </c>
      <c r="E4" s="24" t="inlineStr">
        <is>
          <t>MLB</t>
        </is>
      </c>
      <c r="F4" s="24" t="inlineStr">
        <is>
          <t>Pittsburgh Pirates</t>
        </is>
      </c>
      <c r="G4" s="24" t="inlineStr">
        <is>
          <t>Cleveland Guardians</t>
        </is>
      </c>
      <c r="H4" s="24" t="inlineStr">
        <is>
          <t>moneyline</t>
        </is>
      </c>
      <c r="I4" s="24" t="inlineStr">
        <is>
          <t>home</t>
        </is>
      </c>
      <c r="J4" s="38" t="n"/>
      <c r="K4" s="24" t="inlineStr">
        <is>
          <t>polymarket_us</t>
        </is>
      </c>
      <c r="L4" s="26" t="n">
        <v>-102</v>
      </c>
      <c r="M4" s="39" t="n">
        <v>1.980392</v>
      </c>
      <c r="N4" s="28" t="n">
        <v>0.50495</v>
      </c>
      <c r="O4" s="28" t="n">
        <v>0.554084</v>
      </c>
      <c r="P4" s="28" t="n"/>
      <c r="Q4" s="28" t="n">
        <v>0.049134</v>
      </c>
      <c r="R4" s="26" t="n">
        <v>49</v>
      </c>
      <c r="S4" s="29" t="n">
        <v>1</v>
      </c>
      <c r="T4" s="24" t="inlineStr">
        <is>
          <t>mlb-elo-trend-lr-v4</t>
        </is>
      </c>
      <c r="U4" s="24" t="inlineStr">
        <is>
          <t>settled</t>
        </is>
      </c>
      <c r="V4" s="24" t="inlineStr">
        <is>
          <t>loss</t>
        </is>
      </c>
      <c r="W4" s="26" t="n">
        <v>7</v>
      </c>
      <c r="X4" s="26" t="n">
        <v>1</v>
      </c>
      <c r="Y4" s="38" t="n"/>
      <c r="Z4" s="26" t="n"/>
      <c r="AA4" s="28" t="n"/>
      <c r="AB4" s="28" t="n"/>
      <c r="AC4" s="40" t="n">
        <v>-1</v>
      </c>
      <c r="AD4" s="24" t="inlineStr">
        <is>
          <t>2026-07-18T21:05:56.909771Z</t>
        </is>
      </c>
      <c r="AE4" s="31" t="inlineStr">
        <is>
          <t>Learned LR call at threshold 0.5500; executable ask 0.5050 (aec-mlb-pit-cle-2026-07-18).</t>
        </is>
      </c>
      <c r="AF4" s="31" t="inlineStr">
        <is>
          <t>Learned model; promotion gate not yet open; zero-unit research until review.</t>
        </is>
      </c>
      <c r="AG4" s="24" t="inlineStr">
        <is>
          <t>review_required</t>
        </is>
      </c>
      <c r="AH4" s="24" t="n"/>
      <c r="AI4" s="31" t="n"/>
      <c r="AJ4" s="31" t="n"/>
      <c r="AK4" s="24" t="inlineStr">
        <is>
          <t>research_observation</t>
        </is>
      </c>
      <c r="AL4" s="26" t="n">
        <v>3</v>
      </c>
      <c r="AM4" s="24" t="inlineStr">
        <is>
          <t>RESEARCH_OBSERVATION</t>
        </is>
      </c>
      <c r="AN4" s="24" t="inlineStr">
        <is>
          <t>NO_CALL</t>
        </is>
      </c>
      <c r="AO4" s="24" t="inlineStr">
        <is>
          <t>NO_CALL_MODEL_UNVALIDATED</t>
        </is>
      </c>
      <c r="AP4" s="24" t="inlineStr">
        <is>
          <t>mlb-pit</t>
        </is>
      </c>
      <c r="AQ4" s="24" t="inlineStr">
        <is>
          <t>Pittsburgh Pirates</t>
        </is>
      </c>
      <c r="AR4" s="24" t="inlineStr">
        <is>
          <t>Pittsburgh Pirates</t>
        </is>
      </c>
      <c r="AS4" s="24" t="inlineStr">
        <is>
          <t>mlb-cle</t>
        </is>
      </c>
      <c r="AT4" s="24" t="inlineStr">
        <is>
          <t>Cleveland Guardians</t>
        </is>
      </c>
      <c r="AU4" s="24" t="inlineStr">
        <is>
          <t>Cleveland Guardians</t>
        </is>
      </c>
      <c r="AV4" s="24" t="n"/>
      <c r="AW4" s="24" t="n"/>
      <c r="AX4" s="24" t="inlineStr">
        <is>
          <t>statistical_model</t>
        </is>
      </c>
      <c r="AY4" s="24" t="n"/>
      <c r="AZ4" s="24" t="inlineStr">
        <is>
          <t>research</t>
        </is>
      </c>
      <c r="BA4" s="24" t="inlineStr">
        <is>
          <t>5224fb6ffbc9ddf8fa517627b830ac851192da94d241963d556945393a42bb9d</t>
        </is>
      </c>
      <c r="BB4" s="24" t="inlineStr">
        <is>
          <t>learned_lr</t>
        </is>
      </c>
      <c r="BC4" s="24" t="inlineStr">
        <is>
          <t>mlb-elo-trend-lr-v4</t>
        </is>
      </c>
      <c r="BD4" s="24" t="inlineStr">
        <is>
          <t>5224fb6ffbc9ddf8fa517627b830ac851192da94d241963d556945393a42bb9d</t>
        </is>
      </c>
      <c r="BE4" s="24" t="inlineStr">
        <is>
          <t>6df496ff8b2da9c6</t>
        </is>
      </c>
      <c r="BF4" s="24" t="inlineStr">
        <is>
          <t>1</t>
        </is>
      </c>
      <c r="BG4" s="24" t="inlineStr">
        <is>
          <t>mlb-elo-trend-lr-v3</t>
        </is>
      </c>
      <c r="BH4" s="24" t="inlineStr">
        <is>
          <t>2026-07-18T16:42:59.880808Z</t>
        </is>
      </c>
      <c r="BI4" s="24" t="inlineStr">
        <is>
          <t>["same_event","same_team_same_day","same_league_same_day"]</t>
        </is>
      </c>
      <c r="BJ4" s="38" t="n"/>
      <c r="BK4" s="26" t="n">
        <v>-102</v>
      </c>
      <c r="BL4" s="39" t="n">
        <v>1.980392</v>
      </c>
      <c r="BM4" s="28" t="n">
        <v>0.50495</v>
      </c>
      <c r="BN4" s="28" t="n">
        <v>0.502488</v>
      </c>
      <c r="BO4" s="28" t="n"/>
      <c r="BP4" s="38" t="n"/>
      <c r="BQ4" s="39" t="n"/>
      <c r="BR4" s="28" t="n"/>
      <c r="BS4" s="28" t="n"/>
      <c r="BT4" s="28" t="n"/>
      <c r="BU4" s="38" t="n"/>
      <c r="BV4" s="29" t="n"/>
      <c r="BW4" s="24" t="n"/>
      <c r="BX4" s="40" t="n">
        <v>1</v>
      </c>
      <c r="BY4" s="39" t="n">
        <v>-1</v>
      </c>
      <c r="BZ4" s="24" t="inlineStr">
        <is>
          <t>2026-07-18T21:05:56.909771Z</t>
        </is>
      </c>
      <c r="CA4" s="31" t="inlineStr">
        <is>
          <t>fixed one-unit hypothetical scoring; no real exposure or execution</t>
        </is>
      </c>
    </row>
    <row r="5" ht="36" customHeight="1">
      <c r="A5" s="24" t="inlineStr">
        <is>
          <t>512e4ebfdf1a456e</t>
        </is>
      </c>
      <c r="B5" s="24" t="inlineStr">
        <is>
          <t>2026-07-18T16:44:20.099051Z</t>
        </is>
      </c>
      <c r="C5" s="24" t="inlineStr">
        <is>
          <t>2026-07-18T14:20:00-0400</t>
        </is>
      </c>
      <c r="D5" s="24" t="inlineStr">
        <is>
          <t>401816164</t>
        </is>
      </c>
      <c r="E5" s="24" t="inlineStr">
        <is>
          <t>MLB</t>
        </is>
      </c>
      <c r="F5" s="24" t="inlineStr">
        <is>
          <t>Minnesota Twins</t>
        </is>
      </c>
      <c r="G5" s="24" t="inlineStr">
        <is>
          <t>Chicago Cubs</t>
        </is>
      </c>
      <c r="H5" s="24" t="inlineStr">
        <is>
          <t>moneyline</t>
        </is>
      </c>
      <c r="I5" s="24" t="inlineStr">
        <is>
          <t>home</t>
        </is>
      </c>
      <c r="J5" s="38" t="n"/>
      <c r="K5" s="24" t="inlineStr">
        <is>
          <t>polymarket_us</t>
        </is>
      </c>
      <c r="L5" s="26" t="n">
        <v>-133</v>
      </c>
      <c r="M5" s="39" t="n">
        <v>1.75188</v>
      </c>
      <c r="N5" s="28" t="n">
        <v>0.570815</v>
      </c>
      <c r="O5" s="28" t="n">
        <v>0.608363</v>
      </c>
      <c r="P5" s="28" t="n"/>
      <c r="Q5" s="28" t="n">
        <v>0.037548</v>
      </c>
      <c r="R5" s="26" t="n">
        <v>37</v>
      </c>
      <c r="S5" s="29" t="n">
        <v>1.5</v>
      </c>
      <c r="T5" s="24" t="inlineStr">
        <is>
          <t>mlb-elo-trend-lr-v4</t>
        </is>
      </c>
      <c r="U5" s="24" t="inlineStr">
        <is>
          <t>settled</t>
        </is>
      </c>
      <c r="V5" s="24" t="inlineStr">
        <is>
          <t>win</t>
        </is>
      </c>
      <c r="W5" s="26" t="n">
        <v>2</v>
      </c>
      <c r="X5" s="26" t="n">
        <v>6</v>
      </c>
      <c r="Y5" s="38" t="n"/>
      <c r="Z5" s="26" t="n"/>
      <c r="AA5" s="28" t="n"/>
      <c r="AB5" s="28" t="n"/>
      <c r="AC5" s="40" t="n">
        <v>1.1278</v>
      </c>
      <c r="AD5" s="24" t="inlineStr">
        <is>
          <t>2026-07-18T21:05:56.984438Z</t>
        </is>
      </c>
      <c r="AE5" s="31" t="inlineStr">
        <is>
          <t>Learned LR call at threshold 0.5500; executable ask 0.5700 (aec-mlb-min-chc-2026-07-18).</t>
        </is>
      </c>
      <c r="AF5" s="31" t="inlineStr">
        <is>
          <t>Learned model; promotion gate not yet open; zero-unit research until review.</t>
        </is>
      </c>
      <c r="AG5" s="24" t="inlineStr">
        <is>
          <t>not_applicable</t>
        </is>
      </c>
      <c r="AH5" s="24" t="n"/>
      <c r="AI5" s="31" t="n"/>
      <c r="AJ5" s="31" t="n"/>
      <c r="AK5" s="24" t="inlineStr">
        <is>
          <t>research_observation</t>
        </is>
      </c>
      <c r="AL5" s="26" t="n">
        <v>3</v>
      </c>
      <c r="AM5" s="24" t="inlineStr">
        <is>
          <t>RESEARCH_OBSERVATION</t>
        </is>
      </c>
      <c r="AN5" s="24" t="inlineStr">
        <is>
          <t>NO_CALL</t>
        </is>
      </c>
      <c r="AO5" s="24" t="inlineStr">
        <is>
          <t>NO_CALL_MODEL_UNVALIDATED</t>
        </is>
      </c>
      <c r="AP5" s="24" t="inlineStr">
        <is>
          <t>mlb-min</t>
        </is>
      </c>
      <c r="AQ5" s="24" t="inlineStr">
        <is>
          <t>Minnesota Twins</t>
        </is>
      </c>
      <c r="AR5" s="24" t="inlineStr">
        <is>
          <t>Minnesota Twins</t>
        </is>
      </c>
      <c r="AS5" s="24" t="inlineStr">
        <is>
          <t>mlb-chc</t>
        </is>
      </c>
      <c r="AT5" s="24" t="inlineStr">
        <is>
          <t>Chicago Cubs</t>
        </is>
      </c>
      <c r="AU5" s="24" t="inlineStr">
        <is>
          <t>Chicago Cubs</t>
        </is>
      </c>
      <c r="AV5" s="24" t="n"/>
      <c r="AW5" s="24" t="n"/>
      <c r="AX5" s="24" t="inlineStr">
        <is>
          <t>statistical_model</t>
        </is>
      </c>
      <c r="AY5" s="24" t="n"/>
      <c r="AZ5" s="24" t="inlineStr">
        <is>
          <t>research</t>
        </is>
      </c>
      <c r="BA5" s="24" t="inlineStr">
        <is>
          <t>5224fb6ffbc9ddf8fa517627b830ac851192da94d241963d556945393a42bb9d</t>
        </is>
      </c>
      <c r="BB5" s="24" t="inlineStr">
        <is>
          <t>learned_lr</t>
        </is>
      </c>
      <c r="BC5" s="24" t="inlineStr">
        <is>
          <t>mlb-elo-trend-lr-v4</t>
        </is>
      </c>
      <c r="BD5" s="24" t="inlineStr">
        <is>
          <t>5224fb6ffbc9ddf8fa517627b830ac851192da94d241963d556945393a42bb9d</t>
        </is>
      </c>
      <c r="BE5" s="24" t="inlineStr">
        <is>
          <t>7166685f6e68e237</t>
        </is>
      </c>
      <c r="BF5" s="24" t="inlineStr">
        <is>
          <t>1</t>
        </is>
      </c>
      <c r="BG5" s="24" t="inlineStr">
        <is>
          <t>mlb-elo-trend-lr-v3</t>
        </is>
      </c>
      <c r="BH5" s="24" t="inlineStr">
        <is>
          <t>2026-07-18T16:42:49.506840Z</t>
        </is>
      </c>
      <c r="BI5" s="24" t="inlineStr">
        <is>
          <t>["same_event","same_team_same_day","same_league_same_day"]</t>
        </is>
      </c>
      <c r="BJ5" s="38" t="n"/>
      <c r="BK5" s="26" t="n">
        <v>-133</v>
      </c>
      <c r="BL5" s="39" t="n">
        <v>1.75188</v>
      </c>
      <c r="BM5" s="28" t="n">
        <v>0.570815</v>
      </c>
      <c r="BN5" s="28" t="n">
        <v>0.567164</v>
      </c>
      <c r="BO5" s="28" t="n"/>
      <c r="BP5" s="38" t="n"/>
      <c r="BQ5" s="39" t="n"/>
      <c r="BR5" s="28" t="n"/>
      <c r="BS5" s="28" t="n"/>
      <c r="BT5" s="28" t="n"/>
      <c r="BU5" s="38" t="n"/>
      <c r="BV5" s="29" t="n"/>
      <c r="BW5" s="24" t="n"/>
      <c r="BX5" s="40" t="n">
        <v>1</v>
      </c>
      <c r="BY5" s="39" t="n">
        <v>0.75188</v>
      </c>
      <c r="BZ5" s="24" t="inlineStr">
        <is>
          <t>2026-07-18T21:05:56.984438Z</t>
        </is>
      </c>
      <c r="CA5" s="31" t="inlineStr">
        <is>
          <t>fixed one-unit hypothetical scoring; no real exposure or execution</t>
        </is>
      </c>
    </row>
    <row r="6" ht="36" customHeight="1">
      <c r="A6" s="24" t="inlineStr">
        <is>
          <t>80b7c78aaffb4905</t>
        </is>
      </c>
      <c r="B6" s="24" t="inlineStr">
        <is>
          <t>2026-07-18T16:44:20.099051Z</t>
        </is>
      </c>
      <c r="C6" s="24" t="inlineStr">
        <is>
          <t>2026-07-18T15:07:00-0400</t>
        </is>
      </c>
      <c r="D6" s="24" t="inlineStr">
        <is>
          <t>401816156</t>
        </is>
      </c>
      <c r="E6" s="24" t="inlineStr">
        <is>
          <t>MLB</t>
        </is>
      </c>
      <c r="F6" s="24" t="inlineStr">
        <is>
          <t>Chicago White Sox</t>
        </is>
      </c>
      <c r="G6" s="24" t="inlineStr">
        <is>
          <t>Toronto Blue Jays</t>
        </is>
      </c>
      <c r="H6" s="24" t="inlineStr">
        <is>
          <t>moneyline</t>
        </is>
      </c>
      <c r="I6" s="24" t="inlineStr">
        <is>
          <t>home</t>
        </is>
      </c>
      <c r="J6" s="38" t="n"/>
      <c r="K6" s="24" t="inlineStr">
        <is>
          <t>polymarket_us</t>
        </is>
      </c>
      <c r="L6" s="26" t="n">
        <v>-104</v>
      </c>
      <c r="M6" s="39" t="n">
        <v>1.961538</v>
      </c>
      <c r="N6" s="28" t="n">
        <v>0.509804</v>
      </c>
      <c r="O6" s="28" t="n">
        <v>0.5767679999999999</v>
      </c>
      <c r="P6" s="28" t="n"/>
      <c r="Q6" s="28" t="n">
        <v>0.066964</v>
      </c>
      <c r="R6" s="26" t="n">
        <v>66</v>
      </c>
      <c r="S6" s="29" t="n">
        <v>1.25</v>
      </c>
      <c r="T6" s="24" t="inlineStr">
        <is>
          <t>mlb-elo-trend-lr-v4</t>
        </is>
      </c>
      <c r="U6" s="24" t="inlineStr">
        <is>
          <t>settled</t>
        </is>
      </c>
      <c r="V6" s="24" t="inlineStr">
        <is>
          <t>win</t>
        </is>
      </c>
      <c r="W6" s="26" t="n">
        <v>0</v>
      </c>
      <c r="X6" s="26" t="n">
        <v>1</v>
      </c>
      <c r="Y6" s="38" t="n"/>
      <c r="Z6" s="26" t="n"/>
      <c r="AA6" s="28" t="n"/>
      <c r="AB6" s="28" t="n"/>
      <c r="AC6" s="40" t="n">
        <v>1.2019</v>
      </c>
      <c r="AD6" s="24" t="inlineStr">
        <is>
          <t>2026-07-18T23:59:20.512474Z</t>
        </is>
      </c>
      <c r="AE6" s="31" t="inlineStr">
        <is>
          <t>Learned LR call at threshold 0.5500; executable ask 0.5100 (aec-mlb-cws-tor-2026-07-18).</t>
        </is>
      </c>
      <c r="AF6" s="31" t="inlineStr">
        <is>
          <t>Learned model; promotion gate not yet open; zero-unit research until review.</t>
        </is>
      </c>
      <c r="AG6" s="24" t="inlineStr">
        <is>
          <t>not_applicable</t>
        </is>
      </c>
      <c r="AH6" s="24" t="n"/>
      <c r="AI6" s="31" t="n"/>
      <c r="AJ6" s="31" t="n"/>
      <c r="AK6" s="24" t="inlineStr">
        <is>
          <t>research_observation</t>
        </is>
      </c>
      <c r="AL6" s="26" t="n">
        <v>3</v>
      </c>
      <c r="AM6" s="24" t="inlineStr">
        <is>
          <t>RESEARCH_OBSERVATION</t>
        </is>
      </c>
      <c r="AN6" s="24" t="inlineStr">
        <is>
          <t>NO_CALL</t>
        </is>
      </c>
      <c r="AO6" s="24" t="inlineStr">
        <is>
          <t>NO_CALL_MODEL_UNVALIDATED</t>
        </is>
      </c>
      <c r="AP6" s="24" t="inlineStr">
        <is>
          <t>mlb-cws</t>
        </is>
      </c>
      <c r="AQ6" s="24" t="inlineStr">
        <is>
          <t>Chicago White Sox</t>
        </is>
      </c>
      <c r="AR6" s="24" t="inlineStr">
        <is>
          <t>Chicago White Sox</t>
        </is>
      </c>
      <c r="AS6" s="24" t="inlineStr">
        <is>
          <t>mlb-tor</t>
        </is>
      </c>
      <c r="AT6" s="24" t="inlineStr">
        <is>
          <t>Toronto Blue Jays</t>
        </is>
      </c>
      <c r="AU6" s="24" t="inlineStr">
        <is>
          <t>Toronto Blue Jays</t>
        </is>
      </c>
      <c r="AV6" s="24" t="n"/>
      <c r="AW6" s="24" t="n"/>
      <c r="AX6" s="24" t="inlineStr">
        <is>
          <t>statistical_model</t>
        </is>
      </c>
      <c r="AY6" s="24" t="n"/>
      <c r="AZ6" s="24" t="inlineStr">
        <is>
          <t>research</t>
        </is>
      </c>
      <c r="BA6" s="24" t="inlineStr">
        <is>
          <t>5224fb6ffbc9ddf8fa517627b830ac851192da94d241963d556945393a42bb9d</t>
        </is>
      </c>
      <c r="BB6" s="24" t="inlineStr">
        <is>
          <t>learned_lr</t>
        </is>
      </c>
      <c r="BC6" s="24" t="inlineStr">
        <is>
          <t>mlb-elo-trend-lr-v4</t>
        </is>
      </c>
      <c r="BD6" s="24" t="inlineStr">
        <is>
          <t>5224fb6ffbc9ddf8fa517627b830ac851192da94d241963d556945393a42bb9d</t>
        </is>
      </c>
      <c r="BE6" s="24" t="inlineStr">
        <is>
          <t>990421d336b67011</t>
        </is>
      </c>
      <c r="BF6" s="24" t="inlineStr">
        <is>
          <t>1</t>
        </is>
      </c>
      <c r="BG6" s="24" t="inlineStr">
        <is>
          <t>mlb-elo-trend-lr-v3</t>
        </is>
      </c>
      <c r="BH6" s="24" t="inlineStr">
        <is>
          <t>2026-07-18T16:42:50.404282Z</t>
        </is>
      </c>
      <c r="BI6" s="24" t="inlineStr">
        <is>
          <t>["same_event","same_team_same_day","same_league_same_day"]</t>
        </is>
      </c>
      <c r="BJ6" s="38" t="n"/>
      <c r="BK6" s="26" t="n">
        <v>-104</v>
      </c>
      <c r="BL6" s="39" t="n">
        <v>1.961538</v>
      </c>
      <c r="BM6" s="28" t="n">
        <v>0.509804</v>
      </c>
      <c r="BN6" s="28" t="n">
        <v>0.507463</v>
      </c>
      <c r="BO6" s="28" t="n"/>
      <c r="BP6" s="38" t="n"/>
      <c r="BQ6" s="39" t="n"/>
      <c r="BR6" s="28" t="n"/>
      <c r="BS6" s="28" t="n"/>
      <c r="BT6" s="28" t="n"/>
      <c r="BU6" s="38" t="n"/>
      <c r="BV6" s="29" t="n"/>
      <c r="BW6" s="24" t="n"/>
      <c r="BX6" s="40" t="n">
        <v>1</v>
      </c>
      <c r="BY6" s="39" t="n">
        <v>0.961538</v>
      </c>
      <c r="BZ6" s="24" t="inlineStr">
        <is>
          <t>2026-07-18T23:59:20.512474Z</t>
        </is>
      </c>
      <c r="CA6" s="31" t="inlineStr">
        <is>
          <t>fixed one-unit hypothetical scoring; no real exposure or execution</t>
        </is>
      </c>
    </row>
    <row r="7" ht="36" customHeight="1">
      <c r="A7" s="24" t="inlineStr">
        <is>
          <t>c7e4de168a8f4e3d</t>
        </is>
      </c>
      <c r="B7" s="24" t="inlineStr">
        <is>
          <t>2026-07-18T16:44:20.099051Z</t>
        </is>
      </c>
      <c r="C7" s="24" t="inlineStr">
        <is>
          <t>2026-07-18T15:10:00-0400</t>
        </is>
      </c>
      <c r="D7" s="24" t="inlineStr">
        <is>
          <t>401816166</t>
        </is>
      </c>
      <c r="E7" s="24" t="inlineStr">
        <is>
          <t>MLB</t>
        </is>
      </c>
      <c r="F7" s="24" t="inlineStr">
        <is>
          <t>Cincinnati Reds</t>
        </is>
      </c>
      <c r="G7" s="24" t="inlineStr">
        <is>
          <t>Colorado Rockies</t>
        </is>
      </c>
      <c r="H7" s="24" t="inlineStr">
        <is>
          <t>moneyline</t>
        </is>
      </c>
      <c r="I7" s="24" t="inlineStr">
        <is>
          <t>away</t>
        </is>
      </c>
      <c r="J7" s="38" t="n"/>
      <c r="K7" s="24" t="inlineStr">
        <is>
          <t>polymarket_us</t>
        </is>
      </c>
      <c r="L7" s="26" t="n">
        <v>-104</v>
      </c>
      <c r="M7" s="39" t="n">
        <v>1.961538</v>
      </c>
      <c r="N7" s="28" t="n">
        <v>0.509804</v>
      </c>
      <c r="O7" s="28" t="n">
        <v>0.582367</v>
      </c>
      <c r="P7" s="28" t="n"/>
      <c r="Q7" s="28" t="n">
        <v>0.072563</v>
      </c>
      <c r="R7" s="26" t="n">
        <v>72</v>
      </c>
      <c r="S7" s="29" t="n">
        <v>1.25</v>
      </c>
      <c r="T7" s="24" t="inlineStr">
        <is>
          <t>mlb-elo-trend-lr-v4</t>
        </is>
      </c>
      <c r="U7" s="24" t="inlineStr">
        <is>
          <t>settled</t>
        </is>
      </c>
      <c r="V7" s="24" t="inlineStr">
        <is>
          <t>loss</t>
        </is>
      </c>
      <c r="W7" s="26" t="n">
        <v>3</v>
      </c>
      <c r="X7" s="26" t="n">
        <v>10</v>
      </c>
      <c r="Y7" s="38" t="n"/>
      <c r="Z7" s="26" t="n"/>
      <c r="AA7" s="28" t="n"/>
      <c r="AB7" s="28" t="n"/>
      <c r="AC7" s="40" t="n">
        <v>-1.25</v>
      </c>
      <c r="AD7" s="24" t="inlineStr">
        <is>
          <t>2026-07-18T23:59:20.572146Z</t>
        </is>
      </c>
      <c r="AE7" s="31" t="inlineStr">
        <is>
          <t>Learned LR call at threshold 0.5500; executable ask 0.5100 (aec-mlb-cin-col-2026-07-18).</t>
        </is>
      </c>
      <c r="AF7" s="31" t="inlineStr">
        <is>
          <t>Learned model; promotion gate not yet open; zero-unit research until review.</t>
        </is>
      </c>
      <c r="AG7" s="24" t="inlineStr">
        <is>
          <t>review_required</t>
        </is>
      </c>
      <c r="AH7" s="24" t="n"/>
      <c r="AI7" s="31" t="n"/>
      <c r="AJ7" s="31" t="n"/>
      <c r="AK7" s="24" t="inlineStr">
        <is>
          <t>research_observation</t>
        </is>
      </c>
      <c r="AL7" s="26" t="n">
        <v>3</v>
      </c>
      <c r="AM7" s="24" t="inlineStr">
        <is>
          <t>RESEARCH_OBSERVATION</t>
        </is>
      </c>
      <c r="AN7" s="24" t="inlineStr">
        <is>
          <t>NO_CALL</t>
        </is>
      </c>
      <c r="AO7" s="24" t="inlineStr">
        <is>
          <t>NO_CALL_MODEL_UNVALIDATED</t>
        </is>
      </c>
      <c r="AP7" s="24" t="inlineStr">
        <is>
          <t>mlb-cin</t>
        </is>
      </c>
      <c r="AQ7" s="24" t="inlineStr">
        <is>
          <t>Cincinnati Reds</t>
        </is>
      </c>
      <c r="AR7" s="24" t="inlineStr">
        <is>
          <t>Cincinnati Reds</t>
        </is>
      </c>
      <c r="AS7" s="24" t="inlineStr">
        <is>
          <t>mlb-col</t>
        </is>
      </c>
      <c r="AT7" s="24" t="inlineStr">
        <is>
          <t>Colorado Rockies</t>
        </is>
      </c>
      <c r="AU7" s="24" t="inlineStr">
        <is>
          <t>Colorado Rockies</t>
        </is>
      </c>
      <c r="AV7" s="24" t="n"/>
      <c r="AW7" s="24" t="n"/>
      <c r="AX7" s="24" t="inlineStr">
        <is>
          <t>statistical_model</t>
        </is>
      </c>
      <c r="AY7" s="24" t="n"/>
      <c r="AZ7" s="24" t="inlineStr">
        <is>
          <t>research</t>
        </is>
      </c>
      <c r="BA7" s="24" t="inlineStr">
        <is>
          <t>5224fb6ffbc9ddf8fa517627b830ac851192da94d241963d556945393a42bb9d</t>
        </is>
      </c>
      <c r="BB7" s="24" t="inlineStr">
        <is>
          <t>learned_lr</t>
        </is>
      </c>
      <c r="BC7" s="24" t="inlineStr">
        <is>
          <t>mlb-elo-trend-lr-v4</t>
        </is>
      </c>
      <c r="BD7" s="24" t="inlineStr">
        <is>
          <t>5224fb6ffbc9ddf8fa517627b830ac851192da94d241963d556945393a42bb9d</t>
        </is>
      </c>
      <c r="BE7" s="24" t="inlineStr">
        <is>
          <t>4215d10b9bfb4b91</t>
        </is>
      </c>
      <c r="BF7" s="24" t="inlineStr">
        <is>
          <t>1</t>
        </is>
      </c>
      <c r="BG7" s="24" t="inlineStr">
        <is>
          <t>mlb-elo-trend-lr-v3</t>
        </is>
      </c>
      <c r="BH7" s="24" t="inlineStr">
        <is>
          <t>2026-07-18T16:42:52.313468Z</t>
        </is>
      </c>
      <c r="BI7" s="24" t="inlineStr">
        <is>
          <t>["same_event","same_team_same_day","same_league_same_day"]</t>
        </is>
      </c>
      <c r="BJ7" s="38" t="n"/>
      <c r="BK7" s="26" t="n">
        <v>-104</v>
      </c>
      <c r="BL7" s="39" t="n">
        <v>1.961538</v>
      </c>
      <c r="BM7" s="28" t="n">
        <v>0.509804</v>
      </c>
      <c r="BN7" s="28" t="n">
        <v>0.507463</v>
      </c>
      <c r="BO7" s="28" t="n"/>
      <c r="BP7" s="38" t="n"/>
      <c r="BQ7" s="39" t="n"/>
      <c r="BR7" s="28" t="n"/>
      <c r="BS7" s="28" t="n"/>
      <c r="BT7" s="28" t="n"/>
      <c r="BU7" s="38" t="n"/>
      <c r="BV7" s="29" t="n"/>
      <c r="BW7" s="24" t="n"/>
      <c r="BX7" s="40" t="n">
        <v>1</v>
      </c>
      <c r="BY7" s="39" t="n">
        <v>-1</v>
      </c>
      <c r="BZ7" s="24" t="inlineStr">
        <is>
          <t>2026-07-18T23:59:20.572146Z</t>
        </is>
      </c>
      <c r="CA7" s="31" t="inlineStr">
        <is>
          <t>fixed one-unit hypothetical scoring; no real exposure or execution</t>
        </is>
      </c>
    </row>
    <row r="8" ht="36" customHeight="1">
      <c r="A8" s="24" t="inlineStr">
        <is>
          <t>2ec6744dbfd84ecf</t>
        </is>
      </c>
      <c r="B8" s="24" t="inlineStr">
        <is>
          <t>2026-07-18T16:44:20.099051Z</t>
        </is>
      </c>
      <c r="C8" s="24" t="inlineStr">
        <is>
          <t>2026-07-18T16:10:00-0400</t>
        </is>
      </c>
      <c r="D8" s="24" t="inlineStr">
        <is>
          <t>401816161</t>
        </is>
      </c>
      <c r="E8" s="24" t="inlineStr">
        <is>
          <t>MLB</t>
        </is>
      </c>
      <c r="F8" s="24" t="inlineStr">
        <is>
          <t>Texas Rangers</t>
        </is>
      </c>
      <c r="G8" s="24" t="inlineStr">
        <is>
          <t>Atlanta Braves</t>
        </is>
      </c>
      <c r="H8" s="24" t="inlineStr">
        <is>
          <t>moneyline</t>
        </is>
      </c>
      <c r="I8" s="24" t="inlineStr">
        <is>
          <t>home</t>
        </is>
      </c>
      <c r="J8" s="38" t="n"/>
      <c r="K8" s="24" t="inlineStr">
        <is>
          <t>polymarket_us</t>
        </is>
      </c>
      <c r="L8" s="26" t="n">
        <v>-106</v>
      </c>
      <c r="M8" s="39" t="n">
        <v>1.943396</v>
      </c>
      <c r="N8" s="28" t="n">
        <v>0.514563</v>
      </c>
      <c r="O8" s="28" t="n">
        <v>0.550297</v>
      </c>
      <c r="P8" s="28" t="n"/>
      <c r="Q8" s="28" t="n">
        <v>0.035734</v>
      </c>
      <c r="R8" s="26" t="n">
        <v>35</v>
      </c>
      <c r="S8" s="29" t="n">
        <v>1</v>
      </c>
      <c r="T8" s="24" t="inlineStr">
        <is>
          <t>mlb-elo-trend-lr-v4</t>
        </is>
      </c>
      <c r="U8" s="24" t="inlineStr">
        <is>
          <t>settled</t>
        </is>
      </c>
      <c r="V8" s="24" t="inlineStr">
        <is>
          <t>loss</t>
        </is>
      </c>
      <c r="W8" s="26" t="n">
        <v>7</v>
      </c>
      <c r="X8" s="26" t="n">
        <v>6</v>
      </c>
      <c r="Y8" s="38" t="n"/>
      <c r="Z8" s="26" t="n"/>
      <c r="AA8" s="28" t="n"/>
      <c r="AB8" s="28" t="n"/>
      <c r="AC8" s="40" t="n">
        <v>-1</v>
      </c>
      <c r="AD8" s="24" t="inlineStr">
        <is>
          <t>2026-07-18T23:59:20.634092Z</t>
        </is>
      </c>
      <c r="AE8" s="31" t="inlineStr">
        <is>
          <t>Learned LR call at threshold 0.5500; executable ask 0.5150 (aec-mlb-tex-atl-2026-07-18).</t>
        </is>
      </c>
      <c r="AF8" s="31" t="inlineStr">
        <is>
          <t>Learned model; promotion gate not yet open; zero-unit research until review.</t>
        </is>
      </c>
      <c r="AG8" s="24" t="inlineStr">
        <is>
          <t>review_required</t>
        </is>
      </c>
      <c r="AH8" s="24" t="n"/>
      <c r="AI8" s="31" t="n"/>
      <c r="AJ8" s="31" t="n"/>
      <c r="AK8" s="24" t="inlineStr">
        <is>
          <t>research_observation</t>
        </is>
      </c>
      <c r="AL8" s="26" t="n">
        <v>3</v>
      </c>
      <c r="AM8" s="24" t="inlineStr">
        <is>
          <t>RESEARCH_OBSERVATION</t>
        </is>
      </c>
      <c r="AN8" s="24" t="inlineStr">
        <is>
          <t>NO_CALL</t>
        </is>
      </c>
      <c r="AO8" s="24" t="inlineStr">
        <is>
          <t>NO_CALL_MODEL_UNVALIDATED</t>
        </is>
      </c>
      <c r="AP8" s="24" t="inlineStr">
        <is>
          <t>mlb-tex</t>
        </is>
      </c>
      <c r="AQ8" s="24" t="inlineStr">
        <is>
          <t>Texas Rangers</t>
        </is>
      </c>
      <c r="AR8" s="24" t="inlineStr">
        <is>
          <t>Texas Rangers</t>
        </is>
      </c>
      <c r="AS8" s="24" t="inlineStr">
        <is>
          <t>mlb-atl</t>
        </is>
      </c>
      <c r="AT8" s="24" t="inlineStr">
        <is>
          <t>Atlanta Braves</t>
        </is>
      </c>
      <c r="AU8" s="24" t="inlineStr">
        <is>
          <t>Atlanta Braves</t>
        </is>
      </c>
      <c r="AV8" s="24" t="n"/>
      <c r="AW8" s="24" t="n"/>
      <c r="AX8" s="24" t="inlineStr">
        <is>
          <t>statistical_model</t>
        </is>
      </c>
      <c r="AY8" s="24" t="n"/>
      <c r="AZ8" s="24" t="inlineStr">
        <is>
          <t>research</t>
        </is>
      </c>
      <c r="BA8" s="24" t="inlineStr">
        <is>
          <t>5224fb6ffbc9ddf8fa517627b830ac851192da94d241963d556945393a42bb9d</t>
        </is>
      </c>
      <c r="BB8" s="24" t="inlineStr">
        <is>
          <t>learned_lr</t>
        </is>
      </c>
      <c r="BC8" s="24" t="inlineStr">
        <is>
          <t>mlb-elo-trend-lr-v4</t>
        </is>
      </c>
      <c r="BD8" s="24" t="inlineStr">
        <is>
          <t>5224fb6ffbc9ddf8fa517627b830ac851192da94d241963d556945393a42bb9d</t>
        </is>
      </c>
      <c r="BE8" s="24" t="inlineStr">
        <is>
          <t>a999da31a6f5af28</t>
        </is>
      </c>
      <c r="BF8" s="24" t="inlineStr">
        <is>
          <t>1</t>
        </is>
      </c>
      <c r="BG8" s="24" t="inlineStr">
        <is>
          <t>mlb-elo-trend-lr-v3</t>
        </is>
      </c>
      <c r="BH8" s="24" t="inlineStr">
        <is>
          <t>2026-07-18T16:42:57.199270Z</t>
        </is>
      </c>
      <c r="BI8" s="24" t="inlineStr">
        <is>
          <t>["same_event","same_team_same_day","same_league_same_day"]</t>
        </is>
      </c>
      <c r="BJ8" s="38" t="n"/>
      <c r="BK8" s="26" t="n">
        <v>-106</v>
      </c>
      <c r="BL8" s="39" t="n">
        <v>1.943396</v>
      </c>
      <c r="BM8" s="28" t="n">
        <v>0.514563</v>
      </c>
      <c r="BN8" s="28" t="n">
        <v>0.5124379999999999</v>
      </c>
      <c r="BO8" s="28" t="n"/>
      <c r="BP8" s="38" t="n"/>
      <c r="BQ8" s="39" t="n"/>
      <c r="BR8" s="28" t="n"/>
      <c r="BS8" s="28" t="n"/>
      <c r="BT8" s="28" t="n"/>
      <c r="BU8" s="38" t="n"/>
      <c r="BV8" s="29" t="n"/>
      <c r="BW8" s="24" t="n"/>
      <c r="BX8" s="40" t="n">
        <v>1</v>
      </c>
      <c r="BY8" s="39" t="n">
        <v>-1</v>
      </c>
      <c r="BZ8" s="24" t="inlineStr">
        <is>
          <t>2026-07-18T23:59:20.634092Z</t>
        </is>
      </c>
      <c r="CA8" s="31" t="inlineStr">
        <is>
          <t>fixed one-unit hypothetical scoring; no real exposure or execution</t>
        </is>
      </c>
    </row>
    <row r="9" ht="36" customHeight="1">
      <c r="A9" s="24" t="inlineStr">
        <is>
          <t>634e9b9c56164f59</t>
        </is>
      </c>
      <c r="B9" s="24" t="inlineStr">
        <is>
          <t>2026-07-18T16:44:20.099051Z</t>
        </is>
      </c>
      <c r="C9" s="24" t="inlineStr">
        <is>
          <t>2026-07-18T19:10:00-0400</t>
        </is>
      </c>
      <c r="D9" s="24" t="inlineStr">
        <is>
          <t>401816159</t>
        </is>
      </c>
      <c r="E9" s="24" t="inlineStr">
        <is>
          <t>MLB</t>
        </is>
      </c>
      <c r="F9" s="24" t="inlineStr">
        <is>
          <t>Pittsburgh Pirates</t>
        </is>
      </c>
      <c r="G9" s="24" t="inlineStr">
        <is>
          <t>Cleveland Guardians</t>
        </is>
      </c>
      <c r="H9" s="24" t="inlineStr">
        <is>
          <t>moneyline</t>
        </is>
      </c>
      <c r="I9" s="24" t="inlineStr">
        <is>
          <t>home</t>
        </is>
      </c>
      <c r="J9" s="38" t="n"/>
      <c r="K9" s="24" t="inlineStr">
        <is>
          <t>polymarket_us</t>
        </is>
      </c>
      <c r="L9" s="26" t="n">
        <v>-102</v>
      </c>
      <c r="M9" s="39" t="n">
        <v>1.980392</v>
      </c>
      <c r="N9" s="28" t="n">
        <v>0.50495</v>
      </c>
      <c r="O9" s="28" t="n">
        <v>0.554084</v>
      </c>
      <c r="P9" s="28" t="n"/>
      <c r="Q9" s="28" t="n">
        <v>0.049134</v>
      </c>
      <c r="R9" s="26" t="n">
        <v>49</v>
      </c>
      <c r="S9" s="29" t="n">
        <v>1</v>
      </c>
      <c r="T9" s="24" t="inlineStr">
        <is>
          <t>mlb-elo-trend-lr-v4</t>
        </is>
      </c>
      <c r="U9" s="24" t="inlineStr">
        <is>
          <t>settled</t>
        </is>
      </c>
      <c r="V9" s="24" t="inlineStr">
        <is>
          <t>win</t>
        </is>
      </c>
      <c r="W9" s="26" t="n">
        <v>3</v>
      </c>
      <c r="X9" s="26" t="n">
        <v>5</v>
      </c>
      <c r="Y9" s="38" t="n"/>
      <c r="Z9" s="26" t="n"/>
      <c r="AA9" s="28" t="n"/>
      <c r="AB9" s="28" t="n"/>
      <c r="AC9" s="40" t="n">
        <v>0.9804</v>
      </c>
      <c r="AD9" s="24" t="inlineStr">
        <is>
          <t>2026-07-18T23:59:20.697637Z</t>
        </is>
      </c>
      <c r="AE9" s="31" t="inlineStr">
        <is>
          <t>Learned LR call at threshold 0.5500; executable ask 0.5050 (aec-mlb-pit-cle-2026-07-18).</t>
        </is>
      </c>
      <c r="AF9" s="31" t="inlineStr">
        <is>
          <t>Learned model; promotion gate not yet open; zero-unit research until review.</t>
        </is>
      </c>
      <c r="AG9" s="24" t="inlineStr">
        <is>
          <t>review_required</t>
        </is>
      </c>
      <c r="AH9" s="24" t="n"/>
      <c r="AI9" s="31" t="n"/>
      <c r="AJ9" s="31" t="n"/>
      <c r="AK9" s="24" t="inlineStr">
        <is>
          <t>research_observation</t>
        </is>
      </c>
      <c r="AL9" s="26" t="n">
        <v>3</v>
      </c>
      <c r="AM9" s="24" t="inlineStr">
        <is>
          <t>RESEARCH_OBSERVATION</t>
        </is>
      </c>
      <c r="AN9" s="24" t="inlineStr">
        <is>
          <t>NO_CALL</t>
        </is>
      </c>
      <c r="AO9" s="24" t="inlineStr">
        <is>
          <t>NO_CALL_MODEL_UNVALIDATED</t>
        </is>
      </c>
      <c r="AP9" s="24" t="inlineStr">
        <is>
          <t>mlb-pit</t>
        </is>
      </c>
      <c r="AQ9" s="24" t="inlineStr">
        <is>
          <t>Pittsburgh Pirates</t>
        </is>
      </c>
      <c r="AR9" s="24" t="inlineStr">
        <is>
          <t>Pittsburgh Pirates</t>
        </is>
      </c>
      <c r="AS9" s="24" t="inlineStr">
        <is>
          <t>mlb-cle</t>
        </is>
      </c>
      <c r="AT9" s="24" t="inlineStr">
        <is>
          <t>Cleveland Guardians</t>
        </is>
      </c>
      <c r="AU9" s="24" t="inlineStr">
        <is>
          <t>Cleveland Guardians</t>
        </is>
      </c>
      <c r="AV9" s="24" t="n"/>
      <c r="AW9" s="24" t="n"/>
      <c r="AX9" s="24" t="inlineStr">
        <is>
          <t>statistical_model</t>
        </is>
      </c>
      <c r="AY9" s="24" t="n"/>
      <c r="AZ9" s="24" t="inlineStr">
        <is>
          <t>research</t>
        </is>
      </c>
      <c r="BA9" s="24" t="inlineStr">
        <is>
          <t>5224fb6ffbc9ddf8fa517627b830ac851192da94d241963d556945393a42bb9d</t>
        </is>
      </c>
      <c r="BB9" s="24" t="inlineStr">
        <is>
          <t>learned_lr</t>
        </is>
      </c>
      <c r="BC9" s="24" t="inlineStr">
        <is>
          <t>mlb-elo-trend-lr-v4</t>
        </is>
      </c>
      <c r="BD9" s="24" t="inlineStr">
        <is>
          <t>5224fb6ffbc9ddf8fa517627b830ac851192da94d241963d556945393a42bb9d</t>
        </is>
      </c>
      <c r="BE9" s="24" t="inlineStr">
        <is>
          <t>3c0f9e9f1d0333c4</t>
        </is>
      </c>
      <c r="BF9" s="24" t="inlineStr">
        <is>
          <t>1</t>
        </is>
      </c>
      <c r="BG9" s="24" t="inlineStr">
        <is>
          <t>mlb-elo-trend-lr-v3</t>
        </is>
      </c>
      <c r="BH9" s="24" t="inlineStr">
        <is>
          <t>2026-07-18T16:42:59.880808Z</t>
        </is>
      </c>
      <c r="BI9" s="24" t="inlineStr">
        <is>
          <t>["same_event","same_team_same_day","same_league_same_day"]</t>
        </is>
      </c>
      <c r="BJ9" s="38" t="n"/>
      <c r="BK9" s="26" t="n">
        <v>-102</v>
      </c>
      <c r="BL9" s="39" t="n">
        <v>1.980392</v>
      </c>
      <c r="BM9" s="28" t="n">
        <v>0.50495</v>
      </c>
      <c r="BN9" s="28" t="n">
        <v>0.502488</v>
      </c>
      <c r="BO9" s="28" t="n"/>
      <c r="BP9" s="38" t="n"/>
      <c r="BQ9" s="39" t="n"/>
      <c r="BR9" s="28" t="n"/>
      <c r="BS9" s="28" t="n"/>
      <c r="BT9" s="28" t="n"/>
      <c r="BU9" s="38" t="n"/>
      <c r="BV9" s="29" t="n"/>
      <c r="BW9" s="24" t="n"/>
      <c r="BX9" s="40" t="n">
        <v>1</v>
      </c>
      <c r="BY9" s="39" t="n">
        <v>0.980392</v>
      </c>
      <c r="BZ9" s="24" t="inlineStr">
        <is>
          <t>2026-07-18T23:59:20.697637Z</t>
        </is>
      </c>
      <c r="CA9" s="31" t="inlineStr">
        <is>
          <t>fixed one-unit hypothetical scoring; no real exposure or execution</t>
        </is>
      </c>
    </row>
    <row r="10" ht="36" customHeight="1">
      <c r="A10" s="24" t="inlineStr">
        <is>
          <t>0a1abd6e59a84720</t>
        </is>
      </c>
      <c r="B10" s="24" t="inlineStr">
        <is>
          <t>2026-07-18T16:44:20.099051Z</t>
        </is>
      </c>
      <c r="C10" s="24" t="inlineStr">
        <is>
          <t>2026-07-18T20:08:00-0400</t>
        </is>
      </c>
      <c r="D10" s="24" t="inlineStr">
        <is>
          <t>401816168</t>
        </is>
      </c>
      <c r="E10" s="24" t="inlineStr">
        <is>
          <t>MLB</t>
        </is>
      </c>
      <c r="F10" s="24" t="inlineStr">
        <is>
          <t>San Francisco Giants</t>
        </is>
      </c>
      <c r="G10" s="24" t="inlineStr">
        <is>
          <t>Seattle Mariners</t>
        </is>
      </c>
      <c r="H10" s="24" t="inlineStr">
        <is>
          <t>moneyline</t>
        </is>
      </c>
      <c r="I10" s="24" t="inlineStr">
        <is>
          <t>home</t>
        </is>
      </c>
      <c r="J10" s="38" t="n"/>
      <c r="K10" s="24" t="inlineStr">
        <is>
          <t>polymarket_us</t>
        </is>
      </c>
      <c r="L10" s="26" t="n">
        <v>-138</v>
      </c>
      <c r="M10" s="39" t="n">
        <v>1.724638</v>
      </c>
      <c r="N10" s="28" t="n">
        <v>0.579832</v>
      </c>
      <c r="O10" s="28" t="n">
        <v>0.627758</v>
      </c>
      <c r="P10" s="28" t="n"/>
      <c r="Q10" s="28" t="n">
        <v>0.047926</v>
      </c>
      <c r="R10" s="26" t="n">
        <v>47</v>
      </c>
      <c r="S10" s="29" t="n">
        <v>1.75</v>
      </c>
      <c r="T10" s="24" t="inlineStr">
        <is>
          <t>mlb-elo-trend-lr-v4</t>
        </is>
      </c>
      <c r="U10" s="24" t="inlineStr">
        <is>
          <t>settled</t>
        </is>
      </c>
      <c r="V10" s="24" t="inlineStr">
        <is>
          <t>win</t>
        </is>
      </c>
      <c r="W10" s="26" t="n">
        <v>3</v>
      </c>
      <c r="X10" s="26" t="n">
        <v>4</v>
      </c>
      <c r="Y10" s="38" t="n"/>
      <c r="Z10" s="26" t="n"/>
      <c r="AA10" s="28" t="n"/>
      <c r="AB10" s="28" t="n"/>
      <c r="AC10" s="40" t="n">
        <v>1.2681</v>
      </c>
      <c r="AD10" s="24" t="inlineStr">
        <is>
          <t>2026-07-19T06:08:38.177875Z</t>
        </is>
      </c>
      <c r="AE10" s="31" t="inlineStr">
        <is>
          <t>Learned LR call at threshold 0.5500; executable ask 0.5800 (aec-mlb-sf-sea-2026-07-18).</t>
        </is>
      </c>
      <c r="AF10" s="31" t="inlineStr">
        <is>
          <t>Learned model; promotion gate not yet open; zero-unit research until review.</t>
        </is>
      </c>
      <c r="AG10" s="24" t="inlineStr">
        <is>
          <t>not_applicable</t>
        </is>
      </c>
      <c r="AH10" s="24" t="n"/>
      <c r="AI10" s="31" t="n"/>
      <c r="AJ10" s="31" t="n"/>
      <c r="AK10" s="24" t="inlineStr">
        <is>
          <t>research_observation</t>
        </is>
      </c>
      <c r="AL10" s="26" t="n">
        <v>3</v>
      </c>
      <c r="AM10" s="24" t="inlineStr">
        <is>
          <t>RESEARCH_OBSERVATION</t>
        </is>
      </c>
      <c r="AN10" s="24" t="inlineStr">
        <is>
          <t>NO_CALL</t>
        </is>
      </c>
      <c r="AO10" s="24" t="inlineStr">
        <is>
          <t>NO_CALL_MODEL_UNVALIDATED</t>
        </is>
      </c>
      <c r="AP10" s="24" t="inlineStr">
        <is>
          <t>mlb-sf</t>
        </is>
      </c>
      <c r="AQ10" s="24" t="inlineStr">
        <is>
          <t>San Francisco Giants</t>
        </is>
      </c>
      <c r="AR10" s="24" t="inlineStr">
        <is>
          <t>San Francisco Giants</t>
        </is>
      </c>
      <c r="AS10" s="24" t="inlineStr">
        <is>
          <t>mlb-sea</t>
        </is>
      </c>
      <c r="AT10" s="24" t="inlineStr">
        <is>
          <t>Seattle Mariners</t>
        </is>
      </c>
      <c r="AU10" s="24" t="inlineStr">
        <is>
          <t>Seattle Mariners</t>
        </is>
      </c>
      <c r="AV10" s="24" t="n"/>
      <c r="AW10" s="24" t="n"/>
      <c r="AX10" s="24" t="inlineStr">
        <is>
          <t>statistical_model</t>
        </is>
      </c>
      <c r="AY10" s="24" t="n"/>
      <c r="AZ10" s="24" t="inlineStr">
        <is>
          <t>research</t>
        </is>
      </c>
      <c r="BA10" s="24" t="inlineStr">
        <is>
          <t>5224fb6ffbc9ddf8fa517627b830ac851192da94d241963d556945393a42bb9d</t>
        </is>
      </c>
      <c r="BB10" s="24" t="inlineStr">
        <is>
          <t>learned_lr</t>
        </is>
      </c>
      <c r="BC10" s="24" t="inlineStr">
        <is>
          <t>mlb-elo-trend-lr-v4</t>
        </is>
      </c>
      <c r="BD10" s="24" t="inlineStr">
        <is>
          <t>5224fb6ffbc9ddf8fa517627b830ac851192da94d241963d556945393a42bb9d</t>
        </is>
      </c>
      <c r="BE10" s="24" t="inlineStr">
        <is>
          <t>29d502a7704e228f</t>
        </is>
      </c>
      <c r="BF10" s="24" t="inlineStr">
        <is>
          <t>1</t>
        </is>
      </c>
      <c r="BG10" s="24" t="inlineStr">
        <is>
          <t>mlb-elo-trend-lr-v3</t>
        </is>
      </c>
      <c r="BH10" s="24" t="inlineStr">
        <is>
          <t>2026-07-18T16:43:04.779295Z</t>
        </is>
      </c>
      <c r="BI10" s="24" t="inlineStr">
        <is>
          <t>["same_event","same_team_same_day","same_league_same_day"]</t>
        </is>
      </c>
      <c r="BJ10" s="38" t="n"/>
      <c r="BK10" s="26" t="n">
        <v>-138</v>
      </c>
      <c r="BL10" s="39" t="n">
        <v>1.724638</v>
      </c>
      <c r="BM10" s="28" t="n">
        <v>0.579832</v>
      </c>
      <c r="BN10" s="28" t="n">
        <v>0.577114</v>
      </c>
      <c r="BO10" s="28" t="n"/>
      <c r="BP10" s="38" t="n"/>
      <c r="BQ10" s="39" t="n"/>
      <c r="BR10" s="28" t="n"/>
      <c r="BS10" s="28" t="n"/>
      <c r="BT10" s="28" t="n"/>
      <c r="BU10" s="38" t="n"/>
      <c r="BV10" s="29" t="n"/>
      <c r="BW10" s="24" t="n"/>
      <c r="BX10" s="40" t="n">
        <v>1</v>
      </c>
      <c r="BY10" s="39" t="n">
        <v>0.724638</v>
      </c>
      <c r="BZ10" s="24" t="inlineStr">
        <is>
          <t>2026-07-19T06:08:38.177875Z</t>
        </is>
      </c>
      <c r="CA10" s="31" t="inlineStr">
        <is>
          <t>fixed one-unit hypothetical scoring; no real exposure or execution</t>
        </is>
      </c>
    </row>
    <row r="11" ht="36" customHeight="1">
      <c r="A11" s="24" t="inlineStr">
        <is>
          <t>534daa3057c4428f</t>
        </is>
      </c>
      <c r="B11" s="24" t="inlineStr">
        <is>
          <t>2026-07-18T16:44:20.099051Z</t>
        </is>
      </c>
      <c r="C11" s="24" t="inlineStr">
        <is>
          <t>2026-07-18T22:05:00-0400</t>
        </is>
      </c>
      <c r="D11" s="24" t="inlineStr">
        <is>
          <t>401816170</t>
        </is>
      </c>
      <c r="E11" s="24" t="inlineStr">
        <is>
          <t>MLB</t>
        </is>
      </c>
      <c r="F11" s="24" t="inlineStr">
        <is>
          <t>Washington Nationals</t>
        </is>
      </c>
      <c r="G11" s="24" t="inlineStr">
        <is>
          <t>Athletics</t>
        </is>
      </c>
      <c r="H11" s="24" t="inlineStr">
        <is>
          <t>moneyline</t>
        </is>
      </c>
      <c r="I11" s="24" t="inlineStr">
        <is>
          <t>home</t>
        </is>
      </c>
      <c r="J11" s="38" t="n"/>
      <c r="K11" s="24" t="inlineStr">
        <is>
          <t>polymarket_us</t>
        </is>
      </c>
      <c r="L11" s="26" t="n">
        <v>102</v>
      </c>
      <c r="M11" s="39" t="n">
        <v>2.02</v>
      </c>
      <c r="N11" s="28" t="n">
        <v>0.49505</v>
      </c>
      <c r="O11" s="28" t="n">
        <v>0.569735</v>
      </c>
      <c r="P11" s="28" t="n"/>
      <c r="Q11" s="28" t="n">
        <v>0.074685</v>
      </c>
      <c r="R11" s="26" t="n">
        <v>74</v>
      </c>
      <c r="S11" s="29" t="n">
        <v>1.25</v>
      </c>
      <c r="T11" s="24" t="inlineStr">
        <is>
          <t>mlb-elo-trend-lr-v4</t>
        </is>
      </c>
      <c r="U11" s="24" t="inlineStr">
        <is>
          <t>settled</t>
        </is>
      </c>
      <c r="V11" s="24" t="inlineStr">
        <is>
          <t>win</t>
        </is>
      </c>
      <c r="W11" s="26" t="n">
        <v>1</v>
      </c>
      <c r="X11" s="26" t="n">
        <v>15</v>
      </c>
      <c r="Y11" s="38" t="n"/>
      <c r="Z11" s="26" t="n"/>
      <c r="AA11" s="28" t="n"/>
      <c r="AB11" s="28" t="n"/>
      <c r="AC11" s="40" t="n">
        <v>1.275</v>
      </c>
      <c r="AD11" s="24" t="inlineStr">
        <is>
          <t>2026-07-19T06:08:38.355137Z</t>
        </is>
      </c>
      <c r="AE11" s="31" t="inlineStr">
        <is>
          <t>Learned LR call at threshold 0.5500; executable ask 0.4950 (aec-mlb-wsh-ath-2026-07-18).</t>
        </is>
      </c>
      <c r="AF11" s="31" t="inlineStr">
        <is>
          <t>Learned model; promotion gate not yet open; zero-unit research until review.</t>
        </is>
      </c>
      <c r="AG11" s="24" t="inlineStr">
        <is>
          <t>not_applicable</t>
        </is>
      </c>
      <c r="AH11" s="24" t="n"/>
      <c r="AI11" s="31" t="n"/>
      <c r="AJ11" s="31" t="n"/>
      <c r="AK11" s="24" t="inlineStr">
        <is>
          <t>research_observation</t>
        </is>
      </c>
      <c r="AL11" s="26" t="n">
        <v>3</v>
      </c>
      <c r="AM11" s="24" t="inlineStr">
        <is>
          <t>RESEARCH_OBSERVATION</t>
        </is>
      </c>
      <c r="AN11" s="24" t="inlineStr">
        <is>
          <t>NO_CALL</t>
        </is>
      </c>
      <c r="AO11" s="24" t="inlineStr">
        <is>
          <t>NO_CALL_MODEL_UNVALIDATED</t>
        </is>
      </c>
      <c r="AP11" s="24" t="inlineStr">
        <is>
          <t>mlb-wsh</t>
        </is>
      </c>
      <c r="AQ11" s="24" t="inlineStr">
        <is>
          <t>Washington Nationals</t>
        </is>
      </c>
      <c r="AR11" s="24" t="inlineStr">
        <is>
          <t>Washington Nationals</t>
        </is>
      </c>
      <c r="AS11" s="24" t="inlineStr">
        <is>
          <t>mlb-ath</t>
        </is>
      </c>
      <c r="AT11" s="24" t="inlineStr">
        <is>
          <t>Athletics</t>
        </is>
      </c>
      <c r="AU11" s="24" t="inlineStr">
        <is>
          <t>Athletics</t>
        </is>
      </c>
      <c r="AV11" s="24" t="n"/>
      <c r="AW11" s="24" t="n"/>
      <c r="AX11" s="24" t="inlineStr">
        <is>
          <t>statistical_model</t>
        </is>
      </c>
      <c r="AY11" s="24" t="n"/>
      <c r="AZ11" s="24" t="inlineStr">
        <is>
          <t>research</t>
        </is>
      </c>
      <c r="BA11" s="24" t="inlineStr">
        <is>
          <t>5224fb6ffbc9ddf8fa517627b830ac851192da94d241963d556945393a42bb9d</t>
        </is>
      </c>
      <c r="BB11" s="24" t="inlineStr">
        <is>
          <t>learned_lr</t>
        </is>
      </c>
      <c r="BC11" s="24" t="inlineStr">
        <is>
          <t>mlb-elo-trend-lr-v4</t>
        </is>
      </c>
      <c r="BD11" s="24" t="inlineStr">
        <is>
          <t>5224fb6ffbc9ddf8fa517627b830ac851192da94d241963d556945393a42bb9d</t>
        </is>
      </c>
      <c r="BE11" s="24" t="inlineStr">
        <is>
          <t>d2faed7be6c04691</t>
        </is>
      </c>
      <c r="BF11" s="24" t="inlineStr">
        <is>
          <t>1</t>
        </is>
      </c>
      <c r="BG11" s="24" t="inlineStr">
        <is>
          <t>mlb-elo-trend-lr-v3</t>
        </is>
      </c>
      <c r="BH11" s="24" t="inlineStr">
        <is>
          <t>2026-07-18T16:43:06.321641Z</t>
        </is>
      </c>
      <c r="BI11" s="24" t="inlineStr">
        <is>
          <t>["same_event","same_team_same_day","same_league_same_day"]</t>
        </is>
      </c>
      <c r="BJ11" s="38" t="n"/>
      <c r="BK11" s="26" t="n">
        <v>102</v>
      </c>
      <c r="BL11" s="39" t="n">
        <v>2.02</v>
      </c>
      <c r="BM11" s="28" t="n">
        <v>0.49505</v>
      </c>
      <c r="BN11" s="28" t="n">
        <v>0.492537</v>
      </c>
      <c r="BO11" s="28" t="n"/>
      <c r="BP11" s="38" t="n"/>
      <c r="BQ11" s="39" t="n"/>
      <c r="BR11" s="28" t="n"/>
      <c r="BS11" s="28" t="n"/>
      <c r="BT11" s="28" t="n"/>
      <c r="BU11" s="38" t="n"/>
      <c r="BV11" s="29" t="n"/>
      <c r="BW11" s="24" t="n"/>
      <c r="BX11" s="40" t="n">
        <v>1</v>
      </c>
      <c r="BY11" s="39" t="n">
        <v>1.02</v>
      </c>
      <c r="BZ11" s="24" t="inlineStr">
        <is>
          <t>2026-07-19T06:08:38.355137Z</t>
        </is>
      </c>
      <c r="CA11" s="31" t="inlineStr">
        <is>
          <t>fixed one-unit hypothetical scoring; no real exposure or execution</t>
        </is>
      </c>
    </row>
    <row r="12" ht="36" customHeight="1">
      <c r="A12" s="24" t="inlineStr">
        <is>
          <t>5ab4cdd6444d4f9b</t>
        </is>
      </c>
      <c r="B12" s="24" t="inlineStr">
        <is>
          <t>2026-07-18T16:50:38.270483Z</t>
        </is>
      </c>
      <c r="C12" s="24" t="inlineStr">
        <is>
          <t>2026-07-18T16:10:00-0400</t>
        </is>
      </c>
      <c r="D12" s="24" t="inlineStr">
        <is>
          <t>401816162</t>
        </is>
      </c>
      <c r="E12" s="24" t="inlineStr">
        <is>
          <t>MLB</t>
        </is>
      </c>
      <c r="F12" s="24" t="inlineStr">
        <is>
          <t>Baltimore Orioles</t>
        </is>
      </c>
      <c r="G12" s="24" t="inlineStr">
        <is>
          <t>Houston Astros</t>
        </is>
      </c>
      <c r="H12" s="24" t="inlineStr">
        <is>
          <t>moneyline</t>
        </is>
      </c>
      <c r="I12" s="24" t="inlineStr">
        <is>
          <t>home</t>
        </is>
      </c>
      <c r="J12" s="38" t="n"/>
      <c r="K12" s="24" t="inlineStr">
        <is>
          <t>polymarket_us</t>
        </is>
      </c>
      <c r="L12" s="26" t="n">
        <v>-102</v>
      </c>
      <c r="M12" s="39" t="n">
        <v>1.980392</v>
      </c>
      <c r="N12" s="28" t="n">
        <v>0.50495</v>
      </c>
      <c r="O12" s="28" t="n">
        <v>0.545167</v>
      </c>
      <c r="P12" s="28" t="n"/>
      <c r="Q12" s="28" t="n">
        <v>0.040217</v>
      </c>
      <c r="R12" s="26" t="n">
        <v>40</v>
      </c>
      <c r="S12" s="29" t="n">
        <v>1</v>
      </c>
      <c r="T12" s="24" t="inlineStr">
        <is>
          <t>mlb-elo-trend-lr-v4</t>
        </is>
      </c>
      <c r="U12" s="24" t="inlineStr">
        <is>
          <t>settled</t>
        </is>
      </c>
      <c r="V12" s="24" t="inlineStr">
        <is>
          <t>loss</t>
        </is>
      </c>
      <c r="W12" s="26" t="n">
        <v>4</v>
      </c>
      <c r="X12" s="26" t="n">
        <v>2</v>
      </c>
      <c r="Y12" s="38" t="n"/>
      <c r="Z12" s="26" t="n"/>
      <c r="AA12" s="28" t="n"/>
      <c r="AB12" s="28" t="n"/>
      <c r="AC12" s="40" t="n">
        <v>-1</v>
      </c>
      <c r="AD12" s="24" t="inlineStr">
        <is>
          <t>2026-07-18T23:59:20.760772Z</t>
        </is>
      </c>
      <c r="AE12" s="31" t="inlineStr">
        <is>
          <t>Learned LR call at threshold 0.5100; executable ask 0.5050 (aec-mlb-bal-hou-2026-07-18).</t>
        </is>
      </c>
      <c r="AF12" s="31" t="inlineStr">
        <is>
          <t>Learned model; promotion gate not yet open; zero-unit research until review.</t>
        </is>
      </c>
      <c r="AG12" s="24" t="inlineStr">
        <is>
          <t>review_required</t>
        </is>
      </c>
      <c r="AH12" s="24" t="n"/>
      <c r="AI12" s="31" t="n"/>
      <c r="AJ12" s="31" t="n"/>
      <c r="AK12" s="24" t="inlineStr">
        <is>
          <t>research_observation</t>
        </is>
      </c>
      <c r="AL12" s="26" t="n">
        <v>3</v>
      </c>
      <c r="AM12" s="24" t="inlineStr">
        <is>
          <t>RESEARCH_OBSERVATION</t>
        </is>
      </c>
      <c r="AN12" s="24" t="inlineStr">
        <is>
          <t>NO_CALL</t>
        </is>
      </c>
      <c r="AO12" s="24" t="inlineStr">
        <is>
          <t>NO_CALL_MODEL_UNVALIDATED</t>
        </is>
      </c>
      <c r="AP12" s="24" t="inlineStr">
        <is>
          <t>mlb-bal</t>
        </is>
      </c>
      <c r="AQ12" s="24" t="inlineStr">
        <is>
          <t>Baltimore Orioles</t>
        </is>
      </c>
      <c r="AR12" s="24" t="inlineStr">
        <is>
          <t>Baltimore Orioles</t>
        </is>
      </c>
      <c r="AS12" s="24" t="inlineStr">
        <is>
          <t>mlb-hou</t>
        </is>
      </c>
      <c r="AT12" s="24" t="inlineStr">
        <is>
          <t>Houston Astros</t>
        </is>
      </c>
      <c r="AU12" s="24" t="inlineStr">
        <is>
          <t>Houston Astros</t>
        </is>
      </c>
      <c r="AV12" s="24" t="n"/>
      <c r="AW12" s="24" t="n"/>
      <c r="AX12" s="24" t="inlineStr">
        <is>
          <t>statistical_model</t>
        </is>
      </c>
      <c r="AY12" s="24" t="n"/>
      <c r="AZ12" s="24" t="inlineStr">
        <is>
          <t>research</t>
        </is>
      </c>
      <c r="BA12" s="24" t="inlineStr">
        <is>
          <t>5224fb6ffbc9ddf8fa517627b830ac851192da94d241963d556945393a42bb9d</t>
        </is>
      </c>
      <c r="BB12" s="24" t="inlineStr">
        <is>
          <t>learned_lr</t>
        </is>
      </c>
      <c r="BC12" s="24" t="inlineStr">
        <is>
          <t>mlb-elo-trend-lr-v4</t>
        </is>
      </c>
      <c r="BD12" s="24" t="inlineStr">
        <is>
          <t>5224fb6ffbc9ddf8fa517627b830ac851192da94d241963d556945393a42bb9d</t>
        </is>
      </c>
      <c r="BE12" s="24" t="inlineStr">
        <is>
          <t>f6cae9c590f4ed48</t>
        </is>
      </c>
      <c r="BF12" s="24" t="inlineStr">
        <is>
          <t>1</t>
        </is>
      </c>
      <c r="BG12" s="24" t="inlineStr">
        <is>
          <t>mlb-elo-trend-lr-v3</t>
        </is>
      </c>
      <c r="BH12" s="24" t="inlineStr">
        <is>
          <t>2026-07-18T16:49:31.642864Z</t>
        </is>
      </c>
      <c r="BI12" s="24" t="inlineStr">
        <is>
          <t>["same_event","same_team_same_day","same_league_same_day"]</t>
        </is>
      </c>
      <c r="BJ12" s="38" t="n"/>
      <c r="BK12" s="26" t="n">
        <v>-102</v>
      </c>
      <c r="BL12" s="39" t="n">
        <v>1.980392</v>
      </c>
      <c r="BM12" s="28" t="n">
        <v>0.50495</v>
      </c>
      <c r="BN12" s="28" t="n">
        <v>0.502488</v>
      </c>
      <c r="BO12" s="28" t="n"/>
      <c r="BP12" s="38" t="n"/>
      <c r="BQ12" s="39" t="n"/>
      <c r="BR12" s="28" t="n"/>
      <c r="BS12" s="28" t="n"/>
      <c r="BT12" s="28" t="n"/>
      <c r="BU12" s="38" t="n"/>
      <c r="BV12" s="29" t="n"/>
      <c r="BW12" s="24" t="n"/>
      <c r="BX12" s="40" t="n">
        <v>1</v>
      </c>
      <c r="BY12" s="39" t="n">
        <v>-1</v>
      </c>
      <c r="BZ12" s="24" t="inlineStr">
        <is>
          <t>2026-07-18T23:59:20.760772Z</t>
        </is>
      </c>
      <c r="CA12" s="31" t="inlineStr">
        <is>
          <t>fixed one-unit hypothetical scoring; no real exposure or execution</t>
        </is>
      </c>
    </row>
    <row r="13" ht="36" customHeight="1">
      <c r="A13" s="24" t="inlineStr">
        <is>
          <t>6768ed78d65e4f03</t>
        </is>
      </c>
      <c r="B13" s="24" t="inlineStr">
        <is>
          <t>2026-07-18T17:28:36.828868Z</t>
        </is>
      </c>
      <c r="C13" s="24" t="inlineStr">
        <is>
          <t>2026-07-18T16:10:00-0400</t>
        </is>
      </c>
      <c r="D13" s="24" t="inlineStr">
        <is>
          <t>401816160</t>
        </is>
      </c>
      <c r="E13" s="24" t="inlineStr">
        <is>
          <t>MLB</t>
        </is>
      </c>
      <c r="F13" s="24" t="inlineStr">
        <is>
          <t>Tampa Bay Rays</t>
        </is>
      </c>
      <c r="G13" s="24" t="inlineStr">
        <is>
          <t>Boston Red Sox</t>
        </is>
      </c>
      <c r="H13" s="24" t="inlineStr">
        <is>
          <t>moneyline</t>
        </is>
      </c>
      <c r="I13" s="24" t="inlineStr">
        <is>
          <t>home</t>
        </is>
      </c>
      <c r="J13" s="38" t="n"/>
      <c r="K13" s="24" t="inlineStr">
        <is>
          <t>polymarket_us</t>
        </is>
      </c>
      <c r="L13" s="26" t="n">
        <v>-102</v>
      </c>
      <c r="M13" s="39" t="n">
        <v>1.980392</v>
      </c>
      <c r="N13" s="28" t="n">
        <v>0.50495</v>
      </c>
      <c r="O13" s="28" t="n">
        <v>0.5727179999999999</v>
      </c>
      <c r="P13" s="28" t="n"/>
      <c r="Q13" s="28" t="n">
        <v>0.06776799999999999</v>
      </c>
      <c r="R13" s="26" t="n">
        <v>67</v>
      </c>
      <c r="S13" s="29" t="n">
        <v>1.25</v>
      </c>
      <c r="T13" s="24" t="inlineStr">
        <is>
          <t>mlb-elo-trend-lr-v4</t>
        </is>
      </c>
      <c r="U13" s="24" t="inlineStr">
        <is>
          <t>settled</t>
        </is>
      </c>
      <c r="V13" s="24" t="inlineStr">
        <is>
          <t>win</t>
        </is>
      </c>
      <c r="W13" s="26" t="n">
        <v>6</v>
      </c>
      <c r="X13" s="26" t="n">
        <v>7</v>
      </c>
      <c r="Y13" s="38" t="n"/>
      <c r="Z13" s="26" t="n"/>
      <c r="AA13" s="28" t="n"/>
      <c r="AB13" s="28" t="n"/>
      <c r="AC13" s="40" t="n">
        <v>1.2255</v>
      </c>
      <c r="AD13" s="24" t="inlineStr">
        <is>
          <t>2026-07-18T23:59:20.822768Z</t>
        </is>
      </c>
      <c r="AE13" s="31" t="inlineStr">
        <is>
          <t>Learned LR call at threshold 0.5100; executable ask 0.5050 (aec-mlb-tb-bos-2026-07-18).</t>
        </is>
      </c>
      <c r="AF13" s="31" t="inlineStr">
        <is>
          <t>Learned model; promotion gate not yet open; zero-unit research until review.</t>
        </is>
      </c>
      <c r="AG13" s="24" t="inlineStr">
        <is>
          <t>not_applicable</t>
        </is>
      </c>
      <c r="AH13" s="24" t="n"/>
      <c r="AI13" s="31" t="n"/>
      <c r="AJ13" s="31" t="n"/>
      <c r="AK13" s="24" t="inlineStr">
        <is>
          <t>research_observation</t>
        </is>
      </c>
      <c r="AL13" s="26" t="n">
        <v>3</v>
      </c>
      <c r="AM13" s="24" t="inlineStr">
        <is>
          <t>RESEARCH_OBSERVATION</t>
        </is>
      </c>
      <c r="AN13" s="24" t="inlineStr">
        <is>
          <t>NO_CALL</t>
        </is>
      </c>
      <c r="AO13" s="24" t="inlineStr">
        <is>
          <t>NO_CALL_MODEL_UNVALIDATED</t>
        </is>
      </c>
      <c r="AP13" s="24" t="inlineStr">
        <is>
          <t>mlb-tb</t>
        </is>
      </c>
      <c r="AQ13" s="24" t="inlineStr">
        <is>
          <t>Tampa Bay Rays</t>
        </is>
      </c>
      <c r="AR13" s="24" t="inlineStr">
        <is>
          <t>Tampa Bay Rays</t>
        </is>
      </c>
      <c r="AS13" s="24" t="inlineStr">
        <is>
          <t>mlb-bos</t>
        </is>
      </c>
      <c r="AT13" s="24" t="inlineStr">
        <is>
          <t>Boston Red Sox</t>
        </is>
      </c>
      <c r="AU13" s="24" t="inlineStr">
        <is>
          <t>Boston Red Sox</t>
        </is>
      </c>
      <c r="AV13" s="24" t="n"/>
      <c r="AW13" s="24" t="n"/>
      <c r="AX13" s="24" t="inlineStr">
        <is>
          <t>statistical_model</t>
        </is>
      </c>
      <c r="AY13" s="24" t="n"/>
      <c r="AZ13" s="24" t="inlineStr">
        <is>
          <t>research</t>
        </is>
      </c>
      <c r="BA13" s="24" t="inlineStr">
        <is>
          <t>5224fb6ffbc9ddf8fa517627b830ac851192da94d241963d556945393a42bb9d</t>
        </is>
      </c>
      <c r="BB13" s="24" t="inlineStr">
        <is>
          <t>learned_lr</t>
        </is>
      </c>
      <c r="BC13" s="24" t="inlineStr">
        <is>
          <t>mlb-elo-trend-lr-v4</t>
        </is>
      </c>
      <c r="BD13" s="24" t="inlineStr">
        <is>
          <t>5224fb6ffbc9ddf8fa517627b830ac851192da94d241963d556945393a42bb9d</t>
        </is>
      </c>
      <c r="BE13" s="24" t="inlineStr">
        <is>
          <t>db0a002aa4e19b4b</t>
        </is>
      </c>
      <c r="BF13" s="24" t="inlineStr">
        <is>
          <t>1</t>
        </is>
      </c>
      <c r="BG13" s="24" t="inlineStr">
        <is>
          <t>mlb-elo-trend-lr-v3</t>
        </is>
      </c>
      <c r="BH13" s="24" t="inlineStr">
        <is>
          <t>2026-07-18T17:27:47.084596Z</t>
        </is>
      </c>
      <c r="BI13" s="24" t="inlineStr">
        <is>
          <t>["same_event","same_team_same_day","same_league_same_day"]</t>
        </is>
      </c>
      <c r="BJ13" s="38" t="n"/>
      <c r="BK13" s="26" t="n">
        <v>-102</v>
      </c>
      <c r="BL13" s="39" t="n">
        <v>1.980392</v>
      </c>
      <c r="BM13" s="28" t="n">
        <v>0.50495</v>
      </c>
      <c r="BN13" s="28" t="n">
        <v>0.502488</v>
      </c>
      <c r="BO13" s="28" t="n"/>
      <c r="BP13" s="38" t="n"/>
      <c r="BQ13" s="39" t="n"/>
      <c r="BR13" s="28" t="n"/>
      <c r="BS13" s="28" t="n"/>
      <c r="BT13" s="28" t="n"/>
      <c r="BU13" s="38" t="n"/>
      <c r="BV13" s="29" t="n"/>
      <c r="BW13" s="24" t="n"/>
      <c r="BX13" s="40" t="n">
        <v>1</v>
      </c>
      <c r="BY13" s="39" t="n">
        <v>0.980392</v>
      </c>
      <c r="BZ13" s="24" t="inlineStr">
        <is>
          <t>2026-07-18T23:59:20.822768Z</t>
        </is>
      </c>
      <c r="CA13" s="31" t="inlineStr">
        <is>
          <t>fixed one-unit hypothetical scoring; no real exposure or execution</t>
        </is>
      </c>
    </row>
    <row r="14" ht="36" customHeight="1">
      <c r="A14" s="24" t="inlineStr">
        <is>
          <t>924907abbb534b0a</t>
        </is>
      </c>
      <c r="B14" s="24" t="inlineStr">
        <is>
          <t>2026-07-18T17:28:36.828868Z</t>
        </is>
      </c>
      <c r="C14" s="24" t="inlineStr">
        <is>
          <t>2026-07-18T16:10:00-0400</t>
        </is>
      </c>
      <c r="D14" s="24" t="inlineStr">
        <is>
          <t>401816165</t>
        </is>
      </c>
      <c r="E14" s="24" t="inlineStr">
        <is>
          <t>MLB</t>
        </is>
      </c>
      <c r="F14" s="24" t="inlineStr">
        <is>
          <t>San Diego Padres</t>
        </is>
      </c>
      <c r="G14" s="24" t="inlineStr">
        <is>
          <t>Kansas City Royals</t>
        </is>
      </c>
      <c r="H14" s="24" t="inlineStr">
        <is>
          <t>moneyline</t>
        </is>
      </c>
      <c r="I14" s="24" t="inlineStr">
        <is>
          <t>away</t>
        </is>
      </c>
      <c r="J14" s="38" t="n"/>
      <c r="K14" s="24" t="inlineStr">
        <is>
          <t>polymarket_us</t>
        </is>
      </c>
      <c r="L14" s="26" t="n">
        <v>-104</v>
      </c>
      <c r="M14" s="39" t="n">
        <v>1.961538</v>
      </c>
      <c r="N14" s="28" t="n">
        <v>0.509804</v>
      </c>
      <c r="O14" s="28" t="n">
        <v>0.5306149999999999</v>
      </c>
      <c r="P14" s="28" t="n"/>
      <c r="Q14" s="28" t="n">
        <v>0.020811</v>
      </c>
      <c r="R14" s="26" t="n">
        <v>20</v>
      </c>
      <c r="S14" s="29" t="n">
        <v>0.75</v>
      </c>
      <c r="T14" s="24" t="inlineStr">
        <is>
          <t>mlb-elo-trend-lr-v4</t>
        </is>
      </c>
      <c r="U14" s="24" t="inlineStr">
        <is>
          <t>settled</t>
        </is>
      </c>
      <c r="V14" s="24" t="inlineStr">
        <is>
          <t>loss</t>
        </is>
      </c>
      <c r="W14" s="26" t="n">
        <v>1</v>
      </c>
      <c r="X14" s="26" t="n">
        <v>6</v>
      </c>
      <c r="Y14" s="38" t="n"/>
      <c r="Z14" s="26" t="n"/>
      <c r="AA14" s="28" t="n"/>
      <c r="AB14" s="28" t="n"/>
      <c r="AC14" s="40" t="n">
        <v>-0.75</v>
      </c>
      <c r="AD14" s="24" t="inlineStr">
        <is>
          <t>2026-07-18T23:59:20.891397Z</t>
        </is>
      </c>
      <c r="AE14" s="31" t="inlineStr">
        <is>
          <t>Learned LR call at threshold 0.5100; executable ask 0.5100 (aec-mlb-sd-kc-2026-07-18).</t>
        </is>
      </c>
      <c r="AF14" s="31" t="inlineStr">
        <is>
          <t>Learned model; promotion gate not yet open; zero-unit research until review.</t>
        </is>
      </c>
      <c r="AG14" s="24" t="inlineStr">
        <is>
          <t>review_required</t>
        </is>
      </c>
      <c r="AH14" s="24" t="n"/>
      <c r="AI14" s="31" t="n"/>
      <c r="AJ14" s="31" t="n"/>
      <c r="AK14" s="24" t="inlineStr">
        <is>
          <t>research_observation</t>
        </is>
      </c>
      <c r="AL14" s="26" t="n">
        <v>3</v>
      </c>
      <c r="AM14" s="24" t="inlineStr">
        <is>
          <t>RESEARCH_OBSERVATION</t>
        </is>
      </c>
      <c r="AN14" s="24" t="inlineStr">
        <is>
          <t>NO_CALL</t>
        </is>
      </c>
      <c r="AO14" s="24" t="inlineStr">
        <is>
          <t>NO_CALL_MODEL_UNVALIDATED</t>
        </is>
      </c>
      <c r="AP14" s="24" t="inlineStr">
        <is>
          <t>mlb-sd</t>
        </is>
      </c>
      <c r="AQ14" s="24" t="inlineStr">
        <is>
          <t>San Diego Padres</t>
        </is>
      </c>
      <c r="AR14" s="24" t="inlineStr">
        <is>
          <t>San Diego Padres</t>
        </is>
      </c>
      <c r="AS14" s="24" t="inlineStr">
        <is>
          <t>mlb-kc</t>
        </is>
      </c>
      <c r="AT14" s="24" t="inlineStr">
        <is>
          <t>Kansas City Royals</t>
        </is>
      </c>
      <c r="AU14" s="24" t="inlineStr">
        <is>
          <t>Kansas City Royals</t>
        </is>
      </c>
      <c r="AV14" s="24" t="n"/>
      <c r="AW14" s="24" t="n"/>
      <c r="AX14" s="24" t="inlineStr">
        <is>
          <t>statistical_model</t>
        </is>
      </c>
      <c r="AY14" s="24" t="n"/>
      <c r="AZ14" s="24" t="inlineStr">
        <is>
          <t>research</t>
        </is>
      </c>
      <c r="BA14" s="24" t="inlineStr">
        <is>
          <t>5224fb6ffbc9ddf8fa517627b830ac851192da94d241963d556945393a42bb9d</t>
        </is>
      </c>
      <c r="BB14" s="24" t="inlineStr">
        <is>
          <t>learned_lr</t>
        </is>
      </c>
      <c r="BC14" s="24" t="inlineStr">
        <is>
          <t>mlb-elo-trend-lr-v4</t>
        </is>
      </c>
      <c r="BD14" s="24" t="inlineStr">
        <is>
          <t>5224fb6ffbc9ddf8fa517627b830ac851192da94d241963d556945393a42bb9d</t>
        </is>
      </c>
      <c r="BE14" s="24" t="inlineStr">
        <is>
          <t>ed4675d45b8d4ffe</t>
        </is>
      </c>
      <c r="BF14" s="24" t="inlineStr">
        <is>
          <t>1</t>
        </is>
      </c>
      <c r="BG14" s="24" t="inlineStr">
        <is>
          <t>mlb-elo-trend-lr-v3</t>
        </is>
      </c>
      <c r="BH14" s="24" t="inlineStr">
        <is>
          <t>2026-07-18T17:27:46.135351Z</t>
        </is>
      </c>
      <c r="BI14" s="24" t="inlineStr">
        <is>
          <t>["same_event","same_team_same_day","same_league_same_day"]</t>
        </is>
      </c>
      <c r="BJ14" s="38" t="n"/>
      <c r="BK14" s="26" t="n">
        <v>-104</v>
      </c>
      <c r="BL14" s="39" t="n">
        <v>1.961538</v>
      </c>
      <c r="BM14" s="28" t="n">
        <v>0.509804</v>
      </c>
      <c r="BN14" s="28" t="n">
        <v>0.507463</v>
      </c>
      <c r="BO14" s="28" t="n"/>
      <c r="BP14" s="38" t="n"/>
      <c r="BQ14" s="39" t="n"/>
      <c r="BR14" s="28" t="n"/>
      <c r="BS14" s="28" t="n"/>
      <c r="BT14" s="28" t="n"/>
      <c r="BU14" s="38" t="n"/>
      <c r="BV14" s="29" t="n"/>
      <c r="BW14" s="24" t="n"/>
      <c r="BX14" s="40" t="n">
        <v>1</v>
      </c>
      <c r="BY14" s="39" t="n">
        <v>-1</v>
      </c>
      <c r="BZ14" s="24" t="inlineStr">
        <is>
          <t>2026-07-18T23:59:20.891397Z</t>
        </is>
      </c>
      <c r="CA14" s="31" t="inlineStr">
        <is>
          <t>fixed one-unit hypothetical scoring; no real exposure or execution</t>
        </is>
      </c>
    </row>
    <row r="15" ht="36" customHeight="1">
      <c r="A15" s="24" t="inlineStr">
        <is>
          <t>48c8669ffc2149cc</t>
        </is>
      </c>
      <c r="B15" s="24" t="inlineStr">
        <is>
          <t>2026-07-18T17:37:17.255201Z</t>
        </is>
      </c>
      <c r="C15" s="24" t="inlineStr">
        <is>
          <t>2026-07-19T12:15:00-0400</t>
        </is>
      </c>
      <c r="D15" s="24" t="inlineStr">
        <is>
          <t>401816171</t>
        </is>
      </c>
      <c r="E15" s="24" t="inlineStr">
        <is>
          <t>MLB</t>
        </is>
      </c>
      <c r="F15" s="24" t="inlineStr">
        <is>
          <t>Chicago White Sox</t>
        </is>
      </c>
      <c r="G15" s="24" t="inlineStr">
        <is>
          <t>Toronto Blue Jays</t>
        </is>
      </c>
      <c r="H15" s="24" t="inlineStr">
        <is>
          <t>moneyline</t>
        </is>
      </c>
      <c r="I15" s="24" t="inlineStr">
        <is>
          <t>home</t>
        </is>
      </c>
      <c r="J15" s="38" t="n"/>
      <c r="K15" s="24" t="inlineStr">
        <is>
          <t>polymarket_us</t>
        </is>
      </c>
      <c r="L15" s="26" t="n">
        <v>-104</v>
      </c>
      <c r="M15" s="39" t="n">
        <v>1.961538</v>
      </c>
      <c r="N15" s="28" t="n">
        <v>0.509804</v>
      </c>
      <c r="O15" s="28" t="n">
        <v>0.549576</v>
      </c>
      <c r="P15" s="28" t="n"/>
      <c r="Q15" s="28" t="n">
        <v>0.039772</v>
      </c>
      <c r="R15" s="26" t="n">
        <v>39</v>
      </c>
      <c r="S15" s="29" t="n">
        <v>1</v>
      </c>
      <c r="T15" s="24" t="inlineStr">
        <is>
          <t>mlb-elo-trend-lr-v4</t>
        </is>
      </c>
      <c r="U15" s="24" t="inlineStr">
        <is>
          <t>settled</t>
        </is>
      </c>
      <c r="V15" s="24" t="inlineStr">
        <is>
          <t>loss</t>
        </is>
      </c>
      <c r="W15" s="26" t="n">
        <v>3</v>
      </c>
      <c r="X15" s="26" t="n">
        <v>0</v>
      </c>
      <c r="Y15" s="38" t="n"/>
      <c r="Z15" s="26" t="n"/>
      <c r="AA15" s="28" t="n"/>
      <c r="AB15" s="28" t="n"/>
      <c r="AC15" s="40" t="n">
        <v>-1</v>
      </c>
      <c r="AD15" s="24" t="inlineStr">
        <is>
          <t>2026-07-19T21:31:34.426330Z</t>
        </is>
      </c>
      <c r="AE15" s="31" t="inlineStr">
        <is>
          <t>Learned LR call at threshold 0.5100; executable ask 0.5100 (aec-mlb-cws-tor-2026-07-19).</t>
        </is>
      </c>
      <c r="AF15" s="31" t="inlineStr">
        <is>
          <t>Learned model; promotion gate not yet open; zero-unit research until review.</t>
        </is>
      </c>
      <c r="AG15" s="24" t="inlineStr">
        <is>
          <t>review_required</t>
        </is>
      </c>
      <c r="AH15" s="24" t="n"/>
      <c r="AI15" s="31" t="n"/>
      <c r="AJ15" s="31" t="n"/>
      <c r="AK15" s="24" t="inlineStr">
        <is>
          <t>research_observation</t>
        </is>
      </c>
      <c r="AL15" s="26" t="n">
        <v>3</v>
      </c>
      <c r="AM15" s="24" t="inlineStr">
        <is>
          <t>RESEARCH_OBSERVATION</t>
        </is>
      </c>
      <c r="AN15" s="24" t="inlineStr">
        <is>
          <t>NO_CALL</t>
        </is>
      </c>
      <c r="AO15" s="24" t="inlineStr">
        <is>
          <t>NO_CALL_MODEL_UNVALIDATED</t>
        </is>
      </c>
      <c r="AP15" s="24" t="inlineStr">
        <is>
          <t>mlb-cws</t>
        </is>
      </c>
      <c r="AQ15" s="24" t="inlineStr">
        <is>
          <t>Chicago White Sox</t>
        </is>
      </c>
      <c r="AR15" s="24" t="inlineStr">
        <is>
          <t>Chicago White Sox</t>
        </is>
      </c>
      <c r="AS15" s="24" t="inlineStr">
        <is>
          <t>mlb-tor</t>
        </is>
      </c>
      <c r="AT15" s="24" t="inlineStr">
        <is>
          <t>Toronto Blue Jays</t>
        </is>
      </c>
      <c r="AU15" s="24" t="inlineStr">
        <is>
          <t>Toronto Blue Jays</t>
        </is>
      </c>
      <c r="AV15" s="24" t="n"/>
      <c r="AW15" s="24" t="n"/>
      <c r="AX15" s="24" t="inlineStr">
        <is>
          <t>statistical_model</t>
        </is>
      </c>
      <c r="AY15" s="24" t="n"/>
      <c r="AZ15" s="24" t="inlineStr">
        <is>
          <t>research</t>
        </is>
      </c>
      <c r="BA15" s="24" t="inlineStr">
        <is>
          <t>5224fb6ffbc9ddf8fa517627b830ac851192da94d241963d556945393a42bb9d</t>
        </is>
      </c>
      <c r="BB15" s="24" t="inlineStr">
        <is>
          <t>learned_lr</t>
        </is>
      </c>
      <c r="BC15" s="24" t="inlineStr">
        <is>
          <t>mlb-elo-trend-lr-v4</t>
        </is>
      </c>
      <c r="BD15" s="24" t="inlineStr">
        <is>
          <t>5224fb6ffbc9ddf8fa517627b830ac851192da94d241963d556945393a42bb9d</t>
        </is>
      </c>
      <c r="BE15" s="24" t="inlineStr">
        <is>
          <t>50f6dab0538e7f4a</t>
        </is>
      </c>
      <c r="BF15" s="24" t="inlineStr">
        <is>
          <t>1</t>
        </is>
      </c>
      <c r="BG15" s="24" t="inlineStr">
        <is>
          <t>mlb-elo-trend-lr-v3</t>
        </is>
      </c>
      <c r="BH15" s="24" t="inlineStr">
        <is>
          <t>2026-07-18T17:36:34.425604Z</t>
        </is>
      </c>
      <c r="BI15" s="24" t="inlineStr">
        <is>
          <t>["same_event","same_team_same_day","same_league_same_day"]</t>
        </is>
      </c>
      <c r="BJ15" s="38" t="n"/>
      <c r="BK15" s="26" t="n">
        <v>-104</v>
      </c>
      <c r="BL15" s="39" t="n">
        <v>1.961538</v>
      </c>
      <c r="BM15" s="28" t="n">
        <v>0.509804</v>
      </c>
      <c r="BN15" s="28" t="n">
        <v>0.507463</v>
      </c>
      <c r="BO15" s="28" t="n"/>
      <c r="BP15" s="38" t="n"/>
      <c r="BQ15" s="39" t="n"/>
      <c r="BR15" s="28" t="n"/>
      <c r="BS15" s="28" t="n"/>
      <c r="BT15" s="28" t="n"/>
      <c r="BU15" s="38" t="n"/>
      <c r="BV15" s="29" t="n"/>
      <c r="BW15" s="24" t="n"/>
      <c r="BX15" s="40" t="n">
        <v>1</v>
      </c>
      <c r="BY15" s="39" t="n">
        <v>-1</v>
      </c>
      <c r="BZ15" s="24" t="inlineStr">
        <is>
          <t>2026-07-19T21:31:34.426330Z</t>
        </is>
      </c>
      <c r="CA15" s="31" t="inlineStr">
        <is>
          <t>fixed one-unit hypothetical scoring; no real exposure or execution</t>
        </is>
      </c>
    </row>
    <row r="16" ht="36" customHeight="1">
      <c r="A16" s="24" t="inlineStr">
        <is>
          <t>5290104d16c8463b</t>
        </is>
      </c>
      <c r="B16" s="24" t="inlineStr">
        <is>
          <t>2026-07-18T17:37:17.255201Z</t>
        </is>
      </c>
      <c r="C16" s="24" t="inlineStr">
        <is>
          <t>2026-07-19T13:35:00-0400</t>
        </is>
      </c>
      <c r="D16" s="24" t="inlineStr">
        <is>
          <t>401816173</t>
        </is>
      </c>
      <c r="E16" s="24" t="inlineStr">
        <is>
          <t>MLB</t>
        </is>
      </c>
      <c r="F16" s="24" t="inlineStr">
        <is>
          <t>New York Mets</t>
        </is>
      </c>
      <c r="G16" s="24" t="inlineStr">
        <is>
          <t>Philadelphia Phillies</t>
        </is>
      </c>
      <c r="H16" s="24" t="inlineStr">
        <is>
          <t>moneyline</t>
        </is>
      </c>
      <c r="I16" s="24" t="inlineStr">
        <is>
          <t>home</t>
        </is>
      </c>
      <c r="J16" s="38" t="n"/>
      <c r="K16" s="24" t="inlineStr">
        <is>
          <t>polymarket_us</t>
        </is>
      </c>
      <c r="L16" s="26" t="n">
        <v>-111</v>
      </c>
      <c r="M16" s="39" t="n">
        <v>1.900901</v>
      </c>
      <c r="N16" s="28" t="n">
        <v>0.526066</v>
      </c>
      <c r="O16" s="28" t="n">
        <v>0.606009</v>
      </c>
      <c r="P16" s="28" t="n"/>
      <c r="Q16" s="28" t="n">
        <v>0.079943</v>
      </c>
      <c r="R16" s="26" t="n">
        <v>79</v>
      </c>
      <c r="S16" s="29" t="n">
        <v>1.5</v>
      </c>
      <c r="T16" s="24" t="inlineStr">
        <is>
          <t>mlb-elo-trend-lr-v4</t>
        </is>
      </c>
      <c r="U16" s="24" t="inlineStr">
        <is>
          <t>settled</t>
        </is>
      </c>
      <c r="V16" s="24" t="inlineStr">
        <is>
          <t>loss</t>
        </is>
      </c>
      <c r="W16" s="26" t="n">
        <v>6</v>
      </c>
      <c r="X16" s="26" t="n">
        <v>1</v>
      </c>
      <c r="Y16" s="38" t="n"/>
      <c r="Z16" s="26" t="n"/>
      <c r="AA16" s="28" t="n"/>
      <c r="AB16" s="28" t="n"/>
      <c r="AC16" s="40" t="n">
        <v>-1.5</v>
      </c>
      <c r="AD16" s="24" t="inlineStr">
        <is>
          <t>2026-07-19T21:31:34.633018Z</t>
        </is>
      </c>
      <c r="AE16" s="31" t="inlineStr">
        <is>
          <t>Learned LR call at threshold 0.5100; executable ask 0.5250 (aec-mlb-nym-phi-2026-07-19).</t>
        </is>
      </c>
      <c r="AF16" s="31" t="inlineStr">
        <is>
          <t>Learned model; promotion gate not yet open; zero-unit research until review.</t>
        </is>
      </c>
      <c r="AG16" s="24" t="inlineStr">
        <is>
          <t>review_required</t>
        </is>
      </c>
      <c r="AH16" s="24" t="n"/>
      <c r="AI16" s="31" t="n"/>
      <c r="AJ16" s="31" t="n"/>
      <c r="AK16" s="24" t="inlineStr">
        <is>
          <t>research_observation</t>
        </is>
      </c>
      <c r="AL16" s="26" t="n">
        <v>3</v>
      </c>
      <c r="AM16" s="24" t="inlineStr">
        <is>
          <t>RESEARCH_OBSERVATION</t>
        </is>
      </c>
      <c r="AN16" s="24" t="inlineStr">
        <is>
          <t>NO_CALL</t>
        </is>
      </c>
      <c r="AO16" s="24" t="inlineStr">
        <is>
          <t>NO_CALL_MODEL_UNVALIDATED</t>
        </is>
      </c>
      <c r="AP16" s="24" t="inlineStr">
        <is>
          <t>mlb-nym</t>
        </is>
      </c>
      <c r="AQ16" s="24" t="inlineStr">
        <is>
          <t>New York Mets</t>
        </is>
      </c>
      <c r="AR16" s="24" t="inlineStr">
        <is>
          <t>New York Mets</t>
        </is>
      </c>
      <c r="AS16" s="24" t="inlineStr">
        <is>
          <t>mlb-phi</t>
        </is>
      </c>
      <c r="AT16" s="24" t="inlineStr">
        <is>
          <t>Philadelphia Phillies</t>
        </is>
      </c>
      <c r="AU16" s="24" t="inlineStr">
        <is>
          <t>Philadelphia Phillies</t>
        </is>
      </c>
      <c r="AV16" s="24" t="n"/>
      <c r="AW16" s="24" t="n"/>
      <c r="AX16" s="24" t="inlineStr">
        <is>
          <t>statistical_model</t>
        </is>
      </c>
      <c r="AY16" s="24" t="n"/>
      <c r="AZ16" s="24" t="inlineStr">
        <is>
          <t>research</t>
        </is>
      </c>
      <c r="BA16" s="24" t="inlineStr">
        <is>
          <t>5224fb6ffbc9ddf8fa517627b830ac851192da94d241963d556945393a42bb9d</t>
        </is>
      </c>
      <c r="BB16" s="24" t="inlineStr">
        <is>
          <t>learned_lr</t>
        </is>
      </c>
      <c r="BC16" s="24" t="inlineStr">
        <is>
          <t>mlb-elo-trend-lr-v4</t>
        </is>
      </c>
      <c r="BD16" s="24" t="inlineStr">
        <is>
          <t>5224fb6ffbc9ddf8fa517627b830ac851192da94d241963d556945393a42bb9d</t>
        </is>
      </c>
      <c r="BE16" s="24" t="inlineStr">
        <is>
          <t>ce93768fc5c8be02</t>
        </is>
      </c>
      <c r="BF16" s="24" t="inlineStr">
        <is>
          <t>1</t>
        </is>
      </c>
      <c r="BG16" s="24" t="inlineStr">
        <is>
          <t>mlb-elo-trend-lr-v3</t>
        </is>
      </c>
      <c r="BH16" s="24" t="inlineStr">
        <is>
          <t>2026-07-18T17:36:34.787099Z</t>
        </is>
      </c>
      <c r="BI16" s="24" t="inlineStr">
        <is>
          <t>["same_event","same_team_same_day","same_league_same_day"]</t>
        </is>
      </c>
      <c r="BJ16" s="38" t="n"/>
      <c r="BK16" s="26" t="n">
        <v>-111</v>
      </c>
      <c r="BL16" s="39" t="n">
        <v>1.900901</v>
      </c>
      <c r="BM16" s="28" t="n">
        <v>0.526066</v>
      </c>
      <c r="BN16" s="28" t="n">
        <v>0.522388</v>
      </c>
      <c r="BO16" s="28" t="n"/>
      <c r="BP16" s="38" t="n"/>
      <c r="BQ16" s="39" t="n"/>
      <c r="BR16" s="28" t="n"/>
      <c r="BS16" s="28" t="n"/>
      <c r="BT16" s="28" t="n"/>
      <c r="BU16" s="38" t="n"/>
      <c r="BV16" s="29" t="n"/>
      <c r="BW16" s="24" t="n"/>
      <c r="BX16" s="40" t="n">
        <v>1</v>
      </c>
      <c r="BY16" s="39" t="n">
        <v>-1</v>
      </c>
      <c r="BZ16" s="24" t="inlineStr">
        <is>
          <t>2026-07-19T21:31:34.633018Z</t>
        </is>
      </c>
      <c r="CA16" s="31" t="inlineStr">
        <is>
          <t>fixed one-unit hypothetical scoring; no real exposure or execution</t>
        </is>
      </c>
    </row>
    <row r="17" ht="36" customHeight="1">
      <c r="A17" s="24" t="inlineStr">
        <is>
          <t>7a4271bd40494914</t>
        </is>
      </c>
      <c r="B17" s="24" t="inlineStr">
        <is>
          <t>2026-07-18T17:37:17.255201Z</t>
        </is>
      </c>
      <c r="C17" s="24" t="inlineStr">
        <is>
          <t>2026-07-19T13:35:00-0400</t>
        </is>
      </c>
      <c r="D17" s="24" t="inlineStr">
        <is>
          <t>401816175</t>
        </is>
      </c>
      <c r="E17" s="24" t="inlineStr">
        <is>
          <t>MLB</t>
        </is>
      </c>
      <c r="F17" s="24" t="inlineStr">
        <is>
          <t>Tampa Bay Rays</t>
        </is>
      </c>
      <c r="G17" s="24" t="inlineStr">
        <is>
          <t>Boston Red Sox</t>
        </is>
      </c>
      <c r="H17" s="24" t="inlineStr">
        <is>
          <t>moneyline</t>
        </is>
      </c>
      <c r="I17" s="24" t="inlineStr">
        <is>
          <t>home</t>
        </is>
      </c>
      <c r="J17" s="38" t="n"/>
      <c r="K17" s="24" t="inlineStr">
        <is>
          <t>polymarket_us</t>
        </is>
      </c>
      <c r="L17" s="26" t="n">
        <v>-108</v>
      </c>
      <c r="M17" s="39" t="n">
        <v>1.925926</v>
      </c>
      <c r="N17" s="28" t="n">
        <v>0.519231</v>
      </c>
      <c r="O17" s="28" t="n">
        <v>0.550576</v>
      </c>
      <c r="P17" s="28" t="n"/>
      <c r="Q17" s="28" t="n">
        <v>0.031345</v>
      </c>
      <c r="R17" s="26" t="n">
        <v>31</v>
      </c>
      <c r="S17" s="29" t="n">
        <v>1</v>
      </c>
      <c r="T17" s="24" t="inlineStr">
        <is>
          <t>mlb-elo-trend-lr-v4</t>
        </is>
      </c>
      <c r="U17" s="24" t="inlineStr">
        <is>
          <t>settled</t>
        </is>
      </c>
      <c r="V17" s="24" t="inlineStr">
        <is>
          <t>win</t>
        </is>
      </c>
      <c r="W17" s="26" t="n">
        <v>1</v>
      </c>
      <c r="X17" s="26" t="n">
        <v>6</v>
      </c>
      <c r="Y17" s="38" t="n"/>
      <c r="Z17" s="26" t="n"/>
      <c r="AA17" s="28" t="n"/>
      <c r="AB17" s="28" t="n"/>
      <c r="AC17" s="40" t="n">
        <v>0.9258999999999999</v>
      </c>
      <c r="AD17" s="24" t="inlineStr">
        <is>
          <t>2026-07-19T21:31:34.820097Z</t>
        </is>
      </c>
      <c r="AE17" s="31" t="inlineStr">
        <is>
          <t>Learned LR call at threshold 0.5100; executable ask 0.5200 (aec-mlb-tb-bos-2026-07-19).</t>
        </is>
      </c>
      <c r="AF17" s="31" t="inlineStr">
        <is>
          <t>Learned model; promotion gate not yet open; zero-unit research until review.</t>
        </is>
      </c>
      <c r="AG17" s="24" t="inlineStr">
        <is>
          <t>not_applicable</t>
        </is>
      </c>
      <c r="AH17" s="24" t="n"/>
      <c r="AI17" s="31" t="n"/>
      <c r="AJ17" s="31" t="n"/>
      <c r="AK17" s="24" t="inlineStr">
        <is>
          <t>research_observation</t>
        </is>
      </c>
      <c r="AL17" s="26" t="n">
        <v>3</v>
      </c>
      <c r="AM17" s="24" t="inlineStr">
        <is>
          <t>RESEARCH_OBSERVATION</t>
        </is>
      </c>
      <c r="AN17" s="24" t="inlineStr">
        <is>
          <t>NO_CALL</t>
        </is>
      </c>
      <c r="AO17" s="24" t="inlineStr">
        <is>
          <t>NO_CALL_MODEL_UNVALIDATED</t>
        </is>
      </c>
      <c r="AP17" s="24" t="inlineStr">
        <is>
          <t>mlb-tb</t>
        </is>
      </c>
      <c r="AQ17" s="24" t="inlineStr">
        <is>
          <t>Tampa Bay Rays</t>
        </is>
      </c>
      <c r="AR17" s="24" t="inlineStr">
        <is>
          <t>Tampa Bay Rays</t>
        </is>
      </c>
      <c r="AS17" s="24" t="inlineStr">
        <is>
          <t>mlb-bos</t>
        </is>
      </c>
      <c r="AT17" s="24" t="inlineStr">
        <is>
          <t>Boston Red Sox</t>
        </is>
      </c>
      <c r="AU17" s="24" t="inlineStr">
        <is>
          <t>Boston Red Sox</t>
        </is>
      </c>
      <c r="AV17" s="24" t="n"/>
      <c r="AW17" s="24" t="n"/>
      <c r="AX17" s="24" t="inlineStr">
        <is>
          <t>statistical_model</t>
        </is>
      </c>
      <c r="AY17" s="24" t="n"/>
      <c r="AZ17" s="24" t="inlineStr">
        <is>
          <t>research</t>
        </is>
      </c>
      <c r="BA17" s="24" t="inlineStr">
        <is>
          <t>5224fb6ffbc9ddf8fa517627b830ac851192da94d241963d556945393a42bb9d</t>
        </is>
      </c>
      <c r="BB17" s="24" t="inlineStr">
        <is>
          <t>learned_lr</t>
        </is>
      </c>
      <c r="BC17" s="24" t="inlineStr">
        <is>
          <t>mlb-elo-trend-lr-v4</t>
        </is>
      </c>
      <c r="BD17" s="24" t="inlineStr">
        <is>
          <t>5224fb6ffbc9ddf8fa517627b830ac851192da94d241963d556945393a42bb9d</t>
        </is>
      </c>
      <c r="BE17" s="24" t="inlineStr">
        <is>
          <t>1e50d689e0ba0748</t>
        </is>
      </c>
      <c r="BF17" s="24" t="inlineStr">
        <is>
          <t>1</t>
        </is>
      </c>
      <c r="BG17" s="24" t="inlineStr">
        <is>
          <t>mlb-elo-trend-lr-v3</t>
        </is>
      </c>
      <c r="BH17" s="24" t="inlineStr">
        <is>
          <t>2026-07-18T17:36:36.879504Z</t>
        </is>
      </c>
      <c r="BI17" s="24" t="inlineStr">
        <is>
          <t>["same_event","same_team_same_day","same_league_same_day"]</t>
        </is>
      </c>
      <c r="BJ17" s="38" t="n"/>
      <c r="BK17" s="26" t="n">
        <v>-108</v>
      </c>
      <c r="BL17" s="39" t="n">
        <v>1.925926</v>
      </c>
      <c r="BM17" s="28" t="n">
        <v>0.519231</v>
      </c>
      <c r="BN17" s="28" t="n">
        <v>0.5148509999999999</v>
      </c>
      <c r="BO17" s="28" t="n"/>
      <c r="BP17" s="38" t="n"/>
      <c r="BQ17" s="39" t="n"/>
      <c r="BR17" s="28" t="n"/>
      <c r="BS17" s="28" t="n"/>
      <c r="BT17" s="28" t="n"/>
      <c r="BU17" s="38" t="n"/>
      <c r="BV17" s="29" t="n"/>
      <c r="BW17" s="24" t="n"/>
      <c r="BX17" s="40" t="n">
        <v>1</v>
      </c>
      <c r="BY17" s="39" t="n">
        <v>0.925926</v>
      </c>
      <c r="BZ17" s="24" t="inlineStr">
        <is>
          <t>2026-07-19T21:31:34.820097Z</t>
        </is>
      </c>
      <c r="CA17" s="31" t="inlineStr">
        <is>
          <t>fixed one-unit hypothetical scoring; no real exposure or execution</t>
        </is>
      </c>
    </row>
    <row r="18" ht="36" customHeight="1">
      <c r="A18" s="24" t="inlineStr">
        <is>
          <t>6c30433f6943459a</t>
        </is>
      </c>
      <c r="B18" s="24" t="inlineStr">
        <is>
          <t>2026-07-18T17:37:17.255201Z</t>
        </is>
      </c>
      <c r="C18" s="24" t="inlineStr">
        <is>
          <t>2026-07-19T13:40:00-0400</t>
        </is>
      </c>
      <c r="D18" s="24" t="inlineStr">
        <is>
          <t>401816174</t>
        </is>
      </c>
      <c r="E18" s="24" t="inlineStr">
        <is>
          <t>MLB</t>
        </is>
      </c>
      <c r="F18" s="24" t="inlineStr">
        <is>
          <t>Pittsburgh Pirates</t>
        </is>
      </c>
      <c r="G18" s="24" t="inlineStr">
        <is>
          <t>Cleveland Guardians</t>
        </is>
      </c>
      <c r="H18" s="24" t="inlineStr">
        <is>
          <t>moneyline</t>
        </is>
      </c>
      <c r="I18" s="24" t="inlineStr">
        <is>
          <t>home</t>
        </is>
      </c>
      <c r="J18" s="38" t="n"/>
      <c r="K18" s="24" t="inlineStr">
        <is>
          <t>polymarket_us</t>
        </is>
      </c>
      <c r="L18" s="26" t="n">
        <v>111</v>
      </c>
      <c r="M18" s="39" t="n">
        <v>2.11</v>
      </c>
      <c r="N18" s="28" t="n">
        <v>0.473934</v>
      </c>
      <c r="O18" s="28" t="n">
        <v>0.564072</v>
      </c>
      <c r="P18" s="28" t="n"/>
      <c r="Q18" s="28" t="n">
        <v>0.090138</v>
      </c>
      <c r="R18" s="26" t="n">
        <v>90</v>
      </c>
      <c r="S18" s="29" t="n">
        <v>1.25</v>
      </c>
      <c r="T18" s="24" t="inlineStr">
        <is>
          <t>mlb-elo-trend-lr-v4</t>
        </is>
      </c>
      <c r="U18" s="24" t="inlineStr">
        <is>
          <t>settled</t>
        </is>
      </c>
      <c r="V18" s="24" t="inlineStr">
        <is>
          <t>loss</t>
        </is>
      </c>
      <c r="W18" s="26" t="n">
        <v>7</v>
      </c>
      <c r="X18" s="26" t="n">
        <v>1</v>
      </c>
      <c r="Y18" s="38" t="n"/>
      <c r="Z18" s="26" t="n"/>
      <c r="AA18" s="28" t="n"/>
      <c r="AB18" s="28" t="n"/>
      <c r="AC18" s="40" t="n">
        <v>-1.25</v>
      </c>
      <c r="AD18" s="24" t="inlineStr">
        <is>
          <t>2026-07-19T21:31:35.008100Z</t>
        </is>
      </c>
      <c r="AE18" s="31" t="inlineStr">
        <is>
          <t>Learned LR call at threshold 0.5100; executable ask 0.4750 (aec-mlb-pit-cle-2026-07-19).</t>
        </is>
      </c>
      <c r="AF18" s="31" t="inlineStr">
        <is>
          <t>Learned model; promotion gate not yet open; zero-unit research until review.</t>
        </is>
      </c>
      <c r="AG18" s="24" t="inlineStr">
        <is>
          <t>review_required</t>
        </is>
      </c>
      <c r="AH18" s="24" t="n"/>
      <c r="AI18" s="31" t="n"/>
      <c r="AJ18" s="31" t="n"/>
      <c r="AK18" s="24" t="inlineStr">
        <is>
          <t>research_observation</t>
        </is>
      </c>
      <c r="AL18" s="26" t="n">
        <v>3</v>
      </c>
      <c r="AM18" s="24" t="inlineStr">
        <is>
          <t>RESEARCH_OBSERVATION</t>
        </is>
      </c>
      <c r="AN18" s="24" t="inlineStr">
        <is>
          <t>NO_CALL</t>
        </is>
      </c>
      <c r="AO18" s="24" t="inlineStr">
        <is>
          <t>NO_CALL_MODEL_UNVALIDATED</t>
        </is>
      </c>
      <c r="AP18" s="24" t="inlineStr">
        <is>
          <t>mlb-pit</t>
        </is>
      </c>
      <c r="AQ18" s="24" t="inlineStr">
        <is>
          <t>Pittsburgh Pirates</t>
        </is>
      </c>
      <c r="AR18" s="24" t="inlineStr">
        <is>
          <t>Pittsburgh Pirates</t>
        </is>
      </c>
      <c r="AS18" s="24" t="inlineStr">
        <is>
          <t>mlb-cle</t>
        </is>
      </c>
      <c r="AT18" s="24" t="inlineStr">
        <is>
          <t>Cleveland Guardians</t>
        </is>
      </c>
      <c r="AU18" s="24" t="inlineStr">
        <is>
          <t>Cleveland Guardians</t>
        </is>
      </c>
      <c r="AV18" s="24" t="n"/>
      <c r="AW18" s="24" t="n"/>
      <c r="AX18" s="24" t="inlineStr">
        <is>
          <t>statistical_model</t>
        </is>
      </c>
      <c r="AY18" s="24" t="n"/>
      <c r="AZ18" s="24" t="inlineStr">
        <is>
          <t>research</t>
        </is>
      </c>
      <c r="BA18" s="24" t="inlineStr">
        <is>
          <t>5224fb6ffbc9ddf8fa517627b830ac851192da94d241963d556945393a42bb9d</t>
        </is>
      </c>
      <c r="BB18" s="24" t="inlineStr">
        <is>
          <t>learned_lr</t>
        </is>
      </c>
      <c r="BC18" s="24" t="inlineStr">
        <is>
          <t>mlb-elo-trend-lr-v4</t>
        </is>
      </c>
      <c r="BD18" s="24" t="inlineStr">
        <is>
          <t>5224fb6ffbc9ddf8fa517627b830ac851192da94d241963d556945393a42bb9d</t>
        </is>
      </c>
      <c r="BE18" s="24" t="inlineStr">
        <is>
          <t>5e36475e8b7bf75d</t>
        </is>
      </c>
      <c r="BF18" s="24" t="inlineStr">
        <is>
          <t>1</t>
        </is>
      </c>
      <c r="BG18" s="24" t="inlineStr">
        <is>
          <t>mlb-elo-trend-lr-v3</t>
        </is>
      </c>
      <c r="BH18" s="24" t="inlineStr">
        <is>
          <t>2026-07-18T17:36:37.946655Z</t>
        </is>
      </c>
      <c r="BI18" s="24" t="inlineStr">
        <is>
          <t>["same_event","same_team_same_day","same_league_same_day"]</t>
        </is>
      </c>
      <c r="BJ18" s="38" t="n"/>
      <c r="BK18" s="26" t="n">
        <v>111</v>
      </c>
      <c r="BL18" s="39" t="n">
        <v>2.11</v>
      </c>
      <c r="BM18" s="28" t="n">
        <v>0.473934</v>
      </c>
      <c r="BN18" s="28" t="n">
        <v>0.472637</v>
      </c>
      <c r="BO18" s="28" t="n"/>
      <c r="BP18" s="38" t="n"/>
      <c r="BQ18" s="39" t="n"/>
      <c r="BR18" s="28" t="n"/>
      <c r="BS18" s="28" t="n"/>
      <c r="BT18" s="28" t="n"/>
      <c r="BU18" s="38" t="n"/>
      <c r="BV18" s="29" t="n"/>
      <c r="BW18" s="24" t="n"/>
      <c r="BX18" s="40" t="n">
        <v>1</v>
      </c>
      <c r="BY18" s="39" t="n">
        <v>-1</v>
      </c>
      <c r="BZ18" s="24" t="inlineStr">
        <is>
          <t>2026-07-19T21:31:35.008100Z</t>
        </is>
      </c>
      <c r="CA18" s="31" t="inlineStr">
        <is>
          <t>fixed one-unit hypothetical scoring; no real exposure or execution</t>
        </is>
      </c>
    </row>
    <row r="19" ht="36" customHeight="1">
      <c r="A19" s="24" t="inlineStr">
        <is>
          <t>a96ea6dd6b144441</t>
        </is>
      </c>
      <c r="B19" s="24" t="inlineStr">
        <is>
          <t>2026-07-18T17:37:17.255201Z</t>
        </is>
      </c>
      <c r="C19" s="24" t="inlineStr">
        <is>
          <t>2026-07-19T14:10:00-0400</t>
        </is>
      </c>
      <c r="D19" s="24" t="inlineStr">
        <is>
          <t>401816178</t>
        </is>
      </c>
      <c r="E19" s="24" t="inlineStr">
        <is>
          <t>MLB</t>
        </is>
      </c>
      <c r="F19" s="24" t="inlineStr">
        <is>
          <t>Miami Marlins</t>
        </is>
      </c>
      <c r="G19" s="24" t="inlineStr">
        <is>
          <t>Milwaukee Brewers</t>
        </is>
      </c>
      <c r="H19" s="24" t="inlineStr">
        <is>
          <t>moneyline</t>
        </is>
      </c>
      <c r="I19" s="24" t="inlineStr">
        <is>
          <t>home</t>
        </is>
      </c>
      <c r="J19" s="38" t="n"/>
      <c r="K19" s="24" t="inlineStr">
        <is>
          <t>polymarket_us</t>
        </is>
      </c>
      <c r="L19" s="26" t="n">
        <v>-125</v>
      </c>
      <c r="M19" s="39" t="n">
        <v>1.8</v>
      </c>
      <c r="N19" s="28" t="n">
        <v>0.555556</v>
      </c>
      <c r="O19" s="28" t="n">
        <v>0.607169</v>
      </c>
      <c r="P19" s="28" t="n"/>
      <c r="Q19" s="28" t="n">
        <v>0.051613</v>
      </c>
      <c r="R19" s="26" t="n">
        <v>51</v>
      </c>
      <c r="S19" s="29" t="n">
        <v>1.5</v>
      </c>
      <c r="T19" s="24" t="inlineStr">
        <is>
          <t>mlb-elo-trend-lr-v4</t>
        </is>
      </c>
      <c r="U19" s="24" t="inlineStr">
        <is>
          <t>settled</t>
        </is>
      </c>
      <c r="V19" s="24" t="inlineStr">
        <is>
          <t>win</t>
        </is>
      </c>
      <c r="W19" s="26" t="n">
        <v>1</v>
      </c>
      <c r="X19" s="26" t="n">
        <v>3</v>
      </c>
      <c r="Y19" s="38" t="n"/>
      <c r="Z19" s="26" t="n"/>
      <c r="AA19" s="28" t="n"/>
      <c r="AB19" s="28" t="n"/>
      <c r="AC19" s="40" t="n">
        <v>1.2</v>
      </c>
      <c r="AD19" s="24" t="inlineStr">
        <is>
          <t>2026-07-19T21:31:35.195059Z</t>
        </is>
      </c>
      <c r="AE19" s="31" t="inlineStr">
        <is>
          <t>Learned LR call at threshold 0.5100; executable ask 0.5550 (aec-mlb-mia-mil-2026-07-19).</t>
        </is>
      </c>
      <c r="AF19" s="31" t="inlineStr">
        <is>
          <t>Learned model; promotion gate not yet open; zero-unit research until review.</t>
        </is>
      </c>
      <c r="AG19" s="24" t="inlineStr">
        <is>
          <t>not_applicable</t>
        </is>
      </c>
      <c r="AH19" s="24" t="n"/>
      <c r="AI19" s="31" t="n"/>
      <c r="AJ19" s="31" t="n"/>
      <c r="AK19" s="24" t="inlineStr">
        <is>
          <t>research_observation</t>
        </is>
      </c>
      <c r="AL19" s="26" t="n">
        <v>3</v>
      </c>
      <c r="AM19" s="24" t="inlineStr">
        <is>
          <t>RESEARCH_OBSERVATION</t>
        </is>
      </c>
      <c r="AN19" s="24" t="inlineStr">
        <is>
          <t>NO_CALL</t>
        </is>
      </c>
      <c r="AO19" s="24" t="inlineStr">
        <is>
          <t>NO_CALL_MODEL_UNVALIDATED</t>
        </is>
      </c>
      <c r="AP19" s="24" t="inlineStr">
        <is>
          <t>mlb-mia</t>
        </is>
      </c>
      <c r="AQ19" s="24" t="inlineStr">
        <is>
          <t>Miami Marlins</t>
        </is>
      </c>
      <c r="AR19" s="24" t="inlineStr">
        <is>
          <t>Miami Marlins</t>
        </is>
      </c>
      <c r="AS19" s="24" t="inlineStr">
        <is>
          <t>mlb-mil</t>
        </is>
      </c>
      <c r="AT19" s="24" t="inlineStr">
        <is>
          <t>Milwaukee Brewers</t>
        </is>
      </c>
      <c r="AU19" s="24" t="inlineStr">
        <is>
          <t>Milwaukee Brewers</t>
        </is>
      </c>
      <c r="AV19" s="24" t="n"/>
      <c r="AW19" s="24" t="n"/>
      <c r="AX19" s="24" t="inlineStr">
        <is>
          <t>statistical_model</t>
        </is>
      </c>
      <c r="AY19" s="24" t="n"/>
      <c r="AZ19" s="24" t="inlineStr">
        <is>
          <t>research</t>
        </is>
      </c>
      <c r="BA19" s="24" t="inlineStr">
        <is>
          <t>5224fb6ffbc9ddf8fa517627b830ac851192da94d241963d556945393a42bb9d</t>
        </is>
      </c>
      <c r="BB19" s="24" t="inlineStr">
        <is>
          <t>learned_lr</t>
        </is>
      </c>
      <c r="BC19" s="24" t="inlineStr">
        <is>
          <t>mlb-elo-trend-lr-v4</t>
        </is>
      </c>
      <c r="BD19" s="24" t="inlineStr">
        <is>
          <t>5224fb6ffbc9ddf8fa517627b830ac851192da94d241963d556945393a42bb9d</t>
        </is>
      </c>
      <c r="BE19" s="24" t="inlineStr">
        <is>
          <t>a0d9b1134dce1744</t>
        </is>
      </c>
      <c r="BF19" s="24" t="inlineStr">
        <is>
          <t>1</t>
        </is>
      </c>
      <c r="BG19" s="24" t="inlineStr">
        <is>
          <t>mlb-elo-trend-lr-v3</t>
        </is>
      </c>
      <c r="BH19" s="24" t="inlineStr">
        <is>
          <t>2026-07-18T17:36:41.204729Z</t>
        </is>
      </c>
      <c r="BI19" s="24" t="inlineStr">
        <is>
          <t>["same_event","same_team_same_day","same_league_same_day"]</t>
        </is>
      </c>
      <c r="BJ19" s="38" t="n"/>
      <c r="BK19" s="26" t="n">
        <v>-125</v>
      </c>
      <c r="BL19" s="39" t="n">
        <v>1.8</v>
      </c>
      <c r="BM19" s="28" t="n">
        <v>0.555556</v>
      </c>
      <c r="BN19" s="28" t="n">
        <v>0.552239</v>
      </c>
      <c r="BO19" s="28" t="n"/>
      <c r="BP19" s="38" t="n"/>
      <c r="BQ19" s="39" t="n"/>
      <c r="BR19" s="28" t="n"/>
      <c r="BS19" s="28" t="n"/>
      <c r="BT19" s="28" t="n"/>
      <c r="BU19" s="38" t="n"/>
      <c r="BV19" s="29" t="n"/>
      <c r="BW19" s="24" t="n"/>
      <c r="BX19" s="40" t="n">
        <v>1</v>
      </c>
      <c r="BY19" s="39" t="n">
        <v>0.8</v>
      </c>
      <c r="BZ19" s="24" t="inlineStr">
        <is>
          <t>2026-07-19T21:31:35.195059Z</t>
        </is>
      </c>
      <c r="CA19" s="31" t="inlineStr">
        <is>
          <t>fixed one-unit hypothetical scoring; no real exposure or execution</t>
        </is>
      </c>
    </row>
    <row r="20" ht="36" customHeight="1">
      <c r="A20" s="24" t="inlineStr">
        <is>
          <t>04b8c864fb464dd7</t>
        </is>
      </c>
      <c r="B20" s="24" t="inlineStr">
        <is>
          <t>2026-07-18T17:37:17.255201Z</t>
        </is>
      </c>
      <c r="C20" s="24" t="inlineStr">
        <is>
          <t>2026-07-19T14:10:00-0400</t>
        </is>
      </c>
      <c r="D20" s="24" t="inlineStr">
        <is>
          <t>401816180</t>
        </is>
      </c>
      <c r="E20" s="24" t="inlineStr">
        <is>
          <t>MLB</t>
        </is>
      </c>
      <c r="F20" s="24" t="inlineStr">
        <is>
          <t>San Diego Padres</t>
        </is>
      </c>
      <c r="G20" s="24" t="inlineStr">
        <is>
          <t>Kansas City Royals</t>
        </is>
      </c>
      <c r="H20" s="24" t="inlineStr">
        <is>
          <t>moneyline</t>
        </is>
      </c>
      <c r="I20" s="24" t="inlineStr">
        <is>
          <t>away</t>
        </is>
      </c>
      <c r="J20" s="38" t="n"/>
      <c r="K20" s="24" t="inlineStr">
        <is>
          <t>polymarket_us</t>
        </is>
      </c>
      <c r="L20" s="26" t="n">
        <v>106</v>
      </c>
      <c r="M20" s="39" t="n">
        <v>2.06</v>
      </c>
      <c r="N20" s="28" t="n">
        <v>0.485437</v>
      </c>
      <c r="O20" s="28" t="n">
        <v>0.520865</v>
      </c>
      <c r="P20" s="28" t="n"/>
      <c r="Q20" s="28" t="n">
        <v>0.035428</v>
      </c>
      <c r="R20" s="26" t="n">
        <v>35</v>
      </c>
      <c r="S20" s="29" t="n">
        <v>0.75</v>
      </c>
      <c r="T20" s="24" t="inlineStr">
        <is>
          <t>mlb-elo-trend-lr-v4</t>
        </is>
      </c>
      <c r="U20" s="24" t="inlineStr">
        <is>
          <t>settled</t>
        </is>
      </c>
      <c r="V20" s="24" t="inlineStr">
        <is>
          <t>win</t>
        </is>
      </c>
      <c r="W20" s="26" t="n">
        <v>19</v>
      </c>
      <c r="X20" s="26" t="n">
        <v>2</v>
      </c>
      <c r="Y20" s="38" t="n"/>
      <c r="Z20" s="26" t="n"/>
      <c r="AA20" s="28" t="n"/>
      <c r="AB20" s="28" t="n"/>
      <c r="AC20" s="40" t="n">
        <v>0.795</v>
      </c>
      <c r="AD20" s="24" t="inlineStr">
        <is>
          <t>2026-07-19T21:31:35.380420Z</t>
        </is>
      </c>
      <c r="AE20" s="31" t="inlineStr">
        <is>
          <t>Learned LR call at threshold 0.5100; executable ask 0.4850 (aec-mlb-sd-kc-2026-07-19).</t>
        </is>
      </c>
      <c r="AF20" s="31" t="inlineStr">
        <is>
          <t>Learned model; promotion gate not yet open; zero-unit research until review.</t>
        </is>
      </c>
      <c r="AG20" s="24" t="inlineStr">
        <is>
          <t>not_applicable</t>
        </is>
      </c>
      <c r="AH20" s="24" t="n"/>
      <c r="AI20" s="31" t="n"/>
      <c r="AJ20" s="31" t="n"/>
      <c r="AK20" s="24" t="inlineStr">
        <is>
          <t>research_observation</t>
        </is>
      </c>
      <c r="AL20" s="26" t="n">
        <v>3</v>
      </c>
      <c r="AM20" s="24" t="inlineStr">
        <is>
          <t>RESEARCH_OBSERVATION</t>
        </is>
      </c>
      <c r="AN20" s="24" t="inlineStr">
        <is>
          <t>NO_CALL</t>
        </is>
      </c>
      <c r="AO20" s="24" t="inlineStr">
        <is>
          <t>NO_CALL_MODEL_UNVALIDATED</t>
        </is>
      </c>
      <c r="AP20" s="24" t="inlineStr">
        <is>
          <t>mlb-sd</t>
        </is>
      </c>
      <c r="AQ20" s="24" t="inlineStr">
        <is>
          <t>San Diego Padres</t>
        </is>
      </c>
      <c r="AR20" s="24" t="inlineStr">
        <is>
          <t>San Diego Padres</t>
        </is>
      </c>
      <c r="AS20" s="24" t="inlineStr">
        <is>
          <t>mlb-kc</t>
        </is>
      </c>
      <c r="AT20" s="24" t="inlineStr">
        <is>
          <t>Kansas City Royals</t>
        </is>
      </c>
      <c r="AU20" s="24" t="inlineStr">
        <is>
          <t>Kansas City Royals</t>
        </is>
      </c>
      <c r="AV20" s="24" t="n"/>
      <c r="AW20" s="24" t="n"/>
      <c r="AX20" s="24" t="inlineStr">
        <is>
          <t>statistical_model</t>
        </is>
      </c>
      <c r="AY20" s="24" t="n"/>
      <c r="AZ20" s="24" t="inlineStr">
        <is>
          <t>research</t>
        </is>
      </c>
      <c r="BA20" s="24" t="inlineStr">
        <is>
          <t>5224fb6ffbc9ddf8fa517627b830ac851192da94d241963d556945393a42bb9d</t>
        </is>
      </c>
      <c r="BB20" s="24" t="inlineStr">
        <is>
          <t>learned_lr</t>
        </is>
      </c>
      <c r="BC20" s="24" t="inlineStr">
        <is>
          <t>mlb-elo-trend-lr-v4</t>
        </is>
      </c>
      <c r="BD20" s="24" t="inlineStr">
        <is>
          <t>5224fb6ffbc9ddf8fa517627b830ac851192da94d241963d556945393a42bb9d</t>
        </is>
      </c>
      <c r="BE20" s="24" t="inlineStr">
        <is>
          <t>b9e5139f50e614b7</t>
        </is>
      </c>
      <c r="BF20" s="24" t="inlineStr">
        <is>
          <t>1</t>
        </is>
      </c>
      <c r="BG20" s="24" t="inlineStr">
        <is>
          <t>mlb-elo-trend-lr-v3</t>
        </is>
      </c>
      <c r="BH20" s="24" t="inlineStr">
        <is>
          <t>2026-07-18T17:36:40.632965Z</t>
        </is>
      </c>
      <c r="BI20" s="24" t="inlineStr">
        <is>
          <t>["same_event","same_team_same_day","same_league_same_day"]</t>
        </is>
      </c>
      <c r="BJ20" s="38" t="n"/>
      <c r="BK20" s="26" t="n">
        <v>106</v>
      </c>
      <c r="BL20" s="39" t="n">
        <v>2.06</v>
      </c>
      <c r="BM20" s="28" t="n">
        <v>0.485437</v>
      </c>
      <c r="BN20" s="28" t="n">
        <v>0.482587</v>
      </c>
      <c r="BO20" s="28" t="n"/>
      <c r="BP20" s="38" t="n"/>
      <c r="BQ20" s="39" t="n"/>
      <c r="BR20" s="28" t="n"/>
      <c r="BS20" s="28" t="n"/>
      <c r="BT20" s="28" t="n"/>
      <c r="BU20" s="38" t="n"/>
      <c r="BV20" s="29" t="n"/>
      <c r="BW20" s="24" t="n"/>
      <c r="BX20" s="40" t="n">
        <v>1</v>
      </c>
      <c r="BY20" s="39" t="n">
        <v>1.06</v>
      </c>
      <c r="BZ20" s="24" t="inlineStr">
        <is>
          <t>2026-07-19T21:31:35.380420Z</t>
        </is>
      </c>
      <c r="CA20" s="31" t="inlineStr">
        <is>
          <t>fixed one-unit hypothetical scoring; no real exposure or execution</t>
        </is>
      </c>
    </row>
    <row r="21" ht="36" customHeight="1">
      <c r="A21" s="24" t="inlineStr">
        <is>
          <t>2fe604a809ed46d5</t>
        </is>
      </c>
      <c r="B21" s="24" t="inlineStr">
        <is>
          <t>2026-07-19T10:49:38.448695+00:00</t>
        </is>
      </c>
      <c r="C21" s="24" t="inlineStr">
        <is>
          <t>2026-07-17T13:35:00-0400</t>
        </is>
      </c>
      <c r="D21" s="24" t="inlineStr">
        <is>
          <t>Tamp-Bost-2026-07-17-G1</t>
        </is>
      </c>
      <c r="E21" s="24" t="inlineStr">
        <is>
          <t>MLB</t>
        </is>
      </c>
      <c r="F21" s="24" t="inlineStr">
        <is>
          <t>Tampa Bay Rays</t>
        </is>
      </c>
      <c r="G21" s="24" t="inlineStr">
        <is>
          <t>Boston Red Sox</t>
        </is>
      </c>
      <c r="H21" s="24" t="inlineStr">
        <is>
          <t>moneyline</t>
        </is>
      </c>
      <c r="I21" s="24" t="inlineStr">
        <is>
          <t>home</t>
        </is>
      </c>
      <c r="J21" s="38" t="n"/>
      <c r="K21" s="24" t="inlineStr">
        <is>
          <t>polymarket</t>
        </is>
      </c>
      <c r="L21" s="26" t="n">
        <v>-106</v>
      </c>
      <c r="M21" s="39" t="n">
        <v>1.943396</v>
      </c>
      <c r="N21" s="28" t="n">
        <v>0.514563</v>
      </c>
      <c r="O21" s="28" t="n">
        <v>0.550333</v>
      </c>
      <c r="P21" s="28" t="n">
        <v>0.05</v>
      </c>
      <c r="Q21" s="28" t="n">
        <v>0.03577</v>
      </c>
      <c r="R21" s="26" t="n">
        <v>35</v>
      </c>
      <c r="S21" s="29" t="n">
        <v>1</v>
      </c>
      <c r="T21" s="24" t="inlineStr">
        <is>
          <t>mlb-elo-trend-lr-v4</t>
        </is>
      </c>
      <c r="U21" s="24" t="inlineStr">
        <is>
          <t>settled</t>
        </is>
      </c>
      <c r="V21" s="24" t="inlineStr">
        <is>
          <t>win</t>
        </is>
      </c>
      <c r="W21" s="26" t="n">
        <v>0</v>
      </c>
      <c r="X21" s="26" t="n">
        <v>10</v>
      </c>
      <c r="Y21" s="38" t="n"/>
      <c r="Z21" s="26" t="n"/>
      <c r="AA21" s="28" t="n"/>
      <c r="AB21" s="28" t="n"/>
      <c r="AC21" s="40" t="n">
        <v>0.9434</v>
      </c>
      <c r="AD21" s="24" t="inlineStr">
        <is>
          <t>2026-07-19T12:18:56.423740+00:00</t>
        </is>
      </c>
      <c r="AE21" s="31" t="inlineStr">
        <is>
          <t>backtest</t>
        </is>
      </c>
      <c r="AF21" s="31" t="n"/>
      <c r="AG21" s="24" t="n"/>
      <c r="AH21" s="24" t="n"/>
      <c r="AI21" s="31" t="n"/>
      <c r="AJ21" s="31" t="n"/>
      <c r="AK21" s="24" t="n"/>
      <c r="AL21" s="26" t="n"/>
      <c r="AM21" s="24" t="n"/>
      <c r="AN21" s="24" t="n"/>
      <c r="AO21" s="24" t="n"/>
      <c r="AP21" s="24" t="n"/>
      <c r="AQ21" s="24" t="n"/>
      <c r="AR21" s="24" t="n"/>
      <c r="AS21" s="24" t="n"/>
      <c r="AT21" s="24" t="n"/>
      <c r="AU21" s="24" t="n"/>
      <c r="AV21" s="24" t="n"/>
      <c r="AW21" s="24" t="n"/>
      <c r="AX21" s="24" t="n"/>
      <c r="AY21" s="24" t="n"/>
      <c r="AZ21" s="24" t="n"/>
      <c r="BA21" s="24" t="inlineStr">
        <is>
          <t>5224fb6ffbc9ddf8fa517627b830ac851192da94d241963d556945393a42bb9d</t>
        </is>
      </c>
      <c r="BB21" s="24" t="n"/>
      <c r="BC21" s="24" t="inlineStr">
        <is>
          <t>mlb-elo-trend-lr-v4</t>
        </is>
      </c>
      <c r="BD21" s="24" t="inlineStr">
        <is>
          <t>5224fb6ffbc9ddf8fa517627b830ac851192da94d241963d556945393a42bb9d</t>
        </is>
      </c>
      <c r="BE21" s="24" t="n"/>
      <c r="BF21" s="24" t="n"/>
      <c r="BG21" s="24" t="n"/>
      <c r="BH21" s="24" t="inlineStr">
        <is>
          <t>2026-07-17T16:26:03.970000Z</t>
        </is>
      </c>
      <c r="BI21" s="24" t="n"/>
      <c r="BJ21" s="38" t="n"/>
      <c r="BK21" s="26" t="n">
        <v>-106</v>
      </c>
      <c r="BL21" s="39" t="n">
        <v>1.943396</v>
      </c>
      <c r="BM21" s="28" t="n">
        <v>0.514563</v>
      </c>
      <c r="BN21" s="28" t="n">
        <v>0.5124379999999999</v>
      </c>
      <c r="BO21" s="28" t="n"/>
      <c r="BP21" s="38" t="n"/>
      <c r="BQ21" s="39" t="n"/>
      <c r="BR21" s="28" t="n"/>
      <c r="BS21" s="28" t="n"/>
      <c r="BT21" s="28" t="n"/>
      <c r="BU21" s="38" t="n"/>
      <c r="BV21" s="29" t="n"/>
      <c r="BW21" s="24" t="n"/>
      <c r="BX21" s="40" t="n"/>
      <c r="BY21" s="39" t="n"/>
      <c r="BZ21" s="24" t="n"/>
      <c r="CA21" s="31" t="n"/>
    </row>
    <row r="22" ht="36" customHeight="1">
      <c r="A22" s="24" t="inlineStr">
        <is>
          <t>47dbb1641a0a4833</t>
        </is>
      </c>
      <c r="B22" s="24" t="inlineStr">
        <is>
          <t>2026-07-19T10:49:38.448695+00:00</t>
        </is>
      </c>
      <c r="C22" s="24" t="inlineStr">
        <is>
          <t>2026-07-17T19:10:00-0400</t>
        </is>
      </c>
      <c r="D22" s="24" t="inlineStr">
        <is>
          <t>Tamp-Bost-2026-07-17-G2</t>
        </is>
      </c>
      <c r="E22" s="24" t="inlineStr">
        <is>
          <t>MLB</t>
        </is>
      </c>
      <c r="F22" s="24" t="inlineStr">
        <is>
          <t>Tampa Bay Rays</t>
        </is>
      </c>
      <c r="G22" s="24" t="inlineStr">
        <is>
          <t>Boston Red Sox</t>
        </is>
      </c>
      <c r="H22" s="24" t="inlineStr">
        <is>
          <t>moneyline</t>
        </is>
      </c>
      <c r="I22" s="24" t="inlineStr">
        <is>
          <t>home</t>
        </is>
      </c>
      <c r="J22" s="38" t="n"/>
      <c r="K22" s="24" t="inlineStr">
        <is>
          <t>polymarket</t>
        </is>
      </c>
      <c r="L22" s="26" t="n">
        <v>-106</v>
      </c>
      <c r="M22" s="39" t="n">
        <v>1.943396</v>
      </c>
      <c r="N22" s="28" t="n">
        <v>0.514563</v>
      </c>
      <c r="O22" s="28" t="n">
        <v>0.550333</v>
      </c>
      <c r="P22" s="28" t="n">
        <v>0.05</v>
      </c>
      <c r="Q22" s="28" t="n">
        <v>0.03577</v>
      </c>
      <c r="R22" s="26" t="n">
        <v>35</v>
      </c>
      <c r="S22" s="29" t="n">
        <v>1</v>
      </c>
      <c r="T22" s="24" t="inlineStr">
        <is>
          <t>mlb-elo-trend-lr-v4</t>
        </is>
      </c>
      <c r="U22" s="24" t="inlineStr">
        <is>
          <t>settled</t>
        </is>
      </c>
      <c r="V22" s="24" t="inlineStr">
        <is>
          <t>win</t>
        </is>
      </c>
      <c r="W22" s="26" t="n">
        <v>3</v>
      </c>
      <c r="X22" s="26" t="n">
        <v>5</v>
      </c>
      <c r="Y22" s="38" t="n"/>
      <c r="Z22" s="26" t="n"/>
      <c r="AA22" s="28" t="n"/>
      <c r="AB22" s="28" t="n"/>
      <c r="AC22" s="40" t="n">
        <v>0.9434</v>
      </c>
      <c r="AD22" s="24" t="inlineStr">
        <is>
          <t>2026-07-19T12:18:56.423961+00:00</t>
        </is>
      </c>
      <c r="AE22" s="31" t="inlineStr">
        <is>
          <t>backtest</t>
        </is>
      </c>
      <c r="AF22" s="31" t="n"/>
      <c r="AG22" s="24" t="n"/>
      <c r="AH22" s="24" t="n"/>
      <c r="AI22" s="31" t="n"/>
      <c r="AJ22" s="31" t="n"/>
      <c r="AK22" s="24" t="n"/>
      <c r="AL22" s="26" t="n"/>
      <c r="AM22" s="24" t="n"/>
      <c r="AN22" s="24" t="n"/>
      <c r="AO22" s="24" t="n"/>
      <c r="AP22" s="24" t="n"/>
      <c r="AQ22" s="24" t="n"/>
      <c r="AR22" s="24" t="n"/>
      <c r="AS22" s="24" t="n"/>
      <c r="AT22" s="24" t="n"/>
      <c r="AU22" s="24" t="n"/>
      <c r="AV22" s="24" t="n"/>
      <c r="AW22" s="24" t="n"/>
      <c r="AX22" s="24" t="n"/>
      <c r="AY22" s="24" t="n"/>
      <c r="AZ22" s="24" t="n"/>
      <c r="BA22" s="24" t="inlineStr">
        <is>
          <t>5224fb6ffbc9ddf8fa517627b830ac851192da94d241963d556945393a42bb9d</t>
        </is>
      </c>
      <c r="BB22" s="24" t="n"/>
      <c r="BC22" s="24" t="inlineStr">
        <is>
          <t>mlb-elo-trend-lr-v4</t>
        </is>
      </c>
      <c r="BD22" s="24" t="inlineStr">
        <is>
          <t>5224fb6ffbc9ddf8fa517627b830ac851192da94d241963d556945393a42bb9d</t>
        </is>
      </c>
      <c r="BE22" s="24" t="n"/>
      <c r="BF22" s="24" t="n"/>
      <c r="BG22" s="24" t="n"/>
      <c r="BH22" s="24" t="inlineStr">
        <is>
          <t>2026-07-17T16:26:03.970000Z</t>
        </is>
      </c>
      <c r="BI22" s="24" t="n"/>
      <c r="BJ22" s="38" t="n"/>
      <c r="BK22" s="26" t="n">
        <v>-106</v>
      </c>
      <c r="BL22" s="39" t="n">
        <v>1.943396</v>
      </c>
      <c r="BM22" s="28" t="n">
        <v>0.514563</v>
      </c>
      <c r="BN22" s="28" t="n">
        <v>0.5124379999999999</v>
      </c>
      <c r="BO22" s="28" t="n"/>
      <c r="BP22" s="38" t="n"/>
      <c r="BQ22" s="39" t="n"/>
      <c r="BR22" s="28" t="n"/>
      <c r="BS22" s="28" t="n"/>
      <c r="BT22" s="28" t="n"/>
      <c r="BU22" s="38" t="n"/>
      <c r="BV22" s="29" t="n"/>
      <c r="BW22" s="24" t="n"/>
      <c r="BX22" s="40" t="n"/>
      <c r="BY22" s="39" t="n"/>
      <c r="BZ22" s="24" t="n"/>
      <c r="CA22" s="31" t="n"/>
    </row>
    <row r="23" ht="36" customHeight="1">
      <c r="A23" s="24" t="inlineStr">
        <is>
          <t>baee116aa2834b53</t>
        </is>
      </c>
      <c r="B23" s="24" t="inlineStr">
        <is>
          <t>2026-07-19T10:49:38.448695+00:00</t>
        </is>
      </c>
      <c r="C23" s="24" t="inlineStr">
        <is>
          <t>2026-07-17T19:40:00-0400</t>
        </is>
      </c>
      <c r="D23" s="24" t="inlineStr">
        <is>
          <t>Miam-Milw-2026-07-17</t>
        </is>
      </c>
      <c r="E23" s="24" t="inlineStr">
        <is>
          <t>MLB</t>
        </is>
      </c>
      <c r="F23" s="24" t="inlineStr">
        <is>
          <t>Miami Marlins</t>
        </is>
      </c>
      <c r="G23" s="24" t="inlineStr">
        <is>
          <t>Milwaukee Brewers</t>
        </is>
      </c>
      <c r="H23" s="24" t="inlineStr">
        <is>
          <t>moneyline</t>
        </is>
      </c>
      <c r="I23" s="24" t="inlineStr">
        <is>
          <t>home</t>
        </is>
      </c>
      <c r="J23" s="38" t="n"/>
      <c r="K23" s="24" t="inlineStr">
        <is>
          <t>polymarket</t>
        </is>
      </c>
      <c r="L23" s="26" t="n">
        <v>-141</v>
      </c>
      <c r="M23" s="39" t="n">
        <v>1.70922</v>
      </c>
      <c r="N23" s="28" t="n">
        <v>0.585062</v>
      </c>
      <c r="O23" s="28" t="n">
        <v>0.616198</v>
      </c>
      <c r="P23" s="28" t="n">
        <v>0.05</v>
      </c>
      <c r="Q23" s="28" t="n">
        <v>0.031136</v>
      </c>
      <c r="R23" s="26" t="n">
        <v>31</v>
      </c>
      <c r="S23" s="29" t="n">
        <v>1.75</v>
      </c>
      <c r="T23" s="24" t="inlineStr">
        <is>
          <t>mlb-elo-trend-lr-v4</t>
        </is>
      </c>
      <c r="U23" s="24" t="inlineStr">
        <is>
          <t>settled</t>
        </is>
      </c>
      <c r="V23" s="24" t="inlineStr">
        <is>
          <t>win</t>
        </is>
      </c>
      <c r="W23" s="26" t="n">
        <v>1</v>
      </c>
      <c r="X23" s="26" t="n">
        <v>2</v>
      </c>
      <c r="Y23" s="38" t="n"/>
      <c r="Z23" s="26" t="n"/>
      <c r="AA23" s="28" t="n"/>
      <c r="AB23" s="28" t="n"/>
      <c r="AC23" s="40" t="n">
        <v>1.2411</v>
      </c>
      <c r="AD23" s="24" t="inlineStr">
        <is>
          <t>2026-07-19T12:18:56.424573+00:00</t>
        </is>
      </c>
      <c r="AE23" s="31" t="inlineStr">
        <is>
          <t>backtest</t>
        </is>
      </c>
      <c r="AF23" s="31" t="n"/>
      <c r="AG23" s="24" t="n"/>
      <c r="AH23" s="24" t="n"/>
      <c r="AI23" s="31" t="n"/>
      <c r="AJ23" s="31" t="n"/>
      <c r="AK23" s="24" t="n"/>
      <c r="AL23" s="26" t="n"/>
      <c r="AM23" s="24" t="n"/>
      <c r="AN23" s="24" t="n"/>
      <c r="AO23" s="24" t="n"/>
      <c r="AP23" s="24" t="n"/>
      <c r="AQ23" s="24" t="n"/>
      <c r="AR23" s="24" t="n"/>
      <c r="AS23" s="24" t="n"/>
      <c r="AT23" s="24" t="n"/>
      <c r="AU23" s="24" t="n"/>
      <c r="AV23" s="24" t="n"/>
      <c r="AW23" s="24" t="n"/>
      <c r="AX23" s="24" t="n"/>
      <c r="AY23" s="24" t="n"/>
      <c r="AZ23" s="24" t="n"/>
      <c r="BA23" s="24" t="inlineStr">
        <is>
          <t>5224fb6ffbc9ddf8fa517627b830ac851192da94d241963d556945393a42bb9d</t>
        </is>
      </c>
      <c r="BB23" s="24" t="n"/>
      <c r="BC23" s="24" t="inlineStr">
        <is>
          <t>mlb-elo-trend-lr-v4</t>
        </is>
      </c>
      <c r="BD23" s="24" t="inlineStr">
        <is>
          <t>5224fb6ffbc9ddf8fa517627b830ac851192da94d241963d556945393a42bb9d</t>
        </is>
      </c>
      <c r="BE23" s="24" t="n"/>
      <c r="BF23" s="24" t="n"/>
      <c r="BG23" s="24" t="n"/>
      <c r="BH23" s="24" t="inlineStr">
        <is>
          <t>2026-07-17T17:12:44.293402Z</t>
        </is>
      </c>
      <c r="BI23" s="24" t="n"/>
      <c r="BJ23" s="38" t="n"/>
      <c r="BK23" s="26" t="n">
        <v>-141</v>
      </c>
      <c r="BL23" s="39" t="n">
        <v>1.70922</v>
      </c>
      <c r="BM23" s="28" t="n">
        <v>0.585062</v>
      </c>
      <c r="BN23" s="28" t="n">
        <v>0.58209</v>
      </c>
      <c r="BO23" s="28" t="n"/>
      <c r="BP23" s="38" t="n"/>
      <c r="BQ23" s="39" t="n"/>
      <c r="BR23" s="28" t="n"/>
      <c r="BS23" s="28" t="n"/>
      <c r="BT23" s="28" t="n"/>
      <c r="BU23" s="38" t="n"/>
      <c r="BV23" s="29" t="n"/>
      <c r="BW23" s="24" t="n"/>
      <c r="BX23" s="40" t="n"/>
      <c r="BY23" s="39" t="n"/>
      <c r="BZ23" s="24" t="n"/>
      <c r="CA23" s="31" t="n"/>
    </row>
    <row r="24" ht="36" customHeight="1">
      <c r="A24" s="24" t="inlineStr">
        <is>
          <t>509252032f1947b8</t>
        </is>
      </c>
      <c r="B24" s="24" t="inlineStr">
        <is>
          <t>2026-07-19T10:49:38.448695+00:00</t>
        </is>
      </c>
      <c r="C24" s="24" t="inlineStr">
        <is>
          <t>2026-07-17T20:05:00-0400</t>
        </is>
      </c>
      <c r="D24" s="24" t="inlineStr">
        <is>
          <t>Minn-Chic-2026-07-17</t>
        </is>
      </c>
      <c r="E24" s="24" t="inlineStr">
        <is>
          <t>MLB</t>
        </is>
      </c>
      <c r="F24" s="24" t="inlineStr">
        <is>
          <t>Minnesota Twins</t>
        </is>
      </c>
      <c r="G24" s="24" t="inlineStr">
        <is>
          <t>Chicago Cubs</t>
        </is>
      </c>
      <c r="H24" s="24" t="inlineStr">
        <is>
          <t>moneyline</t>
        </is>
      </c>
      <c r="I24" s="24" t="inlineStr">
        <is>
          <t>home</t>
        </is>
      </c>
      <c r="J24" s="38" t="n"/>
      <c r="K24" s="24" t="inlineStr">
        <is>
          <t>polymarket</t>
        </is>
      </c>
      <c r="L24" s="26" t="n">
        <v>-133</v>
      </c>
      <c r="M24" s="39" t="n">
        <v>1.75188</v>
      </c>
      <c r="N24" s="28" t="n">
        <v>0.570815</v>
      </c>
      <c r="O24" s="28" t="n">
        <v>0.60271</v>
      </c>
      <c r="P24" s="28" t="n">
        <v>0.05</v>
      </c>
      <c r="Q24" s="28" t="n">
        <v>0.031895</v>
      </c>
      <c r="R24" s="26" t="n">
        <v>31</v>
      </c>
      <c r="S24" s="29" t="n">
        <v>1.5</v>
      </c>
      <c r="T24" s="24" t="inlineStr">
        <is>
          <t>mlb-elo-trend-lr-v4</t>
        </is>
      </c>
      <c r="U24" s="24" t="inlineStr">
        <is>
          <t>settled</t>
        </is>
      </c>
      <c r="V24" s="24" t="inlineStr">
        <is>
          <t>loss</t>
        </is>
      </c>
      <c r="W24" s="26" t="n">
        <v>5</v>
      </c>
      <c r="X24" s="26" t="n">
        <v>2</v>
      </c>
      <c r="Y24" s="38" t="n"/>
      <c r="Z24" s="26" t="n"/>
      <c r="AA24" s="28" t="n"/>
      <c r="AB24" s="28" t="n"/>
      <c r="AC24" s="40" t="n">
        <v>-1.5</v>
      </c>
      <c r="AD24" s="24" t="inlineStr">
        <is>
          <t>2026-07-19T12:18:56.424770+00:00</t>
        </is>
      </c>
      <c r="AE24" s="31" t="inlineStr">
        <is>
          <t>backtest</t>
        </is>
      </c>
      <c r="AF24" s="31" t="n"/>
      <c r="AG24" s="24" t="n"/>
      <c r="AH24" s="24" t="n"/>
      <c r="AI24" s="31" t="n"/>
      <c r="AJ24" s="31" t="n"/>
      <c r="AK24" s="24" t="n"/>
      <c r="AL24" s="26" t="n"/>
      <c r="AM24" s="24" t="n"/>
      <c r="AN24" s="24" t="n"/>
      <c r="AO24" s="24" t="n"/>
      <c r="AP24" s="24" t="n"/>
      <c r="AQ24" s="24" t="n"/>
      <c r="AR24" s="24" t="n"/>
      <c r="AS24" s="24" t="n"/>
      <c r="AT24" s="24" t="n"/>
      <c r="AU24" s="24" t="n"/>
      <c r="AV24" s="24" t="n"/>
      <c r="AW24" s="24" t="n"/>
      <c r="AX24" s="24" t="n"/>
      <c r="AY24" s="24" t="n"/>
      <c r="AZ24" s="24" t="n"/>
      <c r="BA24" s="24" t="inlineStr">
        <is>
          <t>5224fb6ffbc9ddf8fa517627b830ac851192da94d241963d556945393a42bb9d</t>
        </is>
      </c>
      <c r="BB24" s="24" t="n"/>
      <c r="BC24" s="24" t="inlineStr">
        <is>
          <t>mlb-elo-trend-lr-v4</t>
        </is>
      </c>
      <c r="BD24" s="24" t="inlineStr">
        <is>
          <t>5224fb6ffbc9ddf8fa517627b830ac851192da94d241963d556945393a42bb9d</t>
        </is>
      </c>
      <c r="BE24" s="24" t="n"/>
      <c r="BF24" s="24" t="n"/>
      <c r="BG24" s="24" t="n"/>
      <c r="BH24" s="24" t="inlineStr">
        <is>
          <t>2026-07-17T17:12:44.967723Z</t>
        </is>
      </c>
      <c r="BI24" s="24" t="n"/>
      <c r="BJ24" s="38" t="n"/>
      <c r="BK24" s="26" t="n">
        <v>-133</v>
      </c>
      <c r="BL24" s="39" t="n">
        <v>1.75188</v>
      </c>
      <c r="BM24" s="28" t="n">
        <v>0.570815</v>
      </c>
      <c r="BN24" s="28" t="n">
        <v>0.567164</v>
      </c>
      <c r="BO24" s="28" t="n"/>
      <c r="BP24" s="38" t="n"/>
      <c r="BQ24" s="39" t="n"/>
      <c r="BR24" s="28" t="n"/>
      <c r="BS24" s="28" t="n"/>
      <c r="BT24" s="28" t="n"/>
      <c r="BU24" s="38" t="n"/>
      <c r="BV24" s="29" t="n"/>
      <c r="BW24" s="24" t="n"/>
      <c r="BX24" s="40" t="n"/>
      <c r="BY24" s="39" t="n"/>
      <c r="BZ24" s="24" t="n"/>
      <c r="CA24" s="31" t="n"/>
    </row>
    <row r="25" ht="36" customHeight="1">
      <c r="A25" s="24" t="inlineStr">
        <is>
          <t>19647b771ec94081</t>
        </is>
      </c>
      <c r="B25" s="24" t="inlineStr">
        <is>
          <t>2026-07-19T10:49:38.448695+00:00</t>
        </is>
      </c>
      <c r="C25" s="24" t="inlineStr">
        <is>
          <t>2026-07-17T20:40:00-0400</t>
        </is>
      </c>
      <c r="D25" s="24" t="inlineStr">
        <is>
          <t>Cinc-Colo-2026-07-17</t>
        </is>
      </c>
      <c r="E25" s="24" t="inlineStr">
        <is>
          <t>MLB</t>
        </is>
      </c>
      <c r="F25" s="24" t="inlineStr">
        <is>
          <t>Cincinnati Reds</t>
        </is>
      </c>
      <c r="G25" s="24" t="inlineStr">
        <is>
          <t>Colorado Rockies</t>
        </is>
      </c>
      <c r="H25" s="24" t="inlineStr">
        <is>
          <t>moneyline</t>
        </is>
      </c>
      <c r="I25" s="24" t="inlineStr">
        <is>
          <t>away</t>
        </is>
      </c>
      <c r="J25" s="38" t="n"/>
      <c r="K25" s="24" t="inlineStr">
        <is>
          <t>polymarket</t>
        </is>
      </c>
      <c r="L25" s="26" t="n">
        <v>104</v>
      </c>
      <c r="M25" s="39" t="n">
        <v>2.04</v>
      </c>
      <c r="N25" s="28" t="n">
        <v>0.490196</v>
      </c>
      <c r="O25" s="28" t="n">
        <v>0.582862</v>
      </c>
      <c r="P25" s="28" t="n">
        <v>0.05</v>
      </c>
      <c r="Q25" s="28" t="n">
        <v>0.092666</v>
      </c>
      <c r="R25" s="26" t="n">
        <v>92</v>
      </c>
      <c r="S25" s="29" t="n">
        <v>1.25</v>
      </c>
      <c r="T25" s="24" t="inlineStr">
        <is>
          <t>mlb-elo-trend-lr-v4</t>
        </is>
      </c>
      <c r="U25" s="24" t="inlineStr">
        <is>
          <t>settled</t>
        </is>
      </c>
      <c r="V25" s="24" t="inlineStr">
        <is>
          <t>win</t>
        </is>
      </c>
      <c r="W25" s="26" t="n">
        <v>7</v>
      </c>
      <c r="X25" s="26" t="n">
        <v>2</v>
      </c>
      <c r="Y25" s="38" t="n"/>
      <c r="Z25" s="26" t="n"/>
      <c r="AA25" s="28" t="n"/>
      <c r="AB25" s="28" t="n"/>
      <c r="AC25" s="40" t="n">
        <v>1.3</v>
      </c>
      <c r="AD25" s="24" t="inlineStr">
        <is>
          <t>2026-07-19T12:18:56.425382+00:00</t>
        </is>
      </c>
      <c r="AE25" s="31" t="inlineStr">
        <is>
          <t>backtest</t>
        </is>
      </c>
      <c r="AF25" s="31" t="n"/>
      <c r="AG25" s="24" t="n"/>
      <c r="AH25" s="24" t="n"/>
      <c r="AI25" s="31" t="n"/>
      <c r="AJ25" s="31" t="n"/>
      <c r="AK25" s="24" t="n"/>
      <c r="AL25" s="26" t="n"/>
      <c r="AM25" s="24" t="n"/>
      <c r="AN25" s="24" t="n"/>
      <c r="AO25" s="24" t="n"/>
      <c r="AP25" s="24" t="n"/>
      <c r="AQ25" s="24" t="n"/>
      <c r="AR25" s="24" t="n"/>
      <c r="AS25" s="24" t="n"/>
      <c r="AT25" s="24" t="n"/>
      <c r="AU25" s="24" t="n"/>
      <c r="AV25" s="24" t="n"/>
      <c r="AW25" s="24" t="n"/>
      <c r="AX25" s="24" t="n"/>
      <c r="AY25" s="24" t="n"/>
      <c r="AZ25" s="24" t="n"/>
      <c r="BA25" s="24" t="inlineStr">
        <is>
          <t>5224fb6ffbc9ddf8fa517627b830ac851192da94d241963d556945393a42bb9d</t>
        </is>
      </c>
      <c r="BB25" s="24" t="n"/>
      <c r="BC25" s="24" t="inlineStr">
        <is>
          <t>mlb-elo-trend-lr-v4</t>
        </is>
      </c>
      <c r="BD25" s="24" t="inlineStr">
        <is>
          <t>5224fb6ffbc9ddf8fa517627b830ac851192da94d241963d556945393a42bb9d</t>
        </is>
      </c>
      <c r="BE25" s="24" t="n"/>
      <c r="BF25" s="24" t="n"/>
      <c r="BG25" s="24" t="n"/>
      <c r="BH25" s="24" t="inlineStr">
        <is>
          <t>2026-07-17T16:26:11.935150Z</t>
        </is>
      </c>
      <c r="BI25" s="24" t="n"/>
      <c r="BJ25" s="38" t="n"/>
      <c r="BK25" s="26" t="n">
        <v>104</v>
      </c>
      <c r="BL25" s="39" t="n">
        <v>2.04</v>
      </c>
      <c r="BM25" s="28" t="n">
        <v>0.490196</v>
      </c>
      <c r="BN25" s="28" t="n">
        <v>0.487562</v>
      </c>
      <c r="BO25" s="28" t="n"/>
      <c r="BP25" s="38" t="n"/>
      <c r="BQ25" s="39" t="n"/>
      <c r="BR25" s="28" t="n"/>
      <c r="BS25" s="28" t="n"/>
      <c r="BT25" s="28" t="n"/>
      <c r="BU25" s="38" t="n"/>
      <c r="BV25" s="29" t="n"/>
      <c r="BW25" s="24" t="n"/>
      <c r="BX25" s="40" t="n"/>
      <c r="BY25" s="39" t="n"/>
      <c r="BZ25" s="24" t="n"/>
      <c r="CA25" s="31" t="n"/>
    </row>
    <row r="26" ht="36" customHeight="1">
      <c r="A26" s="24" t="inlineStr">
        <is>
          <t>632575e6d24b409b</t>
        </is>
      </c>
      <c r="B26" s="24" t="inlineStr">
        <is>
          <t>2026-07-19T10:49:38.448695+00:00</t>
        </is>
      </c>
      <c r="C26" s="24" t="inlineStr">
        <is>
          <t>2026-07-17T21:38:00-0400</t>
        </is>
      </c>
      <c r="D26" s="24" t="inlineStr">
        <is>
          <t>Detr-LosA-2026-07-17</t>
        </is>
      </c>
      <c r="E26" s="24" t="inlineStr">
        <is>
          <t>MLB</t>
        </is>
      </c>
      <c r="F26" s="24" t="inlineStr">
        <is>
          <t>Detroit Tigers</t>
        </is>
      </c>
      <c r="G26" s="24" t="inlineStr">
        <is>
          <t>Los Angeles Angels</t>
        </is>
      </c>
      <c r="H26" s="24" t="inlineStr">
        <is>
          <t>moneyline</t>
        </is>
      </c>
      <c r="I26" s="24" t="inlineStr">
        <is>
          <t>away</t>
        </is>
      </c>
      <c r="J26" s="38" t="n"/>
      <c r="K26" s="24" t="inlineStr">
        <is>
          <t>polymarket</t>
        </is>
      </c>
      <c r="L26" s="26" t="n">
        <v>-104</v>
      </c>
      <c r="M26" s="39" t="n">
        <v>1.961538</v>
      </c>
      <c r="N26" s="28" t="n">
        <v>0.509804</v>
      </c>
      <c r="O26" s="28" t="n">
        <v>0.550233</v>
      </c>
      <c r="P26" s="28" t="n">
        <v>0.05</v>
      </c>
      <c r="Q26" s="28" t="n">
        <v>0.040429</v>
      </c>
      <c r="R26" s="26" t="n">
        <v>40</v>
      </c>
      <c r="S26" s="29" t="n">
        <v>1</v>
      </c>
      <c r="T26" s="24" t="inlineStr">
        <is>
          <t>mlb-elo-trend-lr-v4</t>
        </is>
      </c>
      <c r="U26" s="24" t="inlineStr">
        <is>
          <t>settled</t>
        </is>
      </c>
      <c r="V26" s="24" t="inlineStr">
        <is>
          <t>win</t>
        </is>
      </c>
      <c r="W26" s="26" t="n">
        <v>2</v>
      </c>
      <c r="X26" s="26" t="n">
        <v>1</v>
      </c>
      <c r="Y26" s="38" t="n"/>
      <c r="Z26" s="26" t="n"/>
      <c r="AA26" s="28" t="n"/>
      <c r="AB26" s="28" t="n"/>
      <c r="AC26" s="40" t="n">
        <v>0.9615</v>
      </c>
      <c r="AD26" s="24" t="inlineStr">
        <is>
          <t>2026-07-19T12:18:56.425591+00:00</t>
        </is>
      </c>
      <c r="AE26" s="31" t="inlineStr">
        <is>
          <t>backtest</t>
        </is>
      </c>
      <c r="AF26" s="31" t="n"/>
      <c r="AG26" s="24" t="n"/>
      <c r="AH26" s="24" t="n"/>
      <c r="AI26" s="31" t="n"/>
      <c r="AJ26" s="31" t="n"/>
      <c r="AK26" s="24" t="n"/>
      <c r="AL26" s="26" t="n"/>
      <c r="AM26" s="24" t="n"/>
      <c r="AN26" s="24" t="n"/>
      <c r="AO26" s="24" t="n"/>
      <c r="AP26" s="24" t="n"/>
      <c r="AQ26" s="24" t="n"/>
      <c r="AR26" s="24" t="n"/>
      <c r="AS26" s="24" t="n"/>
      <c r="AT26" s="24" t="n"/>
      <c r="AU26" s="24" t="n"/>
      <c r="AV26" s="24" t="n"/>
      <c r="AW26" s="24" t="n"/>
      <c r="AX26" s="24" t="n"/>
      <c r="AY26" s="24" t="n"/>
      <c r="AZ26" s="24" t="n"/>
      <c r="BA26" s="24" t="inlineStr">
        <is>
          <t>5224fb6ffbc9ddf8fa517627b830ac851192da94d241963d556945393a42bb9d</t>
        </is>
      </c>
      <c r="BB26" s="24" t="n"/>
      <c r="BC26" s="24" t="inlineStr">
        <is>
          <t>mlb-elo-trend-lr-v4</t>
        </is>
      </c>
      <c r="BD26" s="24" t="inlineStr">
        <is>
          <t>5224fb6ffbc9ddf8fa517627b830ac851192da94d241963d556945393a42bb9d</t>
        </is>
      </c>
      <c r="BE26" s="24" t="n"/>
      <c r="BF26" s="24" t="n"/>
      <c r="BG26" s="24" t="n"/>
      <c r="BH26" s="24" t="inlineStr">
        <is>
          <t>2026-07-17T16:26:12.761758Z</t>
        </is>
      </c>
      <c r="BI26" s="24" t="n"/>
      <c r="BJ26" s="38" t="n"/>
      <c r="BK26" s="26" t="n">
        <v>-104</v>
      </c>
      <c r="BL26" s="39" t="n">
        <v>1.961538</v>
      </c>
      <c r="BM26" s="28" t="n">
        <v>0.509804</v>
      </c>
      <c r="BN26" s="28" t="n">
        <v>0.507463</v>
      </c>
      <c r="BO26" s="28" t="n"/>
      <c r="BP26" s="38" t="n"/>
      <c r="BQ26" s="39" t="n"/>
      <c r="BR26" s="28" t="n"/>
      <c r="BS26" s="28" t="n"/>
      <c r="BT26" s="28" t="n"/>
      <c r="BU26" s="38" t="n"/>
      <c r="BV26" s="29" t="n"/>
      <c r="BW26" s="24" t="n"/>
      <c r="BX26" s="40" t="n"/>
      <c r="BY26" s="39" t="n"/>
      <c r="BZ26" s="24" t="n"/>
      <c r="CA26" s="31" t="n"/>
    </row>
    <row r="27" ht="36" customHeight="1">
      <c r="A27" s="24" t="inlineStr">
        <is>
          <t>673ea47c54654f7f</t>
        </is>
      </c>
      <c r="B27" s="24" t="inlineStr">
        <is>
          <t>2026-07-19T10:49:38.448695+00:00</t>
        </is>
      </c>
      <c r="C27" s="24" t="inlineStr">
        <is>
          <t>2026-07-17T21:40:00-0400</t>
        </is>
      </c>
      <c r="D27" s="24" t="inlineStr">
        <is>
          <t>Wash-Athl-2026-07-17</t>
        </is>
      </c>
      <c r="E27" s="24" t="inlineStr">
        <is>
          <t>MLB</t>
        </is>
      </c>
      <c r="F27" s="24" t="inlineStr">
        <is>
          <t>Washington Nationals</t>
        </is>
      </c>
      <c r="G27" s="24" t="inlineStr">
        <is>
          <t>Athletics</t>
        </is>
      </c>
      <c r="H27" s="24" t="inlineStr">
        <is>
          <t>moneyline</t>
        </is>
      </c>
      <c r="I27" s="24" t="inlineStr">
        <is>
          <t>home</t>
        </is>
      </c>
      <c r="J27" s="38" t="n"/>
      <c r="K27" s="24" t="inlineStr">
        <is>
          <t>polymarket</t>
        </is>
      </c>
      <c r="L27" s="26" t="n">
        <v>120</v>
      </c>
      <c r="M27" s="39" t="n">
        <v>2.2</v>
      </c>
      <c r="N27" s="28" t="n">
        <v>0.454545</v>
      </c>
      <c r="O27" s="28" t="n">
        <v>0.530299</v>
      </c>
      <c r="P27" s="28" t="n">
        <v>0.05</v>
      </c>
      <c r="Q27" s="28" t="n">
        <v>0.075754</v>
      </c>
      <c r="R27" s="26" t="n">
        <v>75</v>
      </c>
      <c r="S27" s="29" t="n">
        <v>0.75</v>
      </c>
      <c r="T27" s="24" t="inlineStr">
        <is>
          <t>mlb-elo-trend-lr-v4</t>
        </is>
      </c>
      <c r="U27" s="24" t="inlineStr">
        <is>
          <t>settled</t>
        </is>
      </c>
      <c r="V27" s="24" t="inlineStr">
        <is>
          <t>loss</t>
        </is>
      </c>
      <c r="W27" s="26" t="n">
        <v>23</v>
      </c>
      <c r="X27" s="26" t="n">
        <v>4</v>
      </c>
      <c r="Y27" s="38" t="n"/>
      <c r="Z27" s="26" t="n"/>
      <c r="AA27" s="28" t="n"/>
      <c r="AB27" s="28" t="n"/>
      <c r="AC27" s="40" t="n">
        <v>-0.75</v>
      </c>
      <c r="AD27" s="24" t="inlineStr">
        <is>
          <t>2026-07-19T12:18:56.425781+00:00</t>
        </is>
      </c>
      <c r="AE27" s="31" t="inlineStr">
        <is>
          <t>backtest</t>
        </is>
      </c>
      <c r="AF27" s="31" t="n"/>
      <c r="AG27" s="24" t="n"/>
      <c r="AH27" s="24" t="n"/>
      <c r="AI27" s="31" t="n"/>
      <c r="AJ27" s="31" t="n"/>
      <c r="AK27" s="24" t="n"/>
      <c r="AL27" s="26" t="n"/>
      <c r="AM27" s="24" t="n"/>
      <c r="AN27" s="24" t="n"/>
      <c r="AO27" s="24" t="n"/>
      <c r="AP27" s="24" t="n"/>
      <c r="AQ27" s="24" t="n"/>
      <c r="AR27" s="24" t="n"/>
      <c r="AS27" s="24" t="n"/>
      <c r="AT27" s="24" t="n"/>
      <c r="AU27" s="24" t="n"/>
      <c r="AV27" s="24" t="n"/>
      <c r="AW27" s="24" t="n"/>
      <c r="AX27" s="24" t="n"/>
      <c r="AY27" s="24" t="n"/>
      <c r="AZ27" s="24" t="n"/>
      <c r="BA27" s="24" t="inlineStr">
        <is>
          <t>5224fb6ffbc9ddf8fa517627b830ac851192da94d241963d556945393a42bb9d</t>
        </is>
      </c>
      <c r="BB27" s="24" t="n"/>
      <c r="BC27" s="24" t="inlineStr">
        <is>
          <t>mlb-elo-trend-lr-v4</t>
        </is>
      </c>
      <c r="BD27" s="24" t="inlineStr">
        <is>
          <t>5224fb6ffbc9ddf8fa517627b830ac851192da94d241963d556945393a42bb9d</t>
        </is>
      </c>
      <c r="BE27" s="24" t="n"/>
      <c r="BF27" s="24" t="n"/>
      <c r="BG27" s="24" t="n"/>
      <c r="BH27" s="24" t="inlineStr">
        <is>
          <t>2026-07-17T16:26:14.658660Z</t>
        </is>
      </c>
      <c r="BI27" s="24" t="n"/>
      <c r="BJ27" s="38" t="n"/>
      <c r="BK27" s="26" t="n">
        <v>120</v>
      </c>
      <c r="BL27" s="39" t="n">
        <v>2.2</v>
      </c>
      <c r="BM27" s="28" t="n">
        <v>0.454545</v>
      </c>
      <c r="BN27" s="28" t="n">
        <v>0.452736</v>
      </c>
      <c r="BO27" s="28" t="n"/>
      <c r="BP27" s="38" t="n"/>
      <c r="BQ27" s="39" t="n"/>
      <c r="BR27" s="28" t="n"/>
      <c r="BS27" s="28" t="n"/>
      <c r="BT27" s="28" t="n"/>
      <c r="BU27" s="38" t="n"/>
      <c r="BV27" s="29" t="n"/>
      <c r="BW27" s="24" t="n"/>
      <c r="BX27" s="40" t="n"/>
      <c r="BY27" s="39" t="n"/>
      <c r="BZ27" s="24" t="n"/>
      <c r="CA27" s="31" t="n"/>
    </row>
    <row r="28" ht="36" customHeight="1">
      <c r="A28" s="24" t="inlineStr">
        <is>
          <t>f7bfb70dfae84f8f</t>
        </is>
      </c>
      <c r="B28" s="24" t="inlineStr">
        <is>
          <t>2026-07-19T10:49:38.448695+00:00</t>
        </is>
      </c>
      <c r="C28" s="24" t="inlineStr">
        <is>
          <t>2026-07-17T21:40:00-0400</t>
        </is>
      </c>
      <c r="D28" s="24" t="inlineStr">
        <is>
          <t>St.L-Ariz-2026-07-17</t>
        </is>
      </c>
      <c r="E28" s="24" t="inlineStr">
        <is>
          <t>MLB</t>
        </is>
      </c>
      <c r="F28" s="24" t="inlineStr">
        <is>
          <t>St. Louis Cardinals</t>
        </is>
      </c>
      <c r="G28" s="24" t="inlineStr">
        <is>
          <t>Arizona Diamondbacks</t>
        </is>
      </c>
      <c r="H28" s="24" t="inlineStr">
        <is>
          <t>moneyline</t>
        </is>
      </c>
      <c r="I28" s="24" t="inlineStr">
        <is>
          <t>home</t>
        </is>
      </c>
      <c r="J28" s="38" t="n"/>
      <c r="K28" s="24" t="inlineStr">
        <is>
          <t>polymarket</t>
        </is>
      </c>
      <c r="L28" s="26" t="n">
        <v>100</v>
      </c>
      <c r="M28" s="39" t="n">
        <v>2</v>
      </c>
      <c r="N28" s="28" t="n">
        <v>0.5</v>
      </c>
      <c r="O28" s="28" t="n">
        <v>0.525388</v>
      </c>
      <c r="P28" s="28" t="n">
        <v>0.05</v>
      </c>
      <c r="Q28" s="28" t="n">
        <v>0.025388</v>
      </c>
      <c r="R28" s="26" t="n">
        <v>25</v>
      </c>
      <c r="S28" s="29" t="n">
        <v>0.75</v>
      </c>
      <c r="T28" s="24" t="inlineStr">
        <is>
          <t>mlb-elo-trend-lr-v4</t>
        </is>
      </c>
      <c r="U28" s="24" t="inlineStr">
        <is>
          <t>settled</t>
        </is>
      </c>
      <c r="V28" s="24" t="inlineStr">
        <is>
          <t>loss</t>
        </is>
      </c>
      <c r="W28" s="26" t="n">
        <v>5</v>
      </c>
      <c r="X28" s="26" t="n">
        <v>4</v>
      </c>
      <c r="Y28" s="38" t="n"/>
      <c r="Z28" s="26" t="n"/>
      <c r="AA28" s="28" t="n"/>
      <c r="AB28" s="28" t="n"/>
      <c r="AC28" s="40" t="n">
        <v>-0.75</v>
      </c>
      <c r="AD28" s="24" t="inlineStr">
        <is>
          <t>2026-07-19T12:18:56.425985+00:00</t>
        </is>
      </c>
      <c r="AE28" s="31" t="inlineStr">
        <is>
          <t>backtest</t>
        </is>
      </c>
      <c r="AF28" s="31" t="n"/>
      <c r="AG28" s="24" t="n"/>
      <c r="AH28" s="24" t="n"/>
      <c r="AI28" s="31" t="n"/>
      <c r="AJ28" s="31" t="n"/>
      <c r="AK28" s="24" t="n"/>
      <c r="AL28" s="26" t="n"/>
      <c r="AM28" s="24" t="n"/>
      <c r="AN28" s="24" t="n"/>
      <c r="AO28" s="24" t="n"/>
      <c r="AP28" s="24" t="n"/>
      <c r="AQ28" s="24" t="n"/>
      <c r="AR28" s="24" t="n"/>
      <c r="AS28" s="24" t="n"/>
      <c r="AT28" s="24" t="n"/>
      <c r="AU28" s="24" t="n"/>
      <c r="AV28" s="24" t="n"/>
      <c r="AW28" s="24" t="n"/>
      <c r="AX28" s="24" t="n"/>
      <c r="AY28" s="24" t="n"/>
      <c r="AZ28" s="24" t="n"/>
      <c r="BA28" s="24" t="inlineStr">
        <is>
          <t>5224fb6ffbc9ddf8fa517627b830ac851192da94d241963d556945393a42bb9d</t>
        </is>
      </c>
      <c r="BB28" s="24" t="n"/>
      <c r="BC28" s="24" t="inlineStr">
        <is>
          <t>mlb-elo-trend-lr-v4</t>
        </is>
      </c>
      <c r="BD28" s="24" t="inlineStr">
        <is>
          <t>5224fb6ffbc9ddf8fa517627b830ac851192da94d241963d556945393a42bb9d</t>
        </is>
      </c>
      <c r="BE28" s="24" t="n"/>
      <c r="BF28" s="24" t="n"/>
      <c r="BG28" s="24" t="n"/>
      <c r="BH28" s="24" t="inlineStr">
        <is>
          <t>2026-07-17T16:26:13.837104Z</t>
        </is>
      </c>
      <c r="BI28" s="24" t="n"/>
      <c r="BJ28" s="38" t="n"/>
      <c r="BK28" s="26" t="n">
        <v>100</v>
      </c>
      <c r="BL28" s="39" t="n">
        <v>2</v>
      </c>
      <c r="BM28" s="28" t="n">
        <v>0.5</v>
      </c>
      <c r="BN28" s="28" t="n">
        <v>0.497512</v>
      </c>
      <c r="BO28" s="28" t="n"/>
      <c r="BP28" s="38" t="n"/>
      <c r="BQ28" s="39" t="n"/>
      <c r="BR28" s="28" t="n"/>
      <c r="BS28" s="28" t="n"/>
      <c r="BT28" s="28" t="n"/>
      <c r="BU28" s="38" t="n"/>
      <c r="BV28" s="29" t="n"/>
      <c r="BW28" s="24" t="n"/>
      <c r="BX28" s="40" t="n"/>
      <c r="BY28" s="39" t="n"/>
      <c r="BZ28" s="24" t="n"/>
      <c r="CA28" s="31" t="n"/>
    </row>
    <row r="29" ht="36" customHeight="1">
      <c r="A29" s="24" t="inlineStr">
        <is>
          <t>121539248eb44830</t>
        </is>
      </c>
      <c r="B29" s="24" t="inlineStr">
        <is>
          <t>2026-07-19T13:23:06.843442Z</t>
        </is>
      </c>
      <c r="C29" s="24" t="inlineStr">
        <is>
          <t>2026-07-19T17:35Z</t>
        </is>
      </c>
      <c r="D29" s="24" t="inlineStr">
        <is>
          <t>401816176</t>
        </is>
      </c>
      <c r="E29" s="24" t="inlineStr">
        <is>
          <t>MLB</t>
        </is>
      </c>
      <c r="F29" s="24" t="inlineStr">
        <is>
          <t>Texas Rangers</t>
        </is>
      </c>
      <c r="G29" s="24" t="inlineStr">
        <is>
          <t>Atlanta Braves</t>
        </is>
      </c>
      <c r="H29" s="24" t="inlineStr">
        <is>
          <t>moneyline</t>
        </is>
      </c>
      <c r="I29" s="24" t="inlineStr">
        <is>
          <t>home</t>
        </is>
      </c>
      <c r="J29" s="38" t="n"/>
      <c r="K29" s="24" t="inlineStr">
        <is>
          <t>polymarket_us</t>
        </is>
      </c>
      <c r="L29" s="26" t="n">
        <v>108</v>
      </c>
      <c r="M29" s="39" t="n">
        <v>2.08</v>
      </c>
      <c r="N29" s="28" t="n">
        <v>0.480769</v>
      </c>
      <c r="O29" s="28" t="n">
        <v>0.566738</v>
      </c>
      <c r="P29" s="28" t="n"/>
      <c r="Q29" s="28" t="n">
        <v>0.085969</v>
      </c>
      <c r="R29" s="26" t="n">
        <v>85</v>
      </c>
      <c r="S29" s="29" t="n">
        <v>1.25</v>
      </c>
      <c r="T29" s="24" t="inlineStr">
        <is>
          <t>mlb-elo-trend-lr-v4</t>
        </is>
      </c>
      <c r="U29" s="24" t="inlineStr">
        <is>
          <t>settled</t>
        </is>
      </c>
      <c r="V29" s="24" t="inlineStr">
        <is>
          <t>win</t>
        </is>
      </c>
      <c r="W29" s="26" t="n">
        <v>5</v>
      </c>
      <c r="X29" s="26" t="n">
        <v>8</v>
      </c>
      <c r="Y29" s="38" t="n"/>
      <c r="Z29" s="26" t="n"/>
      <c r="AA29" s="28" t="n"/>
      <c r="AB29" s="28" t="n"/>
      <c r="AC29" s="40" t="n">
        <v>1.35</v>
      </c>
      <c r="AD29" s="24" t="inlineStr">
        <is>
          <t>2026-07-19T21:31:35.621312Z</t>
        </is>
      </c>
      <c r="AE29" s="31" t="inlineStr">
        <is>
          <t>Learned LR call at threshold 0.5150; executable ask 0.4800 (aec-mlb-tex-atl-2026-07-19).</t>
        </is>
      </c>
      <c r="AF29" s="31" t="inlineStr">
        <is>
          <t>Learned model; promotion gate not yet open; zero-unit research until review.</t>
        </is>
      </c>
      <c r="AG29" s="24" t="inlineStr">
        <is>
          <t>not_applicable</t>
        </is>
      </c>
      <c r="AH29" s="24" t="n"/>
      <c r="AI29" s="31" t="n"/>
      <c r="AJ29" s="31" t="n"/>
      <c r="AK29" s="24" t="inlineStr">
        <is>
          <t>research_observation</t>
        </is>
      </c>
      <c r="AL29" s="26" t="n">
        <v>3</v>
      </c>
      <c r="AM29" s="24" t="inlineStr">
        <is>
          <t>RESEARCH_OBSERVATION</t>
        </is>
      </c>
      <c r="AN29" s="24" t="inlineStr">
        <is>
          <t>NO_CALL</t>
        </is>
      </c>
      <c r="AO29" s="24" t="inlineStr">
        <is>
          <t>NO_CALL_MODEL_UNVALIDATED</t>
        </is>
      </c>
      <c r="AP29" s="24" t="inlineStr">
        <is>
          <t>mlb-tex</t>
        </is>
      </c>
      <c r="AQ29" s="24" t="inlineStr">
        <is>
          <t>Texas Rangers</t>
        </is>
      </c>
      <c r="AR29" s="24" t="inlineStr">
        <is>
          <t>Texas Rangers</t>
        </is>
      </c>
      <c r="AS29" s="24" t="inlineStr">
        <is>
          <t>mlb-atl</t>
        </is>
      </c>
      <c r="AT29" s="24" t="inlineStr">
        <is>
          <t>Atlanta Braves</t>
        </is>
      </c>
      <c r="AU29" s="24" t="inlineStr">
        <is>
          <t>Atlanta Braves</t>
        </is>
      </c>
      <c r="AV29" s="24" t="n"/>
      <c r="AW29" s="24" t="n"/>
      <c r="AX29" s="24" t="inlineStr">
        <is>
          <t>statistical_model</t>
        </is>
      </c>
      <c r="AY29" s="24" t="n"/>
      <c r="AZ29" s="24" t="inlineStr">
        <is>
          <t>research</t>
        </is>
      </c>
      <c r="BA29" s="24" t="inlineStr">
        <is>
          <t>5224fb6ffbc9ddf8fa517627b830ac851192da94d241963d556945393a42bb9d</t>
        </is>
      </c>
      <c r="BB29" s="24" t="inlineStr">
        <is>
          <t>learned_lr</t>
        </is>
      </c>
      <c r="BC29" s="24" t="inlineStr">
        <is>
          <t>mlb-elo-trend-lr-v4</t>
        </is>
      </c>
      <c r="BD29" s="24" t="inlineStr">
        <is>
          <t>5224fb6ffbc9ddf8fa517627b830ac851192da94d241963d556945393a42bb9d</t>
        </is>
      </c>
      <c r="BE29" s="24" t="inlineStr">
        <is>
          <t>94b28766e76410c6</t>
        </is>
      </c>
      <c r="BF29" s="24" t="inlineStr">
        <is>
          <t>1</t>
        </is>
      </c>
      <c r="BG29" s="24" t="inlineStr">
        <is>
          <t>mlb-elo-trend-lr-v3</t>
        </is>
      </c>
      <c r="BH29" s="24" t="inlineStr">
        <is>
          <t>2026-07-19T13:22:02.614593Z</t>
        </is>
      </c>
      <c r="BI29" s="24" t="inlineStr">
        <is>
          <t>["same_event","same_team_same_day","same_league_same_day"]</t>
        </is>
      </c>
      <c r="BJ29" s="38" t="n"/>
      <c r="BK29" s="26" t="n">
        <v>108</v>
      </c>
      <c r="BL29" s="39" t="n">
        <v>2.08</v>
      </c>
      <c r="BM29" s="28" t="n">
        <v>0.480769</v>
      </c>
      <c r="BN29" s="28" t="n">
        <v>0.477612</v>
      </c>
      <c r="BO29" s="28" t="n"/>
      <c r="BP29" s="38" t="n"/>
      <c r="BQ29" s="39" t="n"/>
      <c r="BR29" s="28" t="n"/>
      <c r="BS29" s="28" t="n"/>
      <c r="BT29" s="28" t="n"/>
      <c r="BU29" s="38" t="n"/>
      <c r="BV29" s="29" t="n"/>
      <c r="BW29" s="24" t="n"/>
      <c r="BX29" s="40" t="n">
        <v>1</v>
      </c>
      <c r="BY29" s="39" t="n">
        <v>1.08</v>
      </c>
      <c r="BZ29" s="24" t="inlineStr">
        <is>
          <t>2026-07-19T21:31:35.621312Z</t>
        </is>
      </c>
      <c r="CA29" s="31" t="inlineStr">
        <is>
          <t>fixed one-unit hypothetical scoring; no real exposure or execution</t>
        </is>
      </c>
    </row>
    <row r="30" ht="36" customHeight="1">
      <c r="A30" s="24" t="inlineStr">
        <is>
          <t>4ee0f5bbef6b4559</t>
        </is>
      </c>
      <c r="B30" s="24" t="inlineStr">
        <is>
          <t>2026-07-19T13:23:06.843442Z</t>
        </is>
      </c>
      <c r="C30" s="24" t="inlineStr">
        <is>
          <t>2026-07-19T19:10Z</t>
        </is>
      </c>
      <c r="D30" s="24" t="inlineStr">
        <is>
          <t>401816181</t>
        </is>
      </c>
      <c r="E30" s="24" t="inlineStr">
        <is>
          <t>MLB</t>
        </is>
      </c>
      <c r="F30" s="24" t="inlineStr">
        <is>
          <t>Cincinnati Reds</t>
        </is>
      </c>
      <c r="G30" s="24" t="inlineStr">
        <is>
          <t>Colorado Rockies</t>
        </is>
      </c>
      <c r="H30" s="24" t="inlineStr">
        <is>
          <t>moneyline</t>
        </is>
      </c>
      <c r="I30" s="24" t="inlineStr">
        <is>
          <t>away</t>
        </is>
      </c>
      <c r="J30" s="38" t="n"/>
      <c r="K30" s="24" t="inlineStr">
        <is>
          <t>polymarket_us</t>
        </is>
      </c>
      <c r="L30" s="26" t="n">
        <v>-133</v>
      </c>
      <c r="M30" s="39" t="n">
        <v>1.75188</v>
      </c>
      <c r="N30" s="28" t="n">
        <v>0.570815</v>
      </c>
      <c r="O30" s="28" t="n">
        <v>0.600425</v>
      </c>
      <c r="P30" s="28" t="n"/>
      <c r="Q30" s="28" t="n">
        <v>0.02961</v>
      </c>
      <c r="R30" s="26" t="n">
        <v>29</v>
      </c>
      <c r="S30" s="29" t="n">
        <v>1.5</v>
      </c>
      <c r="T30" s="24" t="inlineStr">
        <is>
          <t>mlb-elo-trend-lr-v4</t>
        </is>
      </c>
      <c r="U30" s="24" t="inlineStr">
        <is>
          <t>settled</t>
        </is>
      </c>
      <c r="V30" s="24" t="inlineStr">
        <is>
          <t>win</t>
        </is>
      </c>
      <c r="W30" s="26" t="n">
        <v>9</v>
      </c>
      <c r="X30" s="26" t="n">
        <v>6</v>
      </c>
      <c r="Y30" s="38" t="n"/>
      <c r="Z30" s="26" t="n"/>
      <c r="AA30" s="28" t="n"/>
      <c r="AB30" s="28" t="n"/>
      <c r="AC30" s="40" t="n">
        <v>1.1278</v>
      </c>
      <c r="AD30" s="24" t="inlineStr">
        <is>
          <t>2026-07-19T22:14:31.386508Z</t>
        </is>
      </c>
      <c r="AE30" s="31" t="inlineStr">
        <is>
          <t>Learned LR call at threshold 0.5150; executable ask 0.5700 (aec-mlb-cin-col-2026-07-19).</t>
        </is>
      </c>
      <c r="AF30" s="31" t="inlineStr">
        <is>
          <t>Learned model; promotion gate not yet open; zero-unit research until review.</t>
        </is>
      </c>
      <c r="AG30" s="24" t="inlineStr">
        <is>
          <t>not_applicable</t>
        </is>
      </c>
      <c r="AH30" s="24" t="n"/>
      <c r="AI30" s="31" t="n"/>
      <c r="AJ30" s="31" t="n"/>
      <c r="AK30" s="24" t="inlineStr">
        <is>
          <t>research_observation</t>
        </is>
      </c>
      <c r="AL30" s="26" t="n">
        <v>3</v>
      </c>
      <c r="AM30" s="24" t="inlineStr">
        <is>
          <t>RESEARCH_OBSERVATION</t>
        </is>
      </c>
      <c r="AN30" s="24" t="inlineStr">
        <is>
          <t>NO_CALL</t>
        </is>
      </c>
      <c r="AO30" s="24" t="inlineStr">
        <is>
          <t>NO_CALL_MODEL_UNVALIDATED</t>
        </is>
      </c>
      <c r="AP30" s="24" t="inlineStr">
        <is>
          <t>mlb-cin</t>
        </is>
      </c>
      <c r="AQ30" s="24" t="inlineStr">
        <is>
          <t>Cincinnati Reds</t>
        </is>
      </c>
      <c r="AR30" s="24" t="inlineStr">
        <is>
          <t>Cincinnati Reds</t>
        </is>
      </c>
      <c r="AS30" s="24" t="inlineStr">
        <is>
          <t>mlb-col</t>
        </is>
      </c>
      <c r="AT30" s="24" t="inlineStr">
        <is>
          <t>Colorado Rockies</t>
        </is>
      </c>
      <c r="AU30" s="24" t="inlineStr">
        <is>
          <t>Colorado Rockies</t>
        </is>
      </c>
      <c r="AV30" s="24" t="n"/>
      <c r="AW30" s="24" t="n"/>
      <c r="AX30" s="24" t="inlineStr">
        <is>
          <t>statistical_model</t>
        </is>
      </c>
      <c r="AY30" s="24" t="n"/>
      <c r="AZ30" s="24" t="inlineStr">
        <is>
          <t>research</t>
        </is>
      </c>
      <c r="BA30" s="24" t="inlineStr">
        <is>
          <t>5224fb6ffbc9ddf8fa517627b830ac851192da94d241963d556945393a42bb9d</t>
        </is>
      </c>
      <c r="BB30" s="24" t="inlineStr">
        <is>
          <t>learned_lr</t>
        </is>
      </c>
      <c r="BC30" s="24" t="inlineStr">
        <is>
          <t>mlb-elo-trend-lr-v4</t>
        </is>
      </c>
      <c r="BD30" s="24" t="inlineStr">
        <is>
          <t>5224fb6ffbc9ddf8fa517627b830ac851192da94d241963d556945393a42bb9d</t>
        </is>
      </c>
      <c r="BE30" s="24" t="inlineStr">
        <is>
          <t>b8bf91edb90bdfcb</t>
        </is>
      </c>
      <c r="BF30" s="24" t="inlineStr">
        <is>
          <t>1</t>
        </is>
      </c>
      <c r="BG30" s="24" t="inlineStr">
        <is>
          <t>mlb-elo-trend-lr-v3</t>
        </is>
      </c>
      <c r="BH30" s="24" t="inlineStr">
        <is>
          <t>2026-07-19T13:22:13.486376Z</t>
        </is>
      </c>
      <c r="BI30" s="24" t="inlineStr">
        <is>
          <t>["same_event","same_team_same_day","same_league_same_day"]</t>
        </is>
      </c>
      <c r="BJ30" s="38" t="n"/>
      <c r="BK30" s="26" t="n">
        <v>-133</v>
      </c>
      <c r="BL30" s="39" t="n">
        <v>1.75188</v>
      </c>
      <c r="BM30" s="28" t="n">
        <v>0.570815</v>
      </c>
      <c r="BN30" s="28" t="n">
        <v>0.567164</v>
      </c>
      <c r="BO30" s="28" t="n"/>
      <c r="BP30" s="38" t="n"/>
      <c r="BQ30" s="39" t="n"/>
      <c r="BR30" s="28" t="n"/>
      <c r="BS30" s="28" t="n"/>
      <c r="BT30" s="28" t="n"/>
      <c r="BU30" s="38" t="n"/>
      <c r="BV30" s="29" t="n"/>
      <c r="BW30" s="24" t="n"/>
      <c r="BX30" s="40" t="n">
        <v>1</v>
      </c>
      <c r="BY30" s="39" t="n">
        <v>0.75188</v>
      </c>
      <c r="BZ30" s="24" t="inlineStr">
        <is>
          <t>2026-07-19T22:14:31.386508Z</t>
        </is>
      </c>
      <c r="CA30" s="31" t="inlineStr">
        <is>
          <t>fixed one-unit hypothetical scoring; no real exposure or execution</t>
        </is>
      </c>
    </row>
    <row r="31" ht="36" customHeight="1">
      <c r="A31" s="24" t="inlineStr">
        <is>
          <t>35cfaddd8fa54724</t>
        </is>
      </c>
      <c r="B31" s="24" t="inlineStr">
        <is>
          <t>2026-07-19T13:23:06.843442Z</t>
        </is>
      </c>
      <c r="C31" s="24" t="inlineStr">
        <is>
          <t>2026-07-19T20:05Z</t>
        </is>
      </c>
      <c r="D31" s="24" t="inlineStr">
        <is>
          <t>401816185</t>
        </is>
      </c>
      <c r="E31" s="24" t="inlineStr">
        <is>
          <t>MLB</t>
        </is>
      </c>
      <c r="F31" s="24" t="inlineStr">
        <is>
          <t>Washington Nationals</t>
        </is>
      </c>
      <c r="G31" s="24" t="inlineStr">
        <is>
          <t>Athletics</t>
        </is>
      </c>
      <c r="H31" s="24" t="inlineStr">
        <is>
          <t>moneyline</t>
        </is>
      </c>
      <c r="I31" s="24" t="inlineStr">
        <is>
          <t>home</t>
        </is>
      </c>
      <c r="J31" s="38" t="n"/>
      <c r="K31" s="24" t="inlineStr">
        <is>
          <t>polymarket_us</t>
        </is>
      </c>
      <c r="L31" s="26" t="n">
        <v>130</v>
      </c>
      <c r="M31" s="39" t="n">
        <v>2.3</v>
      </c>
      <c r="N31" s="28" t="n">
        <v>0.434783</v>
      </c>
      <c r="O31" s="28" t="n">
        <v>0.556646</v>
      </c>
      <c r="P31" s="28" t="n"/>
      <c r="Q31" s="28" t="n">
        <v>0.121863</v>
      </c>
      <c r="R31" s="26" t="n">
        <v>100</v>
      </c>
      <c r="S31" s="29" t="n">
        <v>1</v>
      </c>
      <c r="T31" s="24" t="inlineStr">
        <is>
          <t>mlb-elo-trend-lr-v4</t>
        </is>
      </c>
      <c r="U31" s="24" t="inlineStr">
        <is>
          <t>settled</t>
        </is>
      </c>
      <c r="V31" s="24" t="inlineStr">
        <is>
          <t>loss</t>
        </is>
      </c>
      <c r="W31" s="26" t="n">
        <v>5</v>
      </c>
      <c r="X31" s="26" t="n">
        <v>2</v>
      </c>
      <c r="Y31" s="38" t="n"/>
      <c r="Z31" s="26" t="n"/>
      <c r="AA31" s="28" t="n"/>
      <c r="AB31" s="28" t="n"/>
      <c r="AC31" s="40" t="n">
        <v>-1</v>
      </c>
      <c r="AD31" s="24" t="inlineStr">
        <is>
          <t>2026-07-19T23:07:45.507453Z</t>
        </is>
      </c>
      <c r="AE31" s="31" t="inlineStr">
        <is>
          <t>Learned LR call at threshold 0.5150; executable ask 0.4350 (aec-mlb-wsh-ath-2026-07-19).</t>
        </is>
      </c>
      <c r="AF31" s="31" t="inlineStr">
        <is>
          <t>Learned model; promotion gate not yet open; zero-unit research until review.</t>
        </is>
      </c>
      <c r="AG31" s="24" t="inlineStr">
        <is>
          <t>review_required</t>
        </is>
      </c>
      <c r="AH31" s="24" t="n"/>
      <c r="AI31" s="31" t="n"/>
      <c r="AJ31" s="31" t="n"/>
      <c r="AK31" s="24" t="inlineStr">
        <is>
          <t>research_observation</t>
        </is>
      </c>
      <c r="AL31" s="26" t="n">
        <v>3</v>
      </c>
      <c r="AM31" s="24" t="inlineStr">
        <is>
          <t>RESEARCH_OBSERVATION</t>
        </is>
      </c>
      <c r="AN31" s="24" t="inlineStr">
        <is>
          <t>NO_CALL</t>
        </is>
      </c>
      <c r="AO31" s="24" t="inlineStr">
        <is>
          <t>NO_CALL_MODEL_UNVALIDATED</t>
        </is>
      </c>
      <c r="AP31" s="24" t="inlineStr">
        <is>
          <t>mlb-wsh</t>
        </is>
      </c>
      <c r="AQ31" s="24" t="inlineStr">
        <is>
          <t>Washington Nationals</t>
        </is>
      </c>
      <c r="AR31" s="24" t="inlineStr">
        <is>
          <t>Washington Nationals</t>
        </is>
      </c>
      <c r="AS31" s="24" t="inlineStr">
        <is>
          <t>mlb-ath</t>
        </is>
      </c>
      <c r="AT31" s="24" t="inlineStr">
        <is>
          <t>Athletics</t>
        </is>
      </c>
      <c r="AU31" s="24" t="inlineStr">
        <is>
          <t>Athletics</t>
        </is>
      </c>
      <c r="AV31" s="24" t="n"/>
      <c r="AW31" s="24" t="n"/>
      <c r="AX31" s="24" t="inlineStr">
        <is>
          <t>statistical_model</t>
        </is>
      </c>
      <c r="AY31" s="24" t="n"/>
      <c r="AZ31" s="24" t="inlineStr">
        <is>
          <t>research</t>
        </is>
      </c>
      <c r="BA31" s="24" t="inlineStr">
        <is>
          <t>5224fb6ffbc9ddf8fa517627b830ac851192da94d241963d556945393a42bb9d</t>
        </is>
      </c>
      <c r="BB31" s="24" t="inlineStr">
        <is>
          <t>learned_lr</t>
        </is>
      </c>
      <c r="BC31" s="24" t="inlineStr">
        <is>
          <t>mlb-elo-trend-lr-v4</t>
        </is>
      </c>
      <c r="BD31" s="24" t="inlineStr">
        <is>
          <t>5224fb6ffbc9ddf8fa517627b830ac851192da94d241963d556945393a42bb9d</t>
        </is>
      </c>
      <c r="BE31" s="24" t="inlineStr">
        <is>
          <t>47154d07c5727d94</t>
        </is>
      </c>
      <c r="BF31" s="24" t="inlineStr">
        <is>
          <t>1</t>
        </is>
      </c>
      <c r="BG31" s="24" t="inlineStr">
        <is>
          <t>mlb-elo-trend-lr-v3</t>
        </is>
      </c>
      <c r="BH31" s="24" t="inlineStr">
        <is>
          <t>2026-07-19T13:22:14.970065Z</t>
        </is>
      </c>
      <c r="BI31" s="24" t="inlineStr">
        <is>
          <t>["same_event","same_team_same_day","same_league_same_day"]</t>
        </is>
      </c>
      <c r="BJ31" s="38" t="n"/>
      <c r="BK31" s="26" t="n">
        <v>130</v>
      </c>
      <c r="BL31" s="39" t="n">
        <v>2.3</v>
      </c>
      <c r="BM31" s="28" t="n">
        <v>0.434783</v>
      </c>
      <c r="BN31" s="28" t="n">
        <v>0.432836</v>
      </c>
      <c r="BO31" s="28" t="n"/>
      <c r="BP31" s="38" t="n"/>
      <c r="BQ31" s="39" t="n"/>
      <c r="BR31" s="28" t="n"/>
      <c r="BS31" s="28" t="n"/>
      <c r="BT31" s="28" t="n"/>
      <c r="BU31" s="38" t="n"/>
      <c r="BV31" s="29" t="n"/>
      <c r="BW31" s="24" t="n"/>
      <c r="BX31" s="40" t="n">
        <v>1</v>
      </c>
      <c r="BY31" s="39" t="n">
        <v>-1</v>
      </c>
      <c r="BZ31" s="24" t="inlineStr">
        <is>
          <t>2026-07-19T23:07:45.507453Z</t>
        </is>
      </c>
      <c r="CA31" s="31" t="inlineStr">
        <is>
          <t>fixed one-unit hypothetical scoring; no real exposure or execution</t>
        </is>
      </c>
    </row>
    <row r="32" ht="36" customHeight="1">
      <c r="A32" s="24" t="inlineStr">
        <is>
          <t>f036fa1150dd4319</t>
        </is>
      </c>
      <c r="B32" s="24" t="inlineStr">
        <is>
          <t>2026-07-19T12:54:59.612626Z</t>
        </is>
      </c>
      <c r="C32" s="24" t="inlineStr">
        <is>
          <t>2026-07-19T16:15Z</t>
        </is>
      </c>
      <c r="D32" s="24" t="inlineStr">
        <is>
          <t>401816171</t>
        </is>
      </c>
      <c r="E32" s="24" t="inlineStr">
        <is>
          <t>MLB</t>
        </is>
      </c>
      <c r="F32" s="24" t="inlineStr">
        <is>
          <t>Chicago White Sox</t>
        </is>
      </c>
      <c r="G32" s="24" t="inlineStr">
        <is>
          <t>Toronto Blue Jays</t>
        </is>
      </c>
      <c r="H32" s="24" t="inlineStr">
        <is>
          <t>moneyline</t>
        </is>
      </c>
      <c r="I32" s="24" t="inlineStr">
        <is>
          <t>home</t>
        </is>
      </c>
      <c r="J32" s="38" t="n"/>
      <c r="K32" s="24" t="inlineStr">
        <is>
          <t>polymarket_us</t>
        </is>
      </c>
      <c r="L32" s="26" t="n">
        <v>104</v>
      </c>
      <c r="M32" s="39" t="n">
        <v>2.04</v>
      </c>
      <c r="N32" s="28" t="n">
        <v>0.490196</v>
      </c>
      <c r="O32" s="28" t="n">
        <v>0.552013</v>
      </c>
      <c r="P32" s="28" t="n"/>
      <c r="Q32" s="28" t="n">
        <v>0.061817</v>
      </c>
      <c r="R32" s="26" t="n">
        <v>61</v>
      </c>
      <c r="S32" s="29" t="n">
        <v>1</v>
      </c>
      <c r="T32" s="24" t="inlineStr">
        <is>
          <t>mlb-elo-trend-lr-v4</t>
        </is>
      </c>
      <c r="U32" s="24" t="inlineStr">
        <is>
          <t>settled</t>
        </is>
      </c>
      <c r="V32" s="24" t="inlineStr">
        <is>
          <t>loss</t>
        </is>
      </c>
      <c r="W32" s="26" t="n">
        <v>3</v>
      </c>
      <c r="X32" s="26" t="n">
        <v>0</v>
      </c>
      <c r="Y32" s="38" t="n"/>
      <c r="Z32" s="26" t="n"/>
      <c r="AA32" s="28" t="n"/>
      <c r="AB32" s="28" t="n"/>
      <c r="AC32" s="40" t="n">
        <v>-1</v>
      </c>
      <c r="AD32" s="24" t="inlineStr">
        <is>
          <t>2026-07-19T23:12:43.225807Z</t>
        </is>
      </c>
      <c r="AE32" s="31" t="inlineStr">
        <is>
          <t>Learned LR call at threshold 0.5150; executable ask 0.4900 (aec-mlb-cws-tor-2026-07-19).</t>
        </is>
      </c>
      <c r="AF32" s="31" t="inlineStr">
        <is>
          <t>Learned model; promotion gate not yet open; zero-unit research until review.</t>
        </is>
      </c>
      <c r="AG32" s="24" t="inlineStr">
        <is>
          <t>review_required</t>
        </is>
      </c>
      <c r="AH32" s="24" t="n"/>
      <c r="AI32" s="31" t="n"/>
      <c r="AJ32" s="31" t="n"/>
      <c r="AK32" s="24" t="inlineStr">
        <is>
          <t>research_observation</t>
        </is>
      </c>
      <c r="AL32" s="26" t="n">
        <v>3</v>
      </c>
      <c r="AM32" s="24" t="inlineStr">
        <is>
          <t>RESEARCH_OBSERVATION</t>
        </is>
      </c>
      <c r="AN32" s="24" t="inlineStr">
        <is>
          <t>NO_CALL</t>
        </is>
      </c>
      <c r="AO32" s="24" t="inlineStr">
        <is>
          <t>NO_CALL_MODEL_UNVALIDATED</t>
        </is>
      </c>
      <c r="AP32" s="24" t="inlineStr">
        <is>
          <t>mlb-cws</t>
        </is>
      </c>
      <c r="AQ32" s="24" t="inlineStr">
        <is>
          <t>Chicago White Sox</t>
        </is>
      </c>
      <c r="AR32" s="24" t="inlineStr">
        <is>
          <t>Chicago White Sox</t>
        </is>
      </c>
      <c r="AS32" s="24" t="inlineStr">
        <is>
          <t>mlb-tor</t>
        </is>
      </c>
      <c r="AT32" s="24" t="inlineStr">
        <is>
          <t>Toronto Blue Jays</t>
        </is>
      </c>
      <c r="AU32" s="24" t="inlineStr">
        <is>
          <t>Toronto Blue Jays</t>
        </is>
      </c>
      <c r="AV32" s="24" t="n"/>
      <c r="AW32" s="24" t="n"/>
      <c r="AX32" s="24" t="inlineStr">
        <is>
          <t>statistical_model</t>
        </is>
      </c>
      <c r="AY32" s="24" t="n"/>
      <c r="AZ32" s="24" t="inlineStr">
        <is>
          <t>research</t>
        </is>
      </c>
      <c r="BA32" s="24" t="inlineStr">
        <is>
          <t>5224fb6ffbc9ddf8fa517627b830ac851192da94d241963d556945393a42bb9d</t>
        </is>
      </c>
      <c r="BB32" s="24" t="inlineStr">
        <is>
          <t>learned_lr</t>
        </is>
      </c>
      <c r="BC32" s="24" t="inlineStr">
        <is>
          <t>mlb-elo-trend-lr-v4</t>
        </is>
      </c>
      <c r="BD32" s="24" t="inlineStr">
        <is>
          <t>5224fb6ffbc9ddf8fa517627b830ac851192da94d241963d556945393a42bb9d</t>
        </is>
      </c>
      <c r="BE32" s="24" t="inlineStr">
        <is>
          <t>097339aadf4c669a</t>
        </is>
      </c>
      <c r="BF32" s="24" t="inlineStr">
        <is>
          <t>1</t>
        </is>
      </c>
      <c r="BG32" s="24" t="inlineStr">
        <is>
          <t>mlb-elo-trend-lr-v3</t>
        </is>
      </c>
      <c r="BH32" s="24" t="inlineStr">
        <is>
          <t>2026-07-19T12:20:33.531222Z</t>
        </is>
      </c>
      <c r="BI32" s="24" t="inlineStr">
        <is>
          <t>["same_event","same_team_same_day","same_league_same_day"]</t>
        </is>
      </c>
      <c r="BJ32" s="38" t="n"/>
      <c r="BK32" s="26" t="n">
        <v>104</v>
      </c>
      <c r="BL32" s="39" t="n">
        <v>2.04</v>
      </c>
      <c r="BM32" s="28" t="n">
        <v>0.490196</v>
      </c>
      <c r="BN32" s="28" t="n">
        <v>0.487562</v>
      </c>
      <c r="BO32" s="28" t="n"/>
      <c r="BP32" s="38" t="n"/>
      <c r="BQ32" s="39" t="n"/>
      <c r="BR32" s="28" t="n"/>
      <c r="BS32" s="28" t="n"/>
      <c r="BT32" s="28" t="n"/>
      <c r="BU32" s="38" t="n"/>
      <c r="BV32" s="29" t="n"/>
      <c r="BW32" s="24" t="n"/>
      <c r="BX32" s="40" t="n"/>
      <c r="BY32" s="39" t="n"/>
      <c r="BZ32" s="24" t="n"/>
      <c r="CA32" s="31" t="n"/>
    </row>
    <row r="33" ht="36" customHeight="1">
      <c r="A33" s="24" t="inlineStr">
        <is>
          <t>7b496571632f4a03</t>
        </is>
      </c>
      <c r="B33" s="24" t="inlineStr">
        <is>
          <t>2026-07-19T12:54:59.612626Z</t>
        </is>
      </c>
      <c r="C33" s="24" t="inlineStr">
        <is>
          <t>2026-07-19T17:35Z</t>
        </is>
      </c>
      <c r="D33" s="24" t="inlineStr">
        <is>
          <t>401816173</t>
        </is>
      </c>
      <c r="E33" s="24" t="inlineStr">
        <is>
          <t>MLB</t>
        </is>
      </c>
      <c r="F33" s="24" t="inlineStr">
        <is>
          <t>New York Mets</t>
        </is>
      </c>
      <c r="G33" s="24" t="inlineStr">
        <is>
          <t>Philadelphia Phillies</t>
        </is>
      </c>
      <c r="H33" s="24" t="inlineStr">
        <is>
          <t>moneyline</t>
        </is>
      </c>
      <c r="I33" s="24" t="inlineStr">
        <is>
          <t>home</t>
        </is>
      </c>
      <c r="J33" s="38" t="n"/>
      <c r="K33" s="24" t="inlineStr">
        <is>
          <t>polymarket_us</t>
        </is>
      </c>
      <c r="L33" s="26" t="n">
        <v>117</v>
      </c>
      <c r="M33" s="39" t="n">
        <v>2.17</v>
      </c>
      <c r="N33" s="28" t="n">
        <v>0.460829</v>
      </c>
      <c r="O33" s="28" t="n">
        <v>0.6153690000000001</v>
      </c>
      <c r="P33" s="28" t="n"/>
      <c r="Q33" s="28" t="n">
        <v>0.15454</v>
      </c>
      <c r="R33" s="26" t="n">
        <v>100</v>
      </c>
      <c r="S33" s="29" t="n">
        <v>1.75</v>
      </c>
      <c r="T33" s="24" t="inlineStr">
        <is>
          <t>mlb-elo-trend-lr-v4</t>
        </is>
      </c>
      <c r="U33" s="24" t="inlineStr">
        <is>
          <t>settled</t>
        </is>
      </c>
      <c r="V33" s="24" t="inlineStr">
        <is>
          <t>loss</t>
        </is>
      </c>
      <c r="W33" s="26" t="n">
        <v>6</v>
      </c>
      <c r="X33" s="26" t="n">
        <v>1</v>
      </c>
      <c r="Y33" s="38" t="n"/>
      <c r="Z33" s="26" t="n"/>
      <c r="AA33" s="28" t="n"/>
      <c r="AB33" s="28" t="n"/>
      <c r="AC33" s="40" t="n">
        <v>-1.75</v>
      </c>
      <c r="AD33" s="24" t="inlineStr">
        <is>
          <t>2026-07-19T23:12:43.477592Z</t>
        </is>
      </c>
      <c r="AE33" s="31" t="inlineStr">
        <is>
          <t>Learned LR call at threshold 0.5150; executable ask 0.4600 (aec-mlb-nym-phi-2026-07-19).</t>
        </is>
      </c>
      <c r="AF33" s="31" t="inlineStr">
        <is>
          <t>Learned model; promotion gate not yet open; zero-unit research until review.</t>
        </is>
      </c>
      <c r="AG33" s="24" t="inlineStr">
        <is>
          <t>review_required</t>
        </is>
      </c>
      <c r="AH33" s="24" t="n"/>
      <c r="AI33" s="31" t="n"/>
      <c r="AJ33" s="31" t="n"/>
      <c r="AK33" s="24" t="inlineStr">
        <is>
          <t>research_observation</t>
        </is>
      </c>
      <c r="AL33" s="26" t="n">
        <v>3</v>
      </c>
      <c r="AM33" s="24" t="inlineStr">
        <is>
          <t>RESEARCH_OBSERVATION</t>
        </is>
      </c>
      <c r="AN33" s="24" t="inlineStr">
        <is>
          <t>NO_CALL</t>
        </is>
      </c>
      <c r="AO33" s="24" t="inlineStr">
        <is>
          <t>NO_CALL_MODEL_UNVALIDATED</t>
        </is>
      </c>
      <c r="AP33" s="24" t="inlineStr">
        <is>
          <t>mlb-nym</t>
        </is>
      </c>
      <c r="AQ33" s="24" t="inlineStr">
        <is>
          <t>New York Mets</t>
        </is>
      </c>
      <c r="AR33" s="24" t="inlineStr">
        <is>
          <t>New York Mets</t>
        </is>
      </c>
      <c r="AS33" s="24" t="inlineStr">
        <is>
          <t>mlb-phi</t>
        </is>
      </c>
      <c r="AT33" s="24" t="inlineStr">
        <is>
          <t>Philadelphia Phillies</t>
        </is>
      </c>
      <c r="AU33" s="24" t="inlineStr">
        <is>
          <t>Philadelphia Phillies</t>
        </is>
      </c>
      <c r="AV33" s="24" t="n"/>
      <c r="AW33" s="24" t="n"/>
      <c r="AX33" s="24" t="inlineStr">
        <is>
          <t>statistical_model</t>
        </is>
      </c>
      <c r="AY33" s="24" t="n"/>
      <c r="AZ33" s="24" t="inlineStr">
        <is>
          <t>research</t>
        </is>
      </c>
      <c r="BA33" s="24" t="inlineStr">
        <is>
          <t>5224fb6ffbc9ddf8fa517627b830ac851192da94d241963d556945393a42bb9d</t>
        </is>
      </c>
      <c r="BB33" s="24" t="inlineStr">
        <is>
          <t>learned_lr</t>
        </is>
      </c>
      <c r="BC33" s="24" t="inlineStr">
        <is>
          <t>mlb-elo-trend-lr-v4</t>
        </is>
      </c>
      <c r="BD33" s="24" t="inlineStr">
        <is>
          <t>5224fb6ffbc9ddf8fa517627b830ac851192da94d241963d556945393a42bb9d</t>
        </is>
      </c>
      <c r="BE33" s="24" t="inlineStr">
        <is>
          <t>f5f93a0e01a0b4e1</t>
        </is>
      </c>
      <c r="BF33" s="24" t="inlineStr">
        <is>
          <t>1</t>
        </is>
      </c>
      <c r="BG33" s="24" t="inlineStr">
        <is>
          <t>mlb-elo-trend-lr-v3</t>
        </is>
      </c>
      <c r="BH33" s="24" t="inlineStr">
        <is>
          <t>2026-07-19T12:20:37.335421Z</t>
        </is>
      </c>
      <c r="BI33" s="24" t="inlineStr">
        <is>
          <t>["same_event","same_team_same_day","same_league_same_day"]</t>
        </is>
      </c>
      <c r="BJ33" s="38" t="n"/>
      <c r="BK33" s="26" t="n">
        <v>117</v>
      </c>
      <c r="BL33" s="39" t="n">
        <v>2.17</v>
      </c>
      <c r="BM33" s="28" t="n">
        <v>0.460829</v>
      </c>
      <c r="BN33" s="28" t="n">
        <v>0.457711</v>
      </c>
      <c r="BO33" s="28" t="n"/>
      <c r="BP33" s="38" t="n"/>
      <c r="BQ33" s="39" t="n"/>
      <c r="BR33" s="28" t="n"/>
      <c r="BS33" s="28" t="n"/>
      <c r="BT33" s="28" t="n"/>
      <c r="BU33" s="38" t="n"/>
      <c r="BV33" s="29" t="n"/>
      <c r="BW33" s="24" t="n"/>
      <c r="BX33" s="40" t="n"/>
      <c r="BY33" s="39" t="n"/>
      <c r="BZ33" s="24" t="n"/>
      <c r="CA33" s="31" t="n"/>
    </row>
    <row r="34" ht="36" customHeight="1">
      <c r="A34" s="24" t="inlineStr">
        <is>
          <t>661bb12e4b834336</t>
        </is>
      </c>
      <c r="B34" s="24" t="inlineStr">
        <is>
          <t>2026-07-19T12:54:59.612626Z</t>
        </is>
      </c>
      <c r="C34" s="24" t="inlineStr">
        <is>
          <t>2026-07-19T17:35Z</t>
        </is>
      </c>
      <c r="D34" s="24" t="inlineStr">
        <is>
          <t>401816175</t>
        </is>
      </c>
      <c r="E34" s="24" t="inlineStr">
        <is>
          <t>MLB</t>
        </is>
      </c>
      <c r="F34" s="24" t="inlineStr">
        <is>
          <t>Tampa Bay Rays</t>
        </is>
      </c>
      <c r="G34" s="24" t="inlineStr">
        <is>
          <t>Boston Red Sox</t>
        </is>
      </c>
      <c r="H34" s="24" t="inlineStr">
        <is>
          <t>moneyline</t>
        </is>
      </c>
      <c r="I34" s="24" t="inlineStr">
        <is>
          <t>home</t>
        </is>
      </c>
      <c r="J34" s="38" t="n"/>
      <c r="K34" s="24" t="inlineStr">
        <is>
          <t>polymarket_us</t>
        </is>
      </c>
      <c r="L34" s="26" t="n">
        <v>-117</v>
      </c>
      <c r="M34" s="39" t="n">
        <v>1.854701</v>
      </c>
      <c r="N34" s="28" t="n">
        <v>0.539171</v>
      </c>
      <c r="O34" s="28" t="n">
        <v>0.5530080000000001</v>
      </c>
      <c r="P34" s="28" t="n"/>
      <c r="Q34" s="28" t="n">
        <v>0.013837</v>
      </c>
      <c r="R34" s="26" t="n">
        <v>13</v>
      </c>
      <c r="S34" s="29" t="n">
        <v>1</v>
      </c>
      <c r="T34" s="24" t="inlineStr">
        <is>
          <t>mlb-elo-trend-lr-v4</t>
        </is>
      </c>
      <c r="U34" s="24" t="inlineStr">
        <is>
          <t>settled</t>
        </is>
      </c>
      <c r="V34" s="24" t="inlineStr">
        <is>
          <t>win</t>
        </is>
      </c>
      <c r="W34" s="26" t="n">
        <v>1</v>
      </c>
      <c r="X34" s="26" t="n">
        <v>6</v>
      </c>
      <c r="Y34" s="38" t="n"/>
      <c r="Z34" s="26" t="n"/>
      <c r="AA34" s="28" t="n"/>
      <c r="AB34" s="28" t="n"/>
      <c r="AC34" s="40" t="n">
        <v>0.8547</v>
      </c>
      <c r="AD34" s="24" t="inlineStr">
        <is>
          <t>2026-07-19T23:12:43.720828Z</t>
        </is>
      </c>
      <c r="AE34" s="31" t="inlineStr">
        <is>
          <t>Learned LR call at threshold 0.5150; executable ask 0.5400 (aec-mlb-tb-bos-2026-07-19).</t>
        </is>
      </c>
      <c r="AF34" s="31" t="inlineStr">
        <is>
          <t>Learned model; promotion gate not yet open; zero-unit research until review.</t>
        </is>
      </c>
      <c r="AG34" s="24" t="inlineStr">
        <is>
          <t>not_applicable</t>
        </is>
      </c>
      <c r="AH34" s="24" t="n"/>
      <c r="AI34" s="31" t="n"/>
      <c r="AJ34" s="31" t="n"/>
      <c r="AK34" s="24" t="inlineStr">
        <is>
          <t>research_observation</t>
        </is>
      </c>
      <c r="AL34" s="26" t="n">
        <v>3</v>
      </c>
      <c r="AM34" s="24" t="inlineStr">
        <is>
          <t>RESEARCH_OBSERVATION</t>
        </is>
      </c>
      <c r="AN34" s="24" t="inlineStr">
        <is>
          <t>NO_CALL</t>
        </is>
      </c>
      <c r="AO34" s="24" t="inlineStr">
        <is>
          <t>NO_CALL_MODEL_UNVALIDATED</t>
        </is>
      </c>
      <c r="AP34" s="24" t="inlineStr">
        <is>
          <t>mlb-tb</t>
        </is>
      </c>
      <c r="AQ34" s="24" t="inlineStr">
        <is>
          <t>Tampa Bay Rays</t>
        </is>
      </c>
      <c r="AR34" s="24" t="inlineStr">
        <is>
          <t>Tampa Bay Rays</t>
        </is>
      </c>
      <c r="AS34" s="24" t="inlineStr">
        <is>
          <t>mlb-bos</t>
        </is>
      </c>
      <c r="AT34" s="24" t="inlineStr">
        <is>
          <t>Boston Red Sox</t>
        </is>
      </c>
      <c r="AU34" s="24" t="inlineStr">
        <is>
          <t>Boston Red Sox</t>
        </is>
      </c>
      <c r="AV34" s="24" t="n"/>
      <c r="AW34" s="24" t="n"/>
      <c r="AX34" s="24" t="inlineStr">
        <is>
          <t>statistical_model</t>
        </is>
      </c>
      <c r="AY34" s="24" t="n"/>
      <c r="AZ34" s="24" t="inlineStr">
        <is>
          <t>research</t>
        </is>
      </c>
      <c r="BA34" s="24" t="inlineStr">
        <is>
          <t>5224fb6ffbc9ddf8fa517627b830ac851192da94d241963d556945393a42bb9d</t>
        </is>
      </c>
      <c r="BB34" s="24" t="inlineStr">
        <is>
          <t>learned_lr</t>
        </is>
      </c>
      <c r="BC34" s="24" t="inlineStr">
        <is>
          <t>mlb-elo-trend-lr-v4</t>
        </is>
      </c>
      <c r="BD34" s="24" t="inlineStr">
        <is>
          <t>5224fb6ffbc9ddf8fa517627b830ac851192da94d241963d556945393a42bb9d</t>
        </is>
      </c>
      <c r="BE34" s="24" t="inlineStr">
        <is>
          <t>d975b9b26847e04d</t>
        </is>
      </c>
      <c r="BF34" s="24" t="inlineStr">
        <is>
          <t>1</t>
        </is>
      </c>
      <c r="BG34" s="24" t="inlineStr">
        <is>
          <t>mlb-elo-trend-lr-v3</t>
        </is>
      </c>
      <c r="BH34" s="24" t="inlineStr">
        <is>
          <t>2026-07-19T12:20:38.787831Z</t>
        </is>
      </c>
      <c r="BI34" s="24" t="inlineStr">
        <is>
          <t>["same_event","same_team_same_day","same_league_same_day"]</t>
        </is>
      </c>
      <c r="BJ34" s="38" t="n"/>
      <c r="BK34" s="26" t="n">
        <v>-117</v>
      </c>
      <c r="BL34" s="39" t="n">
        <v>1.854701</v>
      </c>
      <c r="BM34" s="28" t="n">
        <v>0.539171</v>
      </c>
      <c r="BN34" s="28" t="n">
        <v>0.537313</v>
      </c>
      <c r="BO34" s="28" t="n"/>
      <c r="BP34" s="38" t="n"/>
      <c r="BQ34" s="39" t="n"/>
      <c r="BR34" s="28" t="n"/>
      <c r="BS34" s="28" t="n"/>
      <c r="BT34" s="28" t="n"/>
      <c r="BU34" s="38" t="n"/>
      <c r="BV34" s="29" t="n"/>
      <c r="BW34" s="24" t="n"/>
      <c r="BX34" s="40" t="n"/>
      <c r="BY34" s="39" t="n"/>
      <c r="BZ34" s="24" t="n"/>
      <c r="CA34" s="31" t="n"/>
    </row>
    <row r="35" ht="36" customHeight="1">
      <c r="A35" s="24" t="inlineStr">
        <is>
          <t>adbbe8982e7c4a22</t>
        </is>
      </c>
      <c r="B35" s="24" t="inlineStr">
        <is>
          <t>2026-07-19T12:54:59.612626Z</t>
        </is>
      </c>
      <c r="C35" s="24" t="inlineStr">
        <is>
          <t>2026-07-19T17:40Z</t>
        </is>
      </c>
      <c r="D35" s="24" t="inlineStr">
        <is>
          <t>401816174</t>
        </is>
      </c>
      <c r="E35" s="24" t="inlineStr">
        <is>
          <t>MLB</t>
        </is>
      </c>
      <c r="F35" s="24" t="inlineStr">
        <is>
          <t>Pittsburgh Pirates</t>
        </is>
      </c>
      <c r="G35" s="24" t="inlineStr">
        <is>
          <t>Cleveland Guardians</t>
        </is>
      </c>
      <c r="H35" s="24" t="inlineStr">
        <is>
          <t>moneyline</t>
        </is>
      </c>
      <c r="I35" s="24" t="inlineStr">
        <is>
          <t>home</t>
        </is>
      </c>
      <c r="J35" s="38" t="n"/>
      <c r="K35" s="24" t="inlineStr">
        <is>
          <t>polymarket_us</t>
        </is>
      </c>
      <c r="L35" s="26" t="n">
        <v>117</v>
      </c>
      <c r="M35" s="39" t="n">
        <v>2.17</v>
      </c>
      <c r="N35" s="28" t="n">
        <v>0.460829</v>
      </c>
      <c r="O35" s="28" t="n">
        <v>0.560582</v>
      </c>
      <c r="P35" s="28" t="n"/>
      <c r="Q35" s="28" t="n">
        <v>0.09975299999999999</v>
      </c>
      <c r="R35" s="26" t="n">
        <v>99</v>
      </c>
      <c r="S35" s="29" t="n">
        <v>1</v>
      </c>
      <c r="T35" s="24" t="inlineStr">
        <is>
          <t>mlb-elo-trend-lr-v4</t>
        </is>
      </c>
      <c r="U35" s="24" t="inlineStr">
        <is>
          <t>settled</t>
        </is>
      </c>
      <c r="V35" s="24" t="inlineStr">
        <is>
          <t>loss</t>
        </is>
      </c>
      <c r="W35" s="26" t="n">
        <v>7</v>
      </c>
      <c r="X35" s="26" t="n">
        <v>1</v>
      </c>
      <c r="Y35" s="38" t="n"/>
      <c r="Z35" s="26" t="n"/>
      <c r="AA35" s="28" t="n"/>
      <c r="AB35" s="28" t="n"/>
      <c r="AC35" s="40" t="n">
        <v>-1</v>
      </c>
      <c r="AD35" s="24" t="inlineStr">
        <is>
          <t>2026-07-19T23:12:43.966052Z</t>
        </is>
      </c>
      <c r="AE35" s="31" t="inlineStr">
        <is>
          <t>Learned LR call at threshold 0.5150; executable ask 0.4600 (aec-mlb-pit-cle-2026-07-19).</t>
        </is>
      </c>
      <c r="AF35" s="31" t="inlineStr">
        <is>
          <t>Learned model; promotion gate not yet open; zero-unit research until review.</t>
        </is>
      </c>
      <c r="AG35" s="24" t="inlineStr">
        <is>
          <t>review_required</t>
        </is>
      </c>
      <c r="AH35" s="24" t="n"/>
      <c r="AI35" s="31" t="n"/>
      <c r="AJ35" s="31" t="n"/>
      <c r="AK35" s="24" t="inlineStr">
        <is>
          <t>research_observation</t>
        </is>
      </c>
      <c r="AL35" s="26" t="n">
        <v>3</v>
      </c>
      <c r="AM35" s="24" t="inlineStr">
        <is>
          <t>RESEARCH_OBSERVATION</t>
        </is>
      </c>
      <c r="AN35" s="24" t="inlineStr">
        <is>
          <t>NO_CALL</t>
        </is>
      </c>
      <c r="AO35" s="24" t="inlineStr">
        <is>
          <t>NO_CALL_MODEL_UNVALIDATED</t>
        </is>
      </c>
      <c r="AP35" s="24" t="inlineStr">
        <is>
          <t>mlb-pit</t>
        </is>
      </c>
      <c r="AQ35" s="24" t="inlineStr">
        <is>
          <t>Pittsburgh Pirates</t>
        </is>
      </c>
      <c r="AR35" s="24" t="inlineStr">
        <is>
          <t>Pittsburgh Pirates</t>
        </is>
      </c>
      <c r="AS35" s="24" t="inlineStr">
        <is>
          <t>mlb-cle</t>
        </is>
      </c>
      <c r="AT35" s="24" t="inlineStr">
        <is>
          <t>Cleveland Guardians</t>
        </is>
      </c>
      <c r="AU35" s="24" t="inlineStr">
        <is>
          <t>Cleveland Guardians</t>
        </is>
      </c>
      <c r="AV35" s="24" t="n"/>
      <c r="AW35" s="24" t="n"/>
      <c r="AX35" s="24" t="inlineStr">
        <is>
          <t>statistical_model</t>
        </is>
      </c>
      <c r="AY35" s="24" t="n"/>
      <c r="AZ35" s="24" t="inlineStr">
        <is>
          <t>research</t>
        </is>
      </c>
      <c r="BA35" s="24" t="inlineStr">
        <is>
          <t>5224fb6ffbc9ddf8fa517627b830ac851192da94d241963d556945393a42bb9d</t>
        </is>
      </c>
      <c r="BB35" s="24" t="inlineStr">
        <is>
          <t>learned_lr</t>
        </is>
      </c>
      <c r="BC35" s="24" t="inlineStr">
        <is>
          <t>mlb-elo-trend-lr-v4</t>
        </is>
      </c>
      <c r="BD35" s="24" t="inlineStr">
        <is>
          <t>5224fb6ffbc9ddf8fa517627b830ac851192da94d241963d556945393a42bb9d</t>
        </is>
      </c>
      <c r="BE35" s="24" t="inlineStr">
        <is>
          <t>1ea7c40ec20aaa1c</t>
        </is>
      </c>
      <c r="BF35" s="24" t="inlineStr">
        <is>
          <t>1</t>
        </is>
      </c>
      <c r="BG35" s="24" t="inlineStr">
        <is>
          <t>mlb-elo-trend-lr-v3</t>
        </is>
      </c>
      <c r="BH35" s="24" t="inlineStr">
        <is>
          <t>2026-07-19T12:20:39.567439Z</t>
        </is>
      </c>
      <c r="BI35" s="24" t="inlineStr">
        <is>
          <t>["same_event","same_team_same_day","same_league_same_day"]</t>
        </is>
      </c>
      <c r="BJ35" s="38" t="n"/>
      <c r="BK35" s="26" t="n">
        <v>117</v>
      </c>
      <c r="BL35" s="39" t="n">
        <v>2.17</v>
      </c>
      <c r="BM35" s="28" t="n">
        <v>0.460829</v>
      </c>
      <c r="BN35" s="28" t="n">
        <v>0.457711</v>
      </c>
      <c r="BO35" s="28" t="n"/>
      <c r="BP35" s="38" t="n"/>
      <c r="BQ35" s="39" t="n"/>
      <c r="BR35" s="28" t="n"/>
      <c r="BS35" s="28" t="n"/>
      <c r="BT35" s="28" t="n"/>
      <c r="BU35" s="38" t="n"/>
      <c r="BV35" s="29" t="n"/>
      <c r="BW35" s="24" t="n"/>
      <c r="BX35" s="40" t="n"/>
      <c r="BY35" s="39" t="n"/>
      <c r="BZ35" s="24" t="n"/>
      <c r="CA35" s="31" t="n"/>
    </row>
    <row r="36" ht="36" customHeight="1">
      <c r="A36" s="24" t="inlineStr">
        <is>
          <t>244750b2034f4f13</t>
        </is>
      </c>
      <c r="B36" s="24" t="inlineStr">
        <is>
          <t>2026-07-19T12:54:59.612626Z</t>
        </is>
      </c>
      <c r="C36" s="24" t="inlineStr">
        <is>
          <t>2026-07-19T18:10Z</t>
        </is>
      </c>
      <c r="D36" s="24" t="inlineStr">
        <is>
          <t>401816177</t>
        </is>
      </c>
      <c r="E36" s="24" t="inlineStr">
        <is>
          <t>MLB</t>
        </is>
      </c>
      <c r="F36" s="24" t="inlineStr">
        <is>
          <t>Baltimore Orioles</t>
        </is>
      </c>
      <c r="G36" s="24" t="inlineStr">
        <is>
          <t>Houston Astros</t>
        </is>
      </c>
      <c r="H36" s="24" t="inlineStr">
        <is>
          <t>moneyline</t>
        </is>
      </c>
      <c r="I36" s="24" t="inlineStr">
        <is>
          <t>home</t>
        </is>
      </c>
      <c r="J36" s="38" t="n"/>
      <c r="K36" s="24" t="inlineStr">
        <is>
          <t>polymarket_us</t>
        </is>
      </c>
      <c r="L36" s="26" t="n">
        <v>-106</v>
      </c>
      <c r="M36" s="39" t="n">
        <v>1.943396</v>
      </c>
      <c r="N36" s="28" t="n">
        <v>0.514563</v>
      </c>
      <c r="O36" s="28" t="n">
        <v>0.518824</v>
      </c>
      <c r="P36" s="28" t="n"/>
      <c r="Q36" s="28" t="n">
        <v>0.004261</v>
      </c>
      <c r="R36" s="26" t="n">
        <v>4</v>
      </c>
      <c r="S36" s="29" t="n">
        <v>0.75</v>
      </c>
      <c r="T36" s="24" t="inlineStr">
        <is>
          <t>mlb-elo-trend-lr-v4</t>
        </is>
      </c>
      <c r="U36" s="24" t="inlineStr">
        <is>
          <t>settled</t>
        </is>
      </c>
      <c r="V36" s="24" t="inlineStr">
        <is>
          <t>loss</t>
        </is>
      </c>
      <c r="W36" s="26" t="n">
        <v>5</v>
      </c>
      <c r="X36" s="26" t="n">
        <v>2</v>
      </c>
      <c r="Y36" s="38" t="n"/>
      <c r="Z36" s="26" t="n"/>
      <c r="AA36" s="28" t="n"/>
      <c r="AB36" s="28" t="n"/>
      <c r="AC36" s="40" t="n">
        <v>-0.75</v>
      </c>
      <c r="AD36" s="24" t="inlineStr">
        <is>
          <t>2026-07-19T23:12:44.208798Z</t>
        </is>
      </c>
      <c r="AE36" s="31" t="inlineStr">
        <is>
          <t>Learned LR call at threshold 0.5150; executable ask 0.5150 (aec-mlb-bal-hou-2026-07-19).</t>
        </is>
      </c>
      <c r="AF36" s="31" t="inlineStr">
        <is>
          <t>Learned model; promotion gate not yet open; zero-unit research until review.</t>
        </is>
      </c>
      <c r="AG36" s="24" t="inlineStr">
        <is>
          <t>review_required</t>
        </is>
      </c>
      <c r="AH36" s="24" t="n"/>
      <c r="AI36" s="31" t="n"/>
      <c r="AJ36" s="31" t="n"/>
      <c r="AK36" s="24" t="inlineStr">
        <is>
          <t>research_observation</t>
        </is>
      </c>
      <c r="AL36" s="26" t="n">
        <v>3</v>
      </c>
      <c r="AM36" s="24" t="inlineStr">
        <is>
          <t>RESEARCH_OBSERVATION</t>
        </is>
      </c>
      <c r="AN36" s="24" t="inlineStr">
        <is>
          <t>NO_CALL</t>
        </is>
      </c>
      <c r="AO36" s="24" t="inlineStr">
        <is>
          <t>NO_CALL_MODEL_UNVALIDATED</t>
        </is>
      </c>
      <c r="AP36" s="24" t="inlineStr">
        <is>
          <t>mlb-bal</t>
        </is>
      </c>
      <c r="AQ36" s="24" t="inlineStr">
        <is>
          <t>Baltimore Orioles</t>
        </is>
      </c>
      <c r="AR36" s="24" t="inlineStr">
        <is>
          <t>Baltimore Orioles</t>
        </is>
      </c>
      <c r="AS36" s="24" t="inlineStr">
        <is>
          <t>mlb-hou</t>
        </is>
      </c>
      <c r="AT36" s="24" t="inlineStr">
        <is>
          <t>Houston Astros</t>
        </is>
      </c>
      <c r="AU36" s="24" t="inlineStr">
        <is>
          <t>Houston Astros</t>
        </is>
      </c>
      <c r="AV36" s="24" t="n"/>
      <c r="AW36" s="24" t="n"/>
      <c r="AX36" s="24" t="inlineStr">
        <is>
          <t>statistical_model</t>
        </is>
      </c>
      <c r="AY36" s="24" t="n"/>
      <c r="AZ36" s="24" t="inlineStr">
        <is>
          <t>research</t>
        </is>
      </c>
      <c r="BA36" s="24" t="inlineStr">
        <is>
          <t>5224fb6ffbc9ddf8fa517627b830ac851192da94d241963d556945393a42bb9d</t>
        </is>
      </c>
      <c r="BB36" s="24" t="inlineStr">
        <is>
          <t>learned_lr</t>
        </is>
      </c>
      <c r="BC36" s="24" t="inlineStr">
        <is>
          <t>mlb-elo-trend-lr-v4</t>
        </is>
      </c>
      <c r="BD36" s="24" t="inlineStr">
        <is>
          <t>5224fb6ffbc9ddf8fa517627b830ac851192da94d241963d556945393a42bb9d</t>
        </is>
      </c>
      <c r="BE36" s="24" t="inlineStr">
        <is>
          <t>fb65fbe93d283ddf</t>
        </is>
      </c>
      <c r="BF36" s="24" t="inlineStr">
        <is>
          <t>1</t>
        </is>
      </c>
      <c r="BG36" s="24" t="inlineStr">
        <is>
          <t>mlb-elo-trend-lr-v3</t>
        </is>
      </c>
      <c r="BH36" s="24" t="inlineStr">
        <is>
          <t>2026-07-19T12:20:40.690565Z</t>
        </is>
      </c>
      <c r="BI36" s="24" t="inlineStr">
        <is>
          <t>["same_event","same_team_same_day","same_league_same_day"]</t>
        </is>
      </c>
      <c r="BJ36" s="38" t="n"/>
      <c r="BK36" s="26" t="n">
        <v>-106</v>
      </c>
      <c r="BL36" s="39" t="n">
        <v>1.943396</v>
      </c>
      <c r="BM36" s="28" t="n">
        <v>0.514563</v>
      </c>
      <c r="BN36" s="28" t="n">
        <v>0.5124379999999999</v>
      </c>
      <c r="BO36" s="28" t="n"/>
      <c r="BP36" s="38" t="n"/>
      <c r="BQ36" s="39" t="n"/>
      <c r="BR36" s="28" t="n"/>
      <c r="BS36" s="28" t="n"/>
      <c r="BT36" s="28" t="n"/>
      <c r="BU36" s="38" t="n"/>
      <c r="BV36" s="29" t="n"/>
      <c r="BW36" s="24" t="n"/>
      <c r="BX36" s="40" t="n"/>
      <c r="BY36" s="39" t="n"/>
      <c r="BZ36" s="24" t="n"/>
      <c r="CA36" s="31" t="n"/>
    </row>
    <row r="37" ht="36" customHeight="1">
      <c r="A37" s="24" t="inlineStr">
        <is>
          <t>24dc5460b71f4e79</t>
        </is>
      </c>
      <c r="B37" s="24" t="inlineStr">
        <is>
          <t>2026-07-19T12:54:59.612626Z</t>
        </is>
      </c>
      <c r="C37" s="24" t="inlineStr">
        <is>
          <t>2026-07-19T18:10Z</t>
        </is>
      </c>
      <c r="D37" s="24" t="inlineStr">
        <is>
          <t>401816178</t>
        </is>
      </c>
      <c r="E37" s="24" t="inlineStr">
        <is>
          <t>MLB</t>
        </is>
      </c>
      <c r="F37" s="24" t="inlineStr">
        <is>
          <t>Miami Marlins</t>
        </is>
      </c>
      <c r="G37" s="24" t="inlineStr">
        <is>
          <t>Milwaukee Brewers</t>
        </is>
      </c>
      <c r="H37" s="24" t="inlineStr">
        <is>
          <t>moneyline</t>
        </is>
      </c>
      <c r="I37" s="24" t="inlineStr">
        <is>
          <t>home</t>
        </is>
      </c>
      <c r="J37" s="38" t="n"/>
      <c r="K37" s="24" t="inlineStr">
        <is>
          <t>polymarket_us</t>
        </is>
      </c>
      <c r="L37" s="26" t="n">
        <v>-122</v>
      </c>
      <c r="M37" s="39" t="n">
        <v>1.819672</v>
      </c>
      <c r="N37" s="28" t="n">
        <v>0.54955</v>
      </c>
      <c r="O37" s="28" t="n">
        <v>0.6307700000000001</v>
      </c>
      <c r="P37" s="28" t="n"/>
      <c r="Q37" s="28" t="n">
        <v>0.08122</v>
      </c>
      <c r="R37" s="26" t="n">
        <v>81</v>
      </c>
      <c r="S37" s="29" t="n">
        <v>1.75</v>
      </c>
      <c r="T37" s="24" t="inlineStr">
        <is>
          <t>mlb-elo-trend-lr-v4</t>
        </is>
      </c>
      <c r="U37" s="24" t="inlineStr">
        <is>
          <t>settled</t>
        </is>
      </c>
      <c r="V37" s="24" t="inlineStr">
        <is>
          <t>win</t>
        </is>
      </c>
      <c r="W37" s="26" t="n">
        <v>1</v>
      </c>
      <c r="X37" s="26" t="n">
        <v>3</v>
      </c>
      <c r="Y37" s="38" t="n"/>
      <c r="Z37" s="26" t="n"/>
      <c r="AA37" s="28" t="n"/>
      <c r="AB37" s="28" t="n"/>
      <c r="AC37" s="40" t="n">
        <v>1.4344</v>
      </c>
      <c r="AD37" s="24" t="inlineStr">
        <is>
          <t>2026-07-19T23:12:44.452287Z</t>
        </is>
      </c>
      <c r="AE37" s="31" t="inlineStr">
        <is>
          <t>Learned LR call at threshold 0.5150; executable ask 0.5500 (aec-mlb-mia-mil-2026-07-19).</t>
        </is>
      </c>
      <c r="AF37" s="31" t="inlineStr">
        <is>
          <t>Learned model; promotion gate not yet open; zero-unit research until review.</t>
        </is>
      </c>
      <c r="AG37" s="24" t="inlineStr">
        <is>
          <t>not_applicable</t>
        </is>
      </c>
      <c r="AH37" s="24" t="n"/>
      <c r="AI37" s="31" t="n"/>
      <c r="AJ37" s="31" t="n"/>
      <c r="AK37" s="24" t="inlineStr">
        <is>
          <t>research_observation</t>
        </is>
      </c>
      <c r="AL37" s="26" t="n">
        <v>3</v>
      </c>
      <c r="AM37" s="24" t="inlineStr">
        <is>
          <t>RESEARCH_OBSERVATION</t>
        </is>
      </c>
      <c r="AN37" s="24" t="inlineStr">
        <is>
          <t>NO_CALL</t>
        </is>
      </c>
      <c r="AO37" s="24" t="inlineStr">
        <is>
          <t>NO_CALL_MODEL_UNVALIDATED</t>
        </is>
      </c>
      <c r="AP37" s="24" t="inlineStr">
        <is>
          <t>mlb-mia</t>
        </is>
      </c>
      <c r="AQ37" s="24" t="inlineStr">
        <is>
          <t>Miami Marlins</t>
        </is>
      </c>
      <c r="AR37" s="24" t="inlineStr">
        <is>
          <t>Miami Marlins</t>
        </is>
      </c>
      <c r="AS37" s="24" t="inlineStr">
        <is>
          <t>mlb-mil</t>
        </is>
      </c>
      <c r="AT37" s="24" t="inlineStr">
        <is>
          <t>Milwaukee Brewers</t>
        </is>
      </c>
      <c r="AU37" s="24" t="inlineStr">
        <is>
          <t>Milwaukee Brewers</t>
        </is>
      </c>
      <c r="AV37" s="24" t="n"/>
      <c r="AW37" s="24" t="n"/>
      <c r="AX37" s="24" t="inlineStr">
        <is>
          <t>statistical_model</t>
        </is>
      </c>
      <c r="AY37" s="24" t="n"/>
      <c r="AZ37" s="24" t="inlineStr">
        <is>
          <t>research</t>
        </is>
      </c>
      <c r="BA37" s="24" t="inlineStr">
        <is>
          <t>5224fb6ffbc9ddf8fa517627b830ac851192da94d241963d556945393a42bb9d</t>
        </is>
      </c>
      <c r="BB37" s="24" t="inlineStr">
        <is>
          <t>learned_lr</t>
        </is>
      </c>
      <c r="BC37" s="24" t="inlineStr">
        <is>
          <t>mlb-elo-trend-lr-v4</t>
        </is>
      </c>
      <c r="BD37" s="24" t="inlineStr">
        <is>
          <t>5224fb6ffbc9ddf8fa517627b830ac851192da94d241963d556945393a42bb9d</t>
        </is>
      </c>
      <c r="BE37" s="24" t="inlineStr">
        <is>
          <t>8fb0cba25307b5b8</t>
        </is>
      </c>
      <c r="BF37" s="24" t="inlineStr">
        <is>
          <t>1</t>
        </is>
      </c>
      <c r="BG37" s="24" t="inlineStr">
        <is>
          <t>mlb-elo-trend-lr-v3</t>
        </is>
      </c>
      <c r="BH37" s="24" t="inlineStr">
        <is>
          <t>2026-07-19T12:20:42.218493Z</t>
        </is>
      </c>
      <c r="BI37" s="24" t="inlineStr">
        <is>
          <t>["same_event","same_team_same_day","same_league_same_day"]</t>
        </is>
      </c>
      <c r="BJ37" s="38" t="n"/>
      <c r="BK37" s="26" t="n">
        <v>-122</v>
      </c>
      <c r="BL37" s="39" t="n">
        <v>1.819672</v>
      </c>
      <c r="BM37" s="28" t="n">
        <v>0.54955</v>
      </c>
      <c r="BN37" s="28" t="n">
        <v>0.547264</v>
      </c>
      <c r="BO37" s="28" t="n"/>
      <c r="BP37" s="38" t="n"/>
      <c r="BQ37" s="39" t="n"/>
      <c r="BR37" s="28" t="n"/>
      <c r="BS37" s="28" t="n"/>
      <c r="BT37" s="28" t="n"/>
      <c r="BU37" s="38" t="n"/>
      <c r="BV37" s="29" t="n"/>
      <c r="BW37" s="24" t="n"/>
      <c r="BX37" s="40" t="n"/>
      <c r="BY37" s="39" t="n"/>
      <c r="BZ37" s="24" t="n"/>
      <c r="CA37" s="31" t="n"/>
    </row>
    <row r="38" ht="36" customHeight="1">
      <c r="A38" s="24" t="inlineStr">
        <is>
          <t>a41133c348d04e51</t>
        </is>
      </c>
      <c r="B38" s="24" t="inlineStr">
        <is>
          <t>2026-07-19T12:54:59.612626Z</t>
        </is>
      </c>
      <c r="C38" s="24" t="inlineStr">
        <is>
          <t>2026-07-19T18:10Z</t>
        </is>
      </c>
      <c r="D38" s="24" t="inlineStr">
        <is>
          <t>401816180</t>
        </is>
      </c>
      <c r="E38" s="24" t="inlineStr">
        <is>
          <t>MLB</t>
        </is>
      </c>
      <c r="F38" s="24" t="inlineStr">
        <is>
          <t>San Diego Padres</t>
        </is>
      </c>
      <c r="G38" s="24" t="inlineStr">
        <is>
          <t>Kansas City Royals</t>
        </is>
      </c>
      <c r="H38" s="24" t="inlineStr">
        <is>
          <t>moneyline</t>
        </is>
      </c>
      <c r="I38" s="24" t="inlineStr">
        <is>
          <t>away</t>
        </is>
      </c>
      <c r="J38" s="38" t="n"/>
      <c r="K38" s="24" t="inlineStr">
        <is>
          <t>polymarket_us</t>
        </is>
      </c>
      <c r="L38" s="26" t="n">
        <v>115</v>
      </c>
      <c r="M38" s="39" t="n">
        <v>2.15</v>
      </c>
      <c r="N38" s="28" t="n">
        <v>0.465116</v>
      </c>
      <c r="O38" s="28" t="n">
        <v>0.520718</v>
      </c>
      <c r="P38" s="28" t="n"/>
      <c r="Q38" s="28" t="n">
        <v>0.055602</v>
      </c>
      <c r="R38" s="26" t="n">
        <v>55</v>
      </c>
      <c r="S38" s="29" t="n">
        <v>0.75</v>
      </c>
      <c r="T38" s="24" t="inlineStr">
        <is>
          <t>mlb-elo-trend-lr-v4</t>
        </is>
      </c>
      <c r="U38" s="24" t="inlineStr">
        <is>
          <t>settled</t>
        </is>
      </c>
      <c r="V38" s="24" t="inlineStr">
        <is>
          <t>win</t>
        </is>
      </c>
      <c r="W38" s="26" t="n">
        <v>19</v>
      </c>
      <c r="X38" s="26" t="n">
        <v>2</v>
      </c>
      <c r="Y38" s="38" t="n"/>
      <c r="Z38" s="26" t="n"/>
      <c r="AA38" s="28" t="n"/>
      <c r="AB38" s="28" t="n"/>
      <c r="AC38" s="40" t="n">
        <v>0.8625</v>
      </c>
      <c r="AD38" s="24" t="inlineStr">
        <is>
          <t>2026-07-19T23:12:44.698613Z</t>
        </is>
      </c>
      <c r="AE38" s="31" t="inlineStr">
        <is>
          <t>Learned LR call at threshold 0.5150; executable ask 0.4650 (aec-mlb-sd-kc-2026-07-19).</t>
        </is>
      </c>
      <c r="AF38" s="31" t="inlineStr">
        <is>
          <t>Learned model; promotion gate not yet open; zero-unit research until review.</t>
        </is>
      </c>
      <c r="AG38" s="24" t="inlineStr">
        <is>
          <t>not_applicable</t>
        </is>
      </c>
      <c r="AH38" s="24" t="n"/>
      <c r="AI38" s="31" t="n"/>
      <c r="AJ38" s="31" t="n"/>
      <c r="AK38" s="24" t="inlineStr">
        <is>
          <t>research_observation</t>
        </is>
      </c>
      <c r="AL38" s="26" t="n">
        <v>3</v>
      </c>
      <c r="AM38" s="24" t="inlineStr">
        <is>
          <t>RESEARCH_OBSERVATION</t>
        </is>
      </c>
      <c r="AN38" s="24" t="inlineStr">
        <is>
          <t>NO_CALL</t>
        </is>
      </c>
      <c r="AO38" s="24" t="inlineStr">
        <is>
          <t>NO_CALL_MODEL_UNVALIDATED</t>
        </is>
      </c>
      <c r="AP38" s="24" t="inlineStr">
        <is>
          <t>mlb-sd</t>
        </is>
      </c>
      <c r="AQ38" s="24" t="inlineStr">
        <is>
          <t>San Diego Padres</t>
        </is>
      </c>
      <c r="AR38" s="24" t="inlineStr">
        <is>
          <t>San Diego Padres</t>
        </is>
      </c>
      <c r="AS38" s="24" t="inlineStr">
        <is>
          <t>mlb-kc</t>
        </is>
      </c>
      <c r="AT38" s="24" t="inlineStr">
        <is>
          <t>Kansas City Royals</t>
        </is>
      </c>
      <c r="AU38" s="24" t="inlineStr">
        <is>
          <t>Kansas City Royals</t>
        </is>
      </c>
      <c r="AV38" s="24" t="n"/>
      <c r="AW38" s="24" t="n"/>
      <c r="AX38" s="24" t="inlineStr">
        <is>
          <t>statistical_model</t>
        </is>
      </c>
      <c r="AY38" s="24" t="n"/>
      <c r="AZ38" s="24" t="inlineStr">
        <is>
          <t>research</t>
        </is>
      </c>
      <c r="BA38" s="24" t="inlineStr">
        <is>
          <t>5224fb6ffbc9ddf8fa517627b830ac851192da94d241963d556945393a42bb9d</t>
        </is>
      </c>
      <c r="BB38" s="24" t="inlineStr">
        <is>
          <t>learned_lr</t>
        </is>
      </c>
      <c r="BC38" s="24" t="inlineStr">
        <is>
          <t>mlb-elo-trend-lr-v4</t>
        </is>
      </c>
      <c r="BD38" s="24" t="inlineStr">
        <is>
          <t>5224fb6ffbc9ddf8fa517627b830ac851192da94d241963d556945393a42bb9d</t>
        </is>
      </c>
      <c r="BE38" s="24" t="inlineStr">
        <is>
          <t>fce46e57be25f762</t>
        </is>
      </c>
      <c r="BF38" s="24" t="inlineStr">
        <is>
          <t>1</t>
        </is>
      </c>
      <c r="BG38" s="24" t="inlineStr">
        <is>
          <t>mlb-elo-trend-lr-v3</t>
        </is>
      </c>
      <c r="BH38" s="24" t="inlineStr">
        <is>
          <t>2026-07-19T12:20:43.564485Z</t>
        </is>
      </c>
      <c r="BI38" s="24" t="inlineStr">
        <is>
          <t>["same_event","same_team_same_day","same_league_same_day"]</t>
        </is>
      </c>
      <c r="BJ38" s="38" t="n"/>
      <c r="BK38" s="26" t="n">
        <v>115</v>
      </c>
      <c r="BL38" s="39" t="n">
        <v>2.15</v>
      </c>
      <c r="BM38" s="28" t="n">
        <v>0.465116</v>
      </c>
      <c r="BN38" s="28" t="n">
        <v>0.462687</v>
      </c>
      <c r="BO38" s="28" t="n"/>
      <c r="BP38" s="38" t="n"/>
      <c r="BQ38" s="39" t="n"/>
      <c r="BR38" s="28" t="n"/>
      <c r="BS38" s="28" t="n"/>
      <c r="BT38" s="28" t="n"/>
      <c r="BU38" s="38" t="n"/>
      <c r="BV38" s="29" t="n"/>
      <c r="BW38" s="24" t="n"/>
      <c r="BX38" s="40" t="n"/>
      <c r="BY38" s="39" t="n"/>
      <c r="BZ38" s="24" t="n"/>
      <c r="CA38" s="31" t="n"/>
    </row>
    <row r="39" ht="36" customHeight="1">
      <c r="A39" s="24" t="inlineStr">
        <is>
          <t>381bf45d8dc64de8</t>
        </is>
      </c>
      <c r="B39" s="24" t="inlineStr">
        <is>
          <t>2026-07-19T12:54:59.612626Z</t>
        </is>
      </c>
      <c r="C39" s="24" t="inlineStr">
        <is>
          <t>2026-07-19T18:20Z</t>
        </is>
      </c>
      <c r="D39" s="24" t="inlineStr">
        <is>
          <t>401816179</t>
        </is>
      </c>
      <c r="E39" s="24" t="inlineStr">
        <is>
          <t>MLB</t>
        </is>
      </c>
      <c r="F39" s="24" t="inlineStr">
        <is>
          <t>Minnesota Twins</t>
        </is>
      </c>
      <c r="G39" s="24" t="inlineStr">
        <is>
          <t>Chicago Cubs</t>
        </is>
      </c>
      <c r="H39" s="24" t="inlineStr">
        <is>
          <t>moneyline</t>
        </is>
      </c>
      <c r="I39" s="24" t="inlineStr">
        <is>
          <t>home</t>
        </is>
      </c>
      <c r="J39" s="38" t="n"/>
      <c r="K39" s="24" t="inlineStr">
        <is>
          <t>polymarket_us</t>
        </is>
      </c>
      <c r="L39" s="26" t="n">
        <v>-150</v>
      </c>
      <c r="M39" s="39" t="n">
        <v>1.666667</v>
      </c>
      <c r="N39" s="28" t="n">
        <v>0.6</v>
      </c>
      <c r="O39" s="28" t="n">
        <v>0.599047</v>
      </c>
      <c r="P39" s="28" t="n"/>
      <c r="Q39" s="28" t="n">
        <v>-0.000953</v>
      </c>
      <c r="R39" s="26" t="n">
        <v>99</v>
      </c>
      <c r="S39" s="29" t="n">
        <v>1.5</v>
      </c>
      <c r="T39" s="24" t="inlineStr">
        <is>
          <t>mlb-elo-trend-lr-v4</t>
        </is>
      </c>
      <c r="U39" s="24" t="inlineStr">
        <is>
          <t>settled</t>
        </is>
      </c>
      <c r="V39" s="24" t="inlineStr">
        <is>
          <t>win</t>
        </is>
      </c>
      <c r="W39" s="26" t="n">
        <v>1</v>
      </c>
      <c r="X39" s="26" t="n">
        <v>10</v>
      </c>
      <c r="Y39" s="38" t="n"/>
      <c r="Z39" s="26" t="n"/>
      <c r="AA39" s="28" t="n"/>
      <c r="AB39" s="28" t="n"/>
      <c r="AC39" s="40" t="n">
        <v>1</v>
      </c>
      <c r="AD39" s="24" t="inlineStr">
        <is>
          <t>2026-07-19T23:12:44.944082Z</t>
        </is>
      </c>
      <c r="AE39" s="31" t="inlineStr">
        <is>
          <t>Learned LR call at threshold 0.5150; executable ask 0.6000 (aec-mlb-min-chc-2026-07-19).</t>
        </is>
      </c>
      <c r="AF39" s="31" t="inlineStr">
        <is>
          <t>Learned model; promotion gate not yet open; zero-unit research until review.</t>
        </is>
      </c>
      <c r="AG39" s="24" t="inlineStr">
        <is>
          <t>not_applicable</t>
        </is>
      </c>
      <c r="AH39" s="24" t="n"/>
      <c r="AI39" s="31" t="n"/>
      <c r="AJ39" s="31" t="n"/>
      <c r="AK39" s="24" t="inlineStr">
        <is>
          <t>research_observation</t>
        </is>
      </c>
      <c r="AL39" s="26" t="n">
        <v>3</v>
      </c>
      <c r="AM39" s="24" t="inlineStr">
        <is>
          <t>RESEARCH_OBSERVATION</t>
        </is>
      </c>
      <c r="AN39" s="24" t="inlineStr">
        <is>
          <t>NO_CALL</t>
        </is>
      </c>
      <c r="AO39" s="24" t="inlineStr">
        <is>
          <t>NO_CALL_MODEL_UNVALIDATED</t>
        </is>
      </c>
      <c r="AP39" s="24" t="inlineStr">
        <is>
          <t>mlb-min</t>
        </is>
      </c>
      <c r="AQ39" s="24" t="inlineStr">
        <is>
          <t>Minnesota Twins</t>
        </is>
      </c>
      <c r="AR39" s="24" t="inlineStr">
        <is>
          <t>Minnesota Twins</t>
        </is>
      </c>
      <c r="AS39" s="24" t="inlineStr">
        <is>
          <t>mlb-chc</t>
        </is>
      </c>
      <c r="AT39" s="24" t="inlineStr">
        <is>
          <t>Chicago Cubs</t>
        </is>
      </c>
      <c r="AU39" s="24" t="inlineStr">
        <is>
          <t>Chicago Cubs</t>
        </is>
      </c>
      <c r="AV39" s="24" t="n"/>
      <c r="AW39" s="24" t="n"/>
      <c r="AX39" s="24" t="inlineStr">
        <is>
          <t>statistical_model</t>
        </is>
      </c>
      <c r="AY39" s="24" t="n"/>
      <c r="AZ39" s="24" t="inlineStr">
        <is>
          <t>research</t>
        </is>
      </c>
      <c r="BA39" s="24" t="inlineStr">
        <is>
          <t>5224fb6ffbc9ddf8fa517627b830ac851192da94d241963d556945393a42bb9d</t>
        </is>
      </c>
      <c r="BB39" s="24" t="inlineStr">
        <is>
          <t>learned_lr</t>
        </is>
      </c>
      <c r="BC39" s="24" t="inlineStr">
        <is>
          <t>mlb-elo-trend-lr-v4</t>
        </is>
      </c>
      <c r="BD39" s="24" t="inlineStr">
        <is>
          <t>5224fb6ffbc9ddf8fa517627b830ac851192da94d241963d556945393a42bb9d</t>
        </is>
      </c>
      <c r="BE39" s="24" t="inlineStr">
        <is>
          <t>a5e44fbf125c8b8d</t>
        </is>
      </c>
      <c r="BF39" s="24" t="inlineStr">
        <is>
          <t>1</t>
        </is>
      </c>
      <c r="BG39" s="24" t="inlineStr">
        <is>
          <t>mlb-elo-trend-lr-v3</t>
        </is>
      </c>
      <c r="BH39" s="24" t="inlineStr">
        <is>
          <t>2026-07-19T12:20:44.784549Z</t>
        </is>
      </c>
      <c r="BI39" s="24" t="inlineStr">
        <is>
          <t>["same_event","same_team_same_day","same_league_same_day"]</t>
        </is>
      </c>
      <c r="BJ39" s="38" t="n"/>
      <c r="BK39" s="26" t="n">
        <v>-150</v>
      </c>
      <c r="BL39" s="39" t="n">
        <v>1.666667</v>
      </c>
      <c r="BM39" s="28" t="n">
        <v>0.6</v>
      </c>
      <c r="BN39" s="28" t="n">
        <v>0.597015</v>
      </c>
      <c r="BO39" s="28" t="n"/>
      <c r="BP39" s="38" t="n"/>
      <c r="BQ39" s="39" t="n"/>
      <c r="BR39" s="28" t="n"/>
      <c r="BS39" s="28" t="n"/>
      <c r="BT39" s="28" t="n"/>
      <c r="BU39" s="38" t="n"/>
      <c r="BV39" s="29" t="n"/>
      <c r="BW39" s="24" t="n"/>
      <c r="BX39" s="40" t="n"/>
      <c r="BY39" s="39" t="n"/>
      <c r="BZ39" s="24" t="n"/>
      <c r="CA39" s="31" t="n"/>
    </row>
    <row r="40" ht="36" customHeight="1">
      <c r="A40" s="24" t="inlineStr">
        <is>
          <t>4efa6372827f49d2</t>
        </is>
      </c>
      <c r="B40" s="24" t="inlineStr">
        <is>
          <t>2026-07-19T12:54:59.612626Z</t>
        </is>
      </c>
      <c r="C40" s="24" t="inlineStr">
        <is>
          <t>2026-07-19T20:07Z</t>
        </is>
      </c>
      <c r="D40" s="24" t="inlineStr">
        <is>
          <t>401816182</t>
        </is>
      </c>
      <c r="E40" s="24" t="inlineStr">
        <is>
          <t>MLB</t>
        </is>
      </c>
      <c r="F40" s="24" t="inlineStr">
        <is>
          <t>Detroit Tigers</t>
        </is>
      </c>
      <c r="G40" s="24" t="inlineStr">
        <is>
          <t>Los Angeles Angels</t>
        </is>
      </c>
      <c r="H40" s="24" t="inlineStr">
        <is>
          <t>moneyline</t>
        </is>
      </c>
      <c r="I40" s="24" t="inlineStr">
        <is>
          <t>away</t>
        </is>
      </c>
      <c r="J40" s="38" t="n"/>
      <c r="K40" s="24" t="inlineStr">
        <is>
          <t>polymarket_us</t>
        </is>
      </c>
      <c r="L40" s="26" t="n">
        <v>-141</v>
      </c>
      <c r="M40" s="39" t="n">
        <v>1.70922</v>
      </c>
      <c r="N40" s="28" t="n">
        <v>0.585062</v>
      </c>
      <c r="O40" s="28" t="n">
        <v>0.526852</v>
      </c>
      <c r="P40" s="28" t="n"/>
      <c r="Q40" s="28" t="n">
        <v>-0.05821</v>
      </c>
      <c r="R40" s="26" t="n">
        <v>41</v>
      </c>
      <c r="S40" s="29" t="n">
        <v>0.75</v>
      </c>
      <c r="T40" s="24" t="inlineStr">
        <is>
          <t>mlb-elo-trend-lr-v4</t>
        </is>
      </c>
      <c r="U40" s="24" t="inlineStr">
        <is>
          <t>settled</t>
        </is>
      </c>
      <c r="V40" s="24" t="inlineStr">
        <is>
          <t>loss</t>
        </is>
      </c>
      <c r="W40" s="26" t="n">
        <v>2</v>
      </c>
      <c r="X40" s="26" t="n">
        <v>3</v>
      </c>
      <c r="Y40" s="38" t="n"/>
      <c r="Z40" s="26" t="n"/>
      <c r="AA40" s="28" t="n"/>
      <c r="AB40" s="28" t="n"/>
      <c r="AC40" s="40" t="n">
        <v>-0.75</v>
      </c>
      <c r="AD40" s="24" t="inlineStr">
        <is>
          <t>2026-07-19T23:12:45.192018Z</t>
        </is>
      </c>
      <c r="AE40" s="31" t="inlineStr">
        <is>
          <t>Learned LR call at threshold 0.5150; executable ask 0.5850 (aec-mlb-det-laa-2026-07-19).</t>
        </is>
      </c>
      <c r="AF40" s="31" t="inlineStr">
        <is>
          <t>Learned model; promotion gate not yet open; zero-unit research until review.</t>
        </is>
      </c>
      <c r="AG40" s="24" t="inlineStr">
        <is>
          <t>review_required</t>
        </is>
      </c>
      <c r="AH40" s="24" t="n"/>
      <c r="AI40" s="31" t="n"/>
      <c r="AJ40" s="31" t="n"/>
      <c r="AK40" s="24" t="inlineStr">
        <is>
          <t>research_observation</t>
        </is>
      </c>
      <c r="AL40" s="26" t="n">
        <v>3</v>
      </c>
      <c r="AM40" s="24" t="inlineStr">
        <is>
          <t>RESEARCH_OBSERVATION</t>
        </is>
      </c>
      <c r="AN40" s="24" t="inlineStr">
        <is>
          <t>NO_CALL</t>
        </is>
      </c>
      <c r="AO40" s="24" t="inlineStr">
        <is>
          <t>NO_CALL_MODEL_UNVALIDATED</t>
        </is>
      </c>
      <c r="AP40" s="24" t="inlineStr">
        <is>
          <t>mlb-det</t>
        </is>
      </c>
      <c r="AQ40" s="24" t="inlineStr">
        <is>
          <t>Detroit Tigers</t>
        </is>
      </c>
      <c r="AR40" s="24" t="inlineStr">
        <is>
          <t>Detroit Tigers</t>
        </is>
      </c>
      <c r="AS40" s="24" t="inlineStr">
        <is>
          <t>mlb-laa</t>
        </is>
      </c>
      <c r="AT40" s="24" t="inlineStr">
        <is>
          <t>Los Angeles Angels</t>
        </is>
      </c>
      <c r="AU40" s="24" t="inlineStr">
        <is>
          <t>Los Angeles Angels</t>
        </is>
      </c>
      <c r="AV40" s="24" t="n"/>
      <c r="AW40" s="24" t="n"/>
      <c r="AX40" s="24" t="inlineStr">
        <is>
          <t>statistical_model</t>
        </is>
      </c>
      <c r="AY40" s="24" t="n"/>
      <c r="AZ40" s="24" t="inlineStr">
        <is>
          <t>research</t>
        </is>
      </c>
      <c r="BA40" s="24" t="inlineStr">
        <is>
          <t>5224fb6ffbc9ddf8fa517627b830ac851192da94d241963d556945393a42bb9d</t>
        </is>
      </c>
      <c r="BB40" s="24" t="inlineStr">
        <is>
          <t>learned_lr</t>
        </is>
      </c>
      <c r="BC40" s="24" t="inlineStr">
        <is>
          <t>mlb-elo-trend-lr-v4</t>
        </is>
      </c>
      <c r="BD40" s="24" t="inlineStr">
        <is>
          <t>5224fb6ffbc9ddf8fa517627b830ac851192da94d241963d556945393a42bb9d</t>
        </is>
      </c>
      <c r="BE40" s="24" t="inlineStr">
        <is>
          <t>116e26539f29a0c8</t>
        </is>
      </c>
      <c r="BF40" s="24" t="inlineStr">
        <is>
          <t>1</t>
        </is>
      </c>
      <c r="BG40" s="24" t="inlineStr">
        <is>
          <t>mlb-elo-trend-lr-v3</t>
        </is>
      </c>
      <c r="BH40" s="24" t="inlineStr">
        <is>
          <t>2026-07-19T12:20:47.368573Z</t>
        </is>
      </c>
      <c r="BI40" s="24" t="inlineStr">
        <is>
          <t>["same_event","same_team_same_day","same_league_same_day"]</t>
        </is>
      </c>
      <c r="BJ40" s="38" t="n"/>
      <c r="BK40" s="26" t="n">
        <v>-141</v>
      </c>
      <c r="BL40" s="39" t="n">
        <v>1.70922</v>
      </c>
      <c r="BM40" s="28" t="n">
        <v>0.585062</v>
      </c>
      <c r="BN40" s="28" t="n">
        <v>0.58209</v>
      </c>
      <c r="BO40" s="28" t="n"/>
      <c r="BP40" s="38" t="n"/>
      <c r="BQ40" s="39" t="n"/>
      <c r="BR40" s="28" t="n"/>
      <c r="BS40" s="28" t="n"/>
      <c r="BT40" s="28" t="n"/>
      <c r="BU40" s="38" t="n"/>
      <c r="BV40" s="29" t="n"/>
      <c r="BW40" s="24" t="n"/>
      <c r="BX40" s="40" t="n"/>
      <c r="BY40" s="39" t="n"/>
      <c r="BZ40" s="24" t="n"/>
      <c r="CA40" s="31" t="n"/>
    </row>
    <row r="41" ht="36" customHeight="1">
      <c r="A41" s="24" t="inlineStr">
        <is>
          <t>8a8510fe3d5e43d4</t>
        </is>
      </c>
      <c r="B41" s="24" t="inlineStr">
        <is>
          <t>2026-07-19T12:54:59.612626Z</t>
        </is>
      </c>
      <c r="C41" s="24" t="inlineStr">
        <is>
          <t>2026-07-19T20:10Z</t>
        </is>
      </c>
      <c r="D41" s="24" t="inlineStr">
        <is>
          <t>401816183</t>
        </is>
      </c>
      <c r="E41" s="24" t="inlineStr">
        <is>
          <t>MLB</t>
        </is>
      </c>
      <c r="F41" s="24" t="inlineStr">
        <is>
          <t>San Francisco Giants</t>
        </is>
      </c>
      <c r="G41" s="24" t="inlineStr">
        <is>
          <t>Seattle Mariners</t>
        </is>
      </c>
      <c r="H41" s="24" t="inlineStr">
        <is>
          <t>moneyline</t>
        </is>
      </c>
      <c r="I41" s="24" t="inlineStr">
        <is>
          <t>home</t>
        </is>
      </c>
      <c r="J41" s="38" t="n"/>
      <c r="K41" s="24" t="inlineStr">
        <is>
          <t>polymarket_us</t>
        </is>
      </c>
      <c r="L41" s="26" t="n">
        <v>-163</v>
      </c>
      <c r="M41" s="39" t="n">
        <v>1.613497</v>
      </c>
      <c r="N41" s="28" t="n">
        <v>0.619772</v>
      </c>
      <c r="O41" s="28" t="n">
        <v>0.595469</v>
      </c>
      <c r="P41" s="28" t="n"/>
      <c r="Q41" s="28" t="n">
        <v>-0.024303</v>
      </c>
      <c r="R41" s="26" t="n">
        <v>75</v>
      </c>
      <c r="S41" s="29" t="n">
        <v>1.5</v>
      </c>
      <c r="T41" s="24" t="inlineStr">
        <is>
          <t>mlb-elo-trend-lr-v4</t>
        </is>
      </c>
      <c r="U41" s="24" t="inlineStr">
        <is>
          <t>settled</t>
        </is>
      </c>
      <c r="V41" s="24" t="inlineStr">
        <is>
          <t>win</t>
        </is>
      </c>
      <c r="W41" s="26" t="n">
        <v>3</v>
      </c>
      <c r="X41" s="26" t="n">
        <v>6</v>
      </c>
      <c r="Y41" s="38" t="n"/>
      <c r="Z41" s="26" t="n"/>
      <c r="AA41" s="28" t="n"/>
      <c r="AB41" s="28" t="n"/>
      <c r="AC41" s="40" t="n">
        <v>0.9202</v>
      </c>
      <c r="AD41" s="24" t="inlineStr">
        <is>
          <t>2026-07-19T23:12:45.440735Z</t>
        </is>
      </c>
      <c r="AE41" s="31" t="inlineStr">
        <is>
          <t>Learned LR call at threshold 0.5150; executable ask 0.6200 (aec-mlb-sf-sea-2026-07-19).</t>
        </is>
      </c>
      <c r="AF41" s="31" t="inlineStr">
        <is>
          <t>Learned model; promotion gate not yet open; zero-unit research until review.</t>
        </is>
      </c>
      <c r="AG41" s="24" t="inlineStr">
        <is>
          <t>not_applicable</t>
        </is>
      </c>
      <c r="AH41" s="24" t="n"/>
      <c r="AI41" s="31" t="n"/>
      <c r="AJ41" s="31" t="n"/>
      <c r="AK41" s="24" t="inlineStr">
        <is>
          <t>research_observation</t>
        </is>
      </c>
      <c r="AL41" s="26" t="n">
        <v>3</v>
      </c>
      <c r="AM41" s="24" t="inlineStr">
        <is>
          <t>RESEARCH_OBSERVATION</t>
        </is>
      </c>
      <c r="AN41" s="24" t="inlineStr">
        <is>
          <t>NO_CALL</t>
        </is>
      </c>
      <c r="AO41" s="24" t="inlineStr">
        <is>
          <t>NO_CALL_MODEL_UNVALIDATED</t>
        </is>
      </c>
      <c r="AP41" s="24" t="inlineStr">
        <is>
          <t>mlb-sf</t>
        </is>
      </c>
      <c r="AQ41" s="24" t="inlineStr">
        <is>
          <t>San Francisco Giants</t>
        </is>
      </c>
      <c r="AR41" s="24" t="inlineStr">
        <is>
          <t>San Francisco Giants</t>
        </is>
      </c>
      <c r="AS41" s="24" t="inlineStr">
        <is>
          <t>mlb-sea</t>
        </is>
      </c>
      <c r="AT41" s="24" t="inlineStr">
        <is>
          <t>Seattle Mariners</t>
        </is>
      </c>
      <c r="AU41" s="24" t="inlineStr">
        <is>
          <t>Seattle Mariners</t>
        </is>
      </c>
      <c r="AV41" s="24" t="n"/>
      <c r="AW41" s="24" t="n"/>
      <c r="AX41" s="24" t="inlineStr">
        <is>
          <t>statistical_model</t>
        </is>
      </c>
      <c r="AY41" s="24" t="n"/>
      <c r="AZ41" s="24" t="inlineStr">
        <is>
          <t>research</t>
        </is>
      </c>
      <c r="BA41" s="24" t="inlineStr">
        <is>
          <t>5224fb6ffbc9ddf8fa517627b830ac851192da94d241963d556945393a42bb9d</t>
        </is>
      </c>
      <c r="BB41" s="24" t="inlineStr">
        <is>
          <t>learned_lr</t>
        </is>
      </c>
      <c r="BC41" s="24" t="inlineStr">
        <is>
          <t>mlb-elo-trend-lr-v4</t>
        </is>
      </c>
      <c r="BD41" s="24" t="inlineStr">
        <is>
          <t>5224fb6ffbc9ddf8fa517627b830ac851192da94d241963d556945393a42bb9d</t>
        </is>
      </c>
      <c r="BE41" s="24" t="inlineStr">
        <is>
          <t>56bcde9b031bb310</t>
        </is>
      </c>
      <c r="BF41" s="24" t="inlineStr">
        <is>
          <t>1</t>
        </is>
      </c>
      <c r="BG41" s="24" t="inlineStr">
        <is>
          <t>mlb-elo-trend-lr-v3</t>
        </is>
      </c>
      <c r="BH41" s="24" t="inlineStr">
        <is>
          <t>2026-07-19T12:20:48.978861Z</t>
        </is>
      </c>
      <c r="BI41" s="24" t="inlineStr">
        <is>
          <t>["same_event","same_team_same_day","same_league_same_day"]</t>
        </is>
      </c>
      <c r="BJ41" s="38" t="n"/>
      <c r="BK41" s="26" t="n">
        <v>-163</v>
      </c>
      <c r="BL41" s="39" t="n">
        <v>1.613497</v>
      </c>
      <c r="BM41" s="28" t="n">
        <v>0.619772</v>
      </c>
      <c r="BN41" s="28" t="n">
        <v>0.616915</v>
      </c>
      <c r="BO41" s="28" t="n"/>
      <c r="BP41" s="38" t="n"/>
      <c r="BQ41" s="39" t="n"/>
      <c r="BR41" s="28" t="n"/>
      <c r="BS41" s="28" t="n"/>
      <c r="BT41" s="28" t="n"/>
      <c r="BU41" s="38" t="n"/>
      <c r="BV41" s="29" t="n"/>
      <c r="BW41" s="24" t="n"/>
      <c r="BX41" s="40" t="n"/>
      <c r="BY41" s="39" t="n"/>
      <c r="BZ41" s="24" t="n"/>
      <c r="CA41" s="31" t="n"/>
    </row>
    <row r="42" ht="36" customHeight="1">
      <c r="A42" s="24" t="inlineStr">
        <is>
          <t>437e59320f8e4a43</t>
        </is>
      </c>
      <c r="B42" s="24" t="inlineStr">
        <is>
          <t>2026-07-19T12:54:59.612626Z</t>
        </is>
      </c>
      <c r="C42" s="24" t="inlineStr">
        <is>
          <t>2026-07-19T20:10Z</t>
        </is>
      </c>
      <c r="D42" s="24" t="inlineStr">
        <is>
          <t>401816184</t>
        </is>
      </c>
      <c r="E42" s="24" t="inlineStr">
        <is>
          <t>MLB</t>
        </is>
      </c>
      <c r="F42" s="24" t="inlineStr">
        <is>
          <t>St. Louis Cardinals</t>
        </is>
      </c>
      <c r="G42" s="24" t="inlineStr">
        <is>
          <t>Arizona Diamondbacks</t>
        </is>
      </c>
      <c r="H42" s="24" t="inlineStr">
        <is>
          <t>moneyline</t>
        </is>
      </c>
      <c r="I42" s="24" t="inlineStr">
        <is>
          <t>home</t>
        </is>
      </c>
      <c r="J42" s="38" t="n"/>
      <c r="K42" s="24" t="inlineStr">
        <is>
          <t>polymarket_us</t>
        </is>
      </c>
      <c r="L42" s="26" t="n">
        <v>-111</v>
      </c>
      <c r="M42" s="39" t="n">
        <v>1.900901</v>
      </c>
      <c r="N42" s="28" t="n">
        <v>0.526066</v>
      </c>
      <c r="O42" s="28" t="n">
        <v>0.518517</v>
      </c>
      <c r="P42" s="28" t="n"/>
      <c r="Q42" s="28" t="n">
        <v>-0.007549</v>
      </c>
      <c r="R42" s="26" t="n">
        <v>92</v>
      </c>
      <c r="S42" s="29" t="n">
        <v>0.75</v>
      </c>
      <c r="T42" s="24" t="inlineStr">
        <is>
          <t>mlb-elo-trend-lr-v4</t>
        </is>
      </c>
      <c r="U42" s="24" t="inlineStr">
        <is>
          <t>settled</t>
        </is>
      </c>
      <c r="V42" s="24" t="inlineStr">
        <is>
          <t>win</t>
        </is>
      </c>
      <c r="W42" s="26" t="n">
        <v>7</v>
      </c>
      <c r="X42" s="26" t="n">
        <v>8</v>
      </c>
      <c r="Y42" s="38" t="n"/>
      <c r="Z42" s="26" t="n"/>
      <c r="AA42" s="28" t="n"/>
      <c r="AB42" s="28" t="n"/>
      <c r="AC42" s="40" t="n">
        <v>0.6757</v>
      </c>
      <c r="AD42" s="24" t="inlineStr">
        <is>
          <t>2026-07-19T23:51:12.968396Z</t>
        </is>
      </c>
      <c r="AE42" s="31" t="inlineStr">
        <is>
          <t>Learned LR call at threshold 0.5150; executable ask 0.5250 (aec-mlb-stl-az-2026-07-19).</t>
        </is>
      </c>
      <c r="AF42" s="31" t="inlineStr">
        <is>
          <t>Learned model; promotion gate not yet open; zero-unit research until review.</t>
        </is>
      </c>
      <c r="AG42" s="24" t="inlineStr">
        <is>
          <t>not_applicable</t>
        </is>
      </c>
      <c r="AH42" s="24" t="n"/>
      <c r="AI42" s="31" t="n"/>
      <c r="AJ42" s="31" t="n"/>
      <c r="AK42" s="24" t="inlineStr">
        <is>
          <t>research_observation</t>
        </is>
      </c>
      <c r="AL42" s="26" t="n">
        <v>3</v>
      </c>
      <c r="AM42" s="24" t="inlineStr">
        <is>
          <t>RESEARCH_OBSERVATION</t>
        </is>
      </c>
      <c r="AN42" s="24" t="inlineStr">
        <is>
          <t>NO_CALL</t>
        </is>
      </c>
      <c r="AO42" s="24" t="inlineStr">
        <is>
          <t>NO_CALL_MODEL_UNVALIDATED</t>
        </is>
      </c>
      <c r="AP42" s="24" t="inlineStr">
        <is>
          <t>mlb-stl</t>
        </is>
      </c>
      <c r="AQ42" s="24" t="inlineStr">
        <is>
          <t>St. Louis Cardinals</t>
        </is>
      </c>
      <c r="AR42" s="24" t="inlineStr">
        <is>
          <t>St. Louis Cardinals</t>
        </is>
      </c>
      <c r="AS42" s="24" t="inlineStr">
        <is>
          <t>mlb-ari</t>
        </is>
      </c>
      <c r="AT42" s="24" t="inlineStr">
        <is>
          <t>Arizona Diamondbacks</t>
        </is>
      </c>
      <c r="AU42" s="24" t="inlineStr">
        <is>
          <t>Arizona Diamondbacks</t>
        </is>
      </c>
      <c r="AV42" s="24" t="n"/>
      <c r="AW42" s="24" t="n"/>
      <c r="AX42" s="24" t="inlineStr">
        <is>
          <t>statistical_model</t>
        </is>
      </c>
      <c r="AY42" s="24" t="n"/>
      <c r="AZ42" s="24" t="inlineStr">
        <is>
          <t>research</t>
        </is>
      </c>
      <c r="BA42" s="24" t="inlineStr">
        <is>
          <t>5224fb6ffbc9ddf8fa517627b830ac851192da94d241963d556945393a42bb9d</t>
        </is>
      </c>
      <c r="BB42" s="24" t="inlineStr">
        <is>
          <t>learned_lr</t>
        </is>
      </c>
      <c r="BC42" s="24" t="inlineStr">
        <is>
          <t>mlb-elo-trend-lr-v4</t>
        </is>
      </c>
      <c r="BD42" s="24" t="inlineStr">
        <is>
          <t>5224fb6ffbc9ddf8fa517627b830ac851192da94d241963d556945393a42bb9d</t>
        </is>
      </c>
      <c r="BE42" s="24" t="inlineStr">
        <is>
          <t>c892d911f3a93b8b</t>
        </is>
      </c>
      <c r="BF42" s="24" t="inlineStr">
        <is>
          <t>1</t>
        </is>
      </c>
      <c r="BG42" s="24" t="inlineStr">
        <is>
          <t>mlb-elo-trend-lr-v3</t>
        </is>
      </c>
      <c r="BH42" s="24" t="inlineStr">
        <is>
          <t>2026-07-19T12:20:49.926170Z</t>
        </is>
      </c>
      <c r="BI42" s="24" t="inlineStr">
        <is>
          <t>["same_event","same_team_same_day","same_league_same_day"]</t>
        </is>
      </c>
      <c r="BJ42" s="38" t="n"/>
      <c r="BK42" s="26" t="n">
        <v>-111</v>
      </c>
      <c r="BL42" s="39" t="n">
        <v>1.900901</v>
      </c>
      <c r="BM42" s="28" t="n">
        <v>0.526066</v>
      </c>
      <c r="BN42" s="28" t="n">
        <v>0.522388</v>
      </c>
      <c r="BO42" s="28" t="n"/>
      <c r="BP42" s="38" t="n"/>
      <c r="BQ42" s="39" t="n"/>
      <c r="BR42" s="28" t="n"/>
      <c r="BS42" s="28" t="n"/>
      <c r="BT42" s="28" t="n"/>
      <c r="BU42" s="38" t="n"/>
      <c r="BV42" s="29" t="n"/>
      <c r="BW42" s="24" t="n"/>
      <c r="BX42" s="40" t="n"/>
      <c r="BY42" s="39" t="n"/>
      <c r="BZ42" s="24" t="n"/>
      <c r="CA42" s="31" t="n"/>
    </row>
    <row r="43" ht="36" customHeight="1">
      <c r="A43" s="24" t="inlineStr">
        <is>
          <t>4c364c0842444748</t>
        </is>
      </c>
      <c r="B43" s="24" t="inlineStr">
        <is>
          <t>2026-07-19T12:54:59.612626Z</t>
        </is>
      </c>
      <c r="C43" s="24" t="inlineStr">
        <is>
          <t>2026-07-19T23:20Z</t>
        </is>
      </c>
      <c r="D43" s="24" t="inlineStr">
        <is>
          <t>401816172</t>
        </is>
      </c>
      <c r="E43" s="24" t="inlineStr">
        <is>
          <t>MLB</t>
        </is>
      </c>
      <c r="F43" s="24" t="inlineStr">
        <is>
          <t>Los Angeles Dodgers</t>
        </is>
      </c>
      <c r="G43" s="24" t="inlineStr">
        <is>
          <t>New York Yankees</t>
        </is>
      </c>
      <c r="H43" s="24" t="inlineStr">
        <is>
          <t>moneyline</t>
        </is>
      </c>
      <c r="I43" s="24" t="inlineStr">
        <is>
          <t>away</t>
        </is>
      </c>
      <c r="J43" s="38" t="n"/>
      <c r="K43" s="24" t="inlineStr">
        <is>
          <t>polymarket_us</t>
        </is>
      </c>
      <c r="L43" s="26" t="n">
        <v>-108</v>
      </c>
      <c r="M43" s="39" t="n">
        <v>1.925926</v>
      </c>
      <c r="N43" s="28" t="n">
        <v>0.519231</v>
      </c>
      <c r="O43" s="28" t="n">
        <v>0.518236</v>
      </c>
      <c r="P43" s="28" t="n"/>
      <c r="Q43" s="28" t="n">
        <v>-0.000995</v>
      </c>
      <c r="R43" s="26" t="n">
        <v>99</v>
      </c>
      <c r="S43" s="29" t="n">
        <v>0.75</v>
      </c>
      <c r="T43" s="24" t="inlineStr">
        <is>
          <t>mlb-elo-trend-lr-v4</t>
        </is>
      </c>
      <c r="U43" s="24" t="inlineStr">
        <is>
          <t>settled</t>
        </is>
      </c>
      <c r="V43" s="24" t="inlineStr">
        <is>
          <t>loss</t>
        </is>
      </c>
      <c r="W43" s="26" t="n">
        <v>1</v>
      </c>
      <c r="X43" s="26" t="n">
        <v>2</v>
      </c>
      <c r="Y43" s="38" t="n"/>
      <c r="Z43" s="26" t="n"/>
      <c r="AA43" s="28" t="n"/>
      <c r="AB43" s="28" t="n"/>
      <c r="AC43" s="40" t="n">
        <v>-0.75</v>
      </c>
      <c r="AD43" s="24" t="inlineStr">
        <is>
          <t>2026-07-20T07:27:21.588181Z</t>
        </is>
      </c>
      <c r="AE43" s="31" t="inlineStr">
        <is>
          <t>Learned LR call at threshold 0.5150; executable ask 0.5200 (aec-mlb-lad-nyy-2026-07-19).</t>
        </is>
      </c>
      <c r="AF43" s="31" t="inlineStr">
        <is>
          <t>Learned model; promotion gate not yet open; zero-unit research until review.</t>
        </is>
      </c>
      <c r="AG43" s="24" t="inlineStr">
        <is>
          <t>review_required</t>
        </is>
      </c>
      <c r="AH43" s="24" t="n"/>
      <c r="AI43" s="31" t="n"/>
      <c r="AJ43" s="31" t="n"/>
      <c r="AK43" s="24" t="inlineStr">
        <is>
          <t>research_observation</t>
        </is>
      </c>
      <c r="AL43" s="26" t="n">
        <v>3</v>
      </c>
      <c r="AM43" s="24" t="inlineStr">
        <is>
          <t>RESEARCH_OBSERVATION</t>
        </is>
      </c>
      <c r="AN43" s="24" t="inlineStr">
        <is>
          <t>NO_CALL</t>
        </is>
      </c>
      <c r="AO43" s="24" t="inlineStr">
        <is>
          <t>NO_CALL_MODEL_UNVALIDATED</t>
        </is>
      </c>
      <c r="AP43" s="24" t="inlineStr">
        <is>
          <t>mlb-lad</t>
        </is>
      </c>
      <c r="AQ43" s="24" t="inlineStr">
        <is>
          <t>Los Angeles Dodgers</t>
        </is>
      </c>
      <c r="AR43" s="24" t="inlineStr">
        <is>
          <t>Los Angeles Dodgers</t>
        </is>
      </c>
      <c r="AS43" s="24" t="inlineStr">
        <is>
          <t>mlb-nyy</t>
        </is>
      </c>
      <c r="AT43" s="24" t="inlineStr">
        <is>
          <t>New York Yankees</t>
        </is>
      </c>
      <c r="AU43" s="24" t="inlineStr">
        <is>
          <t>New York Yankees</t>
        </is>
      </c>
      <c r="AV43" s="24" t="n"/>
      <c r="AW43" s="24" t="n"/>
      <c r="AX43" s="24" t="inlineStr">
        <is>
          <t>statistical_model</t>
        </is>
      </c>
      <c r="AY43" s="24" t="n"/>
      <c r="AZ43" s="24" t="inlineStr">
        <is>
          <t>research</t>
        </is>
      </c>
      <c r="BA43" s="24" t="inlineStr">
        <is>
          <t>5224fb6ffbc9ddf8fa517627b830ac851192da94d241963d556945393a42bb9d</t>
        </is>
      </c>
      <c r="BB43" s="24" t="inlineStr">
        <is>
          <t>learned_lr</t>
        </is>
      </c>
      <c r="BC43" s="24" t="inlineStr">
        <is>
          <t>mlb-elo-trend-lr-v4</t>
        </is>
      </c>
      <c r="BD43" s="24" t="inlineStr">
        <is>
          <t>5224fb6ffbc9ddf8fa517627b830ac851192da94d241963d556945393a42bb9d</t>
        </is>
      </c>
      <c r="BE43" s="24" t="inlineStr">
        <is>
          <t>3d0e5a17bc5bf87f</t>
        </is>
      </c>
      <c r="BF43" s="24" t="inlineStr">
        <is>
          <t>1</t>
        </is>
      </c>
      <c r="BG43" s="24" t="inlineStr">
        <is>
          <t>mlb-elo-trend-lr-v3</t>
        </is>
      </c>
      <c r="BH43" s="24" t="inlineStr">
        <is>
          <t>2026-07-19T12:20:50.977544Z</t>
        </is>
      </c>
      <c r="BI43" s="24" t="inlineStr">
        <is>
          <t>["same_event","same_team_same_day","same_league_same_day"]</t>
        </is>
      </c>
      <c r="BJ43" s="38" t="n"/>
      <c r="BK43" s="26" t="n">
        <v>-108</v>
      </c>
      <c r="BL43" s="39" t="n">
        <v>1.925926</v>
      </c>
      <c r="BM43" s="28" t="n">
        <v>0.519231</v>
      </c>
      <c r="BN43" s="28" t="n">
        <v>0.517413</v>
      </c>
      <c r="BO43" s="28" t="n"/>
      <c r="BP43" s="38" t="n"/>
      <c r="BQ43" s="39" t="n"/>
      <c r="BR43" s="28" t="n"/>
      <c r="BS43" s="28" t="n"/>
      <c r="BT43" s="28" t="n"/>
      <c r="BU43" s="38" t="n"/>
      <c r="BV43" s="29" t="n"/>
      <c r="BW43" s="24" t="n"/>
      <c r="BX43" s="40" t="n"/>
      <c r="BY43" s="39" t="n"/>
      <c r="BZ43" s="24" t="n"/>
      <c r="CA43" s="31" t="n"/>
    </row>
    <row r="44" ht="36" customHeight="1">
      <c r="A44" s="24" t="inlineStr">
        <is>
          <t>660d896695654e99</t>
        </is>
      </c>
      <c r="B44" s="24" t="inlineStr">
        <is>
          <t>2026-07-19T12:55:04.872783Z</t>
        </is>
      </c>
      <c r="C44" s="24" t="inlineStr">
        <is>
          <t>2026-07-19T17:00Z</t>
        </is>
      </c>
      <c r="D44" s="24" t="inlineStr">
        <is>
          <t>401857080</t>
        </is>
      </c>
      <c r="E44" s="24" t="inlineStr">
        <is>
          <t>WNBA</t>
        </is>
      </c>
      <c r="F44" s="24" t="inlineStr">
        <is>
          <t>Los Angeles Sparks</t>
        </is>
      </c>
      <c r="G44" s="24" t="inlineStr">
        <is>
          <t>Dallas Wings</t>
        </is>
      </c>
      <c r="H44" s="24" t="inlineStr">
        <is>
          <t>moneyline</t>
        </is>
      </c>
      <c r="I44" s="24" t="inlineStr">
        <is>
          <t>home</t>
        </is>
      </c>
      <c r="J44" s="38" t="n"/>
      <c r="K44" s="24" t="inlineStr">
        <is>
          <t>polymarket_us</t>
        </is>
      </c>
      <c r="L44" s="26" t="n">
        <v>-400</v>
      </c>
      <c r="M44" s="39" t="n">
        <v>1.25</v>
      </c>
      <c r="N44" s="28" t="n">
        <v>0.8</v>
      </c>
      <c r="O44" s="28" t="n">
        <v>0.7509749999999999</v>
      </c>
      <c r="P44" s="28" t="n"/>
      <c r="Q44" s="28" t="n">
        <v>-0.049025</v>
      </c>
      <c r="R44" s="26" t="n">
        <v>25</v>
      </c>
      <c r="S44" s="29" t="n">
        <v>2</v>
      </c>
      <c r="T44" s="24" t="inlineStr">
        <is>
          <t>wnba-elo-trend-lr-v3</t>
        </is>
      </c>
      <c r="U44" s="24" t="inlineStr">
        <is>
          <t>settled</t>
        </is>
      </c>
      <c r="V44" s="24" t="inlineStr">
        <is>
          <t>win</t>
        </is>
      </c>
      <c r="W44" s="26" t="n">
        <v>82</v>
      </c>
      <c r="X44" s="26" t="n">
        <v>90</v>
      </c>
      <c r="Y44" s="38" t="n"/>
      <c r="Z44" s="26" t="n"/>
      <c r="AA44" s="28" t="n"/>
      <c r="AB44" s="28" t="n"/>
      <c r="AC44" s="40" t="n">
        <v>0.5</v>
      </c>
      <c r="AD44" s="24" t="inlineStr">
        <is>
          <t>2026-07-19T23:12:45.958826Z</t>
        </is>
      </c>
      <c r="AE44" s="31" t="inlineStr">
        <is>
          <t>Learned LR call at threshold 0.5000; executable ask 0.8000 (aec-wnba-la-dal-2026-07-19).</t>
        </is>
      </c>
      <c r="AF44" s="31" t="inlineStr">
        <is>
          <t>Learned model; promotion gate not yet open; zero-unit research until review.</t>
        </is>
      </c>
      <c r="AG44" s="24" t="inlineStr">
        <is>
          <t>not_applicable</t>
        </is>
      </c>
      <c r="AH44" s="24" t="n"/>
      <c r="AI44" s="31" t="n"/>
      <c r="AJ44" s="31" t="n"/>
      <c r="AK44" s="24" t="inlineStr">
        <is>
          <t>research_observation</t>
        </is>
      </c>
      <c r="AL44" s="26" t="n">
        <v>3</v>
      </c>
      <c r="AM44" s="24" t="inlineStr">
        <is>
          <t>RESEARCH_OBSERVATION</t>
        </is>
      </c>
      <c r="AN44" s="24" t="inlineStr">
        <is>
          <t>NO_CALL</t>
        </is>
      </c>
      <c r="AO44" s="24" t="inlineStr">
        <is>
          <t>NO_CALL_MODEL_UNVALIDATED</t>
        </is>
      </c>
      <c r="AP44" s="24" t="inlineStr">
        <is>
          <t>wnba-las</t>
        </is>
      </c>
      <c r="AQ44" s="24" t="inlineStr">
        <is>
          <t>Los Angeles Sparks</t>
        </is>
      </c>
      <c r="AR44" s="24" t="inlineStr">
        <is>
          <t>Los Angeles Sparks</t>
        </is>
      </c>
      <c r="AS44" s="24" t="inlineStr">
        <is>
          <t>wnba-dal</t>
        </is>
      </c>
      <c r="AT44" s="24" t="inlineStr">
        <is>
          <t>Dallas Wings</t>
        </is>
      </c>
      <c r="AU44" s="24" t="inlineStr">
        <is>
          <t>Dallas Wings</t>
        </is>
      </c>
      <c r="AV44" s="24" t="n"/>
      <c r="AW44" s="24" t="n"/>
      <c r="AX44" s="24" t="inlineStr">
        <is>
          <t>statistical_model</t>
        </is>
      </c>
      <c r="AY44" s="24" t="n"/>
      <c r="AZ44" s="24" t="inlineStr">
        <is>
          <t>research</t>
        </is>
      </c>
      <c r="BA44" s="24" t="inlineStr">
        <is>
          <t>d339198b196cb3fcd02950ed5efbdd4cefbeb95b2cd63cd756e77f99dc483719</t>
        </is>
      </c>
      <c r="BB44" s="24" t="inlineStr">
        <is>
          <t>learned_lr</t>
        </is>
      </c>
      <c r="BC44" s="24" t="inlineStr">
        <is>
          <t>wnba-elo-trend-lr-v3</t>
        </is>
      </c>
      <c r="BD44" s="24" t="inlineStr">
        <is>
          <t>d339198b196cb3fcd02950ed5efbdd4cefbeb95b2cd63cd756e77f99dc483719</t>
        </is>
      </c>
      <c r="BE44" s="24" t="inlineStr">
        <is>
          <t>1105570c96caae80</t>
        </is>
      </c>
      <c r="BF44" s="24" t="inlineStr">
        <is>
          <t>1</t>
        </is>
      </c>
      <c r="BG44" s="24" t="inlineStr">
        <is>
          <t>wnba-elo-trend-lr-v3</t>
        </is>
      </c>
      <c r="BH44" s="24" t="inlineStr">
        <is>
          <t>2026-07-19T12:20:54.245538Z</t>
        </is>
      </c>
      <c r="BI44" s="24" t="inlineStr">
        <is>
          <t>["same_event","same_team_same_day","same_league_same_day"]</t>
        </is>
      </c>
      <c r="BJ44" s="38" t="n"/>
      <c r="BK44" s="26" t="n">
        <v>-400</v>
      </c>
      <c r="BL44" s="39" t="n">
        <v>1.25</v>
      </c>
      <c r="BM44" s="28" t="n">
        <v>0.8</v>
      </c>
      <c r="BN44" s="28" t="n">
        <v>0.792079</v>
      </c>
      <c r="BO44" s="28" t="n"/>
      <c r="BP44" s="38" t="n"/>
      <c r="BQ44" s="39" t="n"/>
      <c r="BR44" s="28" t="n"/>
      <c r="BS44" s="28" t="n"/>
      <c r="BT44" s="28" t="n"/>
      <c r="BU44" s="38" t="n"/>
      <c r="BV44" s="29" t="n"/>
      <c r="BW44" s="24" t="n"/>
      <c r="BX44" s="40" t="n"/>
      <c r="BY44" s="39" t="n"/>
      <c r="BZ44" s="24" t="n"/>
      <c r="CA44" s="31" t="n"/>
    </row>
    <row r="45" ht="36" customHeight="1">
      <c r="A45" s="24" t="inlineStr">
        <is>
          <t>9f52810e7f374e1c</t>
        </is>
      </c>
      <c r="B45" s="24" t="inlineStr">
        <is>
          <t>2026-07-19T12:55:04.872783Z</t>
        </is>
      </c>
      <c r="C45" s="24" t="inlineStr">
        <is>
          <t>2026-07-19T20:00Z</t>
        </is>
      </c>
      <c r="D45" s="24" t="inlineStr">
        <is>
          <t>401857081</t>
        </is>
      </c>
      <c r="E45" s="24" t="inlineStr">
        <is>
          <t>WNBA</t>
        </is>
      </c>
      <c r="F45" s="24" t="inlineStr">
        <is>
          <t>Chicago Sky</t>
        </is>
      </c>
      <c r="G45" s="24" t="inlineStr">
        <is>
          <t>Atlanta Dream</t>
        </is>
      </c>
      <c r="H45" s="24" t="inlineStr">
        <is>
          <t>moneyline</t>
        </is>
      </c>
      <c r="I45" s="24" t="inlineStr">
        <is>
          <t>home</t>
        </is>
      </c>
      <c r="J45" s="38" t="n"/>
      <c r="K45" s="24" t="inlineStr">
        <is>
          <t>polymarket_us</t>
        </is>
      </c>
      <c r="L45" s="26" t="n">
        <v>-426</v>
      </c>
      <c r="M45" s="39" t="n">
        <v>1.234742</v>
      </c>
      <c r="N45" s="28" t="n">
        <v>0.809886</v>
      </c>
      <c r="O45" s="28" t="n">
        <v>0.675714</v>
      </c>
      <c r="P45" s="28" t="n"/>
      <c r="Q45" s="28" t="n">
        <v>-0.134172</v>
      </c>
      <c r="R45" s="26" t="n">
        <v>0</v>
      </c>
      <c r="S45" s="29" t="n">
        <v>2</v>
      </c>
      <c r="T45" s="24" t="inlineStr">
        <is>
          <t>wnba-elo-trend-lr-v3</t>
        </is>
      </c>
      <c r="U45" s="24" t="inlineStr">
        <is>
          <t>settled</t>
        </is>
      </c>
      <c r="V45" s="24" t="inlineStr">
        <is>
          <t>win</t>
        </is>
      </c>
      <c r="W45" s="26" t="n">
        <v>91</v>
      </c>
      <c r="X45" s="26" t="n">
        <v>93</v>
      </c>
      <c r="Y45" s="38" t="n"/>
      <c r="Z45" s="26" t="n"/>
      <c r="AA45" s="28" t="n"/>
      <c r="AB45" s="28" t="n"/>
      <c r="AC45" s="40" t="n">
        <v>0.4695</v>
      </c>
      <c r="AD45" s="24" t="inlineStr">
        <is>
          <t>2026-07-19T23:12:46.205387Z</t>
        </is>
      </c>
      <c r="AE45" s="31" t="inlineStr">
        <is>
          <t>Learned LR call at threshold 0.5000; executable ask 0.8100 (aec-wnba-chi-atl-2026-07-19).</t>
        </is>
      </c>
      <c r="AF45" s="31" t="inlineStr">
        <is>
          <t>Learned model; promotion gate not yet open; zero-unit research until review.</t>
        </is>
      </c>
      <c r="AG45" s="24" t="inlineStr">
        <is>
          <t>not_applicable</t>
        </is>
      </c>
      <c r="AH45" s="24" t="n"/>
      <c r="AI45" s="31" t="n"/>
      <c r="AJ45" s="31" t="n"/>
      <c r="AK45" s="24" t="inlineStr">
        <is>
          <t>research_observation</t>
        </is>
      </c>
      <c r="AL45" s="26" t="n">
        <v>3</v>
      </c>
      <c r="AM45" s="24" t="inlineStr">
        <is>
          <t>RESEARCH_OBSERVATION</t>
        </is>
      </c>
      <c r="AN45" s="24" t="inlineStr">
        <is>
          <t>NO_CALL</t>
        </is>
      </c>
      <c r="AO45" s="24" t="inlineStr">
        <is>
          <t>NO_CALL_MODEL_UNVALIDATED</t>
        </is>
      </c>
      <c r="AP45" s="24" t="inlineStr">
        <is>
          <t>wnba-chi</t>
        </is>
      </c>
      <c r="AQ45" s="24" t="inlineStr">
        <is>
          <t>Chicago Sky</t>
        </is>
      </c>
      <c r="AR45" s="24" t="inlineStr">
        <is>
          <t>Chicago Sky</t>
        </is>
      </c>
      <c r="AS45" s="24" t="inlineStr">
        <is>
          <t>wnba-atl</t>
        </is>
      </c>
      <c r="AT45" s="24" t="inlineStr">
        <is>
          <t>Atlanta Dream</t>
        </is>
      </c>
      <c r="AU45" s="24" t="inlineStr">
        <is>
          <t>Atlanta Dream</t>
        </is>
      </c>
      <c r="AV45" s="24" t="n"/>
      <c r="AW45" s="24" t="n"/>
      <c r="AX45" s="24" t="inlineStr">
        <is>
          <t>statistical_model</t>
        </is>
      </c>
      <c r="AY45" s="24" t="n"/>
      <c r="AZ45" s="24" t="inlineStr">
        <is>
          <t>research</t>
        </is>
      </c>
      <c r="BA45" s="24" t="inlineStr">
        <is>
          <t>d339198b196cb3fcd02950ed5efbdd4cefbeb95b2cd63cd756e77f99dc483719</t>
        </is>
      </c>
      <c r="BB45" s="24" t="inlineStr">
        <is>
          <t>learned_lr</t>
        </is>
      </c>
      <c r="BC45" s="24" t="inlineStr">
        <is>
          <t>wnba-elo-trend-lr-v3</t>
        </is>
      </c>
      <c r="BD45" s="24" t="inlineStr">
        <is>
          <t>d339198b196cb3fcd02950ed5efbdd4cefbeb95b2cd63cd756e77f99dc483719</t>
        </is>
      </c>
      <c r="BE45" s="24" t="inlineStr">
        <is>
          <t>6a68fc6e2a5a0b4a</t>
        </is>
      </c>
      <c r="BF45" s="24" t="inlineStr">
        <is>
          <t>1</t>
        </is>
      </c>
      <c r="BG45" s="24" t="inlineStr">
        <is>
          <t>wnba-elo-trend-lr-v3</t>
        </is>
      </c>
      <c r="BH45" s="24" t="inlineStr">
        <is>
          <t>2026-07-19T12:20:55.900740Z</t>
        </is>
      </c>
      <c r="BI45" s="24" t="inlineStr">
        <is>
          <t>["same_event","same_team_same_day","same_league_same_day"]</t>
        </is>
      </c>
      <c r="BJ45" s="38" t="n"/>
      <c r="BK45" s="26" t="n">
        <v>-426</v>
      </c>
      <c r="BL45" s="39" t="n">
        <v>1.234742</v>
      </c>
      <c r="BM45" s="28" t="n">
        <v>0.809886</v>
      </c>
      <c r="BN45" s="28" t="n">
        <v>0.80198</v>
      </c>
      <c r="BO45" s="28" t="n"/>
      <c r="BP45" s="38" t="n"/>
      <c r="BQ45" s="39" t="n"/>
      <c r="BR45" s="28" t="n"/>
      <c r="BS45" s="28" t="n"/>
      <c r="BT45" s="28" t="n"/>
      <c r="BU45" s="38" t="n"/>
      <c r="BV45" s="29" t="n"/>
      <c r="BW45" s="24" t="n"/>
      <c r="BX45" s="40" t="n"/>
      <c r="BY45" s="39" t="n"/>
      <c r="BZ45" s="24" t="n"/>
      <c r="CA45" s="31" t="n"/>
    </row>
    <row r="46" ht="36" customHeight="1">
      <c r="A46" s="24" t="inlineStr">
        <is>
          <t>44eda71121684cc1</t>
        </is>
      </c>
      <c r="B46" s="24" t="inlineStr">
        <is>
          <t>2026-07-19T12:55:04.872783Z</t>
        </is>
      </c>
      <c r="C46" s="24" t="inlineStr">
        <is>
          <t>2026-07-19T23:00Z</t>
        </is>
      </c>
      <c r="D46" s="24" t="inlineStr">
        <is>
          <t>401857082</t>
        </is>
      </c>
      <c r="E46" s="24" t="inlineStr">
        <is>
          <t>WNBA</t>
        </is>
      </c>
      <c r="F46" s="24" t="inlineStr">
        <is>
          <t>Connecticut Sun</t>
        </is>
      </c>
      <c r="G46" s="24" t="inlineStr">
        <is>
          <t>Phoenix Mercury</t>
        </is>
      </c>
      <c r="H46" s="24" t="inlineStr">
        <is>
          <t>moneyline</t>
        </is>
      </c>
      <c r="I46" s="24" t="inlineStr">
        <is>
          <t>home</t>
        </is>
      </c>
      <c r="J46" s="38" t="n"/>
      <c r="K46" s="24" t="inlineStr">
        <is>
          <t>polymarket_us</t>
        </is>
      </c>
      <c r="L46" s="26" t="n">
        <v>-156</v>
      </c>
      <c r="M46" s="39" t="n">
        <v>1.641026</v>
      </c>
      <c r="N46" s="28" t="n">
        <v>0.609375</v>
      </c>
      <c r="O46" s="28" t="n">
        <v>0.565769</v>
      </c>
      <c r="P46" s="28" t="n"/>
      <c r="Q46" s="28" t="n">
        <v>-0.043606</v>
      </c>
      <c r="R46" s="26" t="n">
        <v>28</v>
      </c>
      <c r="S46" s="29" t="n">
        <v>1.25</v>
      </c>
      <c r="T46" s="24" t="inlineStr">
        <is>
          <t>wnba-elo-trend-lr-v3</t>
        </is>
      </c>
      <c r="U46" s="24" t="inlineStr">
        <is>
          <t>settled</t>
        </is>
      </c>
      <c r="V46" s="24" t="inlineStr">
        <is>
          <t>win</t>
        </is>
      </c>
      <c r="W46" s="26" t="n">
        <v>63</v>
      </c>
      <c r="X46" s="26" t="n">
        <v>72</v>
      </c>
      <c r="Y46" s="38" t="n"/>
      <c r="Z46" s="26" t="n"/>
      <c r="AA46" s="28" t="n"/>
      <c r="AB46" s="28" t="n"/>
      <c r="AC46" s="40" t="n">
        <v>0.8013</v>
      </c>
      <c r="AD46" s="24" t="inlineStr">
        <is>
          <t>2026-07-20T07:27:22.185310Z</t>
        </is>
      </c>
      <c r="AE46" s="31" t="inlineStr">
        <is>
          <t>Learned LR call at threshold 0.5000; executable ask 0.6100 (aec-wnba-conn-phx-2026-07-19).</t>
        </is>
      </c>
      <c r="AF46" s="31" t="inlineStr">
        <is>
          <t>Learned model; promotion gate not yet open; zero-unit research until review.</t>
        </is>
      </c>
      <c r="AG46" s="24" t="inlineStr">
        <is>
          <t>not_applicable</t>
        </is>
      </c>
      <c r="AH46" s="24" t="n"/>
      <c r="AI46" s="31" t="n"/>
      <c r="AJ46" s="31" t="n"/>
      <c r="AK46" s="24" t="inlineStr">
        <is>
          <t>research_observation</t>
        </is>
      </c>
      <c r="AL46" s="26" t="n">
        <v>3</v>
      </c>
      <c r="AM46" s="24" t="inlineStr">
        <is>
          <t>RESEARCH_OBSERVATION</t>
        </is>
      </c>
      <c r="AN46" s="24" t="inlineStr">
        <is>
          <t>NO_CALL</t>
        </is>
      </c>
      <c r="AO46" s="24" t="inlineStr">
        <is>
          <t>NO_CALL_MODEL_UNVALIDATED</t>
        </is>
      </c>
      <c r="AP46" s="24" t="inlineStr">
        <is>
          <t>wnba-con</t>
        </is>
      </c>
      <c r="AQ46" s="24" t="inlineStr">
        <is>
          <t>Connecticut Sun</t>
        </is>
      </c>
      <c r="AR46" s="24" t="inlineStr">
        <is>
          <t>Connecticut Sun</t>
        </is>
      </c>
      <c r="AS46" s="24" t="inlineStr">
        <is>
          <t>wnba-phx</t>
        </is>
      </c>
      <c r="AT46" s="24" t="inlineStr">
        <is>
          <t>Phoenix Mercury</t>
        </is>
      </c>
      <c r="AU46" s="24" t="inlineStr">
        <is>
          <t>Phoenix Mercury</t>
        </is>
      </c>
      <c r="AV46" s="24" t="n"/>
      <c r="AW46" s="24" t="n"/>
      <c r="AX46" s="24" t="inlineStr">
        <is>
          <t>statistical_model</t>
        </is>
      </c>
      <c r="AY46" s="24" t="n"/>
      <c r="AZ46" s="24" t="inlineStr">
        <is>
          <t>research</t>
        </is>
      </c>
      <c r="BA46" s="24" t="inlineStr">
        <is>
          <t>d339198b196cb3fcd02950ed5efbdd4cefbeb95b2cd63cd756e77f99dc483719</t>
        </is>
      </c>
      <c r="BB46" s="24" t="inlineStr">
        <is>
          <t>learned_lr</t>
        </is>
      </c>
      <c r="BC46" s="24" t="inlineStr">
        <is>
          <t>wnba-elo-trend-lr-v3</t>
        </is>
      </c>
      <c r="BD46" s="24" t="inlineStr">
        <is>
          <t>d339198b196cb3fcd02950ed5efbdd4cefbeb95b2cd63cd756e77f99dc483719</t>
        </is>
      </c>
      <c r="BE46" s="24" t="inlineStr">
        <is>
          <t>25b3f96c5c4591d1</t>
        </is>
      </c>
      <c r="BF46" s="24" t="inlineStr">
        <is>
          <t>1</t>
        </is>
      </c>
      <c r="BG46" s="24" t="inlineStr">
        <is>
          <t>wnba-elo-trend-lr-v3</t>
        </is>
      </c>
      <c r="BH46" s="24" t="inlineStr">
        <is>
          <t>2026-07-19T12:20:56.954791Z</t>
        </is>
      </c>
      <c r="BI46" s="24" t="inlineStr">
        <is>
          <t>["same_event","same_team_same_day","same_league_same_day"]</t>
        </is>
      </c>
      <c r="BJ46" s="38" t="n"/>
      <c r="BK46" s="26" t="n">
        <v>-156</v>
      </c>
      <c r="BL46" s="39" t="n">
        <v>1.641026</v>
      </c>
      <c r="BM46" s="28" t="n">
        <v>0.609375</v>
      </c>
      <c r="BN46" s="28" t="n">
        <v>0.6039600000000001</v>
      </c>
      <c r="BO46" s="28" t="n"/>
      <c r="BP46" s="38" t="n"/>
      <c r="BQ46" s="39" t="n"/>
      <c r="BR46" s="28" t="n"/>
      <c r="BS46" s="28" t="n"/>
      <c r="BT46" s="28" t="n"/>
      <c r="BU46" s="38" t="n"/>
      <c r="BV46" s="29" t="n"/>
      <c r="BW46" s="24" t="n"/>
      <c r="BX46" s="40" t="n"/>
      <c r="BY46" s="39" t="n"/>
      <c r="BZ46" s="24" t="n"/>
      <c r="CA46" s="31" t="n"/>
    </row>
    <row r="47" ht="18" customHeight="1">
      <c r="A47" s="24" t="inlineStr">
        <is>
          <t>607e61329ed3424c</t>
        </is>
      </c>
      <c r="B47" s="24" t="inlineStr">
        <is>
          <t>2026-07-17T14:02:17Z</t>
        </is>
      </c>
      <c r="C47" s="24" t="inlineStr">
        <is>
          <t>2026-07-18T19:30:00-0400</t>
        </is>
      </c>
      <c r="D47" s="24" t="inlineStr">
        <is>
          <t>401857073</t>
        </is>
      </c>
      <c r="E47" s="24" t="inlineStr">
        <is>
          <t>WNBA</t>
        </is>
      </c>
      <c r="F47" s="24" t="inlineStr">
        <is>
          <t>Seattle Storm</t>
        </is>
      </c>
      <c r="G47" s="24" t="inlineStr">
        <is>
          <t>Indiana Fever</t>
        </is>
      </c>
      <c r="H47" s="24" t="inlineStr">
        <is>
          <t>moneyline</t>
        </is>
      </c>
      <c r="I47" s="24" t="inlineStr">
        <is>
          <t>home</t>
        </is>
      </c>
      <c r="J47" s="38" t="n"/>
      <c r="K47" s="24" t="inlineStr">
        <is>
          <t>polymarket_us</t>
        </is>
      </c>
      <c r="L47" s="26" t="n">
        <v>-354</v>
      </c>
      <c r="M47" s="39" t="n">
        <v>1.282486</v>
      </c>
      <c r="N47" s="28" t="n">
        <v>0.779736</v>
      </c>
      <c r="O47" s="28" t="n">
        <v>0.6207</v>
      </c>
      <c r="P47" s="28" t="n"/>
      <c r="Q47" s="28" t="n">
        <v>-0.159036</v>
      </c>
      <c r="R47" s="26" t="n"/>
      <c r="S47" s="29" t="n">
        <v>1.75</v>
      </c>
      <c r="T47" s="24" t="inlineStr">
        <is>
          <t>wnba-elo-trend-lr-v3</t>
        </is>
      </c>
      <c r="U47" s="24" t="inlineStr">
        <is>
          <t>settled</t>
        </is>
      </c>
      <c r="V47" s="24" t="inlineStr">
        <is>
          <t>win</t>
        </is>
      </c>
      <c r="W47" s="26" t="n">
        <v>107</v>
      </c>
      <c r="X47" s="26" t="n">
        <v>110</v>
      </c>
      <c r="Y47" s="38" t="n"/>
      <c r="Z47" s="26" t="n"/>
      <c r="AA47" s="28" t="n"/>
      <c r="AB47" s="28" t="n"/>
      <c r="AC47" s="40" t="n">
        <v>0.4944</v>
      </c>
      <c r="AD47" s="24" t="inlineStr">
        <is>
          <t>2026-07-18T14:36:00Z</t>
        </is>
      </c>
      <c r="AE47" s="31" t="n"/>
      <c r="AF47" s="31" t="n"/>
      <c r="AG47" s="24" t="n"/>
      <c r="AH47" s="24" t="n"/>
      <c r="AI47" s="31" t="n"/>
      <c r="AJ47" s="31" t="n"/>
      <c r="AK47" s="24" t="inlineStr">
        <is>
          <t>QUALIFIED_SHADOW_CALL</t>
        </is>
      </c>
      <c r="AL47" s="26" t="n">
        <v>1</v>
      </c>
      <c r="AM47" s="24" t="inlineStr">
        <is>
          <t>QUALIFIED_SHADOW_CALL</t>
        </is>
      </c>
      <c r="AN47" s="24" t="inlineStr">
        <is>
          <t>CALL</t>
        </is>
      </c>
      <c r="AO47" s="24" t="inlineStr">
        <is>
          <t>CALL_LEARNED_CONFIDENCE</t>
        </is>
      </c>
      <c r="AP47" s="24" t="n"/>
      <c r="AQ47" s="24" t="n"/>
      <c r="AR47" s="24" t="n"/>
      <c r="AS47" s="24" t="n"/>
      <c r="AT47" s="24" t="n"/>
      <c r="AU47" s="24" t="n"/>
      <c r="AV47" s="24" t="n"/>
      <c r="AW47" s="24" t="n"/>
      <c r="AX47" s="24" t="inlineStr">
        <is>
          <t>learned</t>
        </is>
      </c>
      <c r="AY47" s="24" t="n"/>
      <c r="AZ47" s="24" t="n"/>
      <c r="BA47" s="24" t="n"/>
      <c r="BB47" s="24" t="n"/>
      <c r="BC47" s="24" t="n"/>
      <c r="BD47" s="24" t="n"/>
      <c r="BE47" s="24" t="n"/>
      <c r="BF47" s="24" t="n"/>
      <c r="BG47" s="24" t="n"/>
      <c r="BH47" s="24" t="n"/>
      <c r="BI47" s="24" t="n"/>
      <c r="BJ47" s="38" t="n"/>
      <c r="BK47" s="26" t="n">
        <v>-354</v>
      </c>
      <c r="BL47" s="39" t="n">
        <v>1.282486</v>
      </c>
      <c r="BM47" s="28" t="n">
        <v>0.779736</v>
      </c>
      <c r="BN47" s="28" t="n">
        <v>0.779736</v>
      </c>
      <c r="BO47" s="28" t="n"/>
      <c r="BP47" s="38" t="n"/>
      <c r="BQ47" s="39" t="n"/>
      <c r="BR47" s="28" t="n"/>
      <c r="BS47" s="28" t="n"/>
      <c r="BT47" s="28" t="n"/>
      <c r="BU47" s="38" t="n"/>
      <c r="BV47" s="29" t="n"/>
      <c r="BW47" s="24" t="n"/>
      <c r="BX47" s="40" t="n"/>
      <c r="BY47" s="39" t="n"/>
      <c r="BZ47" s="24" t="n"/>
      <c r="CA47" s="31" t="n"/>
    </row>
    <row r="48" ht="36" customHeight="1">
      <c r="A48" s="24" t="inlineStr">
        <is>
          <t>ba6d8918b5e04b6c</t>
        </is>
      </c>
      <c r="B48" s="24" t="inlineStr">
        <is>
          <t>2026-07-19T10:49:38.448695+00:00</t>
        </is>
      </c>
      <c r="C48" s="24" t="inlineStr">
        <is>
          <t>2026-07-17T14:00:00-0400</t>
        </is>
      </c>
      <c r="D48" s="24" t="inlineStr">
        <is>
          <t>Texa-Atla-2026-07-17</t>
        </is>
      </c>
      <c r="E48" s="24" t="inlineStr">
        <is>
          <t>MLB</t>
        </is>
      </c>
      <c r="F48" s="24" t="inlineStr">
        <is>
          <t>Texas Rangers</t>
        </is>
      </c>
      <c r="G48" s="24" t="inlineStr">
        <is>
          <t>Atlanta Braves</t>
        </is>
      </c>
      <c r="H48" s="24" t="inlineStr">
        <is>
          <t>moneyline</t>
        </is>
      </c>
      <c r="I48" s="24" t="inlineStr">
        <is>
          <t>home</t>
        </is>
      </c>
      <c r="J48" s="38" t="n"/>
      <c r="K48" s="24" t="inlineStr">
        <is>
          <t>polymarket</t>
        </is>
      </c>
      <c r="L48" s="26" t="n">
        <v>-194</v>
      </c>
      <c r="M48" s="39" t="n">
        <v>1.515464</v>
      </c>
      <c r="N48" s="28" t="n">
        <v>0.659864</v>
      </c>
      <c r="O48" s="28" t="n">
        <v>0.577396</v>
      </c>
      <c r="P48" s="28" t="n">
        <v>0.05</v>
      </c>
      <c r="Q48" s="28" t="n">
        <v>-0.082468</v>
      </c>
      <c r="R48" s="26" t="n">
        <v>17</v>
      </c>
      <c r="S48" s="29" t="n">
        <v>1.25</v>
      </c>
      <c r="T48" s="24" t="inlineStr">
        <is>
          <t>mlb-elo-trend-lr-v4</t>
        </is>
      </c>
      <c r="U48" s="24" t="inlineStr">
        <is>
          <t>settled</t>
        </is>
      </c>
      <c r="V48" s="24" t="inlineStr">
        <is>
          <t>win</t>
        </is>
      </c>
      <c r="W48" s="26" t="n">
        <v>1</v>
      </c>
      <c r="X48" s="26" t="n">
        <v>15</v>
      </c>
      <c r="Y48" s="38" t="n"/>
      <c r="Z48" s="26" t="n"/>
      <c r="AA48" s="28" t="n"/>
      <c r="AB48" s="28" t="n"/>
      <c r="AC48" s="40" t="n">
        <v>0.6443</v>
      </c>
      <c r="AD48" s="24" t="inlineStr">
        <is>
          <t>2026-07-19T12:18:56.424168+00:00</t>
        </is>
      </c>
      <c r="AE48" s="31" t="inlineStr">
        <is>
          <t>backtest</t>
        </is>
      </c>
      <c r="AF48" s="31" t="n"/>
      <c r="AG48" s="24" t="n"/>
      <c r="AH48" s="24" t="n"/>
      <c r="AI48" s="31" t="n"/>
      <c r="AJ48" s="31" t="n"/>
      <c r="AK48" s="24" t="n"/>
      <c r="AL48" s="26" t="n"/>
      <c r="AM48" s="24" t="n"/>
      <c r="AN48" s="24" t="n"/>
      <c r="AO48" s="24" t="n"/>
      <c r="AP48" s="24" t="n"/>
      <c r="AQ48" s="24" t="n"/>
      <c r="AR48" s="24" t="n"/>
      <c r="AS48" s="24" t="n"/>
      <c r="AT48" s="24" t="n"/>
      <c r="AU48" s="24" t="n"/>
      <c r="AV48" s="24" t="n"/>
      <c r="AW48" s="24" t="n"/>
      <c r="AX48" s="24" t="n"/>
      <c r="AY48" s="24" t="n"/>
      <c r="AZ48" s="24" t="n"/>
      <c r="BA48" s="24" t="inlineStr">
        <is>
          <t>5224fb6ffbc9ddf8fa517627b830ac851192da94d241963d556945393a42bb9d</t>
        </is>
      </c>
      <c r="BB48" s="24" t="n"/>
      <c r="BC48" s="24" t="inlineStr">
        <is>
          <t>mlb-elo-trend-lr-v4</t>
        </is>
      </c>
      <c r="BD48" s="24" t="inlineStr">
        <is>
          <t>5224fb6ffbc9ddf8fa517627b830ac851192da94d241963d556945393a42bb9d</t>
        </is>
      </c>
      <c r="BE48" s="24" t="n"/>
      <c r="BF48" s="24" t="n"/>
      <c r="BG48" s="24" t="n"/>
      <c r="BH48" s="24" t="inlineStr">
        <is>
          <t>2026-07-17T16:26:07.030893Z</t>
        </is>
      </c>
      <c r="BI48" s="24" t="n"/>
      <c r="BJ48" s="38" t="n"/>
      <c r="BK48" s="26" t="n">
        <v>-194</v>
      </c>
      <c r="BL48" s="39" t="n">
        <v>1.515464</v>
      </c>
      <c r="BM48" s="28" t="n">
        <v>0.659864</v>
      </c>
      <c r="BN48" s="28" t="n">
        <v>0.656716</v>
      </c>
      <c r="BO48" s="28" t="n"/>
      <c r="BP48" s="38" t="n"/>
      <c r="BQ48" s="39" t="n"/>
      <c r="BR48" s="28" t="n"/>
      <c r="BS48" s="28" t="n"/>
      <c r="BT48" s="28" t="n"/>
      <c r="BU48" s="38" t="n"/>
      <c r="BV48" s="29" t="n"/>
      <c r="BW48" s="24" t="n"/>
      <c r="BX48" s="40" t="n"/>
      <c r="BY48" s="39" t="n"/>
      <c r="BZ48" s="24" t="n"/>
      <c r="CA48" s="31" t="n"/>
    </row>
    <row r="49" ht="36" customHeight="1">
      <c r="A49" s="24" t="inlineStr">
        <is>
          <t>713f57aaeede4418</t>
        </is>
      </c>
      <c r="B49" s="24" t="inlineStr">
        <is>
          <t>2026-07-19T10:49:38.448695+00:00</t>
        </is>
      </c>
      <c r="C49" s="24" t="inlineStr">
        <is>
          <t>2026-07-17T14:00:00-0400</t>
        </is>
      </c>
      <c r="D49" s="24" t="inlineStr">
        <is>
          <t>Chic-Toro-2026-07-17</t>
        </is>
      </c>
      <c r="E49" s="24" t="inlineStr">
        <is>
          <t>MLB</t>
        </is>
      </c>
      <c r="F49" s="24" t="inlineStr">
        <is>
          <t>Chicago White Sox</t>
        </is>
      </c>
      <c r="G49" s="24" t="inlineStr">
        <is>
          <t>Toronto Blue Jays</t>
        </is>
      </c>
      <c r="H49" s="24" t="inlineStr">
        <is>
          <t>moneyline</t>
        </is>
      </c>
      <c r="I49" s="24" t="inlineStr">
        <is>
          <t>home</t>
        </is>
      </c>
      <c r="J49" s="38" t="n"/>
      <c r="K49" s="24" t="inlineStr">
        <is>
          <t>polymarket</t>
        </is>
      </c>
      <c r="L49" s="26" t="n">
        <v>-122</v>
      </c>
      <c r="M49" s="39" t="n">
        <v>1.819672</v>
      </c>
      <c r="N49" s="28" t="n">
        <v>0.54955</v>
      </c>
      <c r="O49" s="28" t="n">
        <v>0.551581</v>
      </c>
      <c r="P49" s="28" t="n">
        <v>0.05</v>
      </c>
      <c r="Q49" s="28" t="n">
        <v>0.002031</v>
      </c>
      <c r="R49" s="26" t="n">
        <v>2</v>
      </c>
      <c r="S49" s="29" t="n">
        <v>1</v>
      </c>
      <c r="T49" s="24" t="inlineStr">
        <is>
          <t>mlb-elo-trend-lr-v4</t>
        </is>
      </c>
      <c r="U49" s="24" t="inlineStr">
        <is>
          <t>settled</t>
        </is>
      </c>
      <c r="V49" s="24" t="inlineStr">
        <is>
          <t>loss</t>
        </is>
      </c>
      <c r="W49" s="26" t="n">
        <v>12</v>
      </c>
      <c r="X49" s="26" t="n">
        <v>4</v>
      </c>
      <c r="Y49" s="38" t="n"/>
      <c r="Z49" s="26" t="n"/>
      <c r="AA49" s="28" t="n"/>
      <c r="AB49" s="28" t="n"/>
      <c r="AC49" s="40" t="n">
        <v>-1</v>
      </c>
      <c r="AD49" s="24" t="inlineStr">
        <is>
          <t>2026-07-19T12:18:56.424376+00:00</t>
        </is>
      </c>
      <c r="AE49" s="31" t="inlineStr">
        <is>
          <t>backtest</t>
        </is>
      </c>
      <c r="AF49" s="31" t="n"/>
      <c r="AG49" s="24" t="n"/>
      <c r="AH49" s="24" t="n"/>
      <c r="AI49" s="31" t="n"/>
      <c r="AJ49" s="31" t="n"/>
      <c r="AK49" s="24" t="n"/>
      <c r="AL49" s="26" t="n"/>
      <c r="AM49" s="24" t="n"/>
      <c r="AN49" s="24" t="n"/>
      <c r="AO49" s="24" t="n"/>
      <c r="AP49" s="24" t="n"/>
      <c r="AQ49" s="24" t="n"/>
      <c r="AR49" s="24" t="n"/>
      <c r="AS49" s="24" t="n"/>
      <c r="AT49" s="24" t="n"/>
      <c r="AU49" s="24" t="n"/>
      <c r="AV49" s="24" t="n"/>
      <c r="AW49" s="24" t="n"/>
      <c r="AX49" s="24" t="n"/>
      <c r="AY49" s="24" t="n"/>
      <c r="AZ49" s="24" t="n"/>
      <c r="BA49" s="24" t="inlineStr">
        <is>
          <t>5224fb6ffbc9ddf8fa517627b830ac851192da94d241963d556945393a42bb9d</t>
        </is>
      </c>
      <c r="BB49" s="24" t="n"/>
      <c r="BC49" s="24" t="inlineStr">
        <is>
          <t>mlb-elo-trend-lr-v4</t>
        </is>
      </c>
      <c r="BD49" s="24" t="inlineStr">
        <is>
          <t>5224fb6ffbc9ddf8fa517627b830ac851192da94d241963d556945393a42bb9d</t>
        </is>
      </c>
      <c r="BE49" s="24" t="n"/>
      <c r="BF49" s="24" t="n"/>
      <c r="BG49" s="24" t="n"/>
      <c r="BH49" s="24" t="inlineStr">
        <is>
          <t>2026-07-17T16:26:05.906965Z</t>
        </is>
      </c>
      <c r="BI49" s="24" t="n"/>
      <c r="BJ49" s="38" t="n"/>
      <c r="BK49" s="26" t="n">
        <v>-122</v>
      </c>
      <c r="BL49" s="39" t="n">
        <v>1.819672</v>
      </c>
      <c r="BM49" s="28" t="n">
        <v>0.54955</v>
      </c>
      <c r="BN49" s="28" t="n">
        <v>0.547264</v>
      </c>
      <c r="BO49" s="28" t="n"/>
      <c r="BP49" s="38" t="n"/>
      <c r="BQ49" s="39" t="n"/>
      <c r="BR49" s="28" t="n"/>
      <c r="BS49" s="28" t="n"/>
      <c r="BT49" s="28" t="n"/>
      <c r="BU49" s="38" t="n"/>
      <c r="BV49" s="29" t="n"/>
      <c r="BW49" s="24" t="n"/>
      <c r="BX49" s="40" t="n"/>
      <c r="BY49" s="39" t="n"/>
      <c r="BZ49" s="24" t="n"/>
      <c r="CA49" s="31" t="n"/>
    </row>
    <row r="50" ht="36" customHeight="1">
      <c r="A50" s="24" t="inlineStr">
        <is>
          <t>4224d3689d5b44ed</t>
        </is>
      </c>
      <c r="B50" s="24" t="inlineStr">
        <is>
          <t>2026-07-19T10:49:38.448695+00:00</t>
        </is>
      </c>
      <c r="C50" s="24" t="inlineStr">
        <is>
          <t>2026-07-17T14:00:00-0400</t>
        </is>
      </c>
      <c r="D50" s="24" t="inlineStr">
        <is>
          <t>SanD-Kans-2026-07-17</t>
        </is>
      </c>
      <c r="E50" s="24" t="inlineStr">
        <is>
          <t>MLB</t>
        </is>
      </c>
      <c r="F50" s="24" t="inlineStr">
        <is>
          <t>San Diego Padres</t>
        </is>
      </c>
      <c r="G50" s="24" t="inlineStr">
        <is>
          <t>Kansas City Royals</t>
        </is>
      </c>
      <c r="H50" s="24" t="inlineStr">
        <is>
          <t>moneyline</t>
        </is>
      </c>
      <c r="I50" s="24" t="inlineStr">
        <is>
          <t>away</t>
        </is>
      </c>
      <c r="J50" s="38" t="n"/>
      <c r="K50" s="24" t="inlineStr">
        <is>
          <t>polymarket</t>
        </is>
      </c>
      <c r="L50" s="26" t="n">
        <v>-113</v>
      </c>
      <c r="M50" s="39" t="n">
        <v>1.884956</v>
      </c>
      <c r="N50" s="28" t="n">
        <v>0.530516</v>
      </c>
      <c r="O50" s="28" t="n">
        <v>0.521172</v>
      </c>
      <c r="P50" s="28" t="n">
        <v>0.05</v>
      </c>
      <c r="Q50" s="28" t="n">
        <v>-0.009344</v>
      </c>
      <c r="R50" s="26" t="n">
        <v>90</v>
      </c>
      <c r="S50" s="29" t="n">
        <v>0.75</v>
      </c>
      <c r="T50" s="24" t="inlineStr">
        <is>
          <t>mlb-elo-trend-lr-v4</t>
        </is>
      </c>
      <c r="U50" s="24" t="inlineStr">
        <is>
          <t>settled</t>
        </is>
      </c>
      <c r="V50" s="24" t="inlineStr">
        <is>
          <t>loss</t>
        </is>
      </c>
      <c r="W50" s="26" t="n">
        <v>6</v>
      </c>
      <c r="X50" s="26" t="n">
        <v>7</v>
      </c>
      <c r="Y50" s="38" t="n"/>
      <c r="Z50" s="26" t="n"/>
      <c r="AA50" s="28" t="n"/>
      <c r="AB50" s="28" t="n"/>
      <c r="AC50" s="40" t="n">
        <v>-0.75</v>
      </c>
      <c r="AD50" s="24" t="inlineStr">
        <is>
          <t>2026-07-19T12:18:56.424980+00:00</t>
        </is>
      </c>
      <c r="AE50" s="31" t="inlineStr">
        <is>
          <t>backtest</t>
        </is>
      </c>
      <c r="AF50" s="31" t="n"/>
      <c r="AG50" s="24" t="n"/>
      <c r="AH50" s="24" t="n"/>
      <c r="AI50" s="31" t="n"/>
      <c r="AJ50" s="31" t="n"/>
      <c r="AK50" s="24" t="n"/>
      <c r="AL50" s="26" t="n"/>
      <c r="AM50" s="24" t="n"/>
      <c r="AN50" s="24" t="n"/>
      <c r="AO50" s="24" t="n"/>
      <c r="AP50" s="24" t="n"/>
      <c r="AQ50" s="24" t="n"/>
      <c r="AR50" s="24" t="n"/>
      <c r="AS50" s="24" t="n"/>
      <c r="AT50" s="24" t="n"/>
      <c r="AU50" s="24" t="n"/>
      <c r="AV50" s="24" t="n"/>
      <c r="AW50" s="24" t="n"/>
      <c r="AX50" s="24" t="n"/>
      <c r="AY50" s="24" t="n"/>
      <c r="AZ50" s="24" t="n"/>
      <c r="BA50" s="24" t="inlineStr">
        <is>
          <t>5224fb6ffbc9ddf8fa517627b830ac851192da94d241963d556945393a42bb9d</t>
        </is>
      </c>
      <c r="BB50" s="24" t="n"/>
      <c r="BC50" s="24" t="inlineStr">
        <is>
          <t>mlb-elo-trend-lr-v4</t>
        </is>
      </c>
      <c r="BD50" s="24" t="inlineStr">
        <is>
          <t>5224fb6ffbc9ddf8fa517627b830ac851192da94d241963d556945393a42bb9d</t>
        </is>
      </c>
      <c r="BE50" s="24" t="n"/>
      <c r="BF50" s="24" t="n"/>
      <c r="BG50" s="24" t="n"/>
      <c r="BH50" s="24" t="inlineStr">
        <is>
          <t>2026-07-17T16:26:09.836107Z</t>
        </is>
      </c>
      <c r="BI50" s="24" t="n"/>
      <c r="BJ50" s="38" t="n"/>
      <c r="BK50" s="26" t="n">
        <v>-113</v>
      </c>
      <c r="BL50" s="39" t="n">
        <v>1.884956</v>
      </c>
      <c r="BM50" s="28" t="n">
        <v>0.530516</v>
      </c>
      <c r="BN50" s="28" t="n">
        <v>0.527363</v>
      </c>
      <c r="BO50" s="28" t="n"/>
      <c r="BP50" s="38" t="n"/>
      <c r="BQ50" s="39" t="n"/>
      <c r="BR50" s="28" t="n"/>
      <c r="BS50" s="28" t="n"/>
      <c r="BT50" s="28" t="n"/>
      <c r="BU50" s="38" t="n"/>
      <c r="BV50" s="29" t="n"/>
      <c r="BW50" s="24" t="n"/>
      <c r="BX50" s="40" t="n"/>
      <c r="BY50" s="39" t="n"/>
      <c r="BZ50" s="24" t="n"/>
      <c r="CA50" s="31" t="n"/>
    </row>
    <row r="51" ht="36" customHeight="1">
      <c r="A51" s="24" t="inlineStr">
        <is>
          <t>caa582b839304286</t>
        </is>
      </c>
      <c r="B51" s="24" t="inlineStr">
        <is>
          <t>2026-07-19T10:49:38.448695+00:00</t>
        </is>
      </c>
      <c r="C51" s="24" t="inlineStr">
        <is>
          <t>2026-07-17T14:00:00-0400</t>
        </is>
      </c>
      <c r="D51" s="24" t="inlineStr">
        <is>
          <t>Balt-Hous-2026-07-17</t>
        </is>
      </c>
      <c r="E51" s="24" t="inlineStr">
        <is>
          <t>MLB</t>
        </is>
      </c>
      <c r="F51" s="24" t="inlineStr">
        <is>
          <t>Baltimore Orioles</t>
        </is>
      </c>
      <c r="G51" s="24" t="inlineStr">
        <is>
          <t>Houston Astros</t>
        </is>
      </c>
      <c r="H51" s="24" t="inlineStr">
        <is>
          <t>moneyline</t>
        </is>
      </c>
      <c r="I51" s="24" t="inlineStr">
        <is>
          <t>home</t>
        </is>
      </c>
      <c r="J51" s="38" t="n"/>
      <c r="K51" s="24" t="inlineStr">
        <is>
          <t>polymarket</t>
        </is>
      </c>
      <c r="L51" s="26" t="n">
        <v>-106</v>
      </c>
      <c r="M51" s="39" t="n">
        <v>1.943396</v>
      </c>
      <c r="N51" s="28" t="n">
        <v>0.514563</v>
      </c>
      <c r="O51" s="28" t="n">
        <v>0.524624</v>
      </c>
      <c r="P51" s="28" t="n">
        <v>0.05</v>
      </c>
      <c r="Q51" s="28" t="n">
        <v>0.010061</v>
      </c>
      <c r="R51" s="26" t="n">
        <v>10</v>
      </c>
      <c r="S51" s="29" t="n">
        <v>0.75</v>
      </c>
      <c r="T51" s="24" t="inlineStr">
        <is>
          <t>mlb-elo-trend-lr-v4</t>
        </is>
      </c>
      <c r="U51" s="24" t="inlineStr">
        <is>
          <t>settled</t>
        </is>
      </c>
      <c r="V51" s="24" t="inlineStr">
        <is>
          <t>loss</t>
        </is>
      </c>
      <c r="W51" s="26" t="n">
        <v>3</v>
      </c>
      <c r="X51" s="26" t="n">
        <v>2</v>
      </c>
      <c r="Y51" s="38" t="n"/>
      <c r="Z51" s="26" t="n"/>
      <c r="AA51" s="28" t="n"/>
      <c r="AB51" s="28" t="n"/>
      <c r="AC51" s="40" t="n">
        <v>-0.75</v>
      </c>
      <c r="AD51" s="24" t="inlineStr">
        <is>
          <t>2026-07-19T12:18:56.425183+00:00</t>
        </is>
      </c>
      <c r="AE51" s="31" t="inlineStr">
        <is>
          <t>backtest</t>
        </is>
      </c>
      <c r="AF51" s="31" t="n"/>
      <c r="AG51" s="24" t="n"/>
      <c r="AH51" s="24" t="n"/>
      <c r="AI51" s="31" t="n"/>
      <c r="AJ51" s="31" t="n"/>
      <c r="AK51" s="24" t="n"/>
      <c r="AL51" s="26" t="n"/>
      <c r="AM51" s="24" t="n"/>
      <c r="AN51" s="24" t="n"/>
      <c r="AO51" s="24" t="n"/>
      <c r="AP51" s="24" t="n"/>
      <c r="AQ51" s="24" t="n"/>
      <c r="AR51" s="24" t="n"/>
      <c r="AS51" s="24" t="n"/>
      <c r="AT51" s="24" t="n"/>
      <c r="AU51" s="24" t="n"/>
      <c r="AV51" s="24" t="n"/>
      <c r="AW51" s="24" t="n"/>
      <c r="AX51" s="24" t="n"/>
      <c r="AY51" s="24" t="n"/>
      <c r="AZ51" s="24" t="n"/>
      <c r="BA51" s="24" t="inlineStr">
        <is>
          <t>5224fb6ffbc9ddf8fa517627b830ac851192da94d241963d556945393a42bb9d</t>
        </is>
      </c>
      <c r="BB51" s="24" t="n"/>
      <c r="BC51" s="24" t="inlineStr">
        <is>
          <t>mlb-elo-trend-lr-v4</t>
        </is>
      </c>
      <c r="BD51" s="24" t="inlineStr">
        <is>
          <t>5224fb6ffbc9ddf8fa517627b830ac851192da94d241963d556945393a42bb9d</t>
        </is>
      </c>
      <c r="BE51" s="24" t="n"/>
      <c r="BF51" s="24" t="n"/>
      <c r="BG51" s="24" t="n"/>
      <c r="BH51" s="24" t="inlineStr">
        <is>
          <t>2026-07-17T16:26:10.857493Z</t>
        </is>
      </c>
      <c r="BI51" s="24" t="n"/>
      <c r="BJ51" s="38" t="n"/>
      <c r="BK51" s="26" t="n">
        <v>-106</v>
      </c>
      <c r="BL51" s="39" t="n">
        <v>1.943396</v>
      </c>
      <c r="BM51" s="28" t="n">
        <v>0.514563</v>
      </c>
      <c r="BN51" s="28" t="n">
        <v>0.5124379999999999</v>
      </c>
      <c r="BO51" s="28" t="n"/>
      <c r="BP51" s="38" t="n"/>
      <c r="BQ51" s="39" t="n"/>
      <c r="BR51" s="28" t="n"/>
      <c r="BS51" s="28" t="n"/>
      <c r="BT51" s="28" t="n"/>
      <c r="BU51" s="38" t="n"/>
      <c r="BV51" s="29" t="n"/>
      <c r="BW51" s="24" t="n"/>
      <c r="BX51" s="40" t="n"/>
      <c r="BY51" s="39" t="n"/>
      <c r="BZ51" s="24" t="n"/>
      <c r="CA51" s="31" t="n"/>
    </row>
    <row r="52" ht="36" customHeight="1">
      <c r="A52" s="24" t="inlineStr">
        <is>
          <t>cebdc679239c4a7e</t>
        </is>
      </c>
      <c r="B52" s="24" t="inlineStr">
        <is>
          <t>2026-07-19T10:49:38.448695+00:00</t>
        </is>
      </c>
      <c r="C52" s="24" t="inlineStr">
        <is>
          <t>2026-07-17T14:00:00-0400</t>
        </is>
      </c>
      <c r="D52" s="24" t="inlineStr">
        <is>
          <t>SanF-Seat-2026-07-17</t>
        </is>
      </c>
      <c r="E52" s="24" t="inlineStr">
        <is>
          <t>MLB</t>
        </is>
      </c>
      <c r="F52" s="24" t="inlineStr">
        <is>
          <t>San Francisco Giants</t>
        </is>
      </c>
      <c r="G52" s="24" t="inlineStr">
        <is>
          <t>Seattle Mariners</t>
        </is>
      </c>
      <c r="H52" s="24" t="inlineStr">
        <is>
          <t>moneyline</t>
        </is>
      </c>
      <c r="I52" s="24" t="inlineStr">
        <is>
          <t>home</t>
        </is>
      </c>
      <c r="J52" s="38" t="n"/>
      <c r="K52" s="24" t="inlineStr">
        <is>
          <t>polymarket</t>
        </is>
      </c>
      <c r="L52" s="26" t="n">
        <v>-174</v>
      </c>
      <c r="M52" s="39" t="n">
        <v>1.574713</v>
      </c>
      <c r="N52" s="28" t="n">
        <v>0.635036</v>
      </c>
      <c r="O52" s="28" t="n">
        <v>0.597575</v>
      </c>
      <c r="P52" s="28" t="n">
        <v>0.05</v>
      </c>
      <c r="Q52" s="28" t="n">
        <v>-0.037461</v>
      </c>
      <c r="R52" s="26" t="n">
        <v>62</v>
      </c>
      <c r="S52" s="29" t="n">
        <v>1.5</v>
      </c>
      <c r="T52" s="24" t="inlineStr">
        <is>
          <t>mlb-elo-trend-lr-v4</t>
        </is>
      </c>
      <c r="U52" s="24" t="inlineStr">
        <is>
          <t>settled</t>
        </is>
      </c>
      <c r="V52" s="24" t="inlineStr">
        <is>
          <t>loss</t>
        </is>
      </c>
      <c r="W52" s="26" t="n">
        <v>7</v>
      </c>
      <c r="X52" s="26" t="n">
        <v>0</v>
      </c>
      <c r="Y52" s="38" t="n"/>
      <c r="Z52" s="26" t="n"/>
      <c r="AA52" s="28" t="n"/>
      <c r="AB52" s="28" t="n"/>
      <c r="AC52" s="40" t="n">
        <v>-1.5</v>
      </c>
      <c r="AD52" s="24" t="inlineStr">
        <is>
          <t>2026-07-19T12:18:56.426191+00:00</t>
        </is>
      </c>
      <c r="AE52" s="31" t="inlineStr">
        <is>
          <t>backtest</t>
        </is>
      </c>
      <c r="AF52" s="31" t="n"/>
      <c r="AG52" s="24" t="n"/>
      <c r="AH52" s="24" t="n"/>
      <c r="AI52" s="31" t="n"/>
      <c r="AJ52" s="31" t="n"/>
      <c r="AK52" s="24" t="n"/>
      <c r="AL52" s="26" t="n"/>
      <c r="AM52" s="24" t="n"/>
      <c r="AN52" s="24" t="n"/>
      <c r="AO52" s="24" t="n"/>
      <c r="AP52" s="24" t="n"/>
      <c r="AQ52" s="24" t="n"/>
      <c r="AR52" s="24" t="n"/>
      <c r="AS52" s="24" t="n"/>
      <c r="AT52" s="24" t="n"/>
      <c r="AU52" s="24" t="n"/>
      <c r="AV52" s="24" t="n"/>
      <c r="AW52" s="24" t="n"/>
      <c r="AX52" s="24" t="n"/>
      <c r="AY52" s="24" t="n"/>
      <c r="AZ52" s="24" t="n"/>
      <c r="BA52" s="24" t="inlineStr">
        <is>
          <t>5224fb6ffbc9ddf8fa517627b830ac851192da94d241963d556945393a42bb9d</t>
        </is>
      </c>
      <c r="BB52" s="24" t="n"/>
      <c r="BC52" s="24" t="inlineStr">
        <is>
          <t>mlb-elo-trend-lr-v4</t>
        </is>
      </c>
      <c r="BD52" s="24" t="inlineStr">
        <is>
          <t>5224fb6ffbc9ddf8fa517627b830ac851192da94d241963d556945393a42bb9d</t>
        </is>
      </c>
      <c r="BE52" s="24" t="n"/>
      <c r="BF52" s="24" t="n"/>
      <c r="BG52" s="24" t="n"/>
      <c r="BH52" s="24" t="inlineStr">
        <is>
          <t>2026-07-17T16:26:16.071100Z</t>
        </is>
      </c>
      <c r="BI52" s="24" t="n"/>
      <c r="BJ52" s="38" t="n"/>
      <c r="BK52" s="26" t="n">
        <v>-174</v>
      </c>
      <c r="BL52" s="39" t="n">
        <v>1.574713</v>
      </c>
      <c r="BM52" s="28" t="n">
        <v>0.635036</v>
      </c>
      <c r="BN52" s="28" t="n">
        <v>0.631841</v>
      </c>
      <c r="BO52" s="28" t="n"/>
      <c r="BP52" s="38" t="n"/>
      <c r="BQ52" s="39" t="n"/>
      <c r="BR52" s="28" t="n"/>
      <c r="BS52" s="28" t="n"/>
      <c r="BT52" s="28" t="n"/>
      <c r="BU52" s="38" t="n"/>
      <c r="BV52" s="29" t="n"/>
      <c r="BW52" s="24" t="n"/>
      <c r="BX52" s="40" t="n"/>
      <c r="BY52" s="39" t="n"/>
      <c r="BZ52" s="24" t="n"/>
      <c r="CA52" s="31" t="n"/>
    </row>
    <row r="53" ht="36" customHeight="1">
      <c r="A53" s="24" t="inlineStr">
        <is>
          <t>deb68aa7d25042de</t>
        </is>
      </c>
      <c r="B53" s="24" t="inlineStr">
        <is>
          <t>2026-07-19T10:49:38.448695+00:00</t>
        </is>
      </c>
      <c r="C53" s="24" t="inlineStr">
        <is>
          <t>2026-07-17T14:00:00-0400</t>
        </is>
      </c>
      <c r="D53" s="24" t="inlineStr">
        <is>
          <t>Atla-Toro-2026-07-17</t>
        </is>
      </c>
      <c r="E53" s="24" t="inlineStr">
        <is>
          <t>WNBA</t>
        </is>
      </c>
      <c r="F53" s="24" t="inlineStr">
        <is>
          <t>Atlanta Dream</t>
        </is>
      </c>
      <c r="G53" s="24" t="inlineStr">
        <is>
          <t>Toronto Tempo</t>
        </is>
      </c>
      <c r="H53" s="24" t="inlineStr">
        <is>
          <t>moneyline</t>
        </is>
      </c>
      <c r="I53" s="24" t="inlineStr">
        <is>
          <t>away</t>
        </is>
      </c>
      <c r="J53" s="38" t="n"/>
      <c r="K53" s="24" t="inlineStr">
        <is>
          <t>polymarket</t>
        </is>
      </c>
      <c r="L53" s="26" t="n">
        <v>-376</v>
      </c>
      <c r="M53" s="39" t="n">
        <v>1.265957</v>
      </c>
      <c r="N53" s="28" t="n">
        <v>0.789916</v>
      </c>
      <c r="O53" s="28" t="n">
        <v>0.534506</v>
      </c>
      <c r="P53" s="28" t="n">
        <v>0.05</v>
      </c>
      <c r="Q53" s="28" t="n">
        <v>-0.25541</v>
      </c>
      <c r="R53" s="26" t="n"/>
      <c r="S53" s="29" t="n">
        <v>0.75</v>
      </c>
      <c r="T53" s="24" t="inlineStr">
        <is>
          <t>wnba-elo-trend-lr-v3</t>
        </is>
      </c>
      <c r="U53" s="24" t="inlineStr">
        <is>
          <t>settled</t>
        </is>
      </c>
      <c r="V53" s="24" t="inlineStr">
        <is>
          <t>win</t>
        </is>
      </c>
      <c r="W53" s="26" t="n">
        <v>111</v>
      </c>
      <c r="X53" s="26" t="n">
        <v>92</v>
      </c>
      <c r="Y53" s="38" t="n"/>
      <c r="Z53" s="26" t="n"/>
      <c r="AA53" s="28" t="n"/>
      <c r="AB53" s="28" t="n"/>
      <c r="AC53" s="40" t="n">
        <v>0.1995</v>
      </c>
      <c r="AD53" s="24" t="inlineStr">
        <is>
          <t>2026-07-19T12:18:56.426270+00:00</t>
        </is>
      </c>
      <c r="AE53" s="31" t="inlineStr">
        <is>
          <t>backtest</t>
        </is>
      </c>
      <c r="AF53" s="31" t="n"/>
      <c r="AG53" s="24" t="n"/>
      <c r="AH53" s="24" t="n"/>
      <c r="AI53" s="31" t="n"/>
      <c r="AJ53" s="31" t="n"/>
      <c r="AK53" s="24" t="n"/>
      <c r="AL53" s="26" t="n"/>
      <c r="AM53" s="24" t="n"/>
      <c r="AN53" s="24" t="n"/>
      <c r="AO53" s="24" t="n"/>
      <c r="AP53" s="24" t="n"/>
      <c r="AQ53" s="24" t="n"/>
      <c r="AR53" s="24" t="n"/>
      <c r="AS53" s="24" t="n"/>
      <c r="AT53" s="24" t="n"/>
      <c r="AU53" s="24" t="n"/>
      <c r="AV53" s="24" t="n"/>
      <c r="AW53" s="24" t="n"/>
      <c r="AX53" s="24" t="n"/>
      <c r="AY53" s="24" t="n"/>
      <c r="AZ53" s="24" t="n"/>
      <c r="BA53" s="24" t="n"/>
      <c r="BB53" s="24" t="n"/>
      <c r="BC53" s="24" t="n"/>
      <c r="BD53" s="24" t="n"/>
      <c r="BE53" s="24" t="n"/>
      <c r="BF53" s="24" t="n"/>
      <c r="BG53" s="24" t="n"/>
      <c r="BH53" s="24" t="inlineStr">
        <is>
          <t>2026-07-17T16:26:18.670439Z</t>
        </is>
      </c>
      <c r="BI53" s="24" t="n"/>
      <c r="BJ53" s="38" t="n"/>
      <c r="BK53" s="26" t="n">
        <v>-376</v>
      </c>
      <c r="BL53" s="39" t="n">
        <v>1.265957</v>
      </c>
      <c r="BM53" s="28" t="n">
        <v>0.789916</v>
      </c>
      <c r="BN53" s="28" t="n">
        <v>0.782178</v>
      </c>
      <c r="BO53" s="28" t="n"/>
      <c r="BP53" s="38" t="n"/>
      <c r="BQ53" s="39" t="n"/>
      <c r="BR53" s="28" t="n"/>
      <c r="BS53" s="28" t="n"/>
      <c r="BT53" s="28" t="n"/>
      <c r="BU53" s="38" t="n"/>
      <c r="BV53" s="29" t="n"/>
      <c r="BW53" s="24" t="n"/>
      <c r="BX53" s="40" t="n"/>
      <c r="BY53" s="39" t="n"/>
      <c r="BZ53" s="24" t="n"/>
      <c r="CA53" s="31" t="n"/>
    </row>
    <row r="54" ht="36" customHeight="1">
      <c r="A54" s="24" t="inlineStr">
        <is>
          <t>9d42b77cda3d44a7</t>
        </is>
      </c>
      <c r="B54" s="24" t="inlineStr">
        <is>
          <t>2026-07-19T10:49:38.448695+00:00</t>
        </is>
      </c>
      <c r="C54" s="24" t="inlineStr">
        <is>
          <t>2026-07-17T14:00:00-0400</t>
        </is>
      </c>
      <c r="D54" s="24" t="inlineStr">
        <is>
          <t>LosA-Chic-2026-07-17</t>
        </is>
      </c>
      <c r="E54" s="24" t="inlineStr">
        <is>
          <t>WNBA</t>
        </is>
      </c>
      <c r="F54" s="24" t="inlineStr">
        <is>
          <t>Los Angeles Sparks</t>
        </is>
      </c>
      <c r="G54" s="24" t="inlineStr">
        <is>
          <t>Chicago Sky</t>
        </is>
      </c>
      <c r="H54" s="24" t="inlineStr">
        <is>
          <t>moneyline</t>
        </is>
      </c>
      <c r="I54" s="24" t="inlineStr">
        <is>
          <t>home</t>
        </is>
      </c>
      <c r="J54" s="38" t="n"/>
      <c r="K54" s="24" t="inlineStr">
        <is>
          <t>polymarket</t>
        </is>
      </c>
      <c r="L54" s="26" t="n">
        <v>-113</v>
      </c>
      <c r="M54" s="39" t="n">
        <v>1.884956</v>
      </c>
      <c r="N54" s="28" t="n">
        <v>0.530516</v>
      </c>
      <c r="O54" s="28" t="n">
        <v>0.505358</v>
      </c>
      <c r="P54" s="28" t="n">
        <v>0.05</v>
      </c>
      <c r="Q54" s="28" t="n">
        <v>-0.025158</v>
      </c>
      <c r="R54" s="26" t="n"/>
      <c r="S54" s="29" t="n">
        <v>0.5</v>
      </c>
      <c r="T54" s="24" t="inlineStr">
        <is>
          <t>wnba-elo-trend-lr-v3</t>
        </is>
      </c>
      <c r="U54" s="24" t="inlineStr">
        <is>
          <t>settled</t>
        </is>
      </c>
      <c r="V54" s="24" t="inlineStr">
        <is>
          <t>win</t>
        </is>
      </c>
      <c r="W54" s="26" t="n">
        <v>82</v>
      </c>
      <c r="X54" s="26" t="n">
        <v>96</v>
      </c>
      <c r="Y54" s="38" t="n"/>
      <c r="Z54" s="26" t="n"/>
      <c r="AA54" s="28" t="n"/>
      <c r="AB54" s="28" t="n"/>
      <c r="AC54" s="40" t="n">
        <v>0.4425</v>
      </c>
      <c r="AD54" s="24" t="inlineStr">
        <is>
          <t>2026-07-19T12:18:56.426343+00:00</t>
        </is>
      </c>
      <c r="AE54" s="31" t="inlineStr">
        <is>
          <t>backtest</t>
        </is>
      </c>
      <c r="AF54" s="31" t="n"/>
      <c r="AG54" s="24" t="n"/>
      <c r="AH54" s="24" t="n"/>
      <c r="AI54" s="31" t="n"/>
      <c r="AJ54" s="31" t="n"/>
      <c r="AK54" s="24" t="n"/>
      <c r="AL54" s="26" t="n"/>
      <c r="AM54" s="24" t="n"/>
      <c r="AN54" s="24" t="n"/>
      <c r="AO54" s="24" t="n"/>
      <c r="AP54" s="24" t="n"/>
      <c r="AQ54" s="24" t="n"/>
      <c r="AR54" s="24" t="n"/>
      <c r="AS54" s="24" t="n"/>
      <c r="AT54" s="24" t="n"/>
      <c r="AU54" s="24" t="n"/>
      <c r="AV54" s="24" t="n"/>
      <c r="AW54" s="24" t="n"/>
      <c r="AX54" s="24" t="n"/>
      <c r="AY54" s="24" t="n"/>
      <c r="AZ54" s="24" t="n"/>
      <c r="BA54" s="24" t="n"/>
      <c r="BB54" s="24" t="n"/>
      <c r="BC54" s="24" t="n"/>
      <c r="BD54" s="24" t="n"/>
      <c r="BE54" s="24" t="n"/>
      <c r="BF54" s="24" t="n"/>
      <c r="BG54" s="24" t="n"/>
      <c r="BH54" s="24" t="inlineStr">
        <is>
          <t>2026-07-17T17:12:46.881853Z</t>
        </is>
      </c>
      <c r="BI54" s="24" t="n"/>
      <c r="BJ54" s="38" t="n"/>
      <c r="BK54" s="26" t="n">
        <v>-113</v>
      </c>
      <c r="BL54" s="39" t="n">
        <v>1.884956</v>
      </c>
      <c r="BM54" s="28" t="n">
        <v>0.530516</v>
      </c>
      <c r="BN54" s="28" t="n">
        <v>0.524752</v>
      </c>
      <c r="BO54" s="28" t="n"/>
      <c r="BP54" s="38" t="n"/>
      <c r="BQ54" s="39" t="n"/>
      <c r="BR54" s="28" t="n"/>
      <c r="BS54" s="28" t="n"/>
      <c r="BT54" s="28" t="n"/>
      <c r="BU54" s="38" t="n"/>
      <c r="BV54" s="29" t="n"/>
      <c r="BW54" s="24" t="n"/>
      <c r="BX54" s="40" t="n"/>
      <c r="BY54" s="39" t="n"/>
      <c r="BZ54" s="24" t="n"/>
      <c r="CA54" s="31" t="n"/>
    </row>
    <row r="55" ht="36" customHeight="1">
      <c r="A55" s="24" t="inlineStr">
        <is>
          <t>33934bb67697420b</t>
        </is>
      </c>
      <c r="B55" s="24" t="inlineStr">
        <is>
          <t>2026-07-19T10:49:38.448695+00:00</t>
        </is>
      </c>
      <c r="C55" s="24" t="inlineStr">
        <is>
          <t>2026-07-17T14:00:00-0400</t>
        </is>
      </c>
      <c r="D55" s="24" t="inlineStr">
        <is>
          <t>Conn-Phoe-2026-07-17</t>
        </is>
      </c>
      <c r="E55" s="24" t="inlineStr">
        <is>
          <t>WNBA</t>
        </is>
      </c>
      <c r="F55" s="24" t="inlineStr">
        <is>
          <t>Connecticut Sun</t>
        </is>
      </c>
      <c r="G55" s="24" t="inlineStr">
        <is>
          <t>Phoenix Mercury</t>
        </is>
      </c>
      <c r="H55" s="24" t="inlineStr">
        <is>
          <t>moneyline</t>
        </is>
      </c>
      <c r="I55" s="24" t="inlineStr">
        <is>
          <t>home</t>
        </is>
      </c>
      <c r="J55" s="38" t="n"/>
      <c r="K55" s="24" t="inlineStr">
        <is>
          <t>polymarket</t>
        </is>
      </c>
      <c r="L55" s="26" t="n">
        <v>-178</v>
      </c>
      <c r="M55" s="39" t="n">
        <v>1.561798</v>
      </c>
      <c r="N55" s="28" t="n">
        <v>0.640288</v>
      </c>
      <c r="O55" s="28" t="n">
        <v>0.637935</v>
      </c>
      <c r="P55" s="28" t="n">
        <v>0.05</v>
      </c>
      <c r="Q55" s="28" t="n">
        <v>-0.002353</v>
      </c>
      <c r="R55" s="26" t="n"/>
      <c r="S55" s="29" t="n">
        <v>2</v>
      </c>
      <c r="T55" s="24" t="inlineStr">
        <is>
          <t>wnba-elo-trend-lr-v3</t>
        </is>
      </c>
      <c r="U55" s="24" t="inlineStr">
        <is>
          <t>settled</t>
        </is>
      </c>
      <c r="V55" s="24" t="inlineStr">
        <is>
          <t>loss</t>
        </is>
      </c>
      <c r="W55" s="26" t="n">
        <v>96</v>
      </c>
      <c r="X55" s="26" t="n">
        <v>83</v>
      </c>
      <c r="Y55" s="38" t="n"/>
      <c r="Z55" s="26" t="n"/>
      <c r="AA55" s="28" t="n"/>
      <c r="AB55" s="28" t="n"/>
      <c r="AC55" s="40" t="n">
        <v>-2</v>
      </c>
      <c r="AD55" s="24" t="inlineStr">
        <is>
          <t>2026-07-19T12:18:56.426414+00:00</t>
        </is>
      </c>
      <c r="AE55" s="31" t="inlineStr">
        <is>
          <t>backtest</t>
        </is>
      </c>
      <c r="AF55" s="31" t="n"/>
      <c r="AG55" s="24" t="n"/>
      <c r="AH55" s="24" t="n"/>
      <c r="AI55" s="31" t="n"/>
      <c r="AJ55" s="31" t="n"/>
      <c r="AK55" s="24" t="n"/>
      <c r="AL55" s="26" t="n"/>
      <c r="AM55" s="24" t="n"/>
      <c r="AN55" s="24" t="n"/>
      <c r="AO55" s="24" t="n"/>
      <c r="AP55" s="24" t="n"/>
      <c r="AQ55" s="24" t="n"/>
      <c r="AR55" s="24" t="n"/>
      <c r="AS55" s="24" t="n"/>
      <c r="AT55" s="24" t="n"/>
      <c r="AU55" s="24" t="n"/>
      <c r="AV55" s="24" t="n"/>
      <c r="AW55" s="24" t="n"/>
      <c r="AX55" s="24" t="n"/>
      <c r="AY55" s="24" t="n"/>
      <c r="AZ55" s="24" t="n"/>
      <c r="BA55" s="24" t="n"/>
      <c r="BB55" s="24" t="n"/>
      <c r="BC55" s="24" t="n"/>
      <c r="BD55" s="24" t="n"/>
      <c r="BE55" s="24" t="n"/>
      <c r="BF55" s="24" t="n"/>
      <c r="BG55" s="24" t="n"/>
      <c r="BH55" s="24" t="inlineStr">
        <is>
          <t>2026-07-17T17:12:46.282679Z</t>
        </is>
      </c>
      <c r="BI55" s="24" t="n"/>
      <c r="BJ55" s="38" t="n"/>
      <c r="BK55" s="26" t="n">
        <v>-178</v>
      </c>
      <c r="BL55" s="39" t="n">
        <v>1.561798</v>
      </c>
      <c r="BM55" s="28" t="n">
        <v>0.640288</v>
      </c>
      <c r="BN55" s="28" t="n">
        <v>0.633663</v>
      </c>
      <c r="BO55" s="28" t="n"/>
      <c r="BP55" s="38" t="n"/>
      <c r="BQ55" s="39" t="n"/>
      <c r="BR55" s="28" t="n"/>
      <c r="BS55" s="28" t="n"/>
      <c r="BT55" s="28" t="n"/>
      <c r="BU55" s="38" t="n"/>
      <c r="BV55" s="29" t="n"/>
      <c r="BW55" s="24" t="n"/>
      <c r="BX55" s="40" t="n"/>
      <c r="BY55" s="39" t="n"/>
      <c r="BZ55" s="24" t="n"/>
      <c r="CA55" s="31" t="n"/>
    </row>
    <row r="56" ht="36" customHeight="1">
      <c r="A56" s="24" t="inlineStr">
        <is>
          <t>9e5a3c9d33b2497b</t>
        </is>
      </c>
      <c r="B56" s="24" t="inlineStr">
        <is>
          <t>2026-07-19T10:49:38.448695+00:00</t>
        </is>
      </c>
      <c r="C56" s="24" t="inlineStr">
        <is>
          <t>2026-07-18T14:00:00-0400</t>
        </is>
      </c>
      <c r="D56" s="24" t="inlineStr">
        <is>
          <t>NewY-Phil-2026-07-18</t>
        </is>
      </c>
      <c r="E56" s="24" t="inlineStr">
        <is>
          <t>MLB</t>
        </is>
      </c>
      <c r="F56" s="24" t="inlineStr">
        <is>
          <t>New York Mets</t>
        </is>
      </c>
      <c r="G56" s="24" t="inlineStr">
        <is>
          <t>Philadelphia Phillies</t>
        </is>
      </c>
      <c r="H56" s="24" t="inlineStr">
        <is>
          <t>moneyline</t>
        </is>
      </c>
      <c r="I56" s="24" t="inlineStr">
        <is>
          <t>home</t>
        </is>
      </c>
      <c r="J56" s="38" t="n"/>
      <c r="K56" s="24" t="inlineStr">
        <is>
          <t>polymarket</t>
        </is>
      </c>
      <c r="L56" s="26" t="n">
        <v>-163</v>
      </c>
      <c r="M56" s="39" t="n">
        <v>1.613497</v>
      </c>
      <c r="N56" s="28" t="n">
        <v>0.619772</v>
      </c>
      <c r="O56" s="28" t="n">
        <v>0.611768</v>
      </c>
      <c r="P56" s="28" t="n">
        <v>0.05</v>
      </c>
      <c r="Q56" s="28" t="n">
        <v>-0.008004000000000001</v>
      </c>
      <c r="R56" s="26" t="n">
        <v>91</v>
      </c>
      <c r="S56" s="29" t="n">
        <v>1.5</v>
      </c>
      <c r="T56" s="24" t="inlineStr">
        <is>
          <t>mlb-elo-trend-lr-v4</t>
        </is>
      </c>
      <c r="U56" s="24" t="inlineStr">
        <is>
          <t>settled</t>
        </is>
      </c>
      <c r="V56" s="24" t="inlineStr">
        <is>
          <t>win</t>
        </is>
      </c>
      <c r="W56" s="26" t="n">
        <v>1</v>
      </c>
      <c r="X56" s="26" t="n">
        <v>6</v>
      </c>
      <c r="Y56" s="38" t="n"/>
      <c r="Z56" s="26" t="n"/>
      <c r="AA56" s="28" t="n"/>
      <c r="AB56" s="28" t="n"/>
      <c r="AC56" s="40" t="n">
        <v>0.9202</v>
      </c>
      <c r="AD56" s="24" t="inlineStr">
        <is>
          <t>2026-07-19T12:18:56.426817+00:00</t>
        </is>
      </c>
      <c r="AE56" s="31" t="inlineStr">
        <is>
          <t>backtest</t>
        </is>
      </c>
      <c r="AF56" s="31" t="n"/>
      <c r="AG56" s="24" t="n"/>
      <c r="AH56" s="24" t="n"/>
      <c r="AI56" s="31" t="n"/>
      <c r="AJ56" s="31" t="n"/>
      <c r="AK56" s="24" t="n"/>
      <c r="AL56" s="26" t="n"/>
      <c r="AM56" s="24" t="n"/>
      <c r="AN56" s="24" t="n"/>
      <c r="AO56" s="24" t="n"/>
      <c r="AP56" s="24" t="n"/>
      <c r="AQ56" s="24" t="n"/>
      <c r="AR56" s="24" t="n"/>
      <c r="AS56" s="24" t="n"/>
      <c r="AT56" s="24" t="n"/>
      <c r="AU56" s="24" t="n"/>
      <c r="AV56" s="24" t="n"/>
      <c r="AW56" s="24" t="n"/>
      <c r="AX56" s="24" t="n"/>
      <c r="AY56" s="24" t="n"/>
      <c r="AZ56" s="24" t="n"/>
      <c r="BA56" s="24" t="inlineStr">
        <is>
          <t>5224fb6ffbc9ddf8fa517627b830ac851192da94d241963d556945393a42bb9d</t>
        </is>
      </c>
      <c r="BB56" s="24" t="n"/>
      <c r="BC56" s="24" t="inlineStr">
        <is>
          <t>mlb-elo-trend-lr-v4</t>
        </is>
      </c>
      <c r="BD56" s="24" t="inlineStr">
        <is>
          <t>5224fb6ffbc9ddf8fa517627b830ac851192da94d241963d556945393a42bb9d</t>
        </is>
      </c>
      <c r="BE56" s="24" t="n"/>
      <c r="BF56" s="24" t="n"/>
      <c r="BG56" s="24" t="n"/>
      <c r="BH56" s="24" t="inlineStr">
        <is>
          <t>2026-07-18T17:33:12.199724Z</t>
        </is>
      </c>
      <c r="BI56" s="24" t="n"/>
      <c r="BJ56" s="38" t="n"/>
      <c r="BK56" s="26" t="n">
        <v>-163</v>
      </c>
      <c r="BL56" s="39" t="n">
        <v>1.613497</v>
      </c>
      <c r="BM56" s="28" t="n">
        <v>0.619772</v>
      </c>
      <c r="BN56" s="28" t="n">
        <v>0.616915</v>
      </c>
      <c r="BO56" s="28" t="n"/>
      <c r="BP56" s="38" t="n"/>
      <c r="BQ56" s="39" t="n"/>
      <c r="BR56" s="28" t="n"/>
      <c r="BS56" s="28" t="n"/>
      <c r="BT56" s="28" t="n"/>
      <c r="BU56" s="38" t="n"/>
      <c r="BV56" s="29" t="n"/>
      <c r="BW56" s="24" t="n"/>
      <c r="BX56" s="40" t="n"/>
      <c r="BY56" s="39" t="n"/>
      <c r="BZ56" s="24" t="n"/>
      <c r="CA56" s="31" t="n"/>
    </row>
    <row r="57" ht="36" customHeight="1">
      <c r="A57" s="24" t="inlineStr">
        <is>
          <t>f8293c8d16d748f5</t>
        </is>
      </c>
      <c r="B57" s="24" t="inlineStr">
        <is>
          <t>2026-07-19T10:49:38.448695+00:00</t>
        </is>
      </c>
      <c r="C57" s="24" t="inlineStr">
        <is>
          <t>2026-07-18T14:00:00-0400</t>
        </is>
      </c>
      <c r="D57" s="24" t="inlineStr">
        <is>
          <t>St.L-Ariz-2026-07-18</t>
        </is>
      </c>
      <c r="E57" s="24" t="inlineStr">
        <is>
          <t>MLB</t>
        </is>
      </c>
      <c r="F57" s="24" t="inlineStr">
        <is>
          <t>St. Louis Cardinals</t>
        </is>
      </c>
      <c r="G57" s="24" t="inlineStr">
        <is>
          <t>Arizona Diamondbacks</t>
        </is>
      </c>
      <c r="H57" s="24" t="inlineStr">
        <is>
          <t>moneyline</t>
        </is>
      </c>
      <c r="I57" s="24" t="inlineStr">
        <is>
          <t>home</t>
        </is>
      </c>
      <c r="J57" s="38" t="n"/>
      <c r="K57" s="24" t="inlineStr">
        <is>
          <t>polymarket</t>
        </is>
      </c>
      <c r="L57" s="26" t="n">
        <v>-111</v>
      </c>
      <c r="M57" s="39" t="n">
        <v>1.900901</v>
      </c>
      <c r="N57" s="28" t="n">
        <v>0.526066</v>
      </c>
      <c r="O57" s="28" t="n">
        <v>0.525388</v>
      </c>
      <c r="P57" s="28" t="n">
        <v>0.05</v>
      </c>
      <c r="Q57" s="28" t="n">
        <v>-0.000678</v>
      </c>
      <c r="R57" s="26" t="n">
        <v>99</v>
      </c>
      <c r="S57" s="29" t="n">
        <v>0.75</v>
      </c>
      <c r="T57" s="24" t="inlineStr">
        <is>
          <t>mlb-elo-trend-lr-v4</t>
        </is>
      </c>
      <c r="U57" s="24" t="inlineStr">
        <is>
          <t>settled</t>
        </is>
      </c>
      <c r="V57" s="24" t="inlineStr">
        <is>
          <t>win</t>
        </is>
      </c>
      <c r="W57" s="26" t="n">
        <v>3</v>
      </c>
      <c r="X57" s="26" t="n">
        <v>5</v>
      </c>
      <c r="Y57" s="38" t="n"/>
      <c r="Z57" s="26" t="n"/>
      <c r="AA57" s="28" t="n"/>
      <c r="AB57" s="28" t="n"/>
      <c r="AC57" s="40" t="n">
        <v>0.6757</v>
      </c>
      <c r="AD57" s="24" t="inlineStr">
        <is>
          <t>2026-07-19T12:18:56.427204+00:00</t>
        </is>
      </c>
      <c r="AE57" s="31" t="inlineStr">
        <is>
          <t>backtest</t>
        </is>
      </c>
      <c r="AF57" s="31" t="n"/>
      <c r="AG57" s="24" t="n"/>
      <c r="AH57" s="24" t="n"/>
      <c r="AI57" s="31" t="n"/>
      <c r="AJ57" s="31" t="n"/>
      <c r="AK57" s="24" t="n"/>
      <c r="AL57" s="26" t="n"/>
      <c r="AM57" s="24" t="n"/>
      <c r="AN57" s="24" t="n"/>
      <c r="AO57" s="24" t="n"/>
      <c r="AP57" s="24" t="n"/>
      <c r="AQ57" s="24" t="n"/>
      <c r="AR57" s="24" t="n"/>
      <c r="AS57" s="24" t="n"/>
      <c r="AT57" s="24" t="n"/>
      <c r="AU57" s="24" t="n"/>
      <c r="AV57" s="24" t="n"/>
      <c r="AW57" s="24" t="n"/>
      <c r="AX57" s="24" t="n"/>
      <c r="AY57" s="24" t="n"/>
      <c r="AZ57" s="24" t="n"/>
      <c r="BA57" s="24" t="inlineStr">
        <is>
          <t>5224fb6ffbc9ddf8fa517627b830ac851192da94d241963d556945393a42bb9d</t>
        </is>
      </c>
      <c r="BB57" s="24" t="n"/>
      <c r="BC57" s="24" t="inlineStr">
        <is>
          <t>mlb-elo-trend-lr-v4</t>
        </is>
      </c>
      <c r="BD57" s="24" t="inlineStr">
        <is>
          <t>5224fb6ffbc9ddf8fa517627b830ac851192da94d241963d556945393a42bb9d</t>
        </is>
      </c>
      <c r="BE57" s="24" t="n"/>
      <c r="BF57" s="24" t="n"/>
      <c r="BG57" s="24" t="n"/>
      <c r="BH57" s="24" t="inlineStr">
        <is>
          <t>2026-07-18T17:33:15.460034Z</t>
        </is>
      </c>
      <c r="BI57" s="24" t="n"/>
      <c r="BJ57" s="38" t="n"/>
      <c r="BK57" s="26" t="n">
        <v>-111</v>
      </c>
      <c r="BL57" s="39" t="n">
        <v>1.900901</v>
      </c>
      <c r="BM57" s="28" t="n">
        <v>0.526066</v>
      </c>
      <c r="BN57" s="28" t="n">
        <v>0.522388</v>
      </c>
      <c r="BO57" s="28" t="n"/>
      <c r="BP57" s="38" t="n"/>
      <c r="BQ57" s="39" t="n"/>
      <c r="BR57" s="28" t="n"/>
      <c r="BS57" s="28" t="n"/>
      <c r="BT57" s="28" t="n"/>
      <c r="BU57" s="38" t="n"/>
      <c r="BV57" s="29" t="n"/>
      <c r="BW57" s="24" t="n"/>
      <c r="BX57" s="40" t="n"/>
      <c r="BY57" s="39" t="n"/>
      <c r="BZ57" s="24" t="n"/>
      <c r="CA57" s="31" t="n"/>
    </row>
    <row r="58" ht="36" customHeight="1">
      <c r="A58" s="24" t="inlineStr">
        <is>
          <t>f1019aa0671049ee</t>
        </is>
      </c>
      <c r="B58" s="24" t="inlineStr">
        <is>
          <t>2026-07-19T10:49:38.448695+00:00</t>
        </is>
      </c>
      <c r="C58" s="24" t="inlineStr">
        <is>
          <t>2026-07-18T14:00:00-0400</t>
        </is>
      </c>
      <c r="D58" s="24" t="inlineStr">
        <is>
          <t>SanF-Seat-2026-07-18</t>
        </is>
      </c>
      <c r="E58" s="24" t="inlineStr">
        <is>
          <t>MLB</t>
        </is>
      </c>
      <c r="F58" s="24" t="inlineStr">
        <is>
          <t>San Francisco Giants</t>
        </is>
      </c>
      <c r="G58" s="24" t="inlineStr">
        <is>
          <t>Seattle Mariners</t>
        </is>
      </c>
      <c r="H58" s="24" t="inlineStr">
        <is>
          <t>moneyline</t>
        </is>
      </c>
      <c r="I58" s="24" t="inlineStr">
        <is>
          <t>home</t>
        </is>
      </c>
      <c r="J58" s="38" t="n"/>
      <c r="K58" s="24" t="inlineStr">
        <is>
          <t>polymarket</t>
        </is>
      </c>
      <c r="L58" s="26" t="n">
        <v>-138</v>
      </c>
      <c r="M58" s="39" t="n">
        <v>1.724638</v>
      </c>
      <c r="N58" s="28" t="n">
        <v>0.579832</v>
      </c>
      <c r="O58" s="28" t="n">
        <v>0.597575</v>
      </c>
      <c r="P58" s="28" t="n">
        <v>0.05</v>
      </c>
      <c r="Q58" s="28" t="n">
        <v>0.017743</v>
      </c>
      <c r="R58" s="26" t="n">
        <v>17</v>
      </c>
      <c r="S58" s="29" t="n">
        <v>1.5</v>
      </c>
      <c r="T58" s="24" t="inlineStr">
        <is>
          <t>mlb-elo-trend-lr-v4</t>
        </is>
      </c>
      <c r="U58" s="24" t="inlineStr">
        <is>
          <t>settled</t>
        </is>
      </c>
      <c r="V58" s="24" t="inlineStr">
        <is>
          <t>win</t>
        </is>
      </c>
      <c r="W58" s="26" t="n">
        <v>3</v>
      </c>
      <c r="X58" s="26" t="n">
        <v>4</v>
      </c>
      <c r="Y58" s="38" t="n"/>
      <c r="Z58" s="26" t="n"/>
      <c r="AA58" s="28" t="n"/>
      <c r="AB58" s="28" t="n"/>
      <c r="AC58" s="40" t="n">
        <v>1.087</v>
      </c>
      <c r="AD58" s="24" t="inlineStr">
        <is>
          <t>2026-07-19T12:18:56.427590+00:00</t>
        </is>
      </c>
      <c r="AE58" s="31" t="inlineStr">
        <is>
          <t>backtest</t>
        </is>
      </c>
      <c r="AF58" s="31" t="n"/>
      <c r="AG58" s="24" t="n"/>
      <c r="AH58" s="24" t="n"/>
      <c r="AI58" s="31" t="n"/>
      <c r="AJ58" s="31" t="n"/>
      <c r="AK58" s="24" t="n"/>
      <c r="AL58" s="26" t="n"/>
      <c r="AM58" s="24" t="n"/>
      <c r="AN58" s="24" t="n"/>
      <c r="AO58" s="24" t="n"/>
      <c r="AP58" s="24" t="n"/>
      <c r="AQ58" s="24" t="n"/>
      <c r="AR58" s="24" t="n"/>
      <c r="AS58" s="24" t="n"/>
      <c r="AT58" s="24" t="n"/>
      <c r="AU58" s="24" t="n"/>
      <c r="AV58" s="24" t="n"/>
      <c r="AW58" s="24" t="n"/>
      <c r="AX58" s="24" t="n"/>
      <c r="AY58" s="24" t="n"/>
      <c r="AZ58" s="24" t="n"/>
      <c r="BA58" s="24" t="inlineStr">
        <is>
          <t>5224fb6ffbc9ddf8fa517627b830ac851192da94d241963d556945393a42bb9d</t>
        </is>
      </c>
      <c r="BB58" s="24" t="n"/>
      <c r="BC58" s="24" t="inlineStr">
        <is>
          <t>mlb-elo-trend-lr-v4</t>
        </is>
      </c>
      <c r="BD58" s="24" t="inlineStr">
        <is>
          <t>5224fb6ffbc9ddf8fa517627b830ac851192da94d241963d556945393a42bb9d</t>
        </is>
      </c>
      <c r="BE58" s="24" t="n"/>
      <c r="BF58" s="24" t="n"/>
      <c r="BG58" s="24" t="n"/>
      <c r="BH58" s="24" t="inlineStr">
        <is>
          <t>2026-07-18T17:35:05.699206Z</t>
        </is>
      </c>
      <c r="BI58" s="24" t="n"/>
      <c r="BJ58" s="38" t="n"/>
      <c r="BK58" s="26" t="n">
        <v>-138</v>
      </c>
      <c r="BL58" s="39" t="n">
        <v>1.724638</v>
      </c>
      <c r="BM58" s="28" t="n">
        <v>0.579832</v>
      </c>
      <c r="BN58" s="28" t="n">
        <v>0.577114</v>
      </c>
      <c r="BO58" s="28" t="n"/>
      <c r="BP58" s="38" t="n"/>
      <c r="BQ58" s="39" t="n"/>
      <c r="BR58" s="28" t="n"/>
      <c r="BS58" s="28" t="n"/>
      <c r="BT58" s="28" t="n"/>
      <c r="BU58" s="38" t="n"/>
      <c r="BV58" s="29" t="n"/>
      <c r="BW58" s="24" t="n"/>
      <c r="BX58" s="40" t="n"/>
      <c r="BY58" s="39" t="n"/>
      <c r="BZ58" s="24" t="n"/>
      <c r="CA58" s="31" t="n"/>
    </row>
    <row r="59" ht="36" customHeight="1">
      <c r="A59" s="24" t="inlineStr">
        <is>
          <t>7e8754f391d2475e</t>
        </is>
      </c>
      <c r="B59" s="24" t="inlineStr">
        <is>
          <t>2026-07-19T10:49:38.448695+00:00</t>
        </is>
      </c>
      <c r="C59" s="24" t="inlineStr">
        <is>
          <t>2026-07-18T14:00:00-0400</t>
        </is>
      </c>
      <c r="D59" s="24" t="inlineStr">
        <is>
          <t>Detr-LosA-2026-07-18</t>
        </is>
      </c>
      <c r="E59" s="24" t="inlineStr">
        <is>
          <t>MLB</t>
        </is>
      </c>
      <c r="F59" s="24" t="inlineStr">
        <is>
          <t>Detroit Tigers</t>
        </is>
      </c>
      <c r="G59" s="24" t="inlineStr">
        <is>
          <t>Los Angeles Angels</t>
        </is>
      </c>
      <c r="H59" s="24" t="inlineStr">
        <is>
          <t>moneyline</t>
        </is>
      </c>
      <c r="I59" s="24" t="inlineStr">
        <is>
          <t>away</t>
        </is>
      </c>
      <c r="J59" s="38" t="n"/>
      <c r="K59" s="24" t="inlineStr">
        <is>
          <t>polymarket</t>
        </is>
      </c>
      <c r="L59" s="26" t="n">
        <v>-178</v>
      </c>
      <c r="M59" s="39" t="n">
        <v>1.561798</v>
      </c>
      <c r="N59" s="28" t="n">
        <v>0.640288</v>
      </c>
      <c r="O59" s="28" t="n">
        <v>0.550233</v>
      </c>
      <c r="P59" s="28" t="n">
        <v>0.05</v>
      </c>
      <c r="Q59" s="28" t="n">
        <v>-0.090055</v>
      </c>
      <c r="R59" s="26" t="n">
        <v>9</v>
      </c>
      <c r="S59" s="29" t="n">
        <v>1</v>
      </c>
      <c r="T59" s="24" t="inlineStr">
        <is>
          <t>mlb-elo-trend-lr-v4</t>
        </is>
      </c>
      <c r="U59" s="24" t="inlineStr">
        <is>
          <t>settled</t>
        </is>
      </c>
      <c r="V59" s="24" t="inlineStr">
        <is>
          <t>win</t>
        </is>
      </c>
      <c r="W59" s="26" t="n">
        <v>7</v>
      </c>
      <c r="X59" s="26" t="n">
        <v>0</v>
      </c>
      <c r="Y59" s="38" t="n"/>
      <c r="Z59" s="26" t="n"/>
      <c r="AA59" s="28" t="n"/>
      <c r="AB59" s="28" t="n"/>
      <c r="AC59" s="40" t="n">
        <v>0.5618</v>
      </c>
      <c r="AD59" s="24" t="inlineStr">
        <is>
          <t>2026-07-19T12:18:56.428327+00:00</t>
        </is>
      </c>
      <c r="AE59" s="31" t="inlineStr">
        <is>
          <t>backtest</t>
        </is>
      </c>
      <c r="AF59" s="31" t="n"/>
      <c r="AG59" s="24" t="n"/>
      <c r="AH59" s="24" t="n"/>
      <c r="AI59" s="31" t="n"/>
      <c r="AJ59" s="31" t="n"/>
      <c r="AK59" s="24" t="n"/>
      <c r="AL59" s="26" t="n"/>
      <c r="AM59" s="24" t="n"/>
      <c r="AN59" s="24" t="n"/>
      <c r="AO59" s="24" t="n"/>
      <c r="AP59" s="24" t="n"/>
      <c r="AQ59" s="24" t="n"/>
      <c r="AR59" s="24" t="n"/>
      <c r="AS59" s="24" t="n"/>
      <c r="AT59" s="24" t="n"/>
      <c r="AU59" s="24" t="n"/>
      <c r="AV59" s="24" t="n"/>
      <c r="AW59" s="24" t="n"/>
      <c r="AX59" s="24" t="n"/>
      <c r="AY59" s="24" t="n"/>
      <c r="AZ59" s="24" t="n"/>
      <c r="BA59" s="24" t="inlineStr">
        <is>
          <t>5224fb6ffbc9ddf8fa517627b830ac851192da94d241963d556945393a42bb9d</t>
        </is>
      </c>
      <c r="BB59" s="24" t="n"/>
      <c r="BC59" s="24" t="inlineStr">
        <is>
          <t>mlb-elo-trend-lr-v4</t>
        </is>
      </c>
      <c r="BD59" s="24" t="inlineStr">
        <is>
          <t>5224fb6ffbc9ddf8fa517627b830ac851192da94d241963d556945393a42bb9d</t>
        </is>
      </c>
      <c r="BE59" s="24" t="n"/>
      <c r="BF59" s="24" t="n"/>
      <c r="BG59" s="24" t="n"/>
      <c r="BH59" s="24" t="inlineStr">
        <is>
          <t>2026-07-18T17:33:26.013189Z</t>
        </is>
      </c>
      <c r="BI59" s="24" t="n"/>
      <c r="BJ59" s="38" t="n"/>
      <c r="BK59" s="26" t="n">
        <v>-178</v>
      </c>
      <c r="BL59" s="39" t="n">
        <v>1.561798</v>
      </c>
      <c r="BM59" s="28" t="n">
        <v>0.640288</v>
      </c>
      <c r="BN59" s="28" t="n">
        <v>0.636816</v>
      </c>
      <c r="BO59" s="28" t="n"/>
      <c r="BP59" s="38" t="n"/>
      <c r="BQ59" s="39" t="n"/>
      <c r="BR59" s="28" t="n"/>
      <c r="BS59" s="28" t="n"/>
      <c r="BT59" s="28" t="n"/>
      <c r="BU59" s="38" t="n"/>
      <c r="BV59" s="29" t="n"/>
      <c r="BW59" s="24" t="n"/>
      <c r="BX59" s="40" t="n"/>
      <c r="BY59" s="39" t="n"/>
      <c r="BZ59" s="24" t="n"/>
      <c r="CA59" s="31" t="n"/>
    </row>
    <row r="60" ht="36" customHeight="1">
      <c r="A60" s="24" t="inlineStr">
        <is>
          <t>5c32fca0897f4465</t>
        </is>
      </c>
      <c r="B60" s="24" t="inlineStr">
        <is>
          <t>2026-07-19T10:49:38.448695+00:00</t>
        </is>
      </c>
      <c r="C60" s="24" t="inlineStr">
        <is>
          <t>2026-07-18T14:00:00-0400</t>
        </is>
      </c>
      <c r="D60" s="24" t="inlineStr">
        <is>
          <t>Port-Minn-2026-07-18</t>
        </is>
      </c>
      <c r="E60" s="24" t="inlineStr">
        <is>
          <t>WNBA</t>
        </is>
      </c>
      <c r="F60" s="24" t="inlineStr">
        <is>
          <t>Portland Fire</t>
        </is>
      </c>
      <c r="G60" s="24" t="inlineStr">
        <is>
          <t>Minnesota Lynx</t>
        </is>
      </c>
      <c r="H60" s="24" t="inlineStr">
        <is>
          <t>moneyline</t>
        </is>
      </c>
      <c r="I60" s="24" t="inlineStr">
        <is>
          <t>home</t>
        </is>
      </c>
      <c r="J60" s="38" t="n"/>
      <c r="K60" s="24" t="inlineStr">
        <is>
          <t>polymarket</t>
        </is>
      </c>
      <c r="L60" s="26" t="n">
        <v>-669</v>
      </c>
      <c r="M60" s="39" t="n">
        <v>1.149477</v>
      </c>
      <c r="N60" s="28" t="n">
        <v>0.869961</v>
      </c>
      <c r="O60" s="28" t="n">
        <v>0.741703</v>
      </c>
      <c r="P60" s="28" t="n">
        <v>0.05</v>
      </c>
      <c r="Q60" s="28" t="n">
        <v>-0.128258</v>
      </c>
      <c r="R60" s="26" t="n"/>
      <c r="S60" s="29" t="n">
        <v>2</v>
      </c>
      <c r="T60" s="24" t="inlineStr">
        <is>
          <t>wnba-elo-trend-lr-v3</t>
        </is>
      </c>
      <c r="U60" s="24" t="inlineStr">
        <is>
          <t>settled</t>
        </is>
      </c>
      <c r="V60" s="24" t="inlineStr">
        <is>
          <t>win</t>
        </is>
      </c>
      <c r="W60" s="26" t="n">
        <v>93</v>
      </c>
      <c r="X60" s="26" t="n">
        <v>101</v>
      </c>
      <c r="Y60" s="38" t="n"/>
      <c r="Z60" s="26" t="n"/>
      <c r="AA60" s="28" t="n"/>
      <c r="AB60" s="28" t="n"/>
      <c r="AC60" s="40" t="n">
        <v>0.299</v>
      </c>
      <c r="AD60" s="24" t="inlineStr">
        <is>
          <t>2026-07-19T12:18:56.428398+00:00</t>
        </is>
      </c>
      <c r="AE60" s="31" t="inlineStr">
        <is>
          <t>backtest</t>
        </is>
      </c>
      <c r="AF60" s="31" t="n"/>
      <c r="AG60" s="24" t="n"/>
      <c r="AH60" s="24" t="n"/>
      <c r="AI60" s="31" t="n"/>
      <c r="AJ60" s="31" t="n"/>
      <c r="AK60" s="24" t="n"/>
      <c r="AL60" s="26" t="n"/>
      <c r="AM60" s="24" t="n"/>
      <c r="AN60" s="24" t="n"/>
      <c r="AO60" s="24" t="n"/>
      <c r="AP60" s="24" t="n"/>
      <c r="AQ60" s="24" t="n"/>
      <c r="AR60" s="24" t="n"/>
      <c r="AS60" s="24" t="n"/>
      <c r="AT60" s="24" t="n"/>
      <c r="AU60" s="24" t="n"/>
      <c r="AV60" s="24" t="n"/>
      <c r="AW60" s="24" t="n"/>
      <c r="AX60" s="24" t="n"/>
      <c r="AY60" s="24" t="n"/>
      <c r="AZ60" s="24" t="n"/>
      <c r="BA60" s="24" t="n"/>
      <c r="BB60" s="24" t="n"/>
      <c r="BC60" s="24" t="n"/>
      <c r="BD60" s="24" t="n"/>
      <c r="BE60" s="24" t="n"/>
      <c r="BF60" s="24" t="n"/>
      <c r="BG60" s="24" t="n"/>
      <c r="BH60" s="24" t="inlineStr">
        <is>
          <t>2026-07-18T17:33:30.250960Z</t>
        </is>
      </c>
      <c r="BI60" s="24" t="n"/>
      <c r="BJ60" s="38" t="n"/>
      <c r="BK60" s="26" t="n">
        <v>-669</v>
      </c>
      <c r="BL60" s="39" t="n">
        <v>1.149477</v>
      </c>
      <c r="BM60" s="28" t="n">
        <v>0.869961</v>
      </c>
      <c r="BN60" s="28" t="n">
        <v>0.861386</v>
      </c>
      <c r="BO60" s="28" t="n"/>
      <c r="BP60" s="38" t="n"/>
      <c r="BQ60" s="39" t="n"/>
      <c r="BR60" s="28" t="n"/>
      <c r="BS60" s="28" t="n"/>
      <c r="BT60" s="28" t="n"/>
      <c r="BU60" s="38" t="n"/>
      <c r="BV60" s="29" t="n"/>
      <c r="BW60" s="24" t="n"/>
      <c r="BX60" s="40" t="n"/>
      <c r="BY60" s="39" t="n"/>
      <c r="BZ60" s="24" t="n"/>
      <c r="CA60" s="31" t="n"/>
    </row>
    <row r="61" ht="36" customHeight="1">
      <c r="A61" s="24" t="inlineStr">
        <is>
          <t>413a2bc86aab48de</t>
        </is>
      </c>
      <c r="B61" s="24" t="inlineStr">
        <is>
          <t>2026-07-19T10:49:38.448695+00:00</t>
        </is>
      </c>
      <c r="C61" s="24" t="inlineStr">
        <is>
          <t>2026-07-18T14:00:00-0400</t>
        </is>
      </c>
      <c r="D61" s="24" t="inlineStr">
        <is>
          <t>Wash-Gold-2026-07-18</t>
        </is>
      </c>
      <c r="E61" s="24" t="inlineStr">
        <is>
          <t>WNBA</t>
        </is>
      </c>
      <c r="F61" s="24" t="inlineStr">
        <is>
          <t>Washington Mystics</t>
        </is>
      </c>
      <c r="G61" s="24" t="inlineStr">
        <is>
          <t>Golden State Valkyries</t>
        </is>
      </c>
      <c r="H61" s="24" t="inlineStr">
        <is>
          <t>moneyline</t>
        </is>
      </c>
      <c r="I61" s="24" t="inlineStr">
        <is>
          <t>home</t>
        </is>
      </c>
      <c r="J61" s="38" t="n"/>
      <c r="K61" s="24" t="inlineStr">
        <is>
          <t>polymarket</t>
        </is>
      </c>
      <c r="L61" s="26" t="n">
        <v>-355</v>
      </c>
      <c r="M61" s="39" t="n">
        <v>1.28169</v>
      </c>
      <c r="N61" s="28" t="n">
        <v>0.78022</v>
      </c>
      <c r="O61" s="28" t="n">
        <v>0.743891</v>
      </c>
      <c r="P61" s="28" t="n">
        <v>0.05</v>
      </c>
      <c r="Q61" s="28" t="n">
        <v>-0.036329</v>
      </c>
      <c r="R61" s="26" t="n"/>
      <c r="S61" s="29" t="n">
        <v>2</v>
      </c>
      <c r="T61" s="24" t="inlineStr">
        <is>
          <t>wnba-elo-trend-lr-v3</t>
        </is>
      </c>
      <c r="U61" s="24" t="inlineStr">
        <is>
          <t>settled</t>
        </is>
      </c>
      <c r="V61" s="24" t="inlineStr">
        <is>
          <t>win</t>
        </is>
      </c>
      <c r="W61" s="26" t="n">
        <v>69</v>
      </c>
      <c r="X61" s="26" t="n">
        <v>74</v>
      </c>
      <c r="Y61" s="38" t="n"/>
      <c r="Z61" s="26" t="n"/>
      <c r="AA61" s="28" t="n"/>
      <c r="AB61" s="28" t="n"/>
      <c r="AC61" s="40" t="n">
        <v>0.5634</v>
      </c>
      <c r="AD61" s="24" t="inlineStr">
        <is>
          <t>2026-07-19T12:18:56.428540+00:00</t>
        </is>
      </c>
      <c r="AE61" s="31" t="inlineStr">
        <is>
          <t>backtest</t>
        </is>
      </c>
      <c r="AF61" s="31" t="n"/>
      <c r="AG61" s="24" t="n"/>
      <c r="AH61" s="24" t="n"/>
      <c r="AI61" s="31" t="n"/>
      <c r="AJ61" s="31" t="n"/>
      <c r="AK61" s="24" t="n"/>
      <c r="AL61" s="26" t="n"/>
      <c r="AM61" s="24" t="n"/>
      <c r="AN61" s="24" t="n"/>
      <c r="AO61" s="24" t="n"/>
      <c r="AP61" s="24" t="n"/>
      <c r="AQ61" s="24" t="n"/>
      <c r="AR61" s="24" t="n"/>
      <c r="AS61" s="24" t="n"/>
      <c r="AT61" s="24" t="n"/>
      <c r="AU61" s="24" t="n"/>
      <c r="AV61" s="24" t="n"/>
      <c r="AW61" s="24" t="n"/>
      <c r="AX61" s="24" t="n"/>
      <c r="AY61" s="24" t="n"/>
      <c r="AZ61" s="24" t="n"/>
      <c r="BA61" s="24" t="n"/>
      <c r="BB61" s="24" t="n"/>
      <c r="BC61" s="24" t="n"/>
      <c r="BD61" s="24" t="n"/>
      <c r="BE61" s="24" t="n"/>
      <c r="BF61" s="24" t="n"/>
      <c r="BG61" s="24" t="n"/>
      <c r="BH61" s="24" t="inlineStr">
        <is>
          <t>2026-07-18T17:33:31.640957Z</t>
        </is>
      </c>
      <c r="BI61" s="24" t="n"/>
      <c r="BJ61" s="38" t="n"/>
      <c r="BK61" s="26" t="n">
        <v>-355</v>
      </c>
      <c r="BL61" s="39" t="n">
        <v>1.28169</v>
      </c>
      <c r="BM61" s="28" t="n">
        <v>0.78022</v>
      </c>
      <c r="BN61" s="28" t="n">
        <v>0.772277</v>
      </c>
      <c r="BO61" s="28" t="n"/>
      <c r="BP61" s="38" t="n"/>
      <c r="BQ61" s="39" t="n"/>
      <c r="BR61" s="28" t="n"/>
      <c r="BS61" s="28" t="n"/>
      <c r="BT61" s="28" t="n"/>
      <c r="BU61" s="38" t="n"/>
      <c r="BV61" s="29" t="n"/>
      <c r="BW61" s="24" t="n"/>
      <c r="BX61" s="40" t="n"/>
      <c r="BY61" s="39" t="n"/>
      <c r="BZ61" s="24" t="n"/>
      <c r="CA61" s="31" t="n"/>
    </row>
    <row r="62" ht="36" customHeight="1">
      <c r="A62" s="24" t="inlineStr">
        <is>
          <t>5df3c9112e914547</t>
        </is>
      </c>
      <c r="B62" s="24" t="inlineStr">
        <is>
          <t>2026-07-20T15:44:31.508407Z</t>
        </is>
      </c>
      <c r="C62" s="24" t="inlineStr">
        <is>
          <t>2026-07-20T18:40:00-0400</t>
        </is>
      </c>
      <c r="D62" s="24" t="inlineStr">
        <is>
          <t>401816188</t>
        </is>
      </c>
      <c r="E62" s="24" t="inlineStr">
        <is>
          <t>MLB</t>
        </is>
      </c>
      <c r="F62" s="24" t="inlineStr">
        <is>
          <t>Minnesota Twins</t>
        </is>
      </c>
      <c r="G62" s="24" t="inlineStr">
        <is>
          <t>Cleveland Guardians</t>
        </is>
      </c>
      <c r="H62" s="24" t="inlineStr">
        <is>
          <t>moneyline</t>
        </is>
      </c>
      <c r="I62" s="24" t="inlineStr">
        <is>
          <t>home</t>
        </is>
      </c>
      <c r="J62" s="38" t="n"/>
      <c r="K62" s="24" t="inlineStr">
        <is>
          <t>polymarket_us</t>
        </is>
      </c>
      <c r="L62" s="26" t="n">
        <v>113</v>
      </c>
      <c r="M62" s="39" t="n">
        <v>2.13</v>
      </c>
      <c r="N62" s="28" t="n">
        <v>0.469484</v>
      </c>
      <c r="O62" s="28" t="n">
        <v>0.5726869999999999</v>
      </c>
      <c r="P62" s="28" t="n"/>
      <c r="Q62" s="28" t="n">
        <v>0.103203</v>
      </c>
      <c r="R62" s="26" t="n">
        <v>100</v>
      </c>
      <c r="S62" s="29" t="n">
        <v>1.25</v>
      </c>
      <c r="T62" s="24" t="inlineStr">
        <is>
          <t>mlb-elo-trend-lr-v4</t>
        </is>
      </c>
      <c r="U62" s="24" t="inlineStr">
        <is>
          <t>open</t>
        </is>
      </c>
      <c r="V62" s="24" t="n"/>
      <c r="W62" s="26" t="n"/>
      <c r="X62" s="26" t="n"/>
      <c r="Y62" s="38" t="n"/>
      <c r="Z62" s="26" t="n"/>
      <c r="AA62" s="28" t="n"/>
      <c r="AB62" s="28" t="n"/>
      <c r="AC62" s="40" t="n"/>
      <c r="AD62" s="24" t="n"/>
      <c r="AE62" s="31" t="inlineStr">
        <is>
          <t>Learned LR call at threshold 0.5500; executable ask 0.4700 (aec-mlb-min-cle-2026-07-20).</t>
        </is>
      </c>
      <c r="AF62" s="31" t="inlineStr">
        <is>
          <t>Learned model; promotion gate not yet open; zero-unit research until review.</t>
        </is>
      </c>
      <c r="AG62" s="24" t="inlineStr">
        <is>
          <t>not_applicable</t>
        </is>
      </c>
      <c r="AH62" s="24" t="n"/>
      <c r="AI62" s="31" t="n"/>
      <c r="AJ62" s="31" t="n"/>
      <c r="AK62" s="24" t="inlineStr">
        <is>
          <t>research_observation</t>
        </is>
      </c>
      <c r="AL62" s="26" t="n">
        <v>3</v>
      </c>
      <c r="AM62" s="24" t="inlineStr">
        <is>
          <t>RESEARCH_OBSERVATION</t>
        </is>
      </c>
      <c r="AN62" s="24" t="inlineStr">
        <is>
          <t>NO_CALL</t>
        </is>
      </c>
      <c r="AO62" s="24" t="inlineStr">
        <is>
          <t>NO_CALL_LARGE_DISAGREEMENT_REVIEW</t>
        </is>
      </c>
      <c r="AP62" s="24" t="inlineStr">
        <is>
          <t>mlb-min</t>
        </is>
      </c>
      <c r="AQ62" s="24" t="inlineStr">
        <is>
          <t>Minnesota Twins</t>
        </is>
      </c>
      <c r="AR62" s="24" t="inlineStr">
        <is>
          <t>Minnesota Twins</t>
        </is>
      </c>
      <c r="AS62" s="24" t="inlineStr">
        <is>
          <t>mlb-cle</t>
        </is>
      </c>
      <c r="AT62" s="24" t="inlineStr">
        <is>
          <t>Cleveland Guardians</t>
        </is>
      </c>
      <c r="AU62" s="24" t="inlineStr">
        <is>
          <t>Cleveland Guardians</t>
        </is>
      </c>
      <c r="AV62" s="24" t="n"/>
      <c r="AW62" s="24" t="n"/>
      <c r="AX62" s="24" t="inlineStr">
        <is>
          <t>statistical_model</t>
        </is>
      </c>
      <c r="AY62" s="24" t="n"/>
      <c r="AZ62" s="24" t="inlineStr">
        <is>
          <t>shadow_qualified</t>
        </is>
      </c>
      <c r="BA62" s="24" t="inlineStr">
        <is>
          <t>5224fb6ffbc9ddf8fa517627b830ac851192da94d241963d556945393a42bb9d</t>
        </is>
      </c>
      <c r="BB62" s="24" t="inlineStr">
        <is>
          <t>learned_lr</t>
        </is>
      </c>
      <c r="BC62" s="24" t="inlineStr">
        <is>
          <t>mlb-elo-trend-lr-v4</t>
        </is>
      </c>
      <c r="BD62" s="24" t="inlineStr">
        <is>
          <t>5224fb6ffbc9ddf8fa517627b830ac851192da94d241963d556945393a42bb9d</t>
        </is>
      </c>
      <c r="BE62" s="24" t="inlineStr">
        <is>
          <t>2170ac399ced5417</t>
        </is>
      </c>
      <c r="BF62" s="24" t="inlineStr">
        <is>
          <t>1</t>
        </is>
      </c>
      <c r="BG62" s="24" t="inlineStr">
        <is>
          <t>mlb-elo-trend-lr-v4</t>
        </is>
      </c>
      <c r="BH62" s="24" t="inlineStr">
        <is>
          <t>2026-07-20T15:40:37.473344Z</t>
        </is>
      </c>
      <c r="BI62" s="24" t="inlineStr">
        <is>
          <t>["same_event","same_team_same_day","same_league_same_day"]</t>
        </is>
      </c>
      <c r="BJ62" s="38" t="n"/>
      <c r="BK62" s="26" t="n">
        <v>113</v>
      </c>
      <c r="BL62" s="39" t="n">
        <v>2.13</v>
      </c>
      <c r="BM62" s="28" t="n">
        <v>0.469484</v>
      </c>
      <c r="BN62" s="28" t="n">
        <v>0.467662</v>
      </c>
      <c r="BO62" s="28" t="n"/>
      <c r="BP62" s="38" t="n"/>
      <c r="BQ62" s="39" t="n"/>
      <c r="BR62" s="28" t="n"/>
      <c r="BS62" s="28" t="n"/>
      <c r="BT62" s="28" t="n"/>
      <c r="BU62" s="38" t="n"/>
      <c r="BV62" s="29" t="n"/>
      <c r="BW62" s="24" t="n"/>
      <c r="BX62" s="40" t="n"/>
      <c r="BY62" s="39" t="n"/>
      <c r="BZ62" s="24" t="n"/>
      <c r="CA62" s="31" t="n"/>
    </row>
    <row r="63" ht="36" customHeight="1">
      <c r="A63" s="24" t="inlineStr">
        <is>
          <t>e598241db79c4dfb</t>
        </is>
      </c>
      <c r="B63" s="24" t="inlineStr">
        <is>
          <t>2026-07-20T15:44:31.508407Z</t>
        </is>
      </c>
      <c r="C63" s="24" t="inlineStr">
        <is>
          <t>2026-07-20T19:00:00-0400</t>
        </is>
      </c>
      <c r="D63" s="24" t="inlineStr">
        <is>
          <t>401816187</t>
        </is>
      </c>
      <c r="E63" s="24" t="inlineStr">
        <is>
          <t>MLB</t>
        </is>
      </c>
      <c r="F63" s="24" t="inlineStr">
        <is>
          <t>Los Angeles Dodgers</t>
        </is>
      </c>
      <c r="G63" s="24" t="inlineStr">
        <is>
          <t>Philadelphia Phillies</t>
        </is>
      </c>
      <c r="H63" s="24" t="inlineStr">
        <is>
          <t>moneyline</t>
        </is>
      </c>
      <c r="I63" s="24" t="inlineStr">
        <is>
          <t>away</t>
        </is>
      </c>
      <c r="J63" s="38" t="n"/>
      <c r="K63" s="24" t="inlineStr">
        <is>
          <t>polymarket_us</t>
        </is>
      </c>
      <c r="L63" s="26" t="n">
        <v>125</v>
      </c>
      <c r="M63" s="39" t="n">
        <v>2.25</v>
      </c>
      <c r="N63" s="28" t="n">
        <v>0.444444</v>
      </c>
      <c r="O63" s="28" t="n">
        <v>0.513332</v>
      </c>
      <c r="P63" s="28" t="n"/>
      <c r="Q63" s="28" t="n">
        <v>0.068888</v>
      </c>
      <c r="R63" s="26" t="n">
        <v>54</v>
      </c>
      <c r="S63" s="29" t="n">
        <v>0.75</v>
      </c>
      <c r="T63" s="24" t="inlineStr">
        <is>
          <t>mlb-elo-trend-lr-v4</t>
        </is>
      </c>
      <c r="U63" s="24" t="inlineStr">
        <is>
          <t>open</t>
        </is>
      </c>
      <c r="V63" s="24" t="n"/>
      <c r="W63" s="26" t="n"/>
      <c r="X63" s="26" t="n"/>
      <c r="Y63" s="38" t="n"/>
      <c r="Z63" s="26" t="n"/>
      <c r="AA63" s="28" t="n"/>
      <c r="AB63" s="28" t="n"/>
      <c r="AC63" s="40" t="n"/>
      <c r="AD63" s="24" t="n"/>
      <c r="AE63" s="31" t="inlineStr">
        <is>
          <t>Learned LR call at threshold 0.5500; executable ask 0.4450 (aec-mlb-lad-phi-2026-07-20).</t>
        </is>
      </c>
      <c r="AF63" s="31" t="inlineStr">
        <is>
          <t>Learned model; promotion gate not yet open; zero-unit research until review.</t>
        </is>
      </c>
      <c r="AG63" s="24" t="inlineStr">
        <is>
          <t>not_applicable</t>
        </is>
      </c>
      <c r="AH63" s="24" t="n"/>
      <c r="AI63" s="31" t="n"/>
      <c r="AJ63" s="31" t="n"/>
      <c r="AK63" s="24" t="inlineStr">
        <is>
          <t>research_observation</t>
        </is>
      </c>
      <c r="AL63" s="26" t="n">
        <v>3</v>
      </c>
      <c r="AM63" s="24" t="inlineStr">
        <is>
          <t>RESEARCH_OBSERVATION</t>
        </is>
      </c>
      <c r="AN63" s="24" t="inlineStr">
        <is>
          <t>NO_CALL</t>
        </is>
      </c>
      <c r="AO63" s="24" t="inlineStr">
        <is>
          <t>NO_CALL_LOW_EDGE</t>
        </is>
      </c>
      <c r="AP63" s="24" t="inlineStr">
        <is>
          <t>mlb-lad</t>
        </is>
      </c>
      <c r="AQ63" s="24" t="inlineStr">
        <is>
          <t>Los Angeles Dodgers</t>
        </is>
      </c>
      <c r="AR63" s="24" t="inlineStr">
        <is>
          <t>Los Angeles Dodgers</t>
        </is>
      </c>
      <c r="AS63" s="24" t="inlineStr">
        <is>
          <t>mlb-phi</t>
        </is>
      </c>
      <c r="AT63" s="24" t="inlineStr">
        <is>
          <t>Philadelphia Phillies</t>
        </is>
      </c>
      <c r="AU63" s="24" t="inlineStr">
        <is>
          <t>Philadelphia Phillies</t>
        </is>
      </c>
      <c r="AV63" s="24" t="n"/>
      <c r="AW63" s="24" t="n"/>
      <c r="AX63" s="24" t="inlineStr">
        <is>
          <t>statistical_model</t>
        </is>
      </c>
      <c r="AY63" s="24" t="n"/>
      <c r="AZ63" s="24" t="inlineStr">
        <is>
          <t>shadow_qualified</t>
        </is>
      </c>
      <c r="BA63" s="24" t="inlineStr">
        <is>
          <t>5224fb6ffbc9ddf8fa517627b830ac851192da94d241963d556945393a42bb9d</t>
        </is>
      </c>
      <c r="BB63" s="24" t="inlineStr">
        <is>
          <t>learned_lr</t>
        </is>
      </c>
      <c r="BC63" s="24" t="inlineStr">
        <is>
          <t>mlb-elo-trend-lr-v4</t>
        </is>
      </c>
      <c r="BD63" s="24" t="inlineStr">
        <is>
          <t>5224fb6ffbc9ddf8fa517627b830ac851192da94d241963d556945393a42bb9d</t>
        </is>
      </c>
      <c r="BE63" s="24" t="inlineStr">
        <is>
          <t>bac520e15b938e92</t>
        </is>
      </c>
      <c r="BF63" s="24" t="inlineStr">
        <is>
          <t>1</t>
        </is>
      </c>
      <c r="BG63" s="24" t="inlineStr">
        <is>
          <t>mlb-elo-trend-lr-v4</t>
        </is>
      </c>
      <c r="BH63" s="24" t="inlineStr">
        <is>
          <t>2026-07-20T15:40:44.245309Z</t>
        </is>
      </c>
      <c r="BI63" s="24" t="inlineStr">
        <is>
          <t>["same_event","same_team_same_day","same_league_same_day"]</t>
        </is>
      </c>
      <c r="BJ63" s="38" t="n"/>
      <c r="BK63" s="26" t="n">
        <v>125</v>
      </c>
      <c r="BL63" s="39" t="n">
        <v>2.25</v>
      </c>
      <c r="BM63" s="28" t="n">
        <v>0.444444</v>
      </c>
      <c r="BN63" s="28" t="n">
        <v>0.442786</v>
      </c>
      <c r="BO63" s="28" t="n"/>
      <c r="BP63" s="38" t="n"/>
      <c r="BQ63" s="39" t="n"/>
      <c r="BR63" s="28" t="n"/>
      <c r="BS63" s="28" t="n"/>
      <c r="BT63" s="28" t="n"/>
      <c r="BU63" s="38" t="n"/>
      <c r="BV63" s="29" t="n"/>
      <c r="BW63" s="24" t="n"/>
      <c r="BX63" s="40" t="n"/>
      <c r="BY63" s="39" t="n"/>
      <c r="BZ63" s="24" t="n"/>
      <c r="CA63" s="31" t="n"/>
    </row>
    <row r="64" ht="36" customHeight="1">
      <c r="A64" s="24" t="inlineStr">
        <is>
          <t>099694587c434b4a</t>
        </is>
      </c>
      <c r="B64" s="24" t="inlineStr">
        <is>
          <t>2026-07-20T15:44:31.508407Z</t>
        </is>
      </c>
      <c r="C64" s="24" t="inlineStr">
        <is>
          <t>2026-07-20T19:05:00-0400</t>
        </is>
      </c>
      <c r="D64" s="24" t="inlineStr">
        <is>
          <t>401816189</t>
        </is>
      </c>
      <c r="E64" s="24" t="inlineStr">
        <is>
          <t>MLB</t>
        </is>
      </c>
      <c r="F64" s="24" t="inlineStr">
        <is>
          <t>Pittsburgh Pirates</t>
        </is>
      </c>
      <c r="G64" s="24" t="inlineStr">
        <is>
          <t>New York Yankees</t>
        </is>
      </c>
      <c r="H64" s="24" t="inlineStr">
        <is>
          <t>moneyline</t>
        </is>
      </c>
      <c r="I64" s="24" t="inlineStr">
        <is>
          <t>home</t>
        </is>
      </c>
      <c r="J64" s="38" t="n"/>
      <c r="K64" s="24" t="inlineStr">
        <is>
          <t>polymarket_us</t>
        </is>
      </c>
      <c r="L64" s="26" t="n">
        <v>-108</v>
      </c>
      <c r="M64" s="39" t="n">
        <v>1.925926</v>
      </c>
      <c r="N64" s="28" t="n">
        <v>0.519231</v>
      </c>
      <c r="O64" s="28" t="n">
        <v>0.578558</v>
      </c>
      <c r="P64" s="28" t="n"/>
      <c r="Q64" s="28" t="n">
        <v>0.059327</v>
      </c>
      <c r="R64" s="26" t="n">
        <v>50</v>
      </c>
      <c r="S64" s="29" t="n">
        <v>1.25</v>
      </c>
      <c r="T64" s="24" t="inlineStr">
        <is>
          <t>mlb-elo-trend-lr-v4</t>
        </is>
      </c>
      <c r="U64" s="24" t="inlineStr">
        <is>
          <t>open</t>
        </is>
      </c>
      <c r="V64" s="24" t="n"/>
      <c r="W64" s="26" t="n"/>
      <c r="X64" s="26" t="n"/>
      <c r="Y64" s="38" t="n"/>
      <c r="Z64" s="26" t="n"/>
      <c r="AA64" s="28" t="n"/>
      <c r="AB64" s="28" t="n"/>
      <c r="AC64" s="40" t="n"/>
      <c r="AD64" s="24" t="n"/>
      <c r="AE64" s="31" t="inlineStr">
        <is>
          <t>Learned LR call at threshold 0.5500; executable ask 0.5200 (aec-mlb-pit-nyy-2026-07-20).</t>
        </is>
      </c>
      <c r="AF64" s="31" t="inlineStr">
        <is>
          <t>Learned model; promotion gate not yet open; zero-unit research until review.</t>
        </is>
      </c>
      <c r="AG64" s="24" t="inlineStr">
        <is>
          <t>not_applicable</t>
        </is>
      </c>
      <c r="AH64" s="24" t="n"/>
      <c r="AI64" s="31" t="n"/>
      <c r="AJ64" s="31" t="n"/>
      <c r="AK64" s="24" t="inlineStr">
        <is>
          <t>research_observation</t>
        </is>
      </c>
      <c r="AL64" s="26" t="n">
        <v>3</v>
      </c>
      <c r="AM64" s="24" t="inlineStr">
        <is>
          <t>RESEARCH_OBSERVATION</t>
        </is>
      </c>
      <c r="AN64" s="24" t="inlineStr">
        <is>
          <t>NO_CALL</t>
        </is>
      </c>
      <c r="AO64" s="24" t="inlineStr">
        <is>
          <t>NO_CALL_LOW_EDGE</t>
        </is>
      </c>
      <c r="AP64" s="24" t="inlineStr">
        <is>
          <t>mlb-pit</t>
        </is>
      </c>
      <c r="AQ64" s="24" t="inlineStr">
        <is>
          <t>Pittsburgh Pirates</t>
        </is>
      </c>
      <c r="AR64" s="24" t="inlineStr">
        <is>
          <t>Pittsburgh Pirates</t>
        </is>
      </c>
      <c r="AS64" s="24" t="inlineStr">
        <is>
          <t>mlb-nyy</t>
        </is>
      </c>
      <c r="AT64" s="24" t="inlineStr">
        <is>
          <t>New York Yankees</t>
        </is>
      </c>
      <c r="AU64" s="24" t="inlineStr">
        <is>
          <t>New York Yankees</t>
        </is>
      </c>
      <c r="AV64" s="24" t="n"/>
      <c r="AW64" s="24" t="n"/>
      <c r="AX64" s="24" t="inlineStr">
        <is>
          <t>statistical_model</t>
        </is>
      </c>
      <c r="AY64" s="24" t="n"/>
      <c r="AZ64" s="24" t="inlineStr">
        <is>
          <t>shadow_qualified</t>
        </is>
      </c>
      <c r="BA64" s="24" t="inlineStr">
        <is>
          <t>5224fb6ffbc9ddf8fa517627b830ac851192da94d241963d556945393a42bb9d</t>
        </is>
      </c>
      <c r="BB64" s="24" t="inlineStr">
        <is>
          <t>learned_lr</t>
        </is>
      </c>
      <c r="BC64" s="24" t="inlineStr">
        <is>
          <t>mlb-elo-trend-lr-v4</t>
        </is>
      </c>
      <c r="BD64" s="24" t="inlineStr">
        <is>
          <t>5224fb6ffbc9ddf8fa517627b830ac851192da94d241963d556945393a42bb9d</t>
        </is>
      </c>
      <c r="BE64" s="24" t="inlineStr">
        <is>
          <t>38ab7db5a3798f0c</t>
        </is>
      </c>
      <c r="BF64" s="24" t="inlineStr">
        <is>
          <t>1</t>
        </is>
      </c>
      <c r="BG64" s="24" t="inlineStr">
        <is>
          <t>mlb-elo-trend-lr-v4</t>
        </is>
      </c>
      <c r="BH64" s="24" t="inlineStr">
        <is>
          <t>2026-07-20T15:40:38.983839Z</t>
        </is>
      </c>
      <c r="BI64" s="24" t="inlineStr">
        <is>
          <t>["same_event","same_team_same_day","same_league_same_day"]</t>
        </is>
      </c>
      <c r="BJ64" s="38" t="n"/>
      <c r="BK64" s="26" t="n">
        <v>-108</v>
      </c>
      <c r="BL64" s="39" t="n">
        <v>1.925926</v>
      </c>
      <c r="BM64" s="28" t="n">
        <v>0.519231</v>
      </c>
      <c r="BN64" s="28" t="n">
        <v>0.517413</v>
      </c>
      <c r="BO64" s="28" t="n"/>
      <c r="BP64" s="38" t="n"/>
      <c r="BQ64" s="39" t="n"/>
      <c r="BR64" s="28" t="n"/>
      <c r="BS64" s="28" t="n"/>
      <c r="BT64" s="28" t="n"/>
      <c r="BU64" s="38" t="n"/>
      <c r="BV64" s="29" t="n"/>
      <c r="BW64" s="24" t="n"/>
      <c r="BX64" s="40" t="n"/>
      <c r="BY64" s="39" t="n"/>
      <c r="BZ64" s="24" t="n"/>
      <c r="CA64" s="31" t="n"/>
    </row>
    <row r="65" ht="36" customHeight="1">
      <c r="A65" s="24" t="inlineStr">
        <is>
          <t>6c1b1d290ce24d73</t>
        </is>
      </c>
      <c r="B65" s="24" t="inlineStr">
        <is>
          <t>2026-07-20T15:44:31.508407Z</t>
        </is>
      </c>
      <c r="C65" s="24" t="inlineStr">
        <is>
          <t>2026-07-20T19:07:00-0400</t>
        </is>
      </c>
      <c r="D65" s="24" t="inlineStr">
        <is>
          <t>401816191</t>
        </is>
      </c>
      <c r="E65" s="24" t="inlineStr">
        <is>
          <t>MLB</t>
        </is>
      </c>
      <c r="F65" s="24" t="inlineStr">
        <is>
          <t>Tampa Bay Rays</t>
        </is>
      </c>
      <c r="G65" s="24" t="inlineStr">
        <is>
          <t>Toronto Blue Jays</t>
        </is>
      </c>
      <c r="H65" s="24" t="inlineStr">
        <is>
          <t>moneyline</t>
        </is>
      </c>
      <c r="I65" s="24" t="inlineStr">
        <is>
          <t>home</t>
        </is>
      </c>
      <c r="J65" s="38" t="n"/>
      <c r="K65" s="24" t="inlineStr">
        <is>
          <t>polymarket_us</t>
        </is>
      </c>
      <c r="L65" s="26" t="n">
        <v>-147</v>
      </c>
      <c r="M65" s="39" t="n">
        <v>1.680272</v>
      </c>
      <c r="N65" s="28" t="n">
        <v>0.5951419999999999</v>
      </c>
      <c r="O65" s="28" t="n">
        <v>0.530206</v>
      </c>
      <c r="P65" s="28" t="n"/>
      <c r="Q65" s="28" t="n">
        <v>-0.06493599999999999</v>
      </c>
      <c r="R65" s="26" t="n">
        <v>0</v>
      </c>
      <c r="S65" s="29" t="n">
        <v>0.75</v>
      </c>
      <c r="T65" s="24" t="inlineStr">
        <is>
          <t>mlb-elo-trend-lr-v4</t>
        </is>
      </c>
      <c r="U65" s="24" t="inlineStr">
        <is>
          <t>open</t>
        </is>
      </c>
      <c r="V65" s="24" t="n"/>
      <c r="W65" s="26" t="n"/>
      <c r="X65" s="26" t="n"/>
      <c r="Y65" s="38" t="n"/>
      <c r="Z65" s="26" t="n"/>
      <c r="AA65" s="28" t="n"/>
      <c r="AB65" s="28" t="n"/>
      <c r="AC65" s="40" t="n"/>
      <c r="AD65" s="24" t="n"/>
      <c r="AE65" s="31" t="inlineStr">
        <is>
          <t>Learned LR call at threshold 0.5500; executable ask 0.5950 (aec-mlb-tb-tor-2026-07-20).</t>
        </is>
      </c>
      <c r="AF65" s="31" t="inlineStr">
        <is>
          <t>Learned model; promotion gate not yet open; zero-unit research until review.</t>
        </is>
      </c>
      <c r="AG65" s="24" t="inlineStr">
        <is>
          <t>not_applicable</t>
        </is>
      </c>
      <c r="AH65" s="24" t="n"/>
      <c r="AI65" s="31" t="n"/>
      <c r="AJ65" s="31" t="n"/>
      <c r="AK65" s="24" t="inlineStr">
        <is>
          <t>research_observation</t>
        </is>
      </c>
      <c r="AL65" s="26" t="n">
        <v>3</v>
      </c>
      <c r="AM65" s="24" t="inlineStr">
        <is>
          <t>RESEARCH_OBSERVATION</t>
        </is>
      </c>
      <c r="AN65" s="24" t="inlineStr">
        <is>
          <t>NO_CALL</t>
        </is>
      </c>
      <c r="AO65" s="24" t="inlineStr">
        <is>
          <t>NO_CALL_LOW_EDGE</t>
        </is>
      </c>
      <c r="AP65" s="24" t="inlineStr">
        <is>
          <t>mlb-tb</t>
        </is>
      </c>
      <c r="AQ65" s="24" t="inlineStr">
        <is>
          <t>Tampa Bay Rays</t>
        </is>
      </c>
      <c r="AR65" s="24" t="inlineStr">
        <is>
          <t>Tampa Bay Rays</t>
        </is>
      </c>
      <c r="AS65" s="24" t="inlineStr">
        <is>
          <t>mlb-tor</t>
        </is>
      </c>
      <c r="AT65" s="24" t="inlineStr">
        <is>
          <t>Toronto Blue Jays</t>
        </is>
      </c>
      <c r="AU65" s="24" t="inlineStr">
        <is>
          <t>Toronto Blue Jays</t>
        </is>
      </c>
      <c r="AV65" s="24" t="n"/>
      <c r="AW65" s="24" t="n"/>
      <c r="AX65" s="24" t="inlineStr">
        <is>
          <t>statistical_model</t>
        </is>
      </c>
      <c r="AY65" s="24" t="n"/>
      <c r="AZ65" s="24" t="inlineStr">
        <is>
          <t>shadow_qualified</t>
        </is>
      </c>
      <c r="BA65" s="24" t="inlineStr">
        <is>
          <t>5224fb6ffbc9ddf8fa517627b830ac851192da94d241963d556945393a42bb9d</t>
        </is>
      </c>
      <c r="BB65" s="24" t="inlineStr">
        <is>
          <t>learned_lr</t>
        </is>
      </c>
      <c r="BC65" s="24" t="inlineStr">
        <is>
          <t>mlb-elo-trend-lr-v4</t>
        </is>
      </c>
      <c r="BD65" s="24" t="inlineStr">
        <is>
          <t>5224fb6ffbc9ddf8fa517627b830ac851192da94d241963d556945393a42bb9d</t>
        </is>
      </c>
      <c r="BE65" s="24" t="inlineStr">
        <is>
          <t>78559912fe10ab9f</t>
        </is>
      </c>
      <c r="BF65" s="24" t="inlineStr">
        <is>
          <t>1</t>
        </is>
      </c>
      <c r="BG65" s="24" t="inlineStr">
        <is>
          <t>mlb-elo-trend-lr-v4</t>
        </is>
      </c>
      <c r="BH65" s="24" t="inlineStr">
        <is>
          <t>2026-07-20T15:40:40.696549Z</t>
        </is>
      </c>
      <c r="BI65" s="24" t="inlineStr">
        <is>
          <t>["same_event","same_team_same_day","same_league_same_day"]</t>
        </is>
      </c>
      <c r="BJ65" s="38" t="n"/>
      <c r="BK65" s="26" t="n">
        <v>-147</v>
      </c>
      <c r="BL65" s="39" t="n">
        <v>1.680272</v>
      </c>
      <c r="BM65" s="28" t="n">
        <v>0.5951419999999999</v>
      </c>
      <c r="BN65" s="28" t="n">
        <v>0.59204</v>
      </c>
      <c r="BO65" s="28" t="n"/>
      <c r="BP65" s="38" t="n"/>
      <c r="BQ65" s="39" t="n"/>
      <c r="BR65" s="28" t="n"/>
      <c r="BS65" s="28" t="n"/>
      <c r="BT65" s="28" t="n"/>
      <c r="BU65" s="38" t="n"/>
      <c r="BV65" s="29" t="n"/>
      <c r="BW65" s="24" t="n"/>
      <c r="BX65" s="40" t="n"/>
      <c r="BY65" s="39" t="n"/>
      <c r="BZ65" s="24" t="n"/>
      <c r="CA65" s="31" t="n"/>
    </row>
    <row r="66" ht="36" customHeight="1">
      <c r="A66" s="24" t="inlineStr">
        <is>
          <t>43b2ed970ab34f5f</t>
        </is>
      </c>
      <c r="B66" s="24" t="inlineStr">
        <is>
          <t>2026-07-20T15:44:31.508407Z</t>
        </is>
      </c>
      <c r="C66" s="24" t="inlineStr">
        <is>
          <t>2026-07-20T19:10:00-0400</t>
        </is>
      </c>
      <c r="D66" s="24" t="inlineStr">
        <is>
          <t>401816186</t>
        </is>
      </c>
      <c r="E66" s="24" t="inlineStr">
        <is>
          <t>MLB</t>
        </is>
      </c>
      <c r="F66" s="24" t="inlineStr">
        <is>
          <t>Baltimore Orioles</t>
        </is>
      </c>
      <c r="G66" s="24" t="inlineStr">
        <is>
          <t>Boston Red Sox</t>
        </is>
      </c>
      <c r="H66" s="24" t="inlineStr">
        <is>
          <t>moneyline</t>
        </is>
      </c>
      <c r="I66" s="24" t="inlineStr">
        <is>
          <t>home</t>
        </is>
      </c>
      <c r="J66" s="38" t="n"/>
      <c r="K66" s="24" t="inlineStr">
        <is>
          <t>polymarket_us</t>
        </is>
      </c>
      <c r="L66" s="26" t="n">
        <v>-141</v>
      </c>
      <c r="M66" s="39" t="n">
        <v>1.70922</v>
      </c>
      <c r="N66" s="28" t="n">
        <v>0.585062</v>
      </c>
      <c r="O66" s="28" t="n">
        <v>0.565797</v>
      </c>
      <c r="P66" s="28" t="n"/>
      <c r="Q66" s="28" t="n">
        <v>-0.019265</v>
      </c>
      <c r="R66" s="26" t="n">
        <v>10</v>
      </c>
      <c r="S66" s="29" t="n">
        <v>1.25</v>
      </c>
      <c r="T66" s="24" t="inlineStr">
        <is>
          <t>mlb-elo-trend-lr-v4</t>
        </is>
      </c>
      <c r="U66" s="24" t="inlineStr">
        <is>
          <t>open</t>
        </is>
      </c>
      <c r="V66" s="24" t="n"/>
      <c r="W66" s="26" t="n"/>
      <c r="X66" s="26" t="n"/>
      <c r="Y66" s="38" t="n"/>
      <c r="Z66" s="26" t="n"/>
      <c r="AA66" s="28" t="n"/>
      <c r="AB66" s="28" t="n"/>
      <c r="AC66" s="40" t="n"/>
      <c r="AD66" s="24" t="n"/>
      <c r="AE66" s="31" t="inlineStr">
        <is>
          <t>Learned LR call at threshold 0.5500; executable ask 0.5850 (aec-mlb-bal-bos-2026-07-20).</t>
        </is>
      </c>
      <c r="AF66" s="31" t="inlineStr">
        <is>
          <t>Learned model; promotion gate not yet open; zero-unit research until review.</t>
        </is>
      </c>
      <c r="AG66" s="24" t="inlineStr">
        <is>
          <t>not_applicable</t>
        </is>
      </c>
      <c r="AH66" s="24" t="n"/>
      <c r="AI66" s="31" t="n"/>
      <c r="AJ66" s="31" t="n"/>
      <c r="AK66" s="24" t="inlineStr">
        <is>
          <t>research_observation</t>
        </is>
      </c>
      <c r="AL66" s="26" t="n">
        <v>3</v>
      </c>
      <c r="AM66" s="24" t="inlineStr">
        <is>
          <t>RESEARCH_OBSERVATION</t>
        </is>
      </c>
      <c r="AN66" s="24" t="inlineStr">
        <is>
          <t>NO_CALL</t>
        </is>
      </c>
      <c r="AO66" s="24" t="inlineStr">
        <is>
          <t>NO_CALL_LOW_EDGE</t>
        </is>
      </c>
      <c r="AP66" s="24" t="inlineStr">
        <is>
          <t>mlb-bal</t>
        </is>
      </c>
      <c r="AQ66" s="24" t="inlineStr">
        <is>
          <t>Baltimore Orioles</t>
        </is>
      </c>
      <c r="AR66" s="24" t="inlineStr">
        <is>
          <t>Baltimore Orioles</t>
        </is>
      </c>
      <c r="AS66" s="24" t="inlineStr">
        <is>
          <t>mlb-bos</t>
        </is>
      </c>
      <c r="AT66" s="24" t="inlineStr">
        <is>
          <t>Boston Red Sox</t>
        </is>
      </c>
      <c r="AU66" s="24" t="inlineStr">
        <is>
          <t>Boston Red Sox</t>
        </is>
      </c>
      <c r="AV66" s="24" t="n"/>
      <c r="AW66" s="24" t="n"/>
      <c r="AX66" s="24" t="inlineStr">
        <is>
          <t>statistical_model</t>
        </is>
      </c>
      <c r="AY66" s="24" t="n"/>
      <c r="AZ66" s="24" t="inlineStr">
        <is>
          <t>shadow_qualified</t>
        </is>
      </c>
      <c r="BA66" s="24" t="inlineStr">
        <is>
          <t>5224fb6ffbc9ddf8fa517627b830ac851192da94d241963d556945393a42bb9d</t>
        </is>
      </c>
      <c r="BB66" s="24" t="inlineStr">
        <is>
          <t>learned_lr</t>
        </is>
      </c>
      <c r="BC66" s="24" t="inlineStr">
        <is>
          <t>mlb-elo-trend-lr-v4</t>
        </is>
      </c>
      <c r="BD66" s="24" t="inlineStr">
        <is>
          <t>5224fb6ffbc9ddf8fa517627b830ac851192da94d241963d556945393a42bb9d</t>
        </is>
      </c>
      <c r="BE66" s="24" t="inlineStr">
        <is>
          <t>9fe2d27778a72dfe</t>
        </is>
      </c>
      <c r="BF66" s="24" t="inlineStr">
        <is>
          <t>1</t>
        </is>
      </c>
      <c r="BG66" s="24" t="inlineStr">
        <is>
          <t>mlb-elo-trend-lr-v4</t>
        </is>
      </c>
      <c r="BH66" s="24" t="inlineStr">
        <is>
          <t>2026-07-20T15:40:42.945575Z</t>
        </is>
      </c>
      <c r="BI66" s="24" t="inlineStr">
        <is>
          <t>["same_event","same_team_same_day","same_league_same_day"]</t>
        </is>
      </c>
      <c r="BJ66" s="38" t="n"/>
      <c r="BK66" s="26" t="n">
        <v>-141</v>
      </c>
      <c r="BL66" s="39" t="n">
        <v>1.70922</v>
      </c>
      <c r="BM66" s="28" t="n">
        <v>0.585062</v>
      </c>
      <c r="BN66" s="28" t="n">
        <v>0.58209</v>
      </c>
      <c r="BO66" s="28" t="n"/>
      <c r="BP66" s="38" t="n"/>
      <c r="BQ66" s="39" t="n"/>
      <c r="BR66" s="28" t="n"/>
      <c r="BS66" s="28" t="n"/>
      <c r="BT66" s="28" t="n"/>
      <c r="BU66" s="38" t="n"/>
      <c r="BV66" s="29" t="n"/>
      <c r="BW66" s="24" t="n"/>
      <c r="BX66" s="40" t="n"/>
      <c r="BY66" s="39" t="n"/>
      <c r="BZ66" s="24" t="n"/>
      <c r="CA66" s="31" t="n"/>
    </row>
    <row r="67" ht="36" customHeight="1">
      <c r="A67" s="24" t="inlineStr">
        <is>
          <t>556a298369cf47bd</t>
        </is>
      </c>
      <c r="B67" s="24" t="inlineStr">
        <is>
          <t>2026-07-20T15:44:31.508407Z</t>
        </is>
      </c>
      <c r="C67" s="24" t="inlineStr">
        <is>
          <t>2026-07-20T19:15:00-0400</t>
        </is>
      </c>
      <c r="D67" s="24" t="inlineStr">
        <is>
          <t>401816190</t>
        </is>
      </c>
      <c r="E67" s="24" t="inlineStr">
        <is>
          <t>MLB</t>
        </is>
      </c>
      <c r="F67" s="24" t="inlineStr">
        <is>
          <t>San Diego Padres</t>
        </is>
      </c>
      <c r="G67" s="24" t="inlineStr">
        <is>
          <t>Atlanta Braves</t>
        </is>
      </c>
      <c r="H67" s="24" t="inlineStr">
        <is>
          <t>moneyline</t>
        </is>
      </c>
      <c r="I67" s="24" t="inlineStr">
        <is>
          <t>home</t>
        </is>
      </c>
      <c r="J67" s="38" t="n"/>
      <c r="K67" s="24" t="inlineStr">
        <is>
          <t>polymarket_us</t>
        </is>
      </c>
      <c r="L67" s="26" t="n">
        <v>-133</v>
      </c>
      <c r="M67" s="39" t="n">
        <v>1.75188</v>
      </c>
      <c r="N67" s="28" t="n">
        <v>0.570815</v>
      </c>
      <c r="O67" s="28" t="n">
        <v>0.550915</v>
      </c>
      <c r="P67" s="28" t="n"/>
      <c r="Q67" s="28" t="n">
        <v>-0.0199</v>
      </c>
      <c r="R67" s="26" t="n">
        <v>10</v>
      </c>
      <c r="S67" s="29" t="n">
        <v>1</v>
      </c>
      <c r="T67" s="24" t="inlineStr">
        <is>
          <t>mlb-elo-trend-lr-v4</t>
        </is>
      </c>
      <c r="U67" s="24" t="inlineStr">
        <is>
          <t>open</t>
        </is>
      </c>
      <c r="V67" s="24" t="n"/>
      <c r="W67" s="26" t="n"/>
      <c r="X67" s="26" t="n"/>
      <c r="Y67" s="38" t="n"/>
      <c r="Z67" s="26" t="n"/>
      <c r="AA67" s="28" t="n"/>
      <c r="AB67" s="28" t="n"/>
      <c r="AC67" s="40" t="n"/>
      <c r="AD67" s="24" t="n"/>
      <c r="AE67" s="31" t="inlineStr">
        <is>
          <t>Learned LR call at threshold 0.5500; executable ask 0.5700 (aec-mlb-sd-atl-2026-07-20).</t>
        </is>
      </c>
      <c r="AF67" s="31" t="inlineStr">
        <is>
          <t>Learned model; promotion gate not yet open; zero-unit research until review.</t>
        </is>
      </c>
      <c r="AG67" s="24" t="inlineStr">
        <is>
          <t>not_applicable</t>
        </is>
      </c>
      <c r="AH67" s="24" t="n"/>
      <c r="AI67" s="31" t="n"/>
      <c r="AJ67" s="31" t="n"/>
      <c r="AK67" s="24" t="inlineStr">
        <is>
          <t>research_observation</t>
        </is>
      </c>
      <c r="AL67" s="26" t="n">
        <v>3</v>
      </c>
      <c r="AM67" s="24" t="inlineStr">
        <is>
          <t>RESEARCH_OBSERVATION</t>
        </is>
      </c>
      <c r="AN67" s="24" t="inlineStr">
        <is>
          <t>NO_CALL</t>
        </is>
      </c>
      <c r="AO67" s="24" t="inlineStr">
        <is>
          <t>NO_CALL_LOW_EDGE</t>
        </is>
      </c>
      <c r="AP67" s="24" t="inlineStr">
        <is>
          <t>mlb-sd</t>
        </is>
      </c>
      <c r="AQ67" s="24" t="inlineStr">
        <is>
          <t>San Diego Padres</t>
        </is>
      </c>
      <c r="AR67" s="24" t="inlineStr">
        <is>
          <t>San Diego Padres</t>
        </is>
      </c>
      <c r="AS67" s="24" t="inlineStr">
        <is>
          <t>mlb-atl</t>
        </is>
      </c>
      <c r="AT67" s="24" t="inlineStr">
        <is>
          <t>Atlanta Braves</t>
        </is>
      </c>
      <c r="AU67" s="24" t="inlineStr">
        <is>
          <t>Atlanta Braves</t>
        </is>
      </c>
      <c r="AV67" s="24" t="n"/>
      <c r="AW67" s="24" t="n"/>
      <c r="AX67" s="24" t="inlineStr">
        <is>
          <t>statistical_model</t>
        </is>
      </c>
      <c r="AY67" s="24" t="n"/>
      <c r="AZ67" s="24" t="inlineStr">
        <is>
          <t>shadow_qualified</t>
        </is>
      </c>
      <c r="BA67" s="24" t="inlineStr">
        <is>
          <t>5224fb6ffbc9ddf8fa517627b830ac851192da94d241963d556945393a42bb9d</t>
        </is>
      </c>
      <c r="BB67" s="24" t="inlineStr">
        <is>
          <t>learned_lr</t>
        </is>
      </c>
      <c r="BC67" s="24" t="inlineStr">
        <is>
          <t>mlb-elo-trend-lr-v4</t>
        </is>
      </c>
      <c r="BD67" s="24" t="inlineStr">
        <is>
          <t>5224fb6ffbc9ddf8fa517627b830ac851192da94d241963d556945393a42bb9d</t>
        </is>
      </c>
      <c r="BE67" s="24" t="inlineStr">
        <is>
          <t>f0b5eac7c97d1146</t>
        </is>
      </c>
      <c r="BF67" s="24" t="inlineStr">
        <is>
          <t>1</t>
        </is>
      </c>
      <c r="BG67" s="24" t="inlineStr">
        <is>
          <t>mlb-elo-trend-lr-v4</t>
        </is>
      </c>
      <c r="BH67" s="24" t="inlineStr">
        <is>
          <t>2026-07-20T15:40:45.418635Z</t>
        </is>
      </c>
      <c r="BI67" s="24" t="inlineStr">
        <is>
          <t>["same_event","same_team_same_day","same_league_same_day"]</t>
        </is>
      </c>
      <c r="BJ67" s="38" t="n"/>
      <c r="BK67" s="26" t="n">
        <v>-133</v>
      </c>
      <c r="BL67" s="39" t="n">
        <v>1.75188</v>
      </c>
      <c r="BM67" s="28" t="n">
        <v>0.570815</v>
      </c>
      <c r="BN67" s="28" t="n">
        <v>0.567164</v>
      </c>
      <c r="BO67" s="28" t="n"/>
      <c r="BP67" s="38" t="n"/>
      <c r="BQ67" s="39" t="n"/>
      <c r="BR67" s="28" t="n"/>
      <c r="BS67" s="28" t="n"/>
      <c r="BT67" s="28" t="n"/>
      <c r="BU67" s="38" t="n"/>
      <c r="BV67" s="29" t="n"/>
      <c r="BW67" s="24" t="n"/>
      <c r="BX67" s="40" t="n"/>
      <c r="BY67" s="39" t="n"/>
      <c r="BZ67" s="24" t="n"/>
      <c r="CA67" s="31" t="n"/>
    </row>
    <row r="68" ht="36" customHeight="1">
      <c r="A68" s="24" t="inlineStr">
        <is>
          <t>1ca3aac02ee1494c</t>
        </is>
      </c>
      <c r="B68" s="24" t="inlineStr">
        <is>
          <t>2026-07-20T15:44:31.508407Z</t>
        </is>
      </c>
      <c r="C68" s="24" t="inlineStr">
        <is>
          <t>2026-07-20T19:40:00-0400</t>
        </is>
      </c>
      <c r="D68" s="24" t="inlineStr">
        <is>
          <t>401816195</t>
        </is>
      </c>
      <c r="E68" s="24" t="inlineStr">
        <is>
          <t>MLB</t>
        </is>
      </c>
      <c r="F68" s="24" t="inlineStr">
        <is>
          <t>New York Mets</t>
        </is>
      </c>
      <c r="G68" s="24" t="inlineStr">
        <is>
          <t>Milwaukee Brewers</t>
        </is>
      </c>
      <c r="H68" s="24" t="inlineStr">
        <is>
          <t>moneyline</t>
        </is>
      </c>
      <c r="I68" s="24" t="inlineStr">
        <is>
          <t>home</t>
        </is>
      </c>
      <c r="J68" s="38" t="n"/>
      <c r="K68" s="24" t="inlineStr">
        <is>
          <t>polymarket_us</t>
        </is>
      </c>
      <c r="L68" s="26" t="n">
        <v>-199</v>
      </c>
      <c r="M68" s="39" t="n">
        <v>1.502513</v>
      </c>
      <c r="N68" s="28" t="n">
        <v>0.665552</v>
      </c>
      <c r="O68" s="28" t="n">
        <v>0.640995</v>
      </c>
      <c r="P68" s="28" t="n"/>
      <c r="Q68" s="28" t="n">
        <v>-0.024557</v>
      </c>
      <c r="R68" s="26" t="n">
        <v>8</v>
      </c>
      <c r="S68" s="29" t="n">
        <v>2</v>
      </c>
      <c r="T68" s="24" t="inlineStr">
        <is>
          <t>mlb-elo-trend-lr-v4</t>
        </is>
      </c>
      <c r="U68" s="24" t="inlineStr">
        <is>
          <t>open</t>
        </is>
      </c>
      <c r="V68" s="24" t="n"/>
      <c r="W68" s="26" t="n"/>
      <c r="X68" s="26" t="n"/>
      <c r="Y68" s="38" t="n"/>
      <c r="Z68" s="26" t="n"/>
      <c r="AA68" s="28" t="n"/>
      <c r="AB68" s="28" t="n"/>
      <c r="AC68" s="40" t="n"/>
      <c r="AD68" s="24" t="n"/>
      <c r="AE68" s="31" t="inlineStr">
        <is>
          <t>Learned LR call at threshold 0.5500; executable ask 0.6650 (aec-mlb-nym-mil-2026-07-20).</t>
        </is>
      </c>
      <c r="AF68" s="31" t="inlineStr">
        <is>
          <t>Learned model; promotion gate not yet open; zero-unit research until review.</t>
        </is>
      </c>
      <c r="AG68" s="24" t="inlineStr">
        <is>
          <t>not_applicable</t>
        </is>
      </c>
      <c r="AH68" s="24" t="n"/>
      <c r="AI68" s="31" t="n"/>
      <c r="AJ68" s="31" t="n"/>
      <c r="AK68" s="24" t="inlineStr">
        <is>
          <t>research_observation</t>
        </is>
      </c>
      <c r="AL68" s="26" t="n">
        <v>3</v>
      </c>
      <c r="AM68" s="24" t="inlineStr">
        <is>
          <t>RESEARCH_OBSERVATION</t>
        </is>
      </c>
      <c r="AN68" s="24" t="inlineStr">
        <is>
          <t>NO_CALL</t>
        </is>
      </c>
      <c r="AO68" s="24" t="inlineStr">
        <is>
          <t>NO_CALL_LOW_EDGE</t>
        </is>
      </c>
      <c r="AP68" s="24" t="inlineStr">
        <is>
          <t>mlb-nym</t>
        </is>
      </c>
      <c r="AQ68" s="24" t="inlineStr">
        <is>
          <t>New York Mets</t>
        </is>
      </c>
      <c r="AR68" s="24" t="inlineStr">
        <is>
          <t>New York Mets</t>
        </is>
      </c>
      <c r="AS68" s="24" t="inlineStr">
        <is>
          <t>mlb-mil</t>
        </is>
      </c>
      <c r="AT68" s="24" t="inlineStr">
        <is>
          <t>Milwaukee Brewers</t>
        </is>
      </c>
      <c r="AU68" s="24" t="inlineStr">
        <is>
          <t>Milwaukee Brewers</t>
        </is>
      </c>
      <c r="AV68" s="24" t="n"/>
      <c r="AW68" s="24" t="n"/>
      <c r="AX68" s="24" t="inlineStr">
        <is>
          <t>statistical_model</t>
        </is>
      </c>
      <c r="AY68" s="24" t="n"/>
      <c r="AZ68" s="24" t="inlineStr">
        <is>
          <t>shadow_qualified</t>
        </is>
      </c>
      <c r="BA68" s="24" t="inlineStr">
        <is>
          <t>5224fb6ffbc9ddf8fa517627b830ac851192da94d241963d556945393a42bb9d</t>
        </is>
      </c>
      <c r="BB68" s="24" t="inlineStr">
        <is>
          <t>learned_lr</t>
        </is>
      </c>
      <c r="BC68" s="24" t="inlineStr">
        <is>
          <t>mlb-elo-trend-lr-v4</t>
        </is>
      </c>
      <c r="BD68" s="24" t="inlineStr">
        <is>
          <t>5224fb6ffbc9ddf8fa517627b830ac851192da94d241963d556945393a42bb9d</t>
        </is>
      </c>
      <c r="BE68" s="24" t="inlineStr">
        <is>
          <t>6d5f3f5e8f75cb2b</t>
        </is>
      </c>
      <c r="BF68" s="24" t="inlineStr">
        <is>
          <t>1</t>
        </is>
      </c>
      <c r="BG68" s="24" t="inlineStr">
        <is>
          <t>mlb-elo-trend-lr-v4</t>
        </is>
      </c>
      <c r="BH68" s="24" t="inlineStr">
        <is>
          <t>2026-07-20T15:40:46.730850Z</t>
        </is>
      </c>
      <c r="BI68" s="24" t="inlineStr">
        <is>
          <t>["same_event","same_team_same_day","same_league_same_day"]</t>
        </is>
      </c>
      <c r="BJ68" s="38" t="n"/>
      <c r="BK68" s="26" t="n">
        <v>-199</v>
      </c>
      <c r="BL68" s="39" t="n">
        <v>1.502513</v>
      </c>
      <c r="BM68" s="28" t="n">
        <v>0.665552</v>
      </c>
      <c r="BN68" s="28" t="n">
        <v>0.6616919999999999</v>
      </c>
      <c r="BO68" s="28" t="n"/>
      <c r="BP68" s="38" t="n"/>
      <c r="BQ68" s="39" t="n"/>
      <c r="BR68" s="28" t="n"/>
      <c r="BS68" s="28" t="n"/>
      <c r="BT68" s="28" t="n"/>
      <c r="BU68" s="38" t="n"/>
      <c r="BV68" s="29" t="n"/>
      <c r="BW68" s="24" t="n"/>
      <c r="BX68" s="40" t="n"/>
      <c r="BY68" s="39" t="n"/>
      <c r="BZ68" s="24" t="n"/>
      <c r="CA68" s="31" t="n"/>
    </row>
    <row r="69" ht="36" customHeight="1">
      <c r="A69" s="24" t="inlineStr">
        <is>
          <t>8d7ca0ea971a4878</t>
        </is>
      </c>
      <c r="B69" s="24" t="inlineStr">
        <is>
          <t>2026-07-20T15:44:31.508407Z</t>
        </is>
      </c>
      <c r="C69" s="24" t="inlineStr">
        <is>
          <t>2026-07-20T19:40:00-0400</t>
        </is>
      </c>
      <c r="D69" s="24" t="inlineStr">
        <is>
          <t>401816196</t>
        </is>
      </c>
      <c r="E69" s="24" t="inlineStr">
        <is>
          <t>MLB</t>
        </is>
      </c>
      <c r="F69" s="24" t="inlineStr">
        <is>
          <t>San Francisco Giants</t>
        </is>
      </c>
      <c r="G69" s="24" t="inlineStr">
        <is>
          <t>Kansas City Royals</t>
        </is>
      </c>
      <c r="H69" s="24" t="inlineStr">
        <is>
          <t>moneyline</t>
        </is>
      </c>
      <c r="I69" s="24" t="inlineStr">
        <is>
          <t>home</t>
        </is>
      </c>
      <c r="J69" s="38" t="n"/>
      <c r="K69" s="24" t="inlineStr">
        <is>
          <t>polymarket_us</t>
        </is>
      </c>
      <c r="L69" s="26" t="n">
        <v>-111</v>
      </c>
      <c r="M69" s="39" t="n">
        <v>1.900901</v>
      </c>
      <c r="N69" s="28" t="n">
        <v>0.526066</v>
      </c>
      <c r="O69" s="28" t="n">
        <v>0.514213</v>
      </c>
      <c r="P69" s="28" t="n"/>
      <c r="Q69" s="28" t="n">
        <v>-0.011853</v>
      </c>
      <c r="R69" s="26" t="n">
        <v>14</v>
      </c>
      <c r="S69" s="29" t="n">
        <v>0.75</v>
      </c>
      <c r="T69" s="24" t="inlineStr">
        <is>
          <t>mlb-elo-trend-lr-v4</t>
        </is>
      </c>
      <c r="U69" s="24" t="inlineStr">
        <is>
          <t>open</t>
        </is>
      </c>
      <c r="V69" s="24" t="n"/>
      <c r="W69" s="26" t="n"/>
      <c r="X69" s="26" t="n"/>
      <c r="Y69" s="38" t="n"/>
      <c r="Z69" s="26" t="n"/>
      <c r="AA69" s="28" t="n"/>
      <c r="AB69" s="28" t="n"/>
      <c r="AC69" s="40" t="n"/>
      <c r="AD69" s="24" t="n"/>
      <c r="AE69" s="31" t="inlineStr">
        <is>
          <t>Learned LR call at threshold 0.5500; executable ask 0.5250 (aec-mlb-sf-kc-2026-07-20).</t>
        </is>
      </c>
      <c r="AF69" s="31" t="inlineStr">
        <is>
          <t>Learned model; promotion gate not yet open; zero-unit research until review.</t>
        </is>
      </c>
      <c r="AG69" s="24" t="inlineStr">
        <is>
          <t>not_applicable</t>
        </is>
      </c>
      <c r="AH69" s="24" t="n"/>
      <c r="AI69" s="31" t="n"/>
      <c r="AJ69" s="31" t="n"/>
      <c r="AK69" s="24" t="inlineStr">
        <is>
          <t>research_observation</t>
        </is>
      </c>
      <c r="AL69" s="26" t="n">
        <v>3</v>
      </c>
      <c r="AM69" s="24" t="inlineStr">
        <is>
          <t>RESEARCH_OBSERVATION</t>
        </is>
      </c>
      <c r="AN69" s="24" t="inlineStr">
        <is>
          <t>NO_CALL</t>
        </is>
      </c>
      <c r="AO69" s="24" t="inlineStr">
        <is>
          <t>NO_CALL_LOW_EDGE</t>
        </is>
      </c>
      <c r="AP69" s="24" t="inlineStr">
        <is>
          <t>mlb-sf</t>
        </is>
      </c>
      <c r="AQ69" s="24" t="inlineStr">
        <is>
          <t>San Francisco Giants</t>
        </is>
      </c>
      <c r="AR69" s="24" t="inlineStr">
        <is>
          <t>San Francisco Giants</t>
        </is>
      </c>
      <c r="AS69" s="24" t="inlineStr">
        <is>
          <t>mlb-kc</t>
        </is>
      </c>
      <c r="AT69" s="24" t="inlineStr">
        <is>
          <t>Kansas City Royals</t>
        </is>
      </c>
      <c r="AU69" s="24" t="inlineStr">
        <is>
          <t>Kansas City Royals</t>
        </is>
      </c>
      <c r="AV69" s="24" t="n"/>
      <c r="AW69" s="24" t="n"/>
      <c r="AX69" s="24" t="inlineStr">
        <is>
          <t>statistical_model</t>
        </is>
      </c>
      <c r="AY69" s="24" t="n"/>
      <c r="AZ69" s="24" t="inlineStr">
        <is>
          <t>shadow_qualified</t>
        </is>
      </c>
      <c r="BA69" s="24" t="inlineStr">
        <is>
          <t>5224fb6ffbc9ddf8fa517627b830ac851192da94d241963d556945393a42bb9d</t>
        </is>
      </c>
      <c r="BB69" s="24" t="inlineStr">
        <is>
          <t>learned_lr</t>
        </is>
      </c>
      <c r="BC69" s="24" t="inlineStr">
        <is>
          <t>mlb-elo-trend-lr-v4</t>
        </is>
      </c>
      <c r="BD69" s="24" t="inlineStr">
        <is>
          <t>5224fb6ffbc9ddf8fa517627b830ac851192da94d241963d556945393a42bb9d</t>
        </is>
      </c>
      <c r="BE69" s="24" t="inlineStr">
        <is>
          <t>9c457d5cc4752804</t>
        </is>
      </c>
      <c r="BF69" s="24" t="inlineStr">
        <is>
          <t>1</t>
        </is>
      </c>
      <c r="BG69" s="24" t="inlineStr">
        <is>
          <t>mlb-elo-trend-lr-v4</t>
        </is>
      </c>
      <c r="BH69" s="24" t="inlineStr">
        <is>
          <t>2026-07-20T15:40:47.694396Z</t>
        </is>
      </c>
      <c r="BI69" s="24" t="inlineStr">
        <is>
          <t>["same_event","same_team_same_day","same_league_same_day"]</t>
        </is>
      </c>
      <c r="BJ69" s="38" t="n"/>
      <c r="BK69" s="26" t="n">
        <v>-111</v>
      </c>
      <c r="BL69" s="39" t="n">
        <v>1.900901</v>
      </c>
      <c r="BM69" s="28" t="n">
        <v>0.526066</v>
      </c>
      <c r="BN69" s="28" t="n">
        <v>0.522388</v>
      </c>
      <c r="BO69" s="28" t="n"/>
      <c r="BP69" s="38" t="n"/>
      <c r="BQ69" s="39" t="n"/>
      <c r="BR69" s="28" t="n"/>
      <c r="BS69" s="28" t="n"/>
      <c r="BT69" s="28" t="n"/>
      <c r="BU69" s="38" t="n"/>
      <c r="BV69" s="29" t="n"/>
      <c r="BW69" s="24" t="n"/>
      <c r="BX69" s="40" t="n"/>
      <c r="BY69" s="39" t="n"/>
      <c r="BZ69" s="24" t="n"/>
      <c r="CA69" s="31" t="n"/>
    </row>
    <row r="70" ht="36" customHeight="1">
      <c r="A70" s="24" t="inlineStr">
        <is>
          <t>40fd1303ee5c40bc</t>
        </is>
      </c>
      <c r="B70" s="24" t="inlineStr">
        <is>
          <t>2026-07-20T15:44:31.508407Z</t>
        </is>
      </c>
      <c r="C70" s="24" t="inlineStr">
        <is>
          <t>2026-07-20T20:05:00-0400</t>
        </is>
      </c>
      <c r="D70" s="24" t="inlineStr">
        <is>
          <t>401816192</t>
        </is>
      </c>
      <c r="E70" s="24" t="inlineStr">
        <is>
          <t>MLB</t>
        </is>
      </c>
      <c r="F70" s="24" t="inlineStr">
        <is>
          <t>Chicago White Sox</t>
        </is>
      </c>
      <c r="G70" s="24" t="inlineStr">
        <is>
          <t>Texas Rangers</t>
        </is>
      </c>
      <c r="H70" s="24" t="inlineStr">
        <is>
          <t>moneyline</t>
        </is>
      </c>
      <c r="I70" s="24" t="inlineStr">
        <is>
          <t>home</t>
        </is>
      </c>
      <c r="J70" s="38" t="n"/>
      <c r="K70" s="24" t="inlineStr">
        <is>
          <t>polymarket_us</t>
        </is>
      </c>
      <c r="L70" s="26" t="n">
        <v>-160</v>
      </c>
      <c r="M70" s="39" t="n">
        <v>1.625</v>
      </c>
      <c r="N70" s="28" t="n">
        <v>0.615385</v>
      </c>
      <c r="O70" s="28" t="n">
        <v>0.524518</v>
      </c>
      <c r="P70" s="28" t="n"/>
      <c r="Q70" s="28" t="n">
        <v>-0.090867</v>
      </c>
      <c r="R70" s="26" t="n">
        <v>0</v>
      </c>
      <c r="S70" s="29" t="n">
        <v>0.75</v>
      </c>
      <c r="T70" s="24" t="inlineStr">
        <is>
          <t>mlb-elo-trend-lr-v4</t>
        </is>
      </c>
      <c r="U70" s="24" t="inlineStr">
        <is>
          <t>open</t>
        </is>
      </c>
      <c r="V70" s="24" t="n"/>
      <c r="W70" s="26" t="n"/>
      <c r="X70" s="26" t="n"/>
      <c r="Y70" s="38" t="n"/>
      <c r="Z70" s="26" t="n"/>
      <c r="AA70" s="28" t="n"/>
      <c r="AB70" s="28" t="n"/>
      <c r="AC70" s="40" t="n"/>
      <c r="AD70" s="24" t="n"/>
      <c r="AE70" s="31" t="inlineStr">
        <is>
          <t>Learned LR call at threshold 0.5500; executable ask 0.6150 (aec-mlb-cws-tex-2026-07-20).</t>
        </is>
      </c>
      <c r="AF70" s="31" t="inlineStr">
        <is>
          <t>Learned model; promotion gate not yet open; zero-unit research until review.</t>
        </is>
      </c>
      <c r="AG70" s="24" t="inlineStr">
        <is>
          <t>not_applicable</t>
        </is>
      </c>
      <c r="AH70" s="24" t="n"/>
      <c r="AI70" s="31" t="n"/>
      <c r="AJ70" s="31" t="n"/>
      <c r="AK70" s="24" t="inlineStr">
        <is>
          <t>research_observation</t>
        </is>
      </c>
      <c r="AL70" s="26" t="n">
        <v>3</v>
      </c>
      <c r="AM70" s="24" t="inlineStr">
        <is>
          <t>RESEARCH_OBSERVATION</t>
        </is>
      </c>
      <c r="AN70" s="24" t="inlineStr">
        <is>
          <t>NO_CALL</t>
        </is>
      </c>
      <c r="AO70" s="24" t="inlineStr">
        <is>
          <t>NO_CALL_LOW_EDGE</t>
        </is>
      </c>
      <c r="AP70" s="24" t="inlineStr">
        <is>
          <t>mlb-cws</t>
        </is>
      </c>
      <c r="AQ70" s="24" t="inlineStr">
        <is>
          <t>Chicago White Sox</t>
        </is>
      </c>
      <c r="AR70" s="24" t="inlineStr">
        <is>
          <t>Chicago White Sox</t>
        </is>
      </c>
      <c r="AS70" s="24" t="inlineStr">
        <is>
          <t>mlb-tex</t>
        </is>
      </c>
      <c r="AT70" s="24" t="inlineStr">
        <is>
          <t>Texas Rangers</t>
        </is>
      </c>
      <c r="AU70" s="24" t="inlineStr">
        <is>
          <t>Texas Rangers</t>
        </is>
      </c>
      <c r="AV70" s="24" t="n"/>
      <c r="AW70" s="24" t="n"/>
      <c r="AX70" s="24" t="inlineStr">
        <is>
          <t>statistical_model</t>
        </is>
      </c>
      <c r="AY70" s="24" t="n"/>
      <c r="AZ70" s="24" t="inlineStr">
        <is>
          <t>shadow_qualified</t>
        </is>
      </c>
      <c r="BA70" s="24" t="inlineStr">
        <is>
          <t>5224fb6ffbc9ddf8fa517627b830ac851192da94d241963d556945393a42bb9d</t>
        </is>
      </c>
      <c r="BB70" s="24" t="inlineStr">
        <is>
          <t>learned_lr</t>
        </is>
      </c>
      <c r="BC70" s="24" t="inlineStr">
        <is>
          <t>mlb-elo-trend-lr-v4</t>
        </is>
      </c>
      <c r="BD70" s="24" t="inlineStr">
        <is>
          <t>5224fb6ffbc9ddf8fa517627b830ac851192da94d241963d556945393a42bb9d</t>
        </is>
      </c>
      <c r="BE70" s="24" t="inlineStr">
        <is>
          <t>87e15ff2f82f8974</t>
        </is>
      </c>
      <c r="BF70" s="24" t="inlineStr">
        <is>
          <t>1</t>
        </is>
      </c>
      <c r="BG70" s="24" t="inlineStr">
        <is>
          <t>mlb-elo-trend-lr-v4</t>
        </is>
      </c>
      <c r="BH70" s="24" t="inlineStr">
        <is>
          <t>2026-07-20T15:40:49.845471Z</t>
        </is>
      </c>
      <c r="BI70" s="24" t="inlineStr">
        <is>
          <t>["same_event","same_team_same_day","same_league_same_day"]</t>
        </is>
      </c>
      <c r="BJ70" s="38" t="n"/>
      <c r="BK70" s="26" t="n">
        <v>-160</v>
      </c>
      <c r="BL70" s="39" t="n">
        <v>1.625</v>
      </c>
      <c r="BM70" s="28" t="n">
        <v>0.615385</v>
      </c>
      <c r="BN70" s="28" t="n">
        <v>0.61194</v>
      </c>
      <c r="BO70" s="28" t="n"/>
      <c r="BP70" s="38" t="n"/>
      <c r="BQ70" s="39" t="n"/>
      <c r="BR70" s="28" t="n"/>
      <c r="BS70" s="28" t="n"/>
      <c r="BT70" s="28" t="n"/>
      <c r="BU70" s="38" t="n"/>
      <c r="BV70" s="29" t="n"/>
      <c r="BW70" s="24" t="n"/>
      <c r="BX70" s="40" t="n"/>
      <c r="BY70" s="39" t="n"/>
      <c r="BZ70" s="24" t="n"/>
      <c r="CA70" s="31" t="n"/>
    </row>
    <row r="71" ht="36" customHeight="1">
      <c r="A71" s="24" t="inlineStr">
        <is>
          <t>f140b8e744fa42a4</t>
        </is>
      </c>
      <c r="B71" s="24" t="inlineStr">
        <is>
          <t>2026-07-20T15:44:31.508407Z</t>
        </is>
      </c>
      <c r="C71" s="24" t="inlineStr">
        <is>
          <t>2026-07-20T20:05:00-0400</t>
        </is>
      </c>
      <c r="D71" s="24" t="inlineStr">
        <is>
          <t>401816193</t>
        </is>
      </c>
      <c r="E71" s="24" t="inlineStr">
        <is>
          <t>MLB</t>
        </is>
      </c>
      <c r="F71" s="24" t="inlineStr">
        <is>
          <t>Detroit Tigers</t>
        </is>
      </c>
      <c r="G71" s="24" t="inlineStr">
        <is>
          <t>Chicago Cubs</t>
        </is>
      </c>
      <c r="H71" s="24" t="inlineStr">
        <is>
          <t>moneyline</t>
        </is>
      </c>
      <c r="I71" s="24" t="inlineStr">
        <is>
          <t>home</t>
        </is>
      </c>
      <c r="J71" s="38" t="n"/>
      <c r="K71" s="24" t="inlineStr">
        <is>
          <t>polymarket_us</t>
        </is>
      </c>
      <c r="L71" s="26" t="n">
        <v>-108</v>
      </c>
      <c r="M71" s="39" t="n">
        <v>1.925926</v>
      </c>
      <c r="N71" s="28" t="n">
        <v>0.519231</v>
      </c>
      <c r="O71" s="28" t="n">
        <v>0.566967</v>
      </c>
      <c r="P71" s="28" t="n"/>
      <c r="Q71" s="28" t="n">
        <v>0.047736</v>
      </c>
      <c r="R71" s="26" t="n">
        <v>44</v>
      </c>
      <c r="S71" s="29" t="n">
        <v>1.25</v>
      </c>
      <c r="T71" s="24" t="inlineStr">
        <is>
          <t>mlb-elo-trend-lr-v4</t>
        </is>
      </c>
      <c r="U71" s="24" t="inlineStr">
        <is>
          <t>open</t>
        </is>
      </c>
      <c r="V71" s="24" t="n"/>
      <c r="W71" s="26" t="n"/>
      <c r="X71" s="26" t="n"/>
      <c r="Y71" s="38" t="n"/>
      <c r="Z71" s="26" t="n"/>
      <c r="AA71" s="28" t="n"/>
      <c r="AB71" s="28" t="n"/>
      <c r="AC71" s="40" t="n"/>
      <c r="AD71" s="24" t="n"/>
      <c r="AE71" s="31" t="inlineStr">
        <is>
          <t>Learned LR call at threshold 0.5500; executable ask 0.5200 (aec-mlb-det-chc-2026-07-20).</t>
        </is>
      </c>
      <c r="AF71" s="31" t="inlineStr">
        <is>
          <t>Learned model; promotion gate not yet open; zero-unit research until review.</t>
        </is>
      </c>
      <c r="AG71" s="24" t="inlineStr">
        <is>
          <t>not_applicable</t>
        </is>
      </c>
      <c r="AH71" s="24" t="n"/>
      <c r="AI71" s="31" t="n"/>
      <c r="AJ71" s="31" t="n"/>
      <c r="AK71" s="24" t="inlineStr">
        <is>
          <t>research_observation</t>
        </is>
      </c>
      <c r="AL71" s="26" t="n">
        <v>3</v>
      </c>
      <c r="AM71" s="24" t="inlineStr">
        <is>
          <t>RESEARCH_OBSERVATION</t>
        </is>
      </c>
      <c r="AN71" s="24" t="inlineStr">
        <is>
          <t>NO_CALL</t>
        </is>
      </c>
      <c r="AO71" s="24" t="inlineStr">
        <is>
          <t>NO_CALL_LOW_EDGE</t>
        </is>
      </c>
      <c r="AP71" s="24" t="inlineStr">
        <is>
          <t>mlb-det</t>
        </is>
      </c>
      <c r="AQ71" s="24" t="inlineStr">
        <is>
          <t>Detroit Tigers</t>
        </is>
      </c>
      <c r="AR71" s="24" t="inlineStr">
        <is>
          <t>Detroit Tigers</t>
        </is>
      </c>
      <c r="AS71" s="24" t="inlineStr">
        <is>
          <t>mlb-chc</t>
        </is>
      </c>
      <c r="AT71" s="24" t="inlineStr">
        <is>
          <t>Chicago Cubs</t>
        </is>
      </c>
      <c r="AU71" s="24" t="inlineStr">
        <is>
          <t>Chicago Cubs</t>
        </is>
      </c>
      <c r="AV71" s="24" t="n"/>
      <c r="AW71" s="24" t="n"/>
      <c r="AX71" s="24" t="inlineStr">
        <is>
          <t>statistical_model</t>
        </is>
      </c>
      <c r="AY71" s="24" t="n"/>
      <c r="AZ71" s="24" t="inlineStr">
        <is>
          <t>shadow_qualified</t>
        </is>
      </c>
      <c r="BA71" s="24" t="inlineStr">
        <is>
          <t>5224fb6ffbc9ddf8fa517627b830ac851192da94d241963d556945393a42bb9d</t>
        </is>
      </c>
      <c r="BB71" s="24" t="inlineStr">
        <is>
          <t>learned_lr</t>
        </is>
      </c>
      <c r="BC71" s="24" t="inlineStr">
        <is>
          <t>mlb-elo-trend-lr-v4</t>
        </is>
      </c>
      <c r="BD71" s="24" t="inlineStr">
        <is>
          <t>5224fb6ffbc9ddf8fa517627b830ac851192da94d241963d556945393a42bb9d</t>
        </is>
      </c>
      <c r="BE71" s="24" t="inlineStr">
        <is>
          <t>b84afb2c70e14d93</t>
        </is>
      </c>
      <c r="BF71" s="24" t="inlineStr">
        <is>
          <t>1</t>
        </is>
      </c>
      <c r="BG71" s="24" t="inlineStr">
        <is>
          <t>mlb-elo-trend-lr-v4</t>
        </is>
      </c>
      <c r="BH71" s="24" t="inlineStr">
        <is>
          <t>2026-07-20T15:40:51.564498Z</t>
        </is>
      </c>
      <c r="BI71" s="24" t="inlineStr">
        <is>
          <t>["same_event","same_team_same_day","same_league_same_day"]</t>
        </is>
      </c>
      <c r="BJ71" s="38" t="n"/>
      <c r="BK71" s="26" t="n">
        <v>-108</v>
      </c>
      <c r="BL71" s="39" t="n">
        <v>1.925926</v>
      </c>
      <c r="BM71" s="28" t="n">
        <v>0.519231</v>
      </c>
      <c r="BN71" s="28" t="n">
        <v>0.5148509999999999</v>
      </c>
      <c r="BO71" s="28" t="n"/>
      <c r="BP71" s="38" t="n"/>
      <c r="BQ71" s="39" t="n"/>
      <c r="BR71" s="28" t="n"/>
      <c r="BS71" s="28" t="n"/>
      <c r="BT71" s="28" t="n"/>
      <c r="BU71" s="38" t="n"/>
      <c r="BV71" s="29" t="n"/>
      <c r="BW71" s="24" t="n"/>
      <c r="BX71" s="40" t="n"/>
      <c r="BY71" s="39" t="n"/>
      <c r="BZ71" s="24" t="n"/>
      <c r="CA71" s="31" t="n"/>
    </row>
    <row r="72" ht="36" customHeight="1">
      <c r="A72" s="24" t="inlineStr">
        <is>
          <t>e2d3732e917242c3</t>
        </is>
      </c>
      <c r="B72" s="24" t="inlineStr">
        <is>
          <t>2026-07-20T15:44:31.508407Z</t>
        </is>
      </c>
      <c r="C72" s="24" t="inlineStr">
        <is>
          <t>2026-07-20T20:10:00-0400</t>
        </is>
      </c>
      <c r="D72" s="24" t="inlineStr">
        <is>
          <t>401816194</t>
        </is>
      </c>
      <c r="E72" s="24" t="inlineStr">
        <is>
          <t>MLB</t>
        </is>
      </c>
      <c r="F72" s="24" t="inlineStr">
        <is>
          <t>Miami Marlins</t>
        </is>
      </c>
      <c r="G72" s="24" t="inlineStr">
        <is>
          <t>Houston Astros</t>
        </is>
      </c>
      <c r="H72" s="24" t="inlineStr">
        <is>
          <t>moneyline</t>
        </is>
      </c>
      <c r="I72" s="24" t="inlineStr">
        <is>
          <t>home</t>
        </is>
      </c>
      <c r="J72" s="38" t="n"/>
      <c r="K72" s="24" t="inlineStr">
        <is>
          <t>polymarket_us</t>
        </is>
      </c>
      <c r="L72" s="26" t="n">
        <v>-115</v>
      </c>
      <c r="M72" s="39" t="n">
        <v>1.869565</v>
      </c>
      <c r="N72" s="28" t="n">
        <v>0.534884</v>
      </c>
      <c r="O72" s="28" t="n">
        <v>0.512555</v>
      </c>
      <c r="P72" s="28" t="n"/>
      <c r="Q72" s="28" t="n">
        <v>-0.022329</v>
      </c>
      <c r="R72" s="26" t="n">
        <v>9</v>
      </c>
      <c r="S72" s="29" t="n">
        <v>0.75</v>
      </c>
      <c r="T72" s="24" t="inlineStr">
        <is>
          <t>mlb-elo-trend-lr-v4</t>
        </is>
      </c>
      <c r="U72" s="24" t="inlineStr">
        <is>
          <t>open</t>
        </is>
      </c>
      <c r="V72" s="24" t="n"/>
      <c r="W72" s="26" t="n"/>
      <c r="X72" s="26" t="n"/>
      <c r="Y72" s="38" t="n"/>
      <c r="Z72" s="26" t="n"/>
      <c r="AA72" s="28" t="n"/>
      <c r="AB72" s="28" t="n"/>
      <c r="AC72" s="40" t="n"/>
      <c r="AD72" s="24" t="n"/>
      <c r="AE72" s="31" t="inlineStr">
        <is>
          <t>Learned LR call at threshold 0.5500; executable ask 0.5350 (aec-mlb-mia-hou-2026-07-20).</t>
        </is>
      </c>
      <c r="AF72" s="31" t="inlineStr">
        <is>
          <t>Learned model; promotion gate not yet open; zero-unit research until review.</t>
        </is>
      </c>
      <c r="AG72" s="24" t="inlineStr">
        <is>
          <t>not_applicable</t>
        </is>
      </c>
      <c r="AH72" s="24" t="n"/>
      <c r="AI72" s="31" t="n"/>
      <c r="AJ72" s="31" t="n"/>
      <c r="AK72" s="24" t="inlineStr">
        <is>
          <t>research_observation</t>
        </is>
      </c>
      <c r="AL72" s="26" t="n">
        <v>3</v>
      </c>
      <c r="AM72" s="24" t="inlineStr">
        <is>
          <t>RESEARCH_OBSERVATION</t>
        </is>
      </c>
      <c r="AN72" s="24" t="inlineStr">
        <is>
          <t>NO_CALL</t>
        </is>
      </c>
      <c r="AO72" s="24" t="inlineStr">
        <is>
          <t>NO_CALL_LOW_EDGE</t>
        </is>
      </c>
      <c r="AP72" s="24" t="inlineStr">
        <is>
          <t>mlb-mia</t>
        </is>
      </c>
      <c r="AQ72" s="24" t="inlineStr">
        <is>
          <t>Miami Marlins</t>
        </is>
      </c>
      <c r="AR72" s="24" t="inlineStr">
        <is>
          <t>Miami Marlins</t>
        </is>
      </c>
      <c r="AS72" s="24" t="inlineStr">
        <is>
          <t>mlb-hou</t>
        </is>
      </c>
      <c r="AT72" s="24" t="inlineStr">
        <is>
          <t>Houston Astros</t>
        </is>
      </c>
      <c r="AU72" s="24" t="inlineStr">
        <is>
          <t>Houston Astros</t>
        </is>
      </c>
      <c r="AV72" s="24" t="n"/>
      <c r="AW72" s="24" t="n"/>
      <c r="AX72" s="24" t="inlineStr">
        <is>
          <t>statistical_model</t>
        </is>
      </c>
      <c r="AY72" s="24" t="n"/>
      <c r="AZ72" s="24" t="inlineStr">
        <is>
          <t>shadow_qualified</t>
        </is>
      </c>
      <c r="BA72" s="24" t="inlineStr">
        <is>
          <t>5224fb6ffbc9ddf8fa517627b830ac851192da94d241963d556945393a42bb9d</t>
        </is>
      </c>
      <c r="BB72" s="24" t="inlineStr">
        <is>
          <t>learned_lr</t>
        </is>
      </c>
      <c r="BC72" s="24" t="inlineStr">
        <is>
          <t>mlb-elo-trend-lr-v4</t>
        </is>
      </c>
      <c r="BD72" s="24" t="inlineStr">
        <is>
          <t>5224fb6ffbc9ddf8fa517627b830ac851192da94d241963d556945393a42bb9d</t>
        </is>
      </c>
      <c r="BE72" s="24" t="inlineStr">
        <is>
          <t>ba8ef6f8648f77b7</t>
        </is>
      </c>
      <c r="BF72" s="24" t="inlineStr">
        <is>
          <t>1</t>
        </is>
      </c>
      <c r="BG72" s="24" t="inlineStr">
        <is>
          <t>mlb-elo-trend-lr-v4</t>
        </is>
      </c>
      <c r="BH72" s="24" t="inlineStr">
        <is>
          <t>2026-07-20T15:40:52.975565Z</t>
        </is>
      </c>
      <c r="BI72" s="24" t="inlineStr">
        <is>
          <t>["same_event","same_team_same_day","same_league_same_day"]</t>
        </is>
      </c>
      <c r="BJ72" s="38" t="n"/>
      <c r="BK72" s="26" t="n">
        <v>-115</v>
      </c>
      <c r="BL72" s="39" t="n">
        <v>1.869565</v>
      </c>
      <c r="BM72" s="28" t="n">
        <v>0.534884</v>
      </c>
      <c r="BN72" s="28" t="n">
        <v>0.532338</v>
      </c>
      <c r="BO72" s="28" t="n"/>
      <c r="BP72" s="38" t="n"/>
      <c r="BQ72" s="39" t="n"/>
      <c r="BR72" s="28" t="n"/>
      <c r="BS72" s="28" t="n"/>
      <c r="BT72" s="28" t="n"/>
      <c r="BU72" s="38" t="n"/>
      <c r="BV72" s="29" t="n"/>
      <c r="BW72" s="24" t="n"/>
      <c r="BX72" s="40" t="n"/>
      <c r="BY72" s="39" t="n"/>
      <c r="BZ72" s="24" t="n"/>
      <c r="CA72" s="31" t="n"/>
    </row>
    <row r="73" ht="36" customHeight="1">
      <c r="A73" s="24" t="inlineStr">
        <is>
          <t>7088516dc8f442f0</t>
        </is>
      </c>
      <c r="B73" s="24" t="inlineStr">
        <is>
          <t>2026-07-20T15:44:31.508407Z</t>
        </is>
      </c>
      <c r="C73" s="24" t="inlineStr">
        <is>
          <t>2026-07-20T20:40:00-0400</t>
        </is>
      </c>
      <c r="D73" s="24" t="inlineStr">
        <is>
          <t>401816197</t>
        </is>
      </c>
      <c r="E73" s="24" t="inlineStr">
        <is>
          <t>MLB</t>
        </is>
      </c>
      <c r="F73" s="24" t="inlineStr">
        <is>
          <t>Washington Nationals</t>
        </is>
      </c>
      <c r="G73" s="24" t="inlineStr">
        <is>
          <t>Colorado Rockies</t>
        </is>
      </c>
      <c r="H73" s="24" t="inlineStr">
        <is>
          <t>moneyline</t>
        </is>
      </c>
      <c r="I73" s="24" t="inlineStr">
        <is>
          <t>away</t>
        </is>
      </c>
      <c r="J73" s="38" t="n"/>
      <c r="K73" s="24" t="inlineStr">
        <is>
          <t>polymarket_us</t>
        </is>
      </c>
      <c r="L73" s="26" t="n">
        <v>-117</v>
      </c>
      <c r="M73" s="39" t="n">
        <v>1.854701</v>
      </c>
      <c r="N73" s="28" t="n">
        <v>0.539171</v>
      </c>
      <c r="O73" s="28" t="n">
        <v>0.5563709999999999</v>
      </c>
      <c r="P73" s="28" t="n"/>
      <c r="Q73" s="28" t="n">
        <v>0.0172</v>
      </c>
      <c r="R73" s="26" t="n">
        <v>29</v>
      </c>
      <c r="S73" s="29" t="n">
        <v>1</v>
      </c>
      <c r="T73" s="24" t="inlineStr">
        <is>
          <t>mlb-elo-trend-lr-v4</t>
        </is>
      </c>
      <c r="U73" s="24" t="inlineStr">
        <is>
          <t>open</t>
        </is>
      </c>
      <c r="V73" s="24" t="n"/>
      <c r="W73" s="26" t="n"/>
      <c r="X73" s="26" t="n"/>
      <c r="Y73" s="38" t="n"/>
      <c r="Z73" s="26" t="n"/>
      <c r="AA73" s="28" t="n"/>
      <c r="AB73" s="28" t="n"/>
      <c r="AC73" s="40" t="n"/>
      <c r="AD73" s="24" t="n"/>
      <c r="AE73" s="31" t="inlineStr">
        <is>
          <t>Learned LR call at threshold 0.5500; executable ask 0.5400 (aec-mlb-wsh-col-2026-07-20).</t>
        </is>
      </c>
      <c r="AF73" s="31" t="inlineStr">
        <is>
          <t>Learned model; promotion gate not yet open; zero-unit research until review.</t>
        </is>
      </c>
      <c r="AG73" s="24" t="inlineStr">
        <is>
          <t>not_applicable</t>
        </is>
      </c>
      <c r="AH73" s="24" t="n"/>
      <c r="AI73" s="31" t="n"/>
      <c r="AJ73" s="31" t="n"/>
      <c r="AK73" s="24" t="inlineStr">
        <is>
          <t>research_observation</t>
        </is>
      </c>
      <c r="AL73" s="26" t="n">
        <v>3</v>
      </c>
      <c r="AM73" s="24" t="inlineStr">
        <is>
          <t>RESEARCH_OBSERVATION</t>
        </is>
      </c>
      <c r="AN73" s="24" t="inlineStr">
        <is>
          <t>NO_CALL</t>
        </is>
      </c>
      <c r="AO73" s="24" t="inlineStr">
        <is>
          <t>NO_CALL_LOW_EDGE</t>
        </is>
      </c>
      <c r="AP73" s="24" t="inlineStr">
        <is>
          <t>mlb-wsh</t>
        </is>
      </c>
      <c r="AQ73" s="24" t="inlineStr">
        <is>
          <t>Washington Nationals</t>
        </is>
      </c>
      <c r="AR73" s="24" t="inlineStr">
        <is>
          <t>Washington Nationals</t>
        </is>
      </c>
      <c r="AS73" s="24" t="inlineStr">
        <is>
          <t>mlb-col</t>
        </is>
      </c>
      <c r="AT73" s="24" t="inlineStr">
        <is>
          <t>Colorado Rockies</t>
        </is>
      </c>
      <c r="AU73" s="24" t="inlineStr">
        <is>
          <t>Colorado Rockies</t>
        </is>
      </c>
      <c r="AV73" s="24" t="n"/>
      <c r="AW73" s="24" t="n"/>
      <c r="AX73" s="24" t="inlineStr">
        <is>
          <t>statistical_model</t>
        </is>
      </c>
      <c r="AY73" s="24" t="n"/>
      <c r="AZ73" s="24" t="inlineStr">
        <is>
          <t>shadow_qualified</t>
        </is>
      </c>
      <c r="BA73" s="24" t="inlineStr">
        <is>
          <t>5224fb6ffbc9ddf8fa517627b830ac851192da94d241963d556945393a42bb9d</t>
        </is>
      </c>
      <c r="BB73" s="24" t="inlineStr">
        <is>
          <t>learned_lr</t>
        </is>
      </c>
      <c r="BC73" s="24" t="inlineStr">
        <is>
          <t>mlb-elo-trend-lr-v4</t>
        </is>
      </c>
      <c r="BD73" s="24" t="inlineStr">
        <is>
          <t>5224fb6ffbc9ddf8fa517627b830ac851192da94d241963d556945393a42bb9d</t>
        </is>
      </c>
      <c r="BE73" s="24" t="inlineStr">
        <is>
          <t>a2f336c1cee8c92e</t>
        </is>
      </c>
      <c r="BF73" s="24" t="inlineStr">
        <is>
          <t>1</t>
        </is>
      </c>
      <c r="BG73" s="24" t="inlineStr">
        <is>
          <t>mlb-elo-trend-lr-v4</t>
        </is>
      </c>
      <c r="BH73" s="24" t="inlineStr">
        <is>
          <t>2026-07-20T15:40:55.296261Z</t>
        </is>
      </c>
      <c r="BI73" s="24" t="inlineStr">
        <is>
          <t>["same_event","same_team_same_day","same_league_same_day"]</t>
        </is>
      </c>
      <c r="BJ73" s="38" t="n"/>
      <c r="BK73" s="26" t="n">
        <v>-117</v>
      </c>
      <c r="BL73" s="39" t="n">
        <v>1.854701</v>
      </c>
      <c r="BM73" s="28" t="n">
        <v>0.539171</v>
      </c>
      <c r="BN73" s="28" t="n">
        <v>0.537313</v>
      </c>
      <c r="BO73" s="28" t="n"/>
      <c r="BP73" s="38" t="n"/>
      <c r="BQ73" s="39" t="n"/>
      <c r="BR73" s="28" t="n"/>
      <c r="BS73" s="28" t="n"/>
      <c r="BT73" s="28" t="n"/>
      <c r="BU73" s="38" t="n"/>
      <c r="BV73" s="29" t="n"/>
      <c r="BW73" s="24" t="n"/>
      <c r="BX73" s="40" t="n"/>
      <c r="BY73" s="39" t="n"/>
      <c r="BZ73" s="24" t="n"/>
      <c r="CA73" s="31" t="n"/>
    </row>
    <row r="74" ht="36" customHeight="1">
      <c r="A74" s="24" t="inlineStr">
        <is>
          <t>cbd07a2b3b254a5a</t>
        </is>
      </c>
      <c r="B74" s="24" t="inlineStr">
        <is>
          <t>2026-07-20T15:44:31.508407Z</t>
        </is>
      </c>
      <c r="C74" s="24" t="inlineStr">
        <is>
          <t>2026-07-20T21:40:00-0400</t>
        </is>
      </c>
      <c r="D74" s="24" t="inlineStr">
        <is>
          <t>401816198</t>
        </is>
      </c>
      <c r="E74" s="24" t="inlineStr">
        <is>
          <t>MLB</t>
        </is>
      </c>
      <c r="F74" s="24" t="inlineStr">
        <is>
          <t>Athletics</t>
        </is>
      </c>
      <c r="G74" s="24" t="inlineStr">
        <is>
          <t>Arizona Diamondbacks</t>
        </is>
      </c>
      <c r="H74" s="24" t="inlineStr">
        <is>
          <t>moneyline</t>
        </is>
      </c>
      <c r="I74" s="24" t="inlineStr">
        <is>
          <t>home</t>
        </is>
      </c>
      <c r="J74" s="38" t="n"/>
      <c r="K74" s="24" t="inlineStr">
        <is>
          <t>polymarket_us</t>
        </is>
      </c>
      <c r="L74" s="26" t="n">
        <v>-144</v>
      </c>
      <c r="M74" s="39" t="n">
        <v>1.694444</v>
      </c>
      <c r="N74" s="28" t="n">
        <v>0.590164</v>
      </c>
      <c r="O74" s="28" t="n">
        <v>0.58189</v>
      </c>
      <c r="P74" s="28" t="n"/>
      <c r="Q74" s="28" t="n">
        <v>-0.008274</v>
      </c>
      <c r="R74" s="26" t="n">
        <v>16</v>
      </c>
      <c r="S74" s="29" t="n">
        <v>1.25</v>
      </c>
      <c r="T74" s="24" t="inlineStr">
        <is>
          <t>mlb-elo-trend-lr-v4</t>
        </is>
      </c>
      <c r="U74" s="24" t="inlineStr">
        <is>
          <t>open</t>
        </is>
      </c>
      <c r="V74" s="24" t="n"/>
      <c r="W74" s="26" t="n"/>
      <c r="X74" s="26" t="n"/>
      <c r="Y74" s="38" t="n"/>
      <c r="Z74" s="26" t="n"/>
      <c r="AA74" s="28" t="n"/>
      <c r="AB74" s="28" t="n"/>
      <c r="AC74" s="40" t="n"/>
      <c r="AD74" s="24" t="n"/>
      <c r="AE74" s="31" t="inlineStr">
        <is>
          <t>Learned LR call at threshold 0.5500; executable ask 0.5900 (aec-mlb-ath-az-2026-07-20).</t>
        </is>
      </c>
      <c r="AF74" s="31" t="inlineStr">
        <is>
          <t>Learned model; promotion gate not yet open; zero-unit research until review.</t>
        </is>
      </c>
      <c r="AG74" s="24" t="inlineStr">
        <is>
          <t>not_applicable</t>
        </is>
      </c>
      <c r="AH74" s="24" t="n"/>
      <c r="AI74" s="31" t="n"/>
      <c r="AJ74" s="31" t="n"/>
      <c r="AK74" s="24" t="inlineStr">
        <is>
          <t>research_observation</t>
        </is>
      </c>
      <c r="AL74" s="26" t="n">
        <v>3</v>
      </c>
      <c r="AM74" s="24" t="inlineStr">
        <is>
          <t>RESEARCH_OBSERVATION</t>
        </is>
      </c>
      <c r="AN74" s="24" t="inlineStr">
        <is>
          <t>NO_CALL</t>
        </is>
      </c>
      <c r="AO74" s="24" t="inlineStr">
        <is>
          <t>NO_CALL_LOW_EDGE</t>
        </is>
      </c>
      <c r="AP74" s="24" t="inlineStr">
        <is>
          <t>mlb-ath</t>
        </is>
      </c>
      <c r="AQ74" s="24" t="inlineStr">
        <is>
          <t>Athletics</t>
        </is>
      </c>
      <c r="AR74" s="24" t="inlineStr">
        <is>
          <t>Athletics</t>
        </is>
      </c>
      <c r="AS74" s="24" t="inlineStr">
        <is>
          <t>mlb-ari</t>
        </is>
      </c>
      <c r="AT74" s="24" t="inlineStr">
        <is>
          <t>Arizona Diamondbacks</t>
        </is>
      </c>
      <c r="AU74" s="24" t="inlineStr">
        <is>
          <t>Arizona Diamondbacks</t>
        </is>
      </c>
      <c r="AV74" s="24" t="n"/>
      <c r="AW74" s="24" t="n"/>
      <c r="AX74" s="24" t="inlineStr">
        <is>
          <t>statistical_model</t>
        </is>
      </c>
      <c r="AY74" s="24" t="n"/>
      <c r="AZ74" s="24" t="inlineStr">
        <is>
          <t>shadow_qualified</t>
        </is>
      </c>
      <c r="BA74" s="24" t="inlineStr">
        <is>
          <t>5224fb6ffbc9ddf8fa517627b830ac851192da94d241963d556945393a42bb9d</t>
        </is>
      </c>
      <c r="BB74" s="24" t="inlineStr">
        <is>
          <t>learned_lr</t>
        </is>
      </c>
      <c r="BC74" s="24" t="inlineStr">
        <is>
          <t>mlb-elo-trend-lr-v4</t>
        </is>
      </c>
      <c r="BD74" s="24" t="inlineStr">
        <is>
          <t>5224fb6ffbc9ddf8fa517627b830ac851192da94d241963d556945393a42bb9d</t>
        </is>
      </c>
      <c r="BE74" s="24" t="inlineStr">
        <is>
          <t>7b682aa5da86e2a4</t>
        </is>
      </c>
      <c r="BF74" s="24" t="inlineStr">
        <is>
          <t>1</t>
        </is>
      </c>
      <c r="BG74" s="24" t="inlineStr">
        <is>
          <t>mlb-elo-trend-lr-v4</t>
        </is>
      </c>
      <c r="BH74" s="24" t="inlineStr">
        <is>
          <t>2026-07-20T15:40:57.666402Z</t>
        </is>
      </c>
      <c r="BI74" s="24" t="inlineStr">
        <is>
          <t>["same_event","same_team_same_day","same_league_same_day"]</t>
        </is>
      </c>
      <c r="BJ74" s="38" t="n"/>
      <c r="BK74" s="26" t="n">
        <v>-144</v>
      </c>
      <c r="BL74" s="39" t="n">
        <v>1.694444</v>
      </c>
      <c r="BM74" s="28" t="n">
        <v>0.590164</v>
      </c>
      <c r="BN74" s="28" t="n">
        <v>0.5870649999999999</v>
      </c>
      <c r="BO74" s="28" t="n"/>
      <c r="BP74" s="38" t="n"/>
      <c r="BQ74" s="39" t="n"/>
      <c r="BR74" s="28" t="n"/>
      <c r="BS74" s="28" t="n"/>
      <c r="BT74" s="28" t="n"/>
      <c r="BU74" s="38" t="n"/>
      <c r="BV74" s="29" t="n"/>
      <c r="BW74" s="24" t="n"/>
      <c r="BX74" s="40" t="n"/>
      <c r="BY74" s="39" t="n"/>
      <c r="BZ74" s="24" t="n"/>
      <c r="CA74" s="31" t="n"/>
    </row>
    <row r="75" ht="36" customHeight="1">
      <c r="A75" s="24" t="inlineStr">
        <is>
          <t>3f1ba5855ae540e0</t>
        </is>
      </c>
      <c r="B75" s="24" t="inlineStr">
        <is>
          <t>2026-07-20T15:44:31.508407Z</t>
        </is>
      </c>
      <c r="C75" s="24" t="inlineStr">
        <is>
          <t>2026-07-20T21:40:00-0400</t>
        </is>
      </c>
      <c r="D75" s="24" t="inlineStr">
        <is>
          <t>401816199</t>
        </is>
      </c>
      <c r="E75" s="24" t="inlineStr">
        <is>
          <t>MLB</t>
        </is>
      </c>
      <c r="F75" s="24" t="inlineStr">
        <is>
          <t>Cincinnati Reds</t>
        </is>
      </c>
      <c r="G75" s="24" t="inlineStr">
        <is>
          <t>Seattle Mariners</t>
        </is>
      </c>
      <c r="H75" s="24" t="inlineStr">
        <is>
          <t>moneyline</t>
        </is>
      </c>
      <c r="I75" s="24" t="inlineStr">
        <is>
          <t>home</t>
        </is>
      </c>
      <c r="J75" s="38" t="n"/>
      <c r="K75" s="24" t="inlineStr">
        <is>
          <t>polymarket_us</t>
        </is>
      </c>
      <c r="L75" s="26" t="n">
        <v>-141</v>
      </c>
      <c r="M75" s="39" t="n">
        <v>1.70922</v>
      </c>
      <c r="N75" s="28" t="n">
        <v>0.585062</v>
      </c>
      <c r="O75" s="28" t="n">
        <v>0.592852</v>
      </c>
      <c r="P75" s="28" t="n"/>
      <c r="Q75" s="28" t="n">
        <v>0.00779</v>
      </c>
      <c r="R75" s="26" t="n">
        <v>24</v>
      </c>
      <c r="S75" s="29" t="n">
        <v>1.5</v>
      </c>
      <c r="T75" s="24" t="inlineStr">
        <is>
          <t>mlb-elo-trend-lr-v4</t>
        </is>
      </c>
      <c r="U75" s="24" t="inlineStr">
        <is>
          <t>open</t>
        </is>
      </c>
      <c r="V75" s="24" t="n"/>
      <c r="W75" s="26" t="n"/>
      <c r="X75" s="26" t="n"/>
      <c r="Y75" s="38" t="n"/>
      <c r="Z75" s="26" t="n"/>
      <c r="AA75" s="28" t="n"/>
      <c r="AB75" s="28" t="n"/>
      <c r="AC75" s="40" t="n"/>
      <c r="AD75" s="24" t="n"/>
      <c r="AE75" s="31" t="inlineStr">
        <is>
          <t>Learned LR call at threshold 0.5500; executable ask 0.5850 (aec-mlb-cin-sea-2026-07-20).</t>
        </is>
      </c>
      <c r="AF75" s="31" t="inlineStr">
        <is>
          <t>Learned model; promotion gate not yet open; zero-unit research until review.</t>
        </is>
      </c>
      <c r="AG75" s="24" t="inlineStr">
        <is>
          <t>not_applicable</t>
        </is>
      </c>
      <c r="AH75" s="24" t="n"/>
      <c r="AI75" s="31" t="n"/>
      <c r="AJ75" s="31" t="n"/>
      <c r="AK75" s="24" t="inlineStr">
        <is>
          <t>research_observation</t>
        </is>
      </c>
      <c r="AL75" s="26" t="n">
        <v>3</v>
      </c>
      <c r="AM75" s="24" t="inlineStr">
        <is>
          <t>RESEARCH_OBSERVATION</t>
        </is>
      </c>
      <c r="AN75" s="24" t="inlineStr">
        <is>
          <t>NO_CALL</t>
        </is>
      </c>
      <c r="AO75" s="24" t="inlineStr">
        <is>
          <t>NO_CALL_LOW_EDGE</t>
        </is>
      </c>
      <c r="AP75" s="24" t="inlineStr">
        <is>
          <t>mlb-cin</t>
        </is>
      </c>
      <c r="AQ75" s="24" t="inlineStr">
        <is>
          <t>Cincinnati Reds</t>
        </is>
      </c>
      <c r="AR75" s="24" t="inlineStr">
        <is>
          <t>Cincinnati Reds</t>
        </is>
      </c>
      <c r="AS75" s="24" t="inlineStr">
        <is>
          <t>mlb-sea</t>
        </is>
      </c>
      <c r="AT75" s="24" t="inlineStr">
        <is>
          <t>Seattle Mariners</t>
        </is>
      </c>
      <c r="AU75" s="24" t="inlineStr">
        <is>
          <t>Seattle Mariners</t>
        </is>
      </c>
      <c r="AV75" s="24" t="n"/>
      <c r="AW75" s="24" t="n"/>
      <c r="AX75" s="24" t="inlineStr">
        <is>
          <t>statistical_model</t>
        </is>
      </c>
      <c r="AY75" s="24" t="n"/>
      <c r="AZ75" s="24" t="inlineStr">
        <is>
          <t>shadow_qualified</t>
        </is>
      </c>
      <c r="BA75" s="24" t="inlineStr">
        <is>
          <t>5224fb6ffbc9ddf8fa517627b830ac851192da94d241963d556945393a42bb9d</t>
        </is>
      </c>
      <c r="BB75" s="24" t="inlineStr">
        <is>
          <t>learned_lr</t>
        </is>
      </c>
      <c r="BC75" s="24" t="inlineStr">
        <is>
          <t>mlb-elo-trend-lr-v4</t>
        </is>
      </c>
      <c r="BD75" s="24" t="inlineStr">
        <is>
          <t>5224fb6ffbc9ddf8fa517627b830ac851192da94d241963d556945393a42bb9d</t>
        </is>
      </c>
      <c r="BE75" s="24" t="inlineStr">
        <is>
          <t>af7ccafcacf69681</t>
        </is>
      </c>
      <c r="BF75" s="24" t="inlineStr">
        <is>
          <t>1</t>
        </is>
      </c>
      <c r="BG75" s="24" t="inlineStr">
        <is>
          <t>mlb-elo-trend-lr-v4</t>
        </is>
      </c>
      <c r="BH75" s="24" t="inlineStr">
        <is>
          <t>2026-07-20T15:40:58.875708Z</t>
        </is>
      </c>
      <c r="BI75" s="24" t="inlineStr">
        <is>
          <t>["same_event","same_team_same_day","same_league_same_day"]</t>
        </is>
      </c>
      <c r="BJ75" s="38" t="n"/>
      <c r="BK75" s="26" t="n">
        <v>-141</v>
      </c>
      <c r="BL75" s="39" t="n">
        <v>1.70922</v>
      </c>
      <c r="BM75" s="28" t="n">
        <v>0.585062</v>
      </c>
      <c r="BN75" s="28" t="n">
        <v>0.58209</v>
      </c>
      <c r="BO75" s="28" t="n"/>
      <c r="BP75" s="38" t="n"/>
      <c r="BQ75" s="39" t="n"/>
      <c r="BR75" s="28" t="n"/>
      <c r="BS75" s="28" t="n"/>
      <c r="BT75" s="28" t="n"/>
      <c r="BU75" s="38" t="n"/>
      <c r="BV75" s="29" t="n"/>
      <c r="BW75" s="24" t="n"/>
      <c r="BX75" s="40" t="n"/>
      <c r="BY75" s="39" t="n"/>
      <c r="BZ75" s="24" t="n"/>
      <c r="CA75" s="31" t="n"/>
    </row>
    <row r="76" ht="36" customHeight="1">
      <c r="A76" s="24" t="inlineStr">
        <is>
          <t>2bd291e543c748bf</t>
        </is>
      </c>
      <c r="B76" s="24" t="inlineStr">
        <is>
          <t>2026-07-20T15:44:31.508407Z</t>
        </is>
      </c>
      <c r="C76" s="24" t="inlineStr">
        <is>
          <t>2026-07-20T22:00:00-0400</t>
        </is>
      </c>
      <c r="D76" s="24" t="inlineStr">
        <is>
          <t>401816200</t>
        </is>
      </c>
      <c r="E76" s="24" t="inlineStr">
        <is>
          <t>MLB</t>
        </is>
      </c>
      <c r="F76" s="24" t="inlineStr">
        <is>
          <t>St. Louis Cardinals</t>
        </is>
      </c>
      <c r="G76" s="24" t="inlineStr">
        <is>
          <t>Los Angeles Angels</t>
        </is>
      </c>
      <c r="H76" s="24" t="inlineStr">
        <is>
          <t>moneyline</t>
        </is>
      </c>
      <c r="I76" s="24" t="inlineStr">
        <is>
          <t>away</t>
        </is>
      </c>
      <c r="J76" s="38" t="n"/>
      <c r="K76" s="24" t="inlineStr">
        <is>
          <t>polymarket_us</t>
        </is>
      </c>
      <c r="L76" s="26" t="n">
        <v>102</v>
      </c>
      <c r="M76" s="39" t="n">
        <v>2.02</v>
      </c>
      <c r="N76" s="28" t="n">
        <v>0.49505</v>
      </c>
      <c r="O76" s="28" t="n">
        <v>0.52919</v>
      </c>
      <c r="P76" s="28" t="n"/>
      <c r="Q76" s="28" t="n">
        <v>0.03414</v>
      </c>
      <c r="R76" s="26" t="n">
        <v>37</v>
      </c>
      <c r="S76" s="29" t="n">
        <v>0.75</v>
      </c>
      <c r="T76" s="24" t="inlineStr">
        <is>
          <t>mlb-elo-trend-lr-v4</t>
        </is>
      </c>
      <c r="U76" s="24" t="inlineStr">
        <is>
          <t>open</t>
        </is>
      </c>
      <c r="V76" s="24" t="n"/>
      <c r="W76" s="26" t="n"/>
      <c r="X76" s="26" t="n"/>
      <c r="Y76" s="38" t="n"/>
      <c r="Z76" s="26" t="n"/>
      <c r="AA76" s="28" t="n"/>
      <c r="AB76" s="28" t="n"/>
      <c r="AC76" s="40" t="n"/>
      <c r="AD76" s="24" t="n"/>
      <c r="AE76" s="31" t="inlineStr">
        <is>
          <t>Learned LR call at threshold 0.5500; executable ask 0.4950 (aec-mlb-stl-laa-2026-07-20).</t>
        </is>
      </c>
      <c r="AF76" s="31" t="inlineStr">
        <is>
          <t>Learned model; promotion gate not yet open; zero-unit research until review.</t>
        </is>
      </c>
      <c r="AG76" s="24" t="inlineStr">
        <is>
          <t>not_applicable</t>
        </is>
      </c>
      <c r="AH76" s="24" t="n"/>
      <c r="AI76" s="31" t="n"/>
      <c r="AJ76" s="31" t="n"/>
      <c r="AK76" s="24" t="inlineStr">
        <is>
          <t>research_observation</t>
        </is>
      </c>
      <c r="AL76" s="26" t="n">
        <v>3</v>
      </c>
      <c r="AM76" s="24" t="inlineStr">
        <is>
          <t>RESEARCH_OBSERVATION</t>
        </is>
      </c>
      <c r="AN76" s="24" t="inlineStr">
        <is>
          <t>NO_CALL</t>
        </is>
      </c>
      <c r="AO76" s="24" t="inlineStr">
        <is>
          <t>NO_CALL_LOW_EDGE</t>
        </is>
      </c>
      <c r="AP76" s="24" t="inlineStr">
        <is>
          <t>mlb-stl</t>
        </is>
      </c>
      <c r="AQ76" s="24" t="inlineStr">
        <is>
          <t>St. Louis Cardinals</t>
        </is>
      </c>
      <c r="AR76" s="24" t="inlineStr">
        <is>
          <t>St. Louis Cardinals</t>
        </is>
      </c>
      <c r="AS76" s="24" t="inlineStr">
        <is>
          <t>mlb-laa</t>
        </is>
      </c>
      <c r="AT76" s="24" t="inlineStr">
        <is>
          <t>Los Angeles Angels</t>
        </is>
      </c>
      <c r="AU76" s="24" t="inlineStr">
        <is>
          <t>Los Angeles Angels</t>
        </is>
      </c>
      <c r="AV76" s="24" t="n"/>
      <c r="AW76" s="24" t="n"/>
      <c r="AX76" s="24" t="inlineStr">
        <is>
          <t>statistical_model</t>
        </is>
      </c>
      <c r="AY76" s="24" t="n"/>
      <c r="AZ76" s="24" t="inlineStr">
        <is>
          <t>shadow_qualified</t>
        </is>
      </c>
      <c r="BA76" s="24" t="inlineStr">
        <is>
          <t>5224fb6ffbc9ddf8fa517627b830ac851192da94d241963d556945393a42bb9d</t>
        </is>
      </c>
      <c r="BB76" s="24" t="inlineStr">
        <is>
          <t>learned_lr</t>
        </is>
      </c>
      <c r="BC76" s="24" t="inlineStr">
        <is>
          <t>mlb-elo-trend-lr-v4</t>
        </is>
      </c>
      <c r="BD76" s="24" t="inlineStr">
        <is>
          <t>5224fb6ffbc9ddf8fa517627b830ac851192da94d241963d556945393a42bb9d</t>
        </is>
      </c>
      <c r="BE76" s="24" t="inlineStr">
        <is>
          <t>e8de503e18ea775f</t>
        </is>
      </c>
      <c r="BF76" s="24" t="inlineStr">
        <is>
          <t>1</t>
        </is>
      </c>
      <c r="BG76" s="24" t="inlineStr">
        <is>
          <t>mlb-elo-trend-lr-v4</t>
        </is>
      </c>
      <c r="BH76" s="24" t="inlineStr">
        <is>
          <t>2026-07-20T15:40:59.475543Z</t>
        </is>
      </c>
      <c r="BI76" s="24" t="inlineStr">
        <is>
          <t>["same_event","same_team_same_day","same_league_same_day"]</t>
        </is>
      </c>
      <c r="BJ76" s="38" t="n"/>
      <c r="BK76" s="26" t="n">
        <v>102</v>
      </c>
      <c r="BL76" s="39" t="n">
        <v>2.02</v>
      </c>
      <c r="BM76" s="28" t="n">
        <v>0.49505</v>
      </c>
      <c r="BN76" s="28" t="n">
        <v>0.492537</v>
      </c>
      <c r="BO76" s="28" t="n"/>
      <c r="BP76" s="38" t="n"/>
      <c r="BQ76" s="39" t="n"/>
      <c r="BR76" s="28" t="n"/>
      <c r="BS76" s="28" t="n"/>
      <c r="BT76" s="28" t="n"/>
      <c r="BU76" s="38" t="n"/>
      <c r="BV76" s="29" t="n"/>
      <c r="BW76" s="24" t="n"/>
      <c r="BX76" s="40" t="n"/>
      <c r="BY76" s="39" t="n"/>
      <c r="BZ76" s="24" t="n"/>
      <c r="CA76" s="31" t="n"/>
    </row>
    <row r="77" ht="36" customHeight="1">
      <c r="A77" s="24" t="inlineStr">
        <is>
          <t>4f41d18dabd545ca</t>
        </is>
      </c>
      <c r="B77" s="24" t="inlineStr">
        <is>
          <t>2026-07-20T15:44:38.792804Z</t>
        </is>
      </c>
      <c r="C77" s="24" t="inlineStr">
        <is>
          <t>2026-07-20T20:00:00-0400</t>
        </is>
      </c>
      <c r="D77" s="24" t="inlineStr">
        <is>
          <t>401857083</t>
        </is>
      </c>
      <c r="E77" s="24" t="inlineStr">
        <is>
          <t>WNBA</t>
        </is>
      </c>
      <c r="F77" s="24" t="inlineStr">
        <is>
          <t>Las Vegas Aces</t>
        </is>
      </c>
      <c r="G77" s="24" t="inlineStr">
        <is>
          <t>Toronto Tempo</t>
        </is>
      </c>
      <c r="H77" s="24" t="inlineStr">
        <is>
          <t>moneyline</t>
        </is>
      </c>
      <c r="I77" s="24" t="inlineStr">
        <is>
          <t>away</t>
        </is>
      </c>
      <c r="J77" s="38" t="n"/>
      <c r="K77" s="24" t="inlineStr">
        <is>
          <t>polymarket_us</t>
        </is>
      </c>
      <c r="L77" s="26" t="n">
        <v>-488</v>
      </c>
      <c r="M77" s="39" t="n">
        <v>1.204918</v>
      </c>
      <c r="N77" s="28" t="n">
        <v>0.829932</v>
      </c>
      <c r="O77" s="28" t="n">
        <v>0.6572210000000001</v>
      </c>
      <c r="P77" s="28" t="n"/>
      <c r="Q77" s="28" t="n">
        <v>-0.172711</v>
      </c>
      <c r="R77" s="26" t="n">
        <v>0</v>
      </c>
      <c r="S77" s="29" t="n">
        <v>2</v>
      </c>
      <c r="T77" s="24" t="inlineStr">
        <is>
          <t>wnba-elo-trend-lr-v3</t>
        </is>
      </c>
      <c r="U77" s="24" t="inlineStr">
        <is>
          <t>open</t>
        </is>
      </c>
      <c r="V77" s="24" t="n"/>
      <c r="W77" s="26" t="n"/>
      <c r="X77" s="26" t="n"/>
      <c r="Y77" s="38" t="n"/>
      <c r="Z77" s="26" t="n"/>
      <c r="AA77" s="28" t="n"/>
      <c r="AB77" s="28" t="n"/>
      <c r="AC77" s="40" t="n"/>
      <c r="AD77" s="24" t="n"/>
      <c r="AE77" s="31" t="inlineStr">
        <is>
          <t>Learned LR call at threshold 0.5051; executable ask 0.8300 (aec-wnba-lv-tor-2026-07-20).</t>
        </is>
      </c>
      <c r="AF77" s="31" t="inlineStr">
        <is>
          <t>Learned model; promotion gate not yet open; zero-unit research until review.</t>
        </is>
      </c>
      <c r="AG77" s="24" t="inlineStr">
        <is>
          <t>not_applicable</t>
        </is>
      </c>
      <c r="AH77" s="24" t="n"/>
      <c r="AI77" s="31" t="n"/>
      <c r="AJ77" s="31" t="n"/>
      <c r="AK77" s="24" t="inlineStr">
        <is>
          <t>research_observation</t>
        </is>
      </c>
      <c r="AL77" s="26" t="n">
        <v>3</v>
      </c>
      <c r="AM77" s="24" t="inlineStr">
        <is>
          <t>RESEARCH_OBSERVATION</t>
        </is>
      </c>
      <c r="AN77" s="24" t="inlineStr">
        <is>
          <t>NO_CALL</t>
        </is>
      </c>
      <c r="AO77" s="24" t="inlineStr">
        <is>
          <t>NO_CALL_LARGE_DISAGREEMENT_REVIEW</t>
        </is>
      </c>
      <c r="AP77" s="24" t="inlineStr">
        <is>
          <t>wnba-lva</t>
        </is>
      </c>
      <c r="AQ77" s="24" t="inlineStr">
        <is>
          <t>Las Vegas Aces</t>
        </is>
      </c>
      <c r="AR77" s="24" t="inlineStr">
        <is>
          <t>Las Vegas Aces</t>
        </is>
      </c>
      <c r="AS77" s="24" t="inlineStr">
        <is>
          <t>wnba-tor</t>
        </is>
      </c>
      <c r="AT77" s="24" t="inlineStr">
        <is>
          <t>Toronto Tempo</t>
        </is>
      </c>
      <c r="AU77" s="24" t="inlineStr">
        <is>
          <t>Toronto Tempo</t>
        </is>
      </c>
      <c r="AV77" s="24" t="n"/>
      <c r="AW77" s="24" t="n"/>
      <c r="AX77" s="24" t="inlineStr">
        <is>
          <t>statistical_model</t>
        </is>
      </c>
      <c r="AY77" s="24" t="n"/>
      <c r="AZ77" s="24" t="inlineStr">
        <is>
          <t>shadow_qualified</t>
        </is>
      </c>
      <c r="BA77" s="24" t="inlineStr">
        <is>
          <t>43ee2f84f025c10f83f80a8c22d49c35c420734a8a730b5f272287225cceee4b</t>
        </is>
      </c>
      <c r="BB77" s="24" t="inlineStr">
        <is>
          <t>learned_lr</t>
        </is>
      </c>
      <c r="BC77" s="24" t="inlineStr">
        <is>
          <t>wnba-elo-trend-lr-v3</t>
        </is>
      </c>
      <c r="BD77" s="24" t="inlineStr">
        <is>
          <t>43ee2f84f025c10f83f80a8c22d49c35c420734a8a730b5f272287225cceee4b</t>
        </is>
      </c>
      <c r="BE77" s="24" t="inlineStr">
        <is>
          <t>32740a9f4976946d</t>
        </is>
      </c>
      <c r="BF77" s="24" t="inlineStr">
        <is>
          <t>1</t>
        </is>
      </c>
      <c r="BG77" s="24" t="inlineStr">
        <is>
          <t>wnba-elo-trend-lr-v3</t>
        </is>
      </c>
      <c r="BH77" s="24" t="inlineStr">
        <is>
          <t>2026-07-20T15:41:02.063056Z</t>
        </is>
      </c>
      <c r="BI77" s="24" t="inlineStr">
        <is>
          <t>["same_event","same_team_same_day","same_league_same_day"]</t>
        </is>
      </c>
      <c r="BJ77" s="38" t="n"/>
      <c r="BK77" s="26" t="n">
        <v>-488</v>
      </c>
      <c r="BL77" s="39" t="n">
        <v>1.204918</v>
      </c>
      <c r="BM77" s="28" t="n">
        <v>0.829932</v>
      </c>
      <c r="BN77" s="28" t="n">
        <v>0.821782</v>
      </c>
      <c r="BO77" s="28" t="n"/>
      <c r="BP77" s="38" t="n"/>
      <c r="BQ77" s="39" t="n"/>
      <c r="BR77" s="28" t="n"/>
      <c r="BS77" s="28" t="n"/>
      <c r="BT77" s="28" t="n"/>
      <c r="BU77" s="38" t="n"/>
      <c r="BV77" s="29" t="n"/>
      <c r="BW77" s="24" t="n"/>
      <c r="BX77" s="40" t="n"/>
      <c r="BY77" s="39" t="n"/>
      <c r="BZ77" s="24" t="n"/>
      <c r="CA77" s="31" t="n"/>
    </row>
    <row r="78" ht="36" customHeight="1">
      <c r="A78" s="24" t="inlineStr">
        <is>
          <t>bf6f6152e282469c</t>
        </is>
      </c>
      <c r="B78" s="24" t="inlineStr">
        <is>
          <t>2026-07-20T15:44:38.792804Z</t>
        </is>
      </c>
      <c r="C78" s="24" t="inlineStr">
        <is>
          <t>2026-07-20T20:00:00-0400</t>
        </is>
      </c>
      <c r="D78" s="24" t="inlineStr">
        <is>
          <t>401892393</t>
        </is>
      </c>
      <c r="E78" s="24" t="inlineStr">
        <is>
          <t>WNBA</t>
        </is>
      </c>
      <c r="F78" s="24" t="inlineStr">
        <is>
          <t>New York Liberty</t>
        </is>
      </c>
      <c r="G78" s="24" t="inlineStr">
        <is>
          <t>Dallas Wings</t>
        </is>
      </c>
      <c r="H78" s="24" t="inlineStr">
        <is>
          <t>moneyline</t>
        </is>
      </c>
      <c r="I78" s="24" t="inlineStr">
        <is>
          <t>home</t>
        </is>
      </c>
      <c r="J78" s="38" t="n"/>
      <c r="K78" s="24" t="inlineStr">
        <is>
          <t>polymarket_us</t>
        </is>
      </c>
      <c r="L78" s="26" t="n">
        <v>150</v>
      </c>
      <c r="M78" s="39" t="n">
        <v>2.5</v>
      </c>
      <c r="N78" s="28" t="n">
        <v>0.4</v>
      </c>
      <c r="O78" s="28" t="n">
        <v>0.688998</v>
      </c>
      <c r="P78" s="28" t="n"/>
      <c r="Q78" s="28" t="n">
        <v>0.288998</v>
      </c>
      <c r="R78" s="26" t="n">
        <v>100</v>
      </c>
      <c r="S78" s="29" t="n">
        <v>2</v>
      </c>
      <c r="T78" s="24" t="inlineStr">
        <is>
          <t>wnba-elo-trend-lr-v3</t>
        </is>
      </c>
      <c r="U78" s="24" t="inlineStr">
        <is>
          <t>open</t>
        </is>
      </c>
      <c r="V78" s="24" t="n"/>
      <c r="W78" s="26" t="n"/>
      <c r="X78" s="26" t="n"/>
      <c r="Y78" s="38" t="n"/>
      <c r="Z78" s="26" t="n"/>
      <c r="AA78" s="28" t="n"/>
      <c r="AB78" s="28" t="n"/>
      <c r="AC78" s="40" t="n"/>
      <c r="AD78" s="24" t="n"/>
      <c r="AE78" s="31" t="inlineStr">
        <is>
          <t>Learned LR call at threshold 0.5051; executable ask 0.4000 (aec-wnba-ny-dal-2026-07-20).</t>
        </is>
      </c>
      <c r="AF78" s="31" t="inlineStr">
        <is>
          <t>Learned model; promotion gate not yet open; zero-unit research until review.</t>
        </is>
      </c>
      <c r="AG78" s="24" t="inlineStr">
        <is>
          <t>not_applicable</t>
        </is>
      </c>
      <c r="AH78" s="24" t="n"/>
      <c r="AI78" s="31" t="n"/>
      <c r="AJ78" s="31" t="n"/>
      <c r="AK78" s="24" t="inlineStr">
        <is>
          <t>research_observation</t>
        </is>
      </c>
      <c r="AL78" s="26" t="n">
        <v>3</v>
      </c>
      <c r="AM78" s="24" t="inlineStr">
        <is>
          <t>RESEARCH_OBSERVATION</t>
        </is>
      </c>
      <c r="AN78" s="24" t="inlineStr">
        <is>
          <t>NO_CALL</t>
        </is>
      </c>
      <c r="AO78" s="24" t="inlineStr">
        <is>
          <t>NO_CALL_LARGE_DISAGREEMENT_REVIEW</t>
        </is>
      </c>
      <c r="AP78" s="24" t="inlineStr">
        <is>
          <t>wnba-nyl</t>
        </is>
      </c>
      <c r="AQ78" s="24" t="inlineStr">
        <is>
          <t>New York Liberty</t>
        </is>
      </c>
      <c r="AR78" s="24" t="inlineStr">
        <is>
          <t>New York Liberty</t>
        </is>
      </c>
      <c r="AS78" s="24" t="inlineStr">
        <is>
          <t>wnba-dal</t>
        </is>
      </c>
      <c r="AT78" s="24" t="inlineStr">
        <is>
          <t>Dallas Wings</t>
        </is>
      </c>
      <c r="AU78" s="24" t="inlineStr">
        <is>
          <t>Dallas Wings</t>
        </is>
      </c>
      <c r="AV78" s="24" t="n"/>
      <c r="AW78" s="24" t="n"/>
      <c r="AX78" s="24" t="inlineStr">
        <is>
          <t>statistical_model</t>
        </is>
      </c>
      <c r="AY78" s="24" t="n"/>
      <c r="AZ78" s="24" t="inlineStr">
        <is>
          <t>shadow_qualified</t>
        </is>
      </c>
      <c r="BA78" s="24" t="inlineStr">
        <is>
          <t>43ee2f84f025c10f83f80a8c22d49c35c420734a8a730b5f272287225cceee4b</t>
        </is>
      </c>
      <c r="BB78" s="24" t="inlineStr">
        <is>
          <t>learned_lr</t>
        </is>
      </c>
      <c r="BC78" s="24" t="inlineStr">
        <is>
          <t>wnba-elo-trend-lr-v3</t>
        </is>
      </c>
      <c r="BD78" s="24" t="inlineStr">
        <is>
          <t>43ee2f84f025c10f83f80a8c22d49c35c420734a8a730b5f272287225cceee4b</t>
        </is>
      </c>
      <c r="BE78" s="24" t="inlineStr">
        <is>
          <t>c20bbb99f1fff741</t>
        </is>
      </c>
      <c r="BF78" s="24" t="inlineStr">
        <is>
          <t>1</t>
        </is>
      </c>
      <c r="BG78" s="24" t="inlineStr">
        <is>
          <t>wnba-elo-trend-lr-v3</t>
        </is>
      </c>
      <c r="BH78" s="24" t="inlineStr">
        <is>
          <t>2026-07-20T15:41:03.863692Z</t>
        </is>
      </c>
      <c r="BI78" s="24" t="inlineStr">
        <is>
          <t>["same_event","same_team_same_day","same_league_same_day"]</t>
        </is>
      </c>
      <c r="BJ78" s="38" t="n"/>
      <c r="BK78" s="26" t="n">
        <v>150</v>
      </c>
      <c r="BL78" s="39" t="n">
        <v>2.5</v>
      </c>
      <c r="BM78" s="28" t="n">
        <v>0.4</v>
      </c>
      <c r="BN78" s="28" t="n">
        <v>0.39604</v>
      </c>
      <c r="BO78" s="28" t="n"/>
      <c r="BP78" s="38" t="n"/>
      <c r="BQ78" s="39" t="n"/>
      <c r="BR78" s="28" t="n"/>
      <c r="BS78" s="28" t="n"/>
      <c r="BT78" s="28" t="n"/>
      <c r="BU78" s="38" t="n"/>
      <c r="BV78" s="29" t="n"/>
      <c r="BW78" s="24" t="n"/>
      <c r="BX78" s="40" t="n"/>
      <c r="BY78" s="39" t="n"/>
      <c r="BZ78" s="24" t="n"/>
      <c r="CA78" s="31" t="n"/>
    </row>
    <row r="79" ht="36" customHeight="1">
      <c r="A79" s="24" t="inlineStr">
        <is>
          <t>afaf853c69284bb6</t>
        </is>
      </c>
      <c r="B79" s="24" t="inlineStr">
        <is>
          <t>2026-07-20T15:44:38.792804Z</t>
        </is>
      </c>
      <c r="C79" s="24" t="inlineStr">
        <is>
          <t>2026-07-20T22:00:00-0400</t>
        </is>
      </c>
      <c r="D79" s="24" t="inlineStr">
        <is>
          <t>401857084</t>
        </is>
      </c>
      <c r="E79" s="24" t="inlineStr">
        <is>
          <t>WNBA</t>
        </is>
      </c>
      <c r="F79" s="24" t="inlineStr">
        <is>
          <t>Washington Mystics</t>
        </is>
      </c>
      <c r="G79" s="24" t="inlineStr">
        <is>
          <t>Golden State Valkyries</t>
        </is>
      </c>
      <c r="H79" s="24" t="inlineStr">
        <is>
          <t>moneyline</t>
        </is>
      </c>
      <c r="I79" s="24" t="inlineStr">
        <is>
          <t>home</t>
        </is>
      </c>
      <c r="J79" s="38" t="n"/>
      <c r="K79" s="24" t="inlineStr">
        <is>
          <t>polymarket_us</t>
        </is>
      </c>
      <c r="L79" s="26" t="n">
        <v>-317</v>
      </c>
      <c r="M79" s="39" t="n">
        <v>1.315457</v>
      </c>
      <c r="N79" s="28" t="n">
        <v>0.760192</v>
      </c>
      <c r="O79" s="28" t="n">
        <v>0.750463</v>
      </c>
      <c r="P79" s="28" t="n"/>
      <c r="Q79" s="28" t="n">
        <v>-0.009729</v>
      </c>
      <c r="R79" s="26" t="n">
        <v>15</v>
      </c>
      <c r="S79" s="29" t="n">
        <v>2</v>
      </c>
      <c r="T79" s="24" t="inlineStr">
        <is>
          <t>wnba-elo-trend-lr-v3</t>
        </is>
      </c>
      <c r="U79" s="24" t="inlineStr">
        <is>
          <t>open</t>
        </is>
      </c>
      <c r="V79" s="24" t="n"/>
      <c r="W79" s="26" t="n"/>
      <c r="X79" s="26" t="n"/>
      <c r="Y79" s="38" t="n"/>
      <c r="Z79" s="26" t="n"/>
      <c r="AA79" s="28" t="n"/>
      <c r="AB79" s="28" t="n"/>
      <c r="AC79" s="40" t="n"/>
      <c r="AD79" s="24" t="n"/>
      <c r="AE79" s="31" t="inlineStr">
        <is>
          <t>Learned LR call at threshold 0.5051; executable ask 0.7600 (aec-wnba-wsh-gsv-2026-07-20).</t>
        </is>
      </c>
      <c r="AF79" s="31" t="inlineStr">
        <is>
          <t>Learned model; promotion gate not yet open; zero-unit research until review.</t>
        </is>
      </c>
      <c r="AG79" s="24" t="inlineStr">
        <is>
          <t>not_applicable</t>
        </is>
      </c>
      <c r="AH79" s="24" t="n"/>
      <c r="AI79" s="31" t="n"/>
      <c r="AJ79" s="31" t="n"/>
      <c r="AK79" s="24" t="inlineStr">
        <is>
          <t>research_observation</t>
        </is>
      </c>
      <c r="AL79" s="26" t="n">
        <v>3</v>
      </c>
      <c r="AM79" s="24" t="inlineStr">
        <is>
          <t>RESEARCH_OBSERVATION</t>
        </is>
      </c>
      <c r="AN79" s="24" t="inlineStr">
        <is>
          <t>NO_CALL</t>
        </is>
      </c>
      <c r="AO79" s="24" t="inlineStr">
        <is>
          <t>NO_CALL_LOW_EDGE</t>
        </is>
      </c>
      <c r="AP79" s="24" t="inlineStr">
        <is>
          <t>wnba-was</t>
        </is>
      </c>
      <c r="AQ79" s="24" t="inlineStr">
        <is>
          <t>Washington Mystics</t>
        </is>
      </c>
      <c r="AR79" s="24" t="inlineStr">
        <is>
          <t>Washington Mystics</t>
        </is>
      </c>
      <c r="AS79" s="24" t="inlineStr">
        <is>
          <t>wnba-gsv</t>
        </is>
      </c>
      <c r="AT79" s="24" t="inlineStr">
        <is>
          <t>Golden State Valkyries</t>
        </is>
      </c>
      <c r="AU79" s="24" t="inlineStr">
        <is>
          <t>Golden State Valkyries</t>
        </is>
      </c>
      <c r="AV79" s="24" t="n"/>
      <c r="AW79" s="24" t="n"/>
      <c r="AX79" s="24" t="inlineStr">
        <is>
          <t>statistical_model</t>
        </is>
      </c>
      <c r="AY79" s="24" t="n"/>
      <c r="AZ79" s="24" t="inlineStr">
        <is>
          <t>shadow_qualified</t>
        </is>
      </c>
      <c r="BA79" s="24" t="inlineStr">
        <is>
          <t>43ee2f84f025c10f83f80a8c22d49c35c420734a8a730b5f272287225cceee4b</t>
        </is>
      </c>
      <c r="BB79" s="24" t="inlineStr">
        <is>
          <t>learned_lr</t>
        </is>
      </c>
      <c r="BC79" s="24" t="inlineStr">
        <is>
          <t>wnba-elo-trend-lr-v3</t>
        </is>
      </c>
      <c r="BD79" s="24" t="inlineStr">
        <is>
          <t>43ee2f84f025c10f83f80a8c22d49c35c420734a8a730b5f272287225cceee4b</t>
        </is>
      </c>
      <c r="BE79" s="24" t="inlineStr">
        <is>
          <t>a82314f65618b567</t>
        </is>
      </c>
      <c r="BF79" s="24" t="inlineStr">
        <is>
          <t>1</t>
        </is>
      </c>
      <c r="BG79" s="24" t="inlineStr">
        <is>
          <t>wnba-elo-trend-lr-v3</t>
        </is>
      </c>
      <c r="BH79" s="24" t="inlineStr">
        <is>
          <t>2026-07-20T15:41:06.249047Z</t>
        </is>
      </c>
      <c r="BI79" s="24" t="inlineStr">
        <is>
          <t>["same_event","same_team_same_day","same_league_same_day"]</t>
        </is>
      </c>
      <c r="BJ79" s="38" t="n"/>
      <c r="BK79" s="26" t="n">
        <v>-317</v>
      </c>
      <c r="BL79" s="39" t="n">
        <v>1.315457</v>
      </c>
      <c r="BM79" s="28" t="n">
        <v>0.760192</v>
      </c>
      <c r="BN79" s="28" t="n">
        <v>0.752475</v>
      </c>
      <c r="BO79" s="28" t="n"/>
      <c r="BP79" s="38" t="n"/>
      <c r="BQ79" s="39" t="n"/>
      <c r="BR79" s="28" t="n"/>
      <c r="BS79" s="28" t="n"/>
      <c r="BT79" s="28" t="n"/>
      <c r="BU79" s="38" t="n"/>
      <c r="BV79" s="29" t="n"/>
      <c r="BW79" s="24" t="n"/>
      <c r="BX79" s="40" t="n"/>
      <c r="BY79" s="39" t="n"/>
      <c r="BZ79" s="24" t="n"/>
      <c r="CA79" s="31" t="n"/>
    </row>
    <row r="80" ht="36" customHeight="1">
      <c r="A80" s="24" t="inlineStr">
        <is>
          <t>23aad3907b4640b1</t>
        </is>
      </c>
      <c r="B80" s="24" t="inlineStr">
        <is>
          <t>2026-07-20T15:44:38.792804Z</t>
        </is>
      </c>
      <c r="C80" s="24" t="inlineStr">
        <is>
          <t>2026-07-20T22:00:00-0400</t>
        </is>
      </c>
      <c r="D80" s="24" t="inlineStr">
        <is>
          <t>401857085</t>
        </is>
      </c>
      <c r="E80" s="24" t="inlineStr">
        <is>
          <t>WNBA</t>
        </is>
      </c>
      <c r="F80" s="24" t="inlineStr">
        <is>
          <t>Minnesota Lynx</t>
        </is>
      </c>
      <c r="G80" s="24" t="inlineStr">
        <is>
          <t>Seattle Storm</t>
        </is>
      </c>
      <c r="H80" s="24" t="inlineStr">
        <is>
          <t>moneyline</t>
        </is>
      </c>
      <c r="I80" s="24" t="inlineStr">
        <is>
          <t>away</t>
        </is>
      </c>
      <c r="J80" s="38" t="n"/>
      <c r="K80" s="24" t="inlineStr">
        <is>
          <t>polymarket_us</t>
        </is>
      </c>
      <c r="L80" s="26" t="n">
        <v>-456</v>
      </c>
      <c r="M80" s="39" t="n">
        <v>1.219298</v>
      </c>
      <c r="N80" s="28" t="n">
        <v>0.820144</v>
      </c>
      <c r="O80" s="28" t="n">
        <v>0.738843</v>
      </c>
      <c r="P80" s="28" t="n"/>
      <c r="Q80" s="28" t="n">
        <v>-0.081301</v>
      </c>
      <c r="R80" s="26" t="n">
        <v>0</v>
      </c>
      <c r="S80" s="29" t="n">
        <v>2</v>
      </c>
      <c r="T80" s="24" t="inlineStr">
        <is>
          <t>wnba-elo-trend-lr-v3</t>
        </is>
      </c>
      <c r="U80" s="24" t="inlineStr">
        <is>
          <t>open</t>
        </is>
      </c>
      <c r="V80" s="24" t="n"/>
      <c r="W80" s="26" t="n"/>
      <c r="X80" s="26" t="n"/>
      <c r="Y80" s="38" t="n"/>
      <c r="Z80" s="26" t="n"/>
      <c r="AA80" s="28" t="n"/>
      <c r="AB80" s="28" t="n"/>
      <c r="AC80" s="40" t="n"/>
      <c r="AD80" s="24" t="n"/>
      <c r="AE80" s="31" t="inlineStr">
        <is>
          <t>Learned LR call at threshold 0.5051; executable ask 0.8200 (aec-wnba-min-sea-2026-07-20).</t>
        </is>
      </c>
      <c r="AF80" s="31" t="inlineStr">
        <is>
          <t>Learned model; promotion gate not yet open; zero-unit research until review.</t>
        </is>
      </c>
      <c r="AG80" s="24" t="inlineStr">
        <is>
          <t>not_applicable</t>
        </is>
      </c>
      <c r="AH80" s="24" t="n"/>
      <c r="AI80" s="31" t="n"/>
      <c r="AJ80" s="31" t="n"/>
      <c r="AK80" s="24" t="inlineStr">
        <is>
          <t>research_observation</t>
        </is>
      </c>
      <c r="AL80" s="26" t="n">
        <v>3</v>
      </c>
      <c r="AM80" s="24" t="inlineStr">
        <is>
          <t>RESEARCH_OBSERVATION</t>
        </is>
      </c>
      <c r="AN80" s="24" t="inlineStr">
        <is>
          <t>NO_CALL</t>
        </is>
      </c>
      <c r="AO80" s="24" t="inlineStr">
        <is>
          <t>NO_CALL_LOW_EDGE</t>
        </is>
      </c>
      <c r="AP80" s="24" t="inlineStr">
        <is>
          <t>wnba-min</t>
        </is>
      </c>
      <c r="AQ80" s="24" t="inlineStr">
        <is>
          <t>Minnesota Lynx</t>
        </is>
      </c>
      <c r="AR80" s="24" t="inlineStr">
        <is>
          <t>Minnesota Lynx</t>
        </is>
      </c>
      <c r="AS80" s="24" t="inlineStr">
        <is>
          <t>wnba-sea</t>
        </is>
      </c>
      <c r="AT80" s="24" t="inlineStr">
        <is>
          <t>Seattle Storm</t>
        </is>
      </c>
      <c r="AU80" s="24" t="inlineStr">
        <is>
          <t>Seattle Storm</t>
        </is>
      </c>
      <c r="AV80" s="24" t="n"/>
      <c r="AW80" s="24" t="n"/>
      <c r="AX80" s="24" t="inlineStr">
        <is>
          <t>statistical_model</t>
        </is>
      </c>
      <c r="AY80" s="24" t="n"/>
      <c r="AZ80" s="24" t="inlineStr">
        <is>
          <t>shadow_qualified</t>
        </is>
      </c>
      <c r="BA80" s="24" t="inlineStr">
        <is>
          <t>43ee2f84f025c10f83f80a8c22d49c35c420734a8a730b5f272287225cceee4b</t>
        </is>
      </c>
      <c r="BB80" s="24" t="inlineStr">
        <is>
          <t>learned_lr</t>
        </is>
      </c>
      <c r="BC80" s="24" t="inlineStr">
        <is>
          <t>wnba-elo-trend-lr-v3</t>
        </is>
      </c>
      <c r="BD80" s="24" t="inlineStr">
        <is>
          <t>43ee2f84f025c10f83f80a8c22d49c35c420734a8a730b5f272287225cceee4b</t>
        </is>
      </c>
      <c r="BE80" s="24" t="inlineStr">
        <is>
          <t>c7928758cc04b6e5</t>
        </is>
      </c>
      <c r="BF80" s="24" t="inlineStr">
        <is>
          <t>1</t>
        </is>
      </c>
      <c r="BG80" s="24" t="inlineStr">
        <is>
          <t>wnba-elo-trend-lr-v3</t>
        </is>
      </c>
      <c r="BH80" s="24" t="inlineStr">
        <is>
          <t>2026-07-20T15:41:07.394583Z</t>
        </is>
      </c>
      <c r="BI80" s="24" t="inlineStr">
        <is>
          <t>["same_event","same_team_same_day","same_league_same_day"]</t>
        </is>
      </c>
      <c r="BJ80" s="38" t="n"/>
      <c r="BK80" s="26" t="n">
        <v>-456</v>
      </c>
      <c r="BL80" s="39" t="n">
        <v>1.219298</v>
      </c>
      <c r="BM80" s="28" t="n">
        <v>0.820144</v>
      </c>
      <c r="BN80" s="28" t="n">
        <v>0.811881</v>
      </c>
      <c r="BO80" s="28" t="n"/>
      <c r="BP80" s="38" t="n"/>
      <c r="BQ80" s="39" t="n"/>
      <c r="BR80" s="28" t="n"/>
      <c r="BS80" s="28" t="n"/>
      <c r="BT80" s="28" t="n"/>
      <c r="BU80" s="38" t="n"/>
      <c r="BV80" s="29" t="n"/>
      <c r="BW80" s="24" t="n"/>
      <c r="BX80" s="40" t="n"/>
      <c r="BY80" s="39" t="n"/>
      <c r="BZ80" s="24" t="n"/>
      <c r="CA80" s="31" t="n"/>
    </row>
    <row r="81" ht="36" customHeight="1">
      <c r="A81" s="24" t="inlineStr">
        <is>
          <t>8f572bd4fec54325</t>
        </is>
      </c>
      <c r="B81" s="24" t="inlineStr">
        <is>
          <t>2026-07-20T16:32:49.855665Z</t>
        </is>
      </c>
      <c r="C81" s="24" t="inlineStr">
        <is>
          <t>2026-07-20T20:00:00Z</t>
        </is>
      </c>
      <c r="D81" s="24" t="inlineStr">
        <is>
          <t>54491</t>
        </is>
      </c>
      <c r="E81" s="24" t="inlineStr">
        <is>
          <t>LOL</t>
        </is>
      </c>
      <c r="F81" s="24" t="inlineStr">
        <is>
          <t>KaBuM! Ilha das Lendas</t>
        </is>
      </c>
      <c r="G81" s="24" t="inlineStr">
        <is>
          <t>Vivo Keyd Stars Academy</t>
        </is>
      </c>
      <c r="H81" s="24" t="inlineStr">
        <is>
          <t>moneyline</t>
        </is>
      </c>
      <c r="I81" s="24" t="inlineStr">
        <is>
          <t>home</t>
        </is>
      </c>
      <c r="J81" s="38" t="n"/>
      <c r="K81" s="24" t="inlineStr">
        <is>
          <t>polymarket_us</t>
        </is>
      </c>
      <c r="L81" s="26" t="n">
        <v>144</v>
      </c>
      <c r="M81" s="39" t="n">
        <v>2.44</v>
      </c>
      <c r="N81" s="28" t="n">
        <v>0.409836</v>
      </c>
      <c r="O81" s="28" t="n">
        <v>0.527501</v>
      </c>
      <c r="P81" s="28" t="n"/>
      <c r="Q81" s="28" t="n">
        <v>0.117501</v>
      </c>
      <c r="R81" s="26" t="n">
        <v>100</v>
      </c>
      <c r="S81" s="29" t="n">
        <v>0.75</v>
      </c>
      <c r="T81" s="24" t="inlineStr">
        <is>
          <t>lol-neutral-series-elo-v1</t>
        </is>
      </c>
      <c r="U81" s="24" t="inlineStr">
        <is>
          <t>open</t>
        </is>
      </c>
      <c r="V81" s="24" t="n"/>
      <c r="W81" s="26" t="n"/>
      <c r="X81" s="26" t="n"/>
      <c r="Y81" s="38" t="n"/>
      <c r="Z81" s="26" t="n"/>
      <c r="AA81" s="28" t="n"/>
      <c r="AB81" s="28" t="n"/>
      <c r="AC81" s="40" t="n"/>
      <c r="AD81" s="24" t="n"/>
      <c r="AE81" s="31" t="inlineStr">
        <is>
          <t>Neutral Elo baseline; executable ask 0.4100 (aec-lol-vksa-kbm-2026-07-20).</t>
        </is>
      </c>
      <c r="AF81" s="31" t="inlineStr">
        <is>
          <t>Research baseline; zero-unit shadow until qualified.</t>
        </is>
      </c>
      <c r="AG81" s="24" t="inlineStr">
        <is>
          <t>not_applicable</t>
        </is>
      </c>
      <c r="AH81" s="24" t="n"/>
      <c r="AI81" s="31" t="n"/>
      <c r="AJ81" s="31" t="n"/>
      <c r="AK81" s="24" t="inlineStr">
        <is>
          <t>model_qualified</t>
        </is>
      </c>
      <c r="AL81" s="26" t="n">
        <v>3</v>
      </c>
      <c r="AM81" s="24" t="inlineStr">
        <is>
          <t>QUALIFIED_SHADOW_CALL</t>
        </is>
      </c>
      <c r="AN81" s="24" t="inlineStr">
        <is>
          <t>CALL</t>
        </is>
      </c>
      <c r="AO81" s="24" t="inlineStr">
        <is>
          <t>QUALIFIED</t>
        </is>
      </c>
      <c r="AP81" s="24" t="inlineStr">
        <is>
          <t>KaBuM! Ilha das Lendas</t>
        </is>
      </c>
      <c r="AQ81" s="24" t="inlineStr">
        <is>
          <t>KaBuM! Ilha das Lendas</t>
        </is>
      </c>
      <c r="AR81" s="24" t="inlineStr">
        <is>
          <t>KaBuM! Ilha das Lendas</t>
        </is>
      </c>
      <c r="AS81" s="24" t="inlineStr">
        <is>
          <t>Vivo Keyd Stars Academy</t>
        </is>
      </c>
      <c r="AT81" s="24" t="inlineStr">
        <is>
          <t>Vivo Keyd Stars Academy</t>
        </is>
      </c>
      <c r="AU81" s="24" t="inlineStr">
        <is>
          <t>Vivo Keyd Stars Academy</t>
        </is>
      </c>
      <c r="AV81" s="24" t="n"/>
      <c r="AW81" s="24" t="n"/>
      <c r="AX81" s="24" t="inlineStr">
        <is>
          <t>statistical_model</t>
        </is>
      </c>
      <c r="AY81" s="24" t="n"/>
      <c r="AZ81" s="24" t="inlineStr">
        <is>
          <t>shadow_qualified</t>
        </is>
      </c>
      <c r="BA81" s="24" t="inlineStr">
        <is>
          <t>1f56359bf30bb6d51629a345226e3008ebfe73210551f6db9f5ce09f656ffdd6</t>
        </is>
      </c>
      <c r="BB81" s="24" t="inlineStr">
        <is>
          <t>neutral_elo</t>
        </is>
      </c>
      <c r="BC81" s="24" t="inlineStr">
        <is>
          <t>lol-neutral-series-elo-v1</t>
        </is>
      </c>
      <c r="BD81" s="24" t="inlineStr">
        <is>
          <t>1f56359bf30bb6d51629a345226e3008ebfe73210551f6db9f5ce09f656ffdd6</t>
        </is>
      </c>
      <c r="BE81" s="24" t="inlineStr">
        <is>
          <t>1</t>
        </is>
      </c>
      <c r="BF81" s="24" t="inlineStr">
        <is>
          <t>1</t>
        </is>
      </c>
      <c r="BG81" s="24" t="inlineStr">
        <is>
          <t>unknown</t>
        </is>
      </c>
      <c r="BH81" s="24" t="inlineStr">
        <is>
          <t>2026-07-20T16:32:49.855665Z</t>
        </is>
      </c>
      <c r="BI81" s="24" t="inlineStr">
        <is>
          <t>["same_event","same_team_same_day","same_league_same_day"]</t>
        </is>
      </c>
      <c r="BJ81" s="38" t="n"/>
      <c r="BK81" s="26" t="n">
        <v>144</v>
      </c>
      <c r="BL81" s="39" t="n">
        <v>2.44</v>
      </c>
      <c r="BM81" s="28" t="n">
        <v>0.409836</v>
      </c>
      <c r="BN81" s="28" t="n"/>
      <c r="BO81" s="28" t="n"/>
      <c r="BP81" s="38" t="n"/>
      <c r="BQ81" s="39" t="n"/>
      <c r="BR81" s="28" t="n"/>
      <c r="BS81" s="28" t="n"/>
      <c r="BT81" s="28" t="n"/>
      <c r="BU81" s="38" t="n"/>
      <c r="BV81" s="29" t="n"/>
      <c r="BW81" s="24" t="n"/>
      <c r="BX81" s="40" t="n"/>
      <c r="BY81" s="39" t="n"/>
      <c r="BZ81" s="24" t="n"/>
      <c r="CA81" s="31" t="n"/>
    </row>
    <row r="82" ht="36" customHeight="1">
      <c r="A82" s="24" t="inlineStr">
        <is>
          <t>04bc614189f44e85</t>
        </is>
      </c>
      <c r="B82" s="24" t="inlineStr">
        <is>
          <t>2026-07-20T16:32:50.077952Z</t>
        </is>
      </c>
      <c r="C82" s="24" t="inlineStr">
        <is>
          <t>2026-07-20T21:00:00Z</t>
        </is>
      </c>
      <c r="D82" s="24" t="inlineStr">
        <is>
          <t>54670</t>
        </is>
      </c>
      <c r="E82" s="24" t="inlineStr">
        <is>
          <t>LOL</t>
        </is>
      </c>
      <c r="F82" s="24" t="inlineStr">
        <is>
          <t>INTZ e-Sports</t>
        </is>
      </c>
      <c r="G82" s="24" t="inlineStr">
        <is>
          <t>7REX</t>
        </is>
      </c>
      <c r="H82" s="24" t="inlineStr">
        <is>
          <t>moneyline</t>
        </is>
      </c>
      <c r="I82" s="24" t="inlineStr">
        <is>
          <t>away</t>
        </is>
      </c>
      <c r="J82" s="38" t="n"/>
      <c r="K82" s="24" t="inlineStr">
        <is>
          <t>polymarket_us</t>
        </is>
      </c>
      <c r="L82" s="26" t="n">
        <v>186</v>
      </c>
      <c r="M82" s="39" t="n">
        <v>2.86</v>
      </c>
      <c r="N82" s="28" t="n">
        <v>0.34965</v>
      </c>
      <c r="O82" s="28" t="n">
        <v>0.533959</v>
      </c>
      <c r="P82" s="28" t="n"/>
      <c r="Q82" s="28" t="n">
        <v>0.183959</v>
      </c>
      <c r="R82" s="26" t="n">
        <v>100</v>
      </c>
      <c r="S82" s="29" t="n">
        <v>0.75</v>
      </c>
      <c r="T82" s="24" t="inlineStr">
        <is>
          <t>lol-neutral-series-elo-v1</t>
        </is>
      </c>
      <c r="U82" s="24" t="inlineStr">
        <is>
          <t>open</t>
        </is>
      </c>
      <c r="V82" s="24" t="n"/>
      <c r="W82" s="26" t="n"/>
      <c r="X82" s="26" t="n"/>
      <c r="Y82" s="38" t="n"/>
      <c r="Z82" s="26" t="n"/>
      <c r="AA82" s="28" t="n"/>
      <c r="AB82" s="28" t="n"/>
      <c r="AC82" s="40" t="n"/>
      <c r="AD82" s="24" t="n"/>
      <c r="AE82" s="31" t="inlineStr">
        <is>
          <t>Neutral Elo baseline; executable ask 0.3500 (aec-lol-itz-7rex-2026-07-20).</t>
        </is>
      </c>
      <c r="AF82" s="31" t="inlineStr">
        <is>
          <t>Research baseline; zero-unit shadow until qualified.</t>
        </is>
      </c>
      <c r="AG82" s="24" t="inlineStr">
        <is>
          <t>not_applicable</t>
        </is>
      </c>
      <c r="AH82" s="24" t="n"/>
      <c r="AI82" s="31" t="n"/>
      <c r="AJ82" s="31" t="n"/>
      <c r="AK82" s="24" t="inlineStr">
        <is>
          <t>model_qualified</t>
        </is>
      </c>
      <c r="AL82" s="26" t="n">
        <v>3</v>
      </c>
      <c r="AM82" s="24" t="inlineStr">
        <is>
          <t>QUALIFIED_SHADOW_CALL</t>
        </is>
      </c>
      <c r="AN82" s="24" t="inlineStr">
        <is>
          <t>CALL</t>
        </is>
      </c>
      <c r="AO82" s="24" t="inlineStr">
        <is>
          <t>QUALIFIED</t>
        </is>
      </c>
      <c r="AP82" s="24" t="inlineStr">
        <is>
          <t>INTZ e-Sports</t>
        </is>
      </c>
      <c r="AQ82" s="24" t="inlineStr">
        <is>
          <t>INTZ e-Sports</t>
        </is>
      </c>
      <c r="AR82" s="24" t="inlineStr">
        <is>
          <t>INTZ e-Sports</t>
        </is>
      </c>
      <c r="AS82" s="24" t="inlineStr">
        <is>
          <t>7REX</t>
        </is>
      </c>
      <c r="AT82" s="24" t="inlineStr">
        <is>
          <t>7REX</t>
        </is>
      </c>
      <c r="AU82" s="24" t="inlineStr">
        <is>
          <t>7REX</t>
        </is>
      </c>
      <c r="AV82" s="24" t="n"/>
      <c r="AW82" s="24" t="n"/>
      <c r="AX82" s="24" t="inlineStr">
        <is>
          <t>statistical_model</t>
        </is>
      </c>
      <c r="AY82" s="24" t="n"/>
      <c r="AZ82" s="24" t="inlineStr">
        <is>
          <t>shadow_qualified</t>
        </is>
      </c>
      <c r="BA82" s="24" t="inlineStr">
        <is>
          <t>1f56359bf30bb6d51629a345226e3008ebfe73210551f6db9f5ce09f656ffdd6</t>
        </is>
      </c>
      <c r="BB82" s="24" t="inlineStr">
        <is>
          <t>neutral_elo</t>
        </is>
      </c>
      <c r="BC82" s="24" t="inlineStr">
        <is>
          <t>lol-neutral-series-elo-v1</t>
        </is>
      </c>
      <c r="BD82" s="24" t="inlineStr">
        <is>
          <t>1f56359bf30bb6d51629a345226e3008ebfe73210551f6db9f5ce09f656ffdd6</t>
        </is>
      </c>
      <c r="BE82" s="24" t="inlineStr">
        <is>
          <t>1</t>
        </is>
      </c>
      <c r="BF82" s="24" t="inlineStr">
        <is>
          <t>1</t>
        </is>
      </c>
      <c r="BG82" s="24" t="inlineStr">
        <is>
          <t>unknown</t>
        </is>
      </c>
      <c r="BH82" s="24" t="inlineStr">
        <is>
          <t>2026-07-20T16:32:50.077952Z</t>
        </is>
      </c>
      <c r="BI82" s="24" t="inlineStr">
        <is>
          <t>["same_event","same_team_same_day","same_league_same_day"]</t>
        </is>
      </c>
      <c r="BJ82" s="38" t="n"/>
      <c r="BK82" s="26" t="n">
        <v>186</v>
      </c>
      <c r="BL82" s="39" t="n">
        <v>2.86</v>
      </c>
      <c r="BM82" s="28" t="n">
        <v>0.34965</v>
      </c>
      <c r="BN82" s="28" t="n"/>
      <c r="BO82" s="28" t="n"/>
      <c r="BP82" s="38" t="n"/>
      <c r="BQ82" s="39" t="n"/>
      <c r="BR82" s="28" t="n"/>
      <c r="BS82" s="28" t="n"/>
      <c r="BT82" s="28" t="n"/>
      <c r="BU82" s="38" t="n"/>
      <c r="BV82" s="29" t="n"/>
      <c r="BW82" s="24" t="n"/>
      <c r="BX82" s="40" t="n"/>
      <c r="BY82" s="39" t="n"/>
      <c r="BZ82" s="24" t="n"/>
      <c r="CA82" s="31" t="n"/>
    </row>
    <row r="83" ht="36" customHeight="1">
      <c r="A83" s="24" t="inlineStr">
        <is>
          <t>d4cef3f0c09a4253</t>
        </is>
      </c>
      <c r="B83" s="24" t="inlineStr">
        <is>
          <t>2026-07-20T16:32:50.272162Z</t>
        </is>
      </c>
      <c r="C83" s="24" t="inlineStr">
        <is>
          <t>2026-07-20T23:00:00Z</t>
        </is>
      </c>
      <c r="D83" s="24" t="inlineStr">
        <is>
          <t>54724</t>
        </is>
      </c>
      <c r="E83" s="24" t="inlineStr">
        <is>
          <t>LOL</t>
        </is>
      </c>
      <c r="F83" s="24" t="inlineStr">
        <is>
          <t>Team Solid</t>
        </is>
      </c>
      <c r="G83" s="24" t="inlineStr">
        <is>
          <t>RMD Gaming</t>
        </is>
      </c>
      <c r="H83" s="24" t="inlineStr">
        <is>
          <t>moneyline</t>
        </is>
      </c>
      <c r="I83" s="24" t="inlineStr">
        <is>
          <t>away</t>
        </is>
      </c>
      <c r="J83" s="38" t="n"/>
      <c r="K83" s="24" t="inlineStr">
        <is>
          <t>polymarket_us</t>
        </is>
      </c>
      <c r="L83" s="26" t="n">
        <v>-144</v>
      </c>
      <c r="M83" s="39" t="n">
        <v>1.694444</v>
      </c>
      <c r="N83" s="28" t="n">
        <v>0.590164</v>
      </c>
      <c r="O83" s="28" t="n">
        <v>0.524075</v>
      </c>
      <c r="P83" s="28" t="n"/>
      <c r="Q83" s="28" t="n">
        <v>-0.065925</v>
      </c>
      <c r="R83" s="26" t="n">
        <v>0</v>
      </c>
      <c r="S83" s="29" t="n">
        <v>0.75</v>
      </c>
      <c r="T83" s="24" t="inlineStr">
        <is>
          <t>lol-neutral-series-elo-v1</t>
        </is>
      </c>
      <c r="U83" s="24" t="inlineStr">
        <is>
          <t>open</t>
        </is>
      </c>
      <c r="V83" s="24" t="n"/>
      <c r="W83" s="26" t="n"/>
      <c r="X83" s="26" t="n"/>
      <c r="Y83" s="38" t="n"/>
      <c r="Z83" s="26" t="n"/>
      <c r="AA83" s="28" t="n"/>
      <c r="AB83" s="28" t="n"/>
      <c r="AC83" s="40" t="n"/>
      <c r="AD83" s="24" t="n"/>
      <c r="AE83" s="31" t="inlineStr">
        <is>
          <t>Neutral Elo baseline; executable ask 0.5900 (aec-lol-tse-rmd-2026-07-20).</t>
        </is>
      </c>
      <c r="AF83" s="31" t="inlineStr">
        <is>
          <t>Research baseline; zero-unit shadow until qualified.</t>
        </is>
      </c>
      <c r="AG83" s="24" t="inlineStr">
        <is>
          <t>not_applicable</t>
        </is>
      </c>
      <c r="AH83" s="24" t="n"/>
      <c r="AI83" s="31" t="n"/>
      <c r="AJ83" s="31" t="n"/>
      <c r="AK83" s="24" t="inlineStr">
        <is>
          <t>model_qualified</t>
        </is>
      </c>
      <c r="AL83" s="26" t="n">
        <v>3</v>
      </c>
      <c r="AM83" s="24" t="inlineStr">
        <is>
          <t>QUALIFIED_SHADOW_CALL</t>
        </is>
      </c>
      <c r="AN83" s="24" t="inlineStr">
        <is>
          <t>CALL</t>
        </is>
      </c>
      <c r="AO83" s="24" t="inlineStr">
        <is>
          <t>QUALIFIED</t>
        </is>
      </c>
      <c r="AP83" s="24" t="inlineStr">
        <is>
          <t>Team Solid</t>
        </is>
      </c>
      <c r="AQ83" s="24" t="inlineStr">
        <is>
          <t>Team Solid</t>
        </is>
      </c>
      <c r="AR83" s="24" t="inlineStr">
        <is>
          <t>Team Solid</t>
        </is>
      </c>
      <c r="AS83" s="24" t="inlineStr">
        <is>
          <t>RMD Gaming</t>
        </is>
      </c>
      <c r="AT83" s="24" t="inlineStr">
        <is>
          <t>RMD Gaming</t>
        </is>
      </c>
      <c r="AU83" s="24" t="inlineStr">
        <is>
          <t>RMD Gaming</t>
        </is>
      </c>
      <c r="AV83" s="24" t="n"/>
      <c r="AW83" s="24" t="n"/>
      <c r="AX83" s="24" t="inlineStr">
        <is>
          <t>statistical_model</t>
        </is>
      </c>
      <c r="AY83" s="24" t="n"/>
      <c r="AZ83" s="24" t="inlineStr">
        <is>
          <t>shadow_qualified</t>
        </is>
      </c>
      <c r="BA83" s="24" t="inlineStr">
        <is>
          <t>1f56359bf30bb6d51629a345226e3008ebfe73210551f6db9f5ce09f656ffdd6</t>
        </is>
      </c>
      <c r="BB83" s="24" t="inlineStr">
        <is>
          <t>neutral_elo</t>
        </is>
      </c>
      <c r="BC83" s="24" t="inlineStr">
        <is>
          <t>lol-neutral-series-elo-v1</t>
        </is>
      </c>
      <c r="BD83" s="24" t="inlineStr">
        <is>
          <t>1f56359bf30bb6d51629a345226e3008ebfe73210551f6db9f5ce09f656ffdd6</t>
        </is>
      </c>
      <c r="BE83" s="24" t="inlineStr">
        <is>
          <t>1</t>
        </is>
      </c>
      <c r="BF83" s="24" t="inlineStr">
        <is>
          <t>1</t>
        </is>
      </c>
      <c r="BG83" s="24" t="inlineStr">
        <is>
          <t>unknown</t>
        </is>
      </c>
      <c r="BH83" s="24" t="inlineStr">
        <is>
          <t>2026-07-20T16:32:50.272162Z</t>
        </is>
      </c>
      <c r="BI83" s="24" t="inlineStr">
        <is>
          <t>["same_event","same_team_same_day","same_league_same_day"]</t>
        </is>
      </c>
      <c r="BJ83" s="38" t="n"/>
      <c r="BK83" s="26" t="n">
        <v>-144</v>
      </c>
      <c r="BL83" s="39" t="n">
        <v>1.694444</v>
      </c>
      <c r="BM83" s="28" t="n">
        <v>0.590164</v>
      </c>
      <c r="BN83" s="28" t="n"/>
      <c r="BO83" s="28" t="n"/>
      <c r="BP83" s="38" t="n"/>
      <c r="BQ83" s="39" t="n"/>
      <c r="BR83" s="28" t="n"/>
      <c r="BS83" s="28" t="n"/>
      <c r="BT83" s="28" t="n"/>
      <c r="BU83" s="38" t="n"/>
      <c r="BV83" s="29" t="n"/>
      <c r="BW83" s="24" t="n"/>
      <c r="BX83" s="40" t="n"/>
      <c r="BY83" s="39" t="n"/>
      <c r="BZ83" s="24" t="n"/>
      <c r="CA83" s="31" t="n"/>
    </row>
    <row r="84" ht="36" customHeight="1">
      <c r="A84" s="24" t="inlineStr">
        <is>
          <t>345e121461114afb</t>
        </is>
      </c>
      <c r="B84" s="24" t="inlineStr">
        <is>
          <t>2026-07-20T16:32:57.353876Z</t>
        </is>
      </c>
      <c r="C84" s="24" t="inlineStr">
        <is>
          <t>2026-07-20T17:00:00Z</t>
        </is>
      </c>
      <c r="D84" s="24" t="inlineStr">
        <is>
          <t>56113</t>
        </is>
      </c>
      <c r="E84" s="24" t="inlineStr">
        <is>
          <t>CS2</t>
        </is>
      </c>
      <c r="F84" s="24" t="inlineStr">
        <is>
          <t>Inner Circle Academy</t>
        </is>
      </c>
      <c r="G84" s="24" t="inlineStr">
        <is>
          <t>Endless Journey</t>
        </is>
      </c>
      <c r="H84" s="24" t="inlineStr">
        <is>
          <t>moneyline</t>
        </is>
      </c>
      <c r="I84" s="24" t="inlineStr">
        <is>
          <t>away</t>
        </is>
      </c>
      <c r="J84" s="38" t="n"/>
      <c r="K84" s="24" t="inlineStr">
        <is>
          <t>polymarket_us</t>
        </is>
      </c>
      <c r="L84" s="26" t="n">
        <v>113</v>
      </c>
      <c r="M84" s="39" t="n">
        <v>2.13</v>
      </c>
      <c r="N84" s="28" t="n">
        <v>0.469484</v>
      </c>
      <c r="O84" s="28" t="n">
        <v>0.576217</v>
      </c>
      <c r="P84" s="28" t="n"/>
      <c r="Q84" s="28" t="n">
        <v>0.106217</v>
      </c>
      <c r="R84" s="26" t="n">
        <v>100</v>
      </c>
      <c r="S84" s="29" t="n">
        <v>1.25</v>
      </c>
      <c r="T84" s="24" t="inlineStr">
        <is>
          <t>cs2-neutral-series-elo-v1</t>
        </is>
      </c>
      <c r="U84" s="24" t="inlineStr">
        <is>
          <t>open</t>
        </is>
      </c>
      <c r="V84" s="24" t="n"/>
      <c r="W84" s="26" t="n"/>
      <c r="X84" s="26" t="n"/>
      <c r="Y84" s="38" t="n"/>
      <c r="Z84" s="26" t="n"/>
      <c r="AA84" s="28" t="n"/>
      <c r="AB84" s="28" t="n"/>
      <c r="AC84" s="40" t="n"/>
      <c r="AD84" s="24" t="n"/>
      <c r="AE84" s="31" t="inlineStr">
        <is>
          <t>Neutral Elo baseline; executable ask 0.4700 (aec-cs2-ica-ej-2026-07-20).</t>
        </is>
      </c>
      <c r="AF84" s="31" t="inlineStr">
        <is>
          <t>Research baseline; zero-unit shadow until qualified.</t>
        </is>
      </c>
      <c r="AG84" s="24" t="inlineStr">
        <is>
          <t>not_applicable</t>
        </is>
      </c>
      <c r="AH84" s="24" t="n"/>
      <c r="AI84" s="31" t="n"/>
      <c r="AJ84" s="31" t="n"/>
      <c r="AK84" s="24" t="inlineStr">
        <is>
          <t>model_qualified</t>
        </is>
      </c>
      <c r="AL84" s="26" t="n">
        <v>3</v>
      </c>
      <c r="AM84" s="24" t="inlineStr">
        <is>
          <t>QUALIFIED_SHADOW_CALL</t>
        </is>
      </c>
      <c r="AN84" s="24" t="inlineStr">
        <is>
          <t>CALL</t>
        </is>
      </c>
      <c r="AO84" s="24" t="inlineStr">
        <is>
          <t>QUALIFIED</t>
        </is>
      </c>
      <c r="AP84" s="24" t="inlineStr">
        <is>
          <t>Inner Circle Academy</t>
        </is>
      </c>
      <c r="AQ84" s="24" t="inlineStr">
        <is>
          <t>Inner Circle Academy</t>
        </is>
      </c>
      <c r="AR84" s="24" t="inlineStr">
        <is>
          <t>Inner Circle Academy</t>
        </is>
      </c>
      <c r="AS84" s="24" t="inlineStr">
        <is>
          <t>Endless Journey</t>
        </is>
      </c>
      <c r="AT84" s="24" t="inlineStr">
        <is>
          <t>Endless Journey</t>
        </is>
      </c>
      <c r="AU84" s="24" t="inlineStr">
        <is>
          <t>Endless Journey</t>
        </is>
      </c>
      <c r="AV84" s="24" t="n"/>
      <c r="AW84" s="24" t="n"/>
      <c r="AX84" s="24" t="inlineStr">
        <is>
          <t>statistical_model</t>
        </is>
      </c>
      <c r="AY84" s="24" t="n"/>
      <c r="AZ84" s="24" t="inlineStr">
        <is>
          <t>shadow_qualified</t>
        </is>
      </c>
      <c r="BA84" s="24" t="inlineStr">
        <is>
          <t>40df7f7b9128e86cfbc485914f5801a00963b62604711b733b60f782ba9e258b</t>
        </is>
      </c>
      <c r="BB84" s="24" t="inlineStr">
        <is>
          <t>neutral_elo</t>
        </is>
      </c>
      <c r="BC84" s="24" t="inlineStr">
        <is>
          <t>cs2-neutral-series-elo-v1</t>
        </is>
      </c>
      <c r="BD84" s="24" t="inlineStr">
        <is>
          <t>40df7f7b9128e86cfbc485914f5801a00963b62604711b733b60f782ba9e258b</t>
        </is>
      </c>
      <c r="BE84" s="24" t="inlineStr">
        <is>
          <t>1</t>
        </is>
      </c>
      <c r="BF84" s="24" t="inlineStr">
        <is>
          <t>1</t>
        </is>
      </c>
      <c r="BG84" s="24" t="inlineStr">
        <is>
          <t>unknown</t>
        </is>
      </c>
      <c r="BH84" s="24" t="inlineStr">
        <is>
          <t>2026-07-20T16:32:57.353876Z</t>
        </is>
      </c>
      <c r="BI84" s="24" t="inlineStr">
        <is>
          <t>["same_event","same_team_same_day","same_league_same_day"]</t>
        </is>
      </c>
      <c r="BJ84" s="38" t="n"/>
      <c r="BK84" s="26" t="n">
        <v>113</v>
      </c>
      <c r="BL84" s="39" t="n">
        <v>2.13</v>
      </c>
      <c r="BM84" s="28" t="n">
        <v>0.469484</v>
      </c>
      <c r="BN84" s="28" t="n"/>
      <c r="BO84" s="28" t="n"/>
      <c r="BP84" s="38" t="n"/>
      <c r="BQ84" s="39" t="n"/>
      <c r="BR84" s="28" t="n"/>
      <c r="BS84" s="28" t="n"/>
      <c r="BT84" s="28" t="n"/>
      <c r="BU84" s="38" t="n"/>
      <c r="BV84" s="29" t="n"/>
      <c r="BW84" s="24" t="n"/>
      <c r="BX84" s="40" t="n"/>
      <c r="BY84" s="39" t="n"/>
      <c r="BZ84" s="24" t="n"/>
      <c r="CA84" s="31" t="n"/>
    </row>
    <row r="85" ht="36" customHeight="1">
      <c r="A85" s="24" t="inlineStr">
        <is>
          <t>26f9b7dd6b974bf6</t>
        </is>
      </c>
      <c r="B85" s="24" t="inlineStr">
        <is>
          <t>2026-07-20T16:32:57.577880Z</t>
        </is>
      </c>
      <c r="C85" s="24" t="inlineStr">
        <is>
          <t>2026-07-20T21:00:00Z</t>
        </is>
      </c>
      <c r="D85" s="24" t="inlineStr">
        <is>
          <t>54669</t>
        </is>
      </c>
      <c r="E85" s="24" t="inlineStr">
        <is>
          <t>CS2</t>
        </is>
      </c>
      <c r="F85" s="24" t="inlineStr">
        <is>
          <t>QUINTESSÊNCIA</t>
        </is>
      </c>
      <c r="G85" s="24" t="inlineStr">
        <is>
          <t>MIBR Academy</t>
        </is>
      </c>
      <c r="H85" s="24" t="inlineStr">
        <is>
          <t>moneyline</t>
        </is>
      </c>
      <c r="I85" s="24" t="inlineStr">
        <is>
          <t>home</t>
        </is>
      </c>
      <c r="J85" s="38" t="n"/>
      <c r="K85" s="24" t="inlineStr">
        <is>
          <t>polymarket_us</t>
        </is>
      </c>
      <c r="L85" s="26" t="n">
        <v>-223</v>
      </c>
      <c r="M85" s="39" t="n">
        <v>1.44843</v>
      </c>
      <c r="N85" s="28" t="n">
        <v>0.690402</v>
      </c>
      <c r="O85" s="28" t="n">
        <v>0.580016</v>
      </c>
      <c r="P85" s="28" t="n"/>
      <c r="Q85" s="28" t="n">
        <v>-0.109984</v>
      </c>
      <c r="R85" s="26" t="n">
        <v>0</v>
      </c>
      <c r="S85" s="29" t="n">
        <v>1.25</v>
      </c>
      <c r="T85" s="24" t="inlineStr">
        <is>
          <t>cs2-neutral-series-elo-v1</t>
        </is>
      </c>
      <c r="U85" s="24" t="inlineStr">
        <is>
          <t>open</t>
        </is>
      </c>
      <c r="V85" s="24" t="n"/>
      <c r="W85" s="26" t="n"/>
      <c r="X85" s="26" t="n"/>
      <c r="Y85" s="38" t="n"/>
      <c r="Z85" s="26" t="n"/>
      <c r="AA85" s="28" t="n"/>
      <c r="AB85" s="28" t="n"/>
      <c r="AC85" s="40" t="n"/>
      <c r="AD85" s="24" t="n"/>
      <c r="AE85" s="31" t="inlineStr">
        <is>
          <t>Neutral Elo baseline; executable ask 0.6900 (aec-cs2-mibra-quin-2026-07-20).</t>
        </is>
      </c>
      <c r="AF85" s="31" t="inlineStr">
        <is>
          <t>Research baseline; zero-unit shadow until qualified.</t>
        </is>
      </c>
      <c r="AG85" s="24" t="inlineStr">
        <is>
          <t>not_applicable</t>
        </is>
      </c>
      <c r="AH85" s="24" t="n"/>
      <c r="AI85" s="31" t="n"/>
      <c r="AJ85" s="31" t="n"/>
      <c r="AK85" s="24" t="inlineStr">
        <is>
          <t>model_qualified</t>
        </is>
      </c>
      <c r="AL85" s="26" t="n">
        <v>3</v>
      </c>
      <c r="AM85" s="24" t="inlineStr">
        <is>
          <t>QUALIFIED_SHADOW_CALL</t>
        </is>
      </c>
      <c r="AN85" s="24" t="inlineStr">
        <is>
          <t>CALL</t>
        </is>
      </c>
      <c r="AO85" s="24" t="inlineStr">
        <is>
          <t>QUALIFIED</t>
        </is>
      </c>
      <c r="AP85" s="24" t="inlineStr">
        <is>
          <t>QUINTESSÊNCIA</t>
        </is>
      </c>
      <c r="AQ85" s="24" t="inlineStr">
        <is>
          <t>QUINTESSÊNCIA</t>
        </is>
      </c>
      <c r="AR85" s="24" t="inlineStr">
        <is>
          <t>QUINTESSÊNCIA</t>
        </is>
      </c>
      <c r="AS85" s="24" t="inlineStr">
        <is>
          <t>MIBR Academy</t>
        </is>
      </c>
      <c r="AT85" s="24" t="inlineStr">
        <is>
          <t>MIBR Academy</t>
        </is>
      </c>
      <c r="AU85" s="24" t="inlineStr">
        <is>
          <t>MIBR Academy</t>
        </is>
      </c>
      <c r="AV85" s="24" t="n"/>
      <c r="AW85" s="24" t="n"/>
      <c r="AX85" s="24" t="inlineStr">
        <is>
          <t>statistical_model</t>
        </is>
      </c>
      <c r="AY85" s="24" t="n"/>
      <c r="AZ85" s="24" t="inlineStr">
        <is>
          <t>shadow_qualified</t>
        </is>
      </c>
      <c r="BA85" s="24" t="inlineStr">
        <is>
          <t>40df7f7b9128e86cfbc485914f5801a00963b62604711b733b60f782ba9e258b</t>
        </is>
      </c>
      <c r="BB85" s="24" t="inlineStr">
        <is>
          <t>neutral_elo</t>
        </is>
      </c>
      <c r="BC85" s="24" t="inlineStr">
        <is>
          <t>cs2-neutral-series-elo-v1</t>
        </is>
      </c>
      <c r="BD85" s="24" t="inlineStr">
        <is>
          <t>40df7f7b9128e86cfbc485914f5801a00963b62604711b733b60f782ba9e258b</t>
        </is>
      </c>
      <c r="BE85" s="24" t="inlineStr">
        <is>
          <t>1</t>
        </is>
      </c>
      <c r="BF85" s="24" t="inlineStr">
        <is>
          <t>1</t>
        </is>
      </c>
      <c r="BG85" s="24" t="inlineStr">
        <is>
          <t>unknown</t>
        </is>
      </c>
      <c r="BH85" s="24" t="inlineStr">
        <is>
          <t>2026-07-20T16:32:57.577880Z</t>
        </is>
      </c>
      <c r="BI85" s="24" t="inlineStr">
        <is>
          <t>["same_event","same_team_same_day","same_league_same_day"]</t>
        </is>
      </c>
      <c r="BJ85" s="38" t="n"/>
      <c r="BK85" s="26" t="n">
        <v>-223</v>
      </c>
      <c r="BL85" s="39" t="n">
        <v>1.44843</v>
      </c>
      <c r="BM85" s="28" t="n">
        <v>0.690402</v>
      </c>
      <c r="BN85" s="28" t="n"/>
      <c r="BO85" s="28" t="n"/>
      <c r="BP85" s="38" t="n"/>
      <c r="BQ85" s="39" t="n"/>
      <c r="BR85" s="28" t="n"/>
      <c r="BS85" s="28" t="n"/>
      <c r="BT85" s="28" t="n"/>
      <c r="BU85" s="38" t="n"/>
      <c r="BV85" s="29" t="n"/>
      <c r="BW85" s="24" t="n"/>
      <c r="BX85" s="40" t="n"/>
      <c r="BY85" s="39" t="n"/>
      <c r="BZ85" s="24" t="n"/>
      <c r="CA85" s="31" t="n"/>
    </row>
    <row r="86" ht="36" customHeight="1">
      <c r="A86" s="24" t="inlineStr">
        <is>
          <t>1a2e4cd0bc214362</t>
        </is>
      </c>
      <c r="B86" s="24" t="inlineStr">
        <is>
          <t>2026-07-20T16:32:57.772821Z</t>
        </is>
      </c>
      <c r="C86" s="24" t="inlineStr">
        <is>
          <t>2026-07-20T21:00:00Z</t>
        </is>
      </c>
      <c r="D86" s="24" t="inlineStr">
        <is>
          <t>54672</t>
        </is>
      </c>
      <c r="E86" s="24" t="inlineStr">
        <is>
          <t>CS2</t>
        </is>
      </c>
      <c r="F86" s="24" t="inlineStr">
        <is>
          <t>METANOIA WOLVES</t>
        </is>
      </c>
      <c r="G86" s="24" t="inlineStr">
        <is>
          <t>RED Canids Academy</t>
        </is>
      </c>
      <c r="H86" s="24" t="inlineStr">
        <is>
          <t>moneyline</t>
        </is>
      </c>
      <c r="I86" s="24" t="inlineStr">
        <is>
          <t>home</t>
        </is>
      </c>
      <c r="J86" s="38" t="n"/>
      <c r="K86" s="24" t="inlineStr">
        <is>
          <t>polymarket_us</t>
        </is>
      </c>
      <c r="L86" s="26" t="n">
        <v>-144</v>
      </c>
      <c r="M86" s="39" t="n">
        <v>1.694444</v>
      </c>
      <c r="N86" s="28" t="n">
        <v>0.590164</v>
      </c>
      <c r="O86" s="28" t="n">
        <v>0.692542</v>
      </c>
      <c r="P86" s="28" t="n"/>
      <c r="Q86" s="28" t="n">
        <v>0.102542</v>
      </c>
      <c r="R86" s="26" t="n">
        <v>100</v>
      </c>
      <c r="S86" s="29" t="n">
        <v>2</v>
      </c>
      <c r="T86" s="24" t="inlineStr">
        <is>
          <t>cs2-neutral-series-elo-v1</t>
        </is>
      </c>
      <c r="U86" s="24" t="inlineStr">
        <is>
          <t>open</t>
        </is>
      </c>
      <c r="V86" s="24" t="n"/>
      <c r="W86" s="26" t="n"/>
      <c r="X86" s="26" t="n"/>
      <c r="Y86" s="38" t="n"/>
      <c r="Z86" s="26" t="n"/>
      <c r="AA86" s="28" t="n"/>
      <c r="AB86" s="28" t="n"/>
      <c r="AC86" s="40" t="n"/>
      <c r="AD86" s="24" t="n"/>
      <c r="AE86" s="31" t="inlineStr">
        <is>
          <t>Neutral Elo baseline; executable ask 0.5900 (aec-cs2-reda-mw-2026-07-20).</t>
        </is>
      </c>
      <c r="AF86" s="31" t="inlineStr">
        <is>
          <t>Research baseline; zero-unit shadow until qualified.</t>
        </is>
      </c>
      <c r="AG86" s="24" t="inlineStr">
        <is>
          <t>not_applicable</t>
        </is>
      </c>
      <c r="AH86" s="24" t="n"/>
      <c r="AI86" s="31" t="n"/>
      <c r="AJ86" s="31" t="n"/>
      <c r="AK86" s="24" t="inlineStr">
        <is>
          <t>model_qualified</t>
        </is>
      </c>
      <c r="AL86" s="26" t="n">
        <v>3</v>
      </c>
      <c r="AM86" s="24" t="inlineStr">
        <is>
          <t>QUALIFIED_SHADOW_CALL</t>
        </is>
      </c>
      <c r="AN86" s="24" t="inlineStr">
        <is>
          <t>CALL</t>
        </is>
      </c>
      <c r="AO86" s="24" t="inlineStr">
        <is>
          <t>QUALIFIED</t>
        </is>
      </c>
      <c r="AP86" s="24" t="inlineStr">
        <is>
          <t>METANOIA WOLVES</t>
        </is>
      </c>
      <c r="AQ86" s="24" t="inlineStr">
        <is>
          <t>METANOIA WOLVES</t>
        </is>
      </c>
      <c r="AR86" s="24" t="inlineStr">
        <is>
          <t>METANOIA WOLVES</t>
        </is>
      </c>
      <c r="AS86" s="24" t="inlineStr">
        <is>
          <t>RED Canids Academy</t>
        </is>
      </c>
      <c r="AT86" s="24" t="inlineStr">
        <is>
          <t>RED Canids Academy</t>
        </is>
      </c>
      <c r="AU86" s="24" t="inlineStr">
        <is>
          <t>RED Canids Academy</t>
        </is>
      </c>
      <c r="AV86" s="24" t="n"/>
      <c r="AW86" s="24" t="n"/>
      <c r="AX86" s="24" t="inlineStr">
        <is>
          <t>statistical_model</t>
        </is>
      </c>
      <c r="AY86" s="24" t="n"/>
      <c r="AZ86" s="24" t="inlineStr">
        <is>
          <t>shadow_qualified</t>
        </is>
      </c>
      <c r="BA86" s="24" t="inlineStr">
        <is>
          <t>40df7f7b9128e86cfbc485914f5801a00963b62604711b733b60f782ba9e258b</t>
        </is>
      </c>
      <c r="BB86" s="24" t="inlineStr">
        <is>
          <t>neutral_elo</t>
        </is>
      </c>
      <c r="BC86" s="24" t="inlineStr">
        <is>
          <t>cs2-neutral-series-elo-v1</t>
        </is>
      </c>
      <c r="BD86" s="24" t="inlineStr">
        <is>
          <t>40df7f7b9128e86cfbc485914f5801a00963b62604711b733b60f782ba9e258b</t>
        </is>
      </c>
      <c r="BE86" s="24" t="inlineStr">
        <is>
          <t>1</t>
        </is>
      </c>
      <c r="BF86" s="24" t="inlineStr">
        <is>
          <t>1</t>
        </is>
      </c>
      <c r="BG86" s="24" t="inlineStr">
        <is>
          <t>unknown</t>
        </is>
      </c>
      <c r="BH86" s="24" t="inlineStr">
        <is>
          <t>2026-07-20T16:32:57.772821Z</t>
        </is>
      </c>
      <c r="BI86" s="24" t="inlineStr">
        <is>
          <t>["same_event","same_team_same_day","same_league_same_day"]</t>
        </is>
      </c>
      <c r="BJ86" s="38" t="n"/>
      <c r="BK86" s="26" t="n">
        <v>-144</v>
      </c>
      <c r="BL86" s="39" t="n">
        <v>1.694444</v>
      </c>
      <c r="BM86" s="28" t="n">
        <v>0.590164</v>
      </c>
      <c r="BN86" s="28" t="n"/>
      <c r="BO86" s="28" t="n"/>
      <c r="BP86" s="38" t="n"/>
      <c r="BQ86" s="39" t="n"/>
      <c r="BR86" s="28" t="n"/>
      <c r="BS86" s="28" t="n"/>
      <c r="BT86" s="28" t="n"/>
      <c r="BU86" s="38" t="n"/>
      <c r="BV86" s="29" t="n"/>
      <c r="BW86" s="24" t="n"/>
      <c r="BX86" s="40" t="n"/>
      <c r="BY86" s="39" t="n"/>
      <c r="BZ86" s="24" t="n"/>
      <c r="CA86" s="31" t="n"/>
    </row>
  </sheetData>
  <pageMargins left="0.75" right="0.75" top="1" bottom="1" header="0.5" footer="0.5"/>
  <pageSetup fitToHeight="0" fitToWidth="1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Model Prediction</dc:creator>
  <dc:title>Model Prediction Picks Ledger</dc:title>
  <dc:subject>Shadow-only sports forecasting research ledger</dc:subject>
  <dcterms:created xsi:type="dcterms:W3CDTF">2026-07-20T16:32:57Z</dcterms:created>
  <dcterms:modified xsi:type="dcterms:W3CDTF">2026-07-20T16:37:36Z</dcterms:modified>
</cp:coreProperties>
</file>