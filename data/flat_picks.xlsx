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B137" headerRowCount="1">
  <autoFilter ref="A1:CB137"/>
  <tableColumns count="8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COUNTA('Picks'!$A$2:$A$137)</f>
        <v/>
      </c>
      <c r="C4" s="6">
        <f>COUNTIF('Picks'!$U$2:$U$137,"open")</f>
        <v/>
      </c>
      <c r="E4" s="6">
        <f>COUNTIF('Picks'!$U$2:$U$137,"settled")</f>
        <v/>
      </c>
      <c r="G4" s="6">
        <f>IF(COUNTIFS('Picks'!$U$2:$U$137,"settled",'Picks'!$V$2:$V$137,"win")+COUNTIFS('Picks'!$U$2:$U$137,"settled",'Picks'!$V$2:$V$137,"loss")&gt;=$L$2,"Ready","Insufficient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COUNTIF('Picks'!$BX$2:$BX$137,"&gt;0")</f>
        <v/>
      </c>
      <c r="C7" s="6">
        <f>COUNTIFS('Picks'!$BX$2:$BX$137,"&gt;0",'Picks'!$V$2:$V$137,"win")&amp;"-"&amp;COUNTIFS('Picks'!$BX$2:$BX$137,"&gt;0",'Picks'!$V$2:$V$137,"loss")</f>
        <v/>
      </c>
      <c r="E7" s="7">
        <f>IFERROR(COUNTIFS('Picks'!$BX$2:$BX$137,"&gt;0",'Picks'!$V$2:$V$137,"win")/(COUNTIFS('Picks'!$BX$2:$BX$137,"&gt;0",'Picks'!$V$2:$V$137,"win")+COUNTIFS('Picks'!$BX$2:$BX$137,"&gt;0",'Picks'!$V$2:$V$137,"loss")),0)</f>
        <v/>
      </c>
      <c r="G7" s="7">
        <f>IFERROR(SUM('Picks'!$BY$2:$BY$137)/SUM('Picks'!$BX$2:$BX$137),0)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SUM('Picks'!$BY$2:$BY$137)</f>
        <v/>
      </c>
      <c r="C10" s="9">
        <f>IFERROR(AVERAGEIF('Picks'!$AB$2:$AB$137,"&lt;&gt;",'Picks'!$AB$2:$AB$137),0)</f>
        <v/>
      </c>
      <c r="E10" s="6">
        <f>COUNTIFS('Picks'!$AM$2:$AM$137,"QUALIFIED_SHADOW_CALL",'Picks'!$U$2:$U$137,"settled")</f>
        <v/>
      </c>
      <c r="G10" s="8">
        <f>SUMIFS('Picks'!$AC$2:$AC$137,'Picks'!$AM$2:$AM$137,"QUALIFIED_SHADOW_CALL")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COUNTIFS('Picks'!$H$2:$H$137,$A14,'Picks'!$U$2:$U$137,"settled")</f>
        <v/>
      </c>
      <c r="C14" s="13">
        <f>COUNTIFS('Picks'!$H$2:$H$137,$A14,'Picks'!$U$2:$U$137,"settled",'Picks'!$V$2:$V$137,"win")</f>
        <v/>
      </c>
      <c r="D14" s="13">
        <f>COUNTIFS('Picks'!$H$2:$H$137,$A14,'Picks'!$U$2:$U$137,"settled",'Picks'!$V$2:$V$137,"loss")</f>
        <v/>
      </c>
      <c r="E14" s="14">
        <f>IFERROR(C14/(C14+D14),0)</f>
        <v/>
      </c>
      <c r="F14" s="15">
        <f>SUMIFS('Picks'!$BY$2:$BY$137,'Picks'!$H$2:$H$137,$A14)</f>
        <v/>
      </c>
      <c r="G14" s="16">
        <f>IFERROR(AVERAGEIFS('Picks'!$AB$2:$AB$137,'Picks'!$H$2:$H$137,$A14,'Picks'!$U$2:$U$137,"settled"),0)</f>
        <v/>
      </c>
    </row>
    <row r="15">
      <c r="A15" s="17" t="inlineStr">
        <is>
          <t>spread</t>
        </is>
      </c>
      <c r="B15" s="18">
        <f>COUNTIFS('Picks'!$H$2:$H$137,$A15,'Picks'!$U$2:$U$137,"settled")</f>
        <v/>
      </c>
      <c r="C15" s="18">
        <f>COUNTIFS('Picks'!$H$2:$H$137,$A15,'Picks'!$U$2:$U$137,"settled",'Picks'!$V$2:$V$137,"win")</f>
        <v/>
      </c>
      <c r="D15" s="18">
        <f>COUNTIFS('Picks'!$H$2:$H$137,$A15,'Picks'!$U$2:$U$137,"settled",'Picks'!$V$2:$V$137,"loss")</f>
        <v/>
      </c>
      <c r="E15" s="19">
        <f>IFERROR(C15/(C15+D15),0)</f>
        <v/>
      </c>
      <c r="F15" s="20">
        <f>SUMIFS('Picks'!$BY$2:$BY$137,'Picks'!$H$2:$H$137,$A15)</f>
        <v/>
      </c>
      <c r="G15" s="21">
        <f>IFERROR(AVERAGEIFS('Picks'!$AB$2:$AB$137,'Picks'!$H$2:$H$137,$A15,'Picks'!$U$2:$U$137,"settled"),0)</f>
        <v/>
      </c>
    </row>
    <row r="16">
      <c r="A16" s="12" t="inlineStr">
        <is>
          <t>total</t>
        </is>
      </c>
      <c r="B16" s="13">
        <f>COUNTIFS('Picks'!$H$2:$H$137,$A16,'Picks'!$U$2:$U$137,"settled")</f>
        <v/>
      </c>
      <c r="C16" s="13">
        <f>COUNTIFS('Picks'!$H$2:$H$137,$A16,'Picks'!$U$2:$U$137,"settled",'Picks'!$V$2:$V$137,"win")</f>
        <v/>
      </c>
      <c r="D16" s="13">
        <f>COUNTIFS('Picks'!$H$2:$H$137,$A16,'Picks'!$U$2:$U$137,"settled",'Picks'!$V$2:$V$137,"loss")</f>
        <v/>
      </c>
      <c r="E16" s="14">
        <f>IFERROR(C16/(C16+D16),0)</f>
        <v/>
      </c>
      <c r="F16" s="15">
        <f>SUMIFS('Picks'!$BY$2:$BY$137,'Picks'!$H$2:$H$137,$A16)</f>
        <v/>
      </c>
      <c r="G16" s="16">
        <f>IFERROR(AVERAGEIFS('Picks'!$AB$2:$AB$137,'Picks'!$H$2:$H$137,$A16,'Picks'!$U$2:$U$137,"settled"),0)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B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</row>
    <row r="2" ht="36" customHeight="1">
      <c r="A2" s="24" t="inlineStr">
        <is>
          <t>83056172af034a54</t>
        </is>
      </c>
      <c r="B2" s="24" t="inlineStr">
        <is>
          <t>2026-07-21T08:43:58.759378Z</t>
        </is>
      </c>
      <c r="C2" s="24" t="inlineStr">
        <is>
          <t>2026-07-22T09:00:00Z</t>
        </is>
      </c>
      <c r="D2" s="24" t="inlineStr">
        <is>
          <t>55955</t>
        </is>
      </c>
      <c r="E2" s="24" t="inlineStr">
        <is>
          <t>VALORANT</t>
        </is>
      </c>
      <c r="F2" s="24" t="inlineStr">
        <is>
          <t>Wolves Esports</t>
        </is>
      </c>
      <c r="G2" s="24" t="inlineStr">
        <is>
          <t>XLG Gaming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-203</v>
      </c>
      <c r="M2" s="27" t="n">
        <v>1.492611</v>
      </c>
      <c r="N2" s="28" t="n">
        <v>0.669967</v>
      </c>
      <c r="O2" s="28" t="n">
        <v>0.5</v>
      </c>
      <c r="P2" s="28" t="n"/>
      <c r="Q2" s="28" t="n">
        <v>0</v>
      </c>
      <c r="R2" s="26" t="n">
        <v>0</v>
      </c>
      <c r="S2" s="29" t="n">
        <v>0.5</v>
      </c>
      <c r="T2" s="24" t="inlineStr">
        <is>
          <t>valorant-tiered-elo-v3</t>
        </is>
      </c>
      <c r="U2" s="24" t="inlineStr">
        <is>
          <t>open</t>
        </is>
      </c>
      <c r="V2" s="24" t="n"/>
      <c r="W2" s="26" t="n"/>
      <c r="X2" s="26" t="n"/>
      <c r="Y2" s="25" t="n"/>
      <c r="Z2" s="26" t="n"/>
      <c r="AA2" s="28" t="n"/>
      <c r="AB2" s="28" t="n"/>
      <c r="AC2" s="30" t="n"/>
      <c r="AD2" s="24" t="n"/>
      <c r="AE2" s="31" t="inlineStr">
        <is>
          <t>Neutral Elo baseline; executable ask 0.6700 (aec-valorant-xlg-wol-2026-07-22).</t>
        </is>
      </c>
      <c r="AF2" s="31" t="inlineStr">
        <is>
          <t>Research baseline; zero-unit shadow until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Wolves Esports</t>
        </is>
      </c>
      <c r="AQ2" s="24" t="inlineStr">
        <is>
          <t>Wolves Esports</t>
        </is>
      </c>
      <c r="AR2" s="24" t="inlineStr">
        <is>
          <t>Wolves Esports</t>
        </is>
      </c>
      <c r="AS2" s="24" t="inlineStr">
        <is>
          <t>XLG Gaming</t>
        </is>
      </c>
      <c r="AT2" s="24" t="inlineStr">
        <is>
          <t>XLG Gaming</t>
        </is>
      </c>
      <c r="AU2" s="24" t="inlineStr">
        <is>
          <t>XLG Gaming</t>
        </is>
      </c>
      <c r="AV2" s="24" t="n"/>
      <c r="AW2" s="24" t="n"/>
      <c r="AX2" s="24" t="inlineStr">
        <is>
          <t>research_observation</t>
        </is>
      </c>
      <c r="AY2" s="24" t="n"/>
      <c r="AZ2" s="24" t="inlineStr">
        <is>
          <t>shadow_qualified</t>
        </is>
      </c>
      <c r="BA2" s="24" t="inlineStr">
        <is>
          <t>6b22a3a7ea7c99994f8e21eaff51dd4a0a9fb984bb31dbc7c1021ad6cd7c53a2</t>
        </is>
      </c>
      <c r="BB2" s="24" t="inlineStr">
        <is>
          <t>neutral_elo</t>
        </is>
      </c>
      <c r="BC2" s="24" t="inlineStr">
        <is>
          <t>valorant-neutral-series-elo-v1</t>
        </is>
      </c>
      <c r="BD2" s="24" t="inlineStr">
        <is>
          <t>6b22a3a7ea7c99994f8e21eaff51dd4a0a9fb984bb31dbc7c1021ad6cd7c53a2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unknown</t>
        </is>
      </c>
      <c r="BH2" s="24" t="inlineStr">
        <is>
          <t>2026-07-21T08:43:58.759378Z</t>
        </is>
      </c>
      <c r="BI2" s="24" t="inlineStr">
        <is>
          <t>["same_event","same_team_same_day","same_league_same_day"]</t>
        </is>
      </c>
      <c r="BJ2" s="25" t="n"/>
      <c r="BK2" s="26" t="n">
        <v>-203</v>
      </c>
      <c r="BL2" s="27" t="n">
        <v>1.492611</v>
      </c>
      <c r="BM2" s="28" t="n">
        <v>0.669967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</row>
    <row r="3" ht="36" customHeight="1">
      <c r="A3" s="24" t="inlineStr">
        <is>
          <t>513758da13ac4ca0</t>
        </is>
      </c>
      <c r="B3" s="24" t="inlineStr">
        <is>
          <t>2026-07-21T08:43:58.242001Z</t>
        </is>
      </c>
      <c r="C3" s="24" t="inlineStr">
        <is>
          <t>2026-07-21T12:00:00Z</t>
        </is>
      </c>
      <c r="D3" s="24" t="inlineStr">
        <is>
          <t>54974</t>
        </is>
      </c>
      <c r="E3" s="24" t="inlineStr">
        <is>
          <t>VALORANT</t>
        </is>
      </c>
      <c r="F3" s="24" t="inlineStr">
        <is>
          <t>Nova Esports</t>
        </is>
      </c>
      <c r="G3" s="24" t="inlineStr">
        <is>
          <t>EDward Gaming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-223</v>
      </c>
      <c r="M3" s="27" t="n">
        <v>1.44843</v>
      </c>
      <c r="N3" s="28" t="n">
        <v>0.690402</v>
      </c>
      <c r="O3" s="28" t="n">
        <v>0.5</v>
      </c>
      <c r="P3" s="28" t="n"/>
      <c r="Q3" s="28" t="n">
        <v>0</v>
      </c>
      <c r="R3" s="26" t="n">
        <v>0</v>
      </c>
      <c r="S3" s="29" t="n">
        <v>0.5</v>
      </c>
      <c r="T3" s="24" t="inlineStr">
        <is>
          <t>valorant-tiered-elo-v3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-0.5</v>
      </c>
      <c r="AD3" s="24" t="inlineStr">
        <is>
          <t>2026-07-21T16:23:22.693475Z</t>
        </is>
      </c>
      <c r="AE3" s="31" t="inlineStr">
        <is>
          <t>Neutral Elo baseline; executable ask 0.6900 (aec-valorant-edg-nova-2026-07-21).</t>
        </is>
      </c>
      <c r="AF3" s="31" t="inlineStr">
        <is>
          <t>Research baseline; zero-unit shadow until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Nova Esports</t>
        </is>
      </c>
      <c r="AQ3" s="24" t="inlineStr">
        <is>
          <t>Nova Esports</t>
        </is>
      </c>
      <c r="AR3" s="24" t="inlineStr">
        <is>
          <t>Nova Esports</t>
        </is>
      </c>
      <c r="AS3" s="24" t="inlineStr">
        <is>
          <t>EDward Gaming</t>
        </is>
      </c>
      <c r="AT3" s="24" t="inlineStr">
        <is>
          <t>EDward Gaming</t>
        </is>
      </c>
      <c r="AU3" s="24" t="inlineStr">
        <is>
          <t>EDward Gaming</t>
        </is>
      </c>
      <c r="AV3" s="24" t="n"/>
      <c r="AW3" s="24" t="n"/>
      <c r="AX3" s="24" t="inlineStr">
        <is>
          <t>research_observation</t>
        </is>
      </c>
      <c r="AY3" s="24" t="n"/>
      <c r="AZ3" s="24" t="inlineStr">
        <is>
          <t>shadow_qualified</t>
        </is>
      </c>
      <c r="BA3" s="24" t="inlineStr">
        <is>
          <t>6b22a3a7ea7c99994f8e21eaff51dd4a0a9fb984bb31dbc7c1021ad6cd7c53a2</t>
        </is>
      </c>
      <c r="BB3" s="24" t="inlineStr">
        <is>
          <t>neutral_elo</t>
        </is>
      </c>
      <c r="BC3" s="24" t="inlineStr">
        <is>
          <t>valorant-neutral-series-elo-v1</t>
        </is>
      </c>
      <c r="BD3" s="24" t="inlineStr">
        <is>
          <t>6b22a3a7ea7c99994f8e21eaff51dd4a0a9fb984bb31dbc7c1021ad6cd7c53a2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unknown</t>
        </is>
      </c>
      <c r="BH3" s="24" t="inlineStr">
        <is>
          <t>2026-07-21T08:43:58.242001Z</t>
        </is>
      </c>
      <c r="BI3" s="24" t="inlineStr">
        <is>
          <t>["same_event","same_team_same_day","same_league_same_day"]</t>
        </is>
      </c>
      <c r="BJ3" s="25" t="n"/>
      <c r="BK3" s="26" t="n">
        <v>-223</v>
      </c>
      <c r="BL3" s="27" t="n">
        <v>1.44843</v>
      </c>
      <c r="BM3" s="28" t="n">
        <v>0.690402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</row>
    <row r="4" ht="36" customHeight="1">
      <c r="A4" s="24" t="inlineStr">
        <is>
          <t>29a53d5b44f54371</t>
        </is>
      </c>
      <c r="B4" s="24" t="inlineStr">
        <is>
          <t>2026-07-21T08:43:57.711456Z</t>
        </is>
      </c>
      <c r="C4" s="24" t="inlineStr">
        <is>
          <t>2026-07-21T09:00:00Z</t>
        </is>
      </c>
      <c r="D4" s="24" t="inlineStr">
        <is>
          <t>54884</t>
        </is>
      </c>
      <c r="E4" s="24" t="inlineStr">
        <is>
          <t>VALORANT</t>
        </is>
      </c>
      <c r="F4" s="24" t="inlineStr">
        <is>
          <t>Trace Esports</t>
        </is>
      </c>
      <c r="G4" s="24" t="inlineStr">
        <is>
          <t>JD Gaming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-144</v>
      </c>
      <c r="M4" s="27" t="n">
        <v>1.694444</v>
      </c>
      <c r="N4" s="28" t="n">
        <v>0.590164</v>
      </c>
      <c r="O4" s="28" t="n">
        <v>0.5</v>
      </c>
      <c r="P4" s="28" t="n"/>
      <c r="Q4" s="28" t="n">
        <v>0</v>
      </c>
      <c r="R4" s="26" t="n">
        <v>0</v>
      </c>
      <c r="S4" s="29" t="n">
        <v>0.5</v>
      </c>
      <c r="T4" s="24" t="inlineStr">
        <is>
          <t>valorant-tiered-elo-v3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0.3472</v>
      </c>
      <c r="AD4" s="24" t="inlineStr">
        <is>
          <t>2026-07-21T16:23:20.712891Z</t>
        </is>
      </c>
      <c r="AE4" s="31" t="inlineStr">
        <is>
          <t>Neutral Elo baseline; executable ask 0.5900 (aec-valorant-jdg-te-2026-07-21).</t>
        </is>
      </c>
      <c r="AF4" s="31" t="inlineStr">
        <is>
          <t>Research baseline; zero-unit shadow until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Trace Esports</t>
        </is>
      </c>
      <c r="AQ4" s="24" t="inlineStr">
        <is>
          <t>Trace Esports</t>
        </is>
      </c>
      <c r="AR4" s="24" t="inlineStr">
        <is>
          <t>Trace Esports</t>
        </is>
      </c>
      <c r="AS4" s="24" t="inlineStr">
        <is>
          <t>JD Gaming</t>
        </is>
      </c>
      <c r="AT4" s="24" t="inlineStr">
        <is>
          <t>JD Gaming</t>
        </is>
      </c>
      <c r="AU4" s="24" t="inlineStr">
        <is>
          <t>JD Gaming</t>
        </is>
      </c>
      <c r="AV4" s="24" t="n"/>
      <c r="AW4" s="24" t="n"/>
      <c r="AX4" s="24" t="inlineStr">
        <is>
          <t>research_observation</t>
        </is>
      </c>
      <c r="AY4" s="24" t="n"/>
      <c r="AZ4" s="24" t="inlineStr">
        <is>
          <t>shadow_qualified</t>
        </is>
      </c>
      <c r="BA4" s="24" t="inlineStr">
        <is>
          <t>6b22a3a7ea7c99994f8e21eaff51dd4a0a9fb984bb31dbc7c1021ad6cd7c53a2</t>
        </is>
      </c>
      <c r="BB4" s="24" t="inlineStr">
        <is>
          <t>neutral_elo</t>
        </is>
      </c>
      <c r="BC4" s="24" t="inlineStr">
        <is>
          <t>valorant-neutral-series-elo-v1</t>
        </is>
      </c>
      <c r="BD4" s="24" t="inlineStr">
        <is>
          <t>6b22a3a7ea7c99994f8e21eaff51dd4a0a9fb984bb31dbc7c1021ad6cd7c53a2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unknown</t>
        </is>
      </c>
      <c r="BH4" s="24" t="inlineStr">
        <is>
          <t>2026-07-21T08:43:57.711456Z</t>
        </is>
      </c>
      <c r="BI4" s="24" t="inlineStr">
        <is>
          <t>["same_event","same_team_same_day","same_league_same_day"]</t>
        </is>
      </c>
      <c r="BJ4" s="25" t="n"/>
      <c r="BK4" s="26" t="n">
        <v>-144</v>
      </c>
      <c r="BL4" s="27" t="n">
        <v>1.694444</v>
      </c>
      <c r="BM4" s="28" t="n">
        <v>0.590164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</row>
    <row r="5" ht="36" customHeight="1">
      <c r="A5" s="24" t="inlineStr">
        <is>
          <t>e969588ced6a4198</t>
        </is>
      </c>
      <c r="B5" s="24" t="inlineStr">
        <is>
          <t>2026-07-21T08:42:18.412827Z</t>
        </is>
      </c>
      <c r="C5" s="24" t="inlineStr">
        <is>
          <t>2026-07-21T13:00:00Z</t>
        </is>
      </c>
      <c r="D5" s="24" t="inlineStr">
        <is>
          <t>54989</t>
        </is>
      </c>
      <c r="E5" s="24" t="inlineStr">
        <is>
          <t>DOTA2</t>
        </is>
      </c>
      <c r="F5" s="24" t="inlineStr">
        <is>
          <t>Spirit Academy</t>
        </is>
      </c>
      <c r="G5" s="24" t="inlineStr">
        <is>
          <t>Team Lynx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-138</v>
      </c>
      <c r="M5" s="27" t="n">
        <v>1.724638</v>
      </c>
      <c r="N5" s="28" t="n">
        <v>0.579832</v>
      </c>
      <c r="O5" s="28" t="n">
        <v>0.5</v>
      </c>
      <c r="P5" s="28" t="n"/>
      <c r="Q5" s="28" t="n">
        <v>0</v>
      </c>
      <c r="R5" s="26" t="n">
        <v>0</v>
      </c>
      <c r="S5" s="29" t="n">
        <v>1.25</v>
      </c>
      <c r="T5" s="24" t="inlineStr">
        <is>
          <t>dota2-tiered-elo-v3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-1.25</v>
      </c>
      <c r="AD5" s="24" t="inlineStr">
        <is>
          <t>2026-07-22T00:37:51.486638Z</t>
        </is>
      </c>
      <c r="AE5" s="31" t="inlineStr">
        <is>
          <t>Neutral Elo baseline; executable ask 0.5800 (aec-dota2-lynx-tsa-2026-07-21).</t>
        </is>
      </c>
      <c r="AF5" s="31" t="inlineStr">
        <is>
          <t>Research baseline; zero-unit shadow until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Spirit Academy</t>
        </is>
      </c>
      <c r="AQ5" s="24" t="inlineStr">
        <is>
          <t>Spirit Academy</t>
        </is>
      </c>
      <c r="AR5" s="24" t="inlineStr">
        <is>
          <t>Spirit Academy</t>
        </is>
      </c>
      <c r="AS5" s="24" t="inlineStr">
        <is>
          <t>Team Lynx</t>
        </is>
      </c>
      <c r="AT5" s="24" t="inlineStr">
        <is>
          <t>Team Lynx</t>
        </is>
      </c>
      <c r="AU5" s="24" t="inlineStr">
        <is>
          <t>Team Lynx</t>
        </is>
      </c>
      <c r="AV5" s="24" t="n"/>
      <c r="AW5" s="24" t="n"/>
      <c r="AX5" s="24" t="inlineStr">
        <is>
          <t>research_observation</t>
        </is>
      </c>
      <c r="AY5" s="24" t="n"/>
      <c r="AZ5" s="24" t="inlineStr">
        <is>
          <t>shadow_qualified</t>
        </is>
      </c>
      <c r="BA5" s="24" t="inlineStr">
        <is>
          <t>49f270d8f51f0b2c3b3b0871fcc3d417b066d581a7c8372852b7997baa35bcf0</t>
        </is>
      </c>
      <c r="BB5" s="24" t="inlineStr">
        <is>
          <t>neutral_elo</t>
        </is>
      </c>
      <c r="BC5" s="24" t="inlineStr">
        <is>
          <t>dota2-neutral-series-elo-v1</t>
        </is>
      </c>
      <c r="BD5" s="24" t="inlineStr">
        <is>
          <t>49f270d8f51f0b2c3b3b0871fcc3d417b066d581a7c8372852b7997baa35bcf0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unknown</t>
        </is>
      </c>
      <c r="BH5" s="24" t="inlineStr">
        <is>
          <t>2026-07-21T08:42:18.412827Z</t>
        </is>
      </c>
      <c r="BI5" s="24" t="inlineStr">
        <is>
          <t>["same_event","same_team_same_day","same_league_same_day"]</t>
        </is>
      </c>
      <c r="BJ5" s="25" t="n"/>
      <c r="BK5" s="26" t="n">
        <v>-138</v>
      </c>
      <c r="BL5" s="27" t="n">
        <v>1.724638</v>
      </c>
      <c r="BM5" s="28" t="n">
        <v>0.579832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</row>
    <row r="6" ht="36" customHeight="1">
      <c r="A6" s="24" t="inlineStr">
        <is>
          <t>9c7e7516c13a4c18</t>
        </is>
      </c>
      <c r="B6" s="24" t="inlineStr">
        <is>
          <t>2026-07-21T08:42:08.055393Z</t>
        </is>
      </c>
      <c r="C6" s="24" t="inlineStr">
        <is>
          <t>2026-07-21T22:00:00Z</t>
        </is>
      </c>
      <c r="D6" s="24" t="inlineStr">
        <is>
          <t>56761</t>
        </is>
      </c>
      <c r="E6" s="24" t="inlineStr">
        <is>
          <t>CS2</t>
        </is>
      </c>
      <c r="F6" s="24" t="inlineStr">
        <is>
          <t>BESTIA Academy</t>
        </is>
      </c>
      <c r="G6" s="24" t="inlineStr">
        <is>
          <t>BORRACHEIROS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-144</v>
      </c>
      <c r="M6" s="27" t="n">
        <v>1.694444</v>
      </c>
      <c r="N6" s="28" t="n">
        <v>0.590164</v>
      </c>
      <c r="O6" s="28" t="n">
        <v>0.5</v>
      </c>
      <c r="P6" s="28" t="n"/>
      <c r="Q6" s="28" t="n">
        <v>-0.09016399999999999</v>
      </c>
      <c r="R6" s="26" t="n">
        <v>6</v>
      </c>
      <c r="S6" s="29" t="n">
        <v>1.5</v>
      </c>
      <c r="T6" s="24" t="inlineStr">
        <is>
          <t>cs2-tiered-elo-v3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-1.5</v>
      </c>
      <c r="AD6" s="24" t="inlineStr">
        <is>
          <t>2026-07-22T00:37:49.612289Z</t>
        </is>
      </c>
      <c r="AE6" s="31" t="inlineStr">
        <is>
          <t>Neutral Elo baseline; executable ask 0.5900 (aec-cs2-chama-bsta-2026-07-21).</t>
        </is>
      </c>
      <c r="AF6" s="31" t="inlineStr">
        <is>
          <t>Research baseline; zero-unit shadow until qualified.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BESTIA Academy</t>
        </is>
      </c>
      <c r="AQ6" s="24" t="inlineStr">
        <is>
          <t>BESTIA Academy</t>
        </is>
      </c>
      <c r="AR6" s="24" t="inlineStr">
        <is>
          <t>BESTIA Academy</t>
        </is>
      </c>
      <c r="AS6" s="24" t="inlineStr">
        <is>
          <t>BORRACHEIROS</t>
        </is>
      </c>
      <c r="AT6" s="24" t="inlineStr">
        <is>
          <t>BORRACHEIROS</t>
        </is>
      </c>
      <c r="AU6" s="24" t="inlineStr">
        <is>
          <t>BORRACHEIROS</t>
        </is>
      </c>
      <c r="AV6" s="24" t="n"/>
      <c r="AW6" s="24" t="n"/>
      <c r="AX6" s="24" t="inlineStr">
        <is>
          <t>research_observation</t>
        </is>
      </c>
      <c r="AY6" s="24" t="n"/>
      <c r="AZ6" s="24" t="inlineStr">
        <is>
          <t>shadow_qualified</t>
        </is>
      </c>
      <c r="BA6" s="24" t="inlineStr">
        <is>
          <t>98da4a80b7f318a7919e5e7e0ea665d52be3fd1d2c2ae7cd25aead8acbac7a16</t>
        </is>
      </c>
      <c r="BB6" s="24" t="inlineStr">
        <is>
          <t>neutral_elo</t>
        </is>
      </c>
      <c r="BC6" s="24" t="inlineStr">
        <is>
          <t>cs2-neutral-series-elo-v1</t>
        </is>
      </c>
      <c r="BD6" s="24" t="inlineStr">
        <is>
          <t>9dbde86ab8062ac73a51c94b0ad431573ac8b755ccd742d86794849a749958c7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unknown</t>
        </is>
      </c>
      <c r="BH6" s="24" t="inlineStr">
        <is>
          <t>2026-07-21T08:42:08.055393Z</t>
        </is>
      </c>
      <c r="BI6" s="24" t="inlineStr">
        <is>
          <t>["same_event","same_team_same_day","same_league_same_day"]</t>
        </is>
      </c>
      <c r="BJ6" s="25" t="n"/>
      <c r="BK6" s="26" t="n">
        <v>-144</v>
      </c>
      <c r="BL6" s="27" t="n">
        <v>1.694444</v>
      </c>
      <c r="BM6" s="28" t="n">
        <v>0.590164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</row>
    <row r="7" ht="36" customHeight="1">
      <c r="A7" s="24" t="inlineStr">
        <is>
          <t>fcee233635614905</t>
        </is>
      </c>
      <c r="B7" s="24" t="inlineStr">
        <is>
          <t>2026-07-21T08:42:07.508572Z</t>
        </is>
      </c>
      <c r="C7" s="24" t="inlineStr">
        <is>
          <t>2026-07-21T19:00:00Z</t>
        </is>
      </c>
      <c r="D7" s="24" t="inlineStr">
        <is>
          <t>56760</t>
        </is>
      </c>
      <c r="E7" s="24" t="inlineStr">
        <is>
          <t>CS2</t>
        </is>
      </c>
      <c r="F7" s="24" t="inlineStr">
        <is>
          <t>ALKA GAMING</t>
        </is>
      </c>
      <c r="G7" s="24" t="inlineStr">
        <is>
          <t>Procyon Gaming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-133</v>
      </c>
      <c r="M7" s="27" t="n">
        <v>1.75188</v>
      </c>
      <c r="N7" s="28" t="n">
        <v>0.570815</v>
      </c>
      <c r="O7" s="28" t="n">
        <v>0.780802</v>
      </c>
      <c r="P7" s="28" t="n"/>
      <c r="Q7" s="28" t="n">
        <v>0.209987</v>
      </c>
      <c r="R7" s="26" t="n">
        <v>100</v>
      </c>
      <c r="S7" s="29" t="n">
        <v>2</v>
      </c>
      <c r="T7" s="24" t="inlineStr">
        <is>
          <t>cs2-tiered-elo-v3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1.5038</v>
      </c>
      <c r="AD7" s="24" t="inlineStr">
        <is>
          <t>2026-07-22T00:37:47.755431Z</t>
        </is>
      </c>
      <c r="AE7" s="31" t="inlineStr">
        <is>
          <t>Neutral Elo baseline; executable ask 0.5700 (aec-cs2-pcy-alka-2026-07-21).</t>
        </is>
      </c>
      <c r="AF7" s="31" t="inlineStr">
        <is>
          <t>Research baseline; zero-unit shadow until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ALKA GAMING</t>
        </is>
      </c>
      <c r="AQ7" s="24" t="inlineStr">
        <is>
          <t>ALKA GAMING</t>
        </is>
      </c>
      <c r="AR7" s="24" t="inlineStr">
        <is>
          <t>ALKA GAMING</t>
        </is>
      </c>
      <c r="AS7" s="24" t="inlineStr">
        <is>
          <t>Procyon Gaming</t>
        </is>
      </c>
      <c r="AT7" s="24" t="inlineStr">
        <is>
          <t>Procyon Gaming</t>
        </is>
      </c>
      <c r="AU7" s="24" t="inlineStr">
        <is>
          <t>Procyon Gaming</t>
        </is>
      </c>
      <c r="AV7" s="24" t="n"/>
      <c r="AW7" s="24" t="n"/>
      <c r="AX7" s="24" t="inlineStr">
        <is>
          <t>research_observation</t>
        </is>
      </c>
      <c r="AY7" s="24" t="n"/>
      <c r="AZ7" s="24" t="inlineStr">
        <is>
          <t>shadow_qualified</t>
        </is>
      </c>
      <c r="BA7" s="24" t="inlineStr">
        <is>
          <t>98da4a80b7f318a7919e5e7e0ea665d52be3fd1d2c2ae7cd25aead8acbac7a16</t>
        </is>
      </c>
      <c r="BB7" s="24" t="inlineStr">
        <is>
          <t>neutral_elo</t>
        </is>
      </c>
      <c r="BC7" s="24" t="inlineStr">
        <is>
          <t>cs2-neutral-series-elo-v1</t>
        </is>
      </c>
      <c r="BD7" s="24" t="inlineStr">
        <is>
          <t>9dbde86ab8062ac73a51c94b0ad431573ac8b755ccd742d86794849a749958c7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unknown</t>
        </is>
      </c>
      <c r="BH7" s="24" t="inlineStr">
        <is>
          <t>2026-07-21T08:42:07.508572Z</t>
        </is>
      </c>
      <c r="BI7" s="24" t="inlineStr">
        <is>
          <t>["same_event","same_team_same_day","same_league_same_day"]</t>
        </is>
      </c>
      <c r="BJ7" s="25" t="n"/>
      <c r="BK7" s="26" t="n">
        <v>-133</v>
      </c>
      <c r="BL7" s="27" t="n">
        <v>1.75188</v>
      </c>
      <c r="BM7" s="28" t="n">
        <v>0.570815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</row>
    <row r="8" ht="36" customHeight="1">
      <c r="A8" s="24" t="inlineStr">
        <is>
          <t>50e8f795de6341ad</t>
        </is>
      </c>
      <c r="B8" s="24" t="inlineStr">
        <is>
          <t>2026-07-21T08:42:06.948828Z</t>
        </is>
      </c>
      <c r="C8" s="24" t="inlineStr">
        <is>
          <t>2026-07-21T17:30:00Z</t>
        </is>
      </c>
      <c r="D8" s="24" t="inlineStr">
        <is>
          <t>55178</t>
        </is>
      </c>
      <c r="E8" s="24" t="inlineStr">
        <is>
          <t>CS2</t>
        </is>
      </c>
      <c r="F8" s="24" t="inlineStr">
        <is>
          <t>Wildcard</t>
        </is>
      </c>
      <c r="G8" s="24" t="inlineStr">
        <is>
          <t>Alliance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-178</v>
      </c>
      <c r="M8" s="27" t="n">
        <v>1.561798</v>
      </c>
      <c r="N8" s="28" t="n">
        <v>0.640288</v>
      </c>
      <c r="O8" s="28" t="n">
        <v>0.5</v>
      </c>
      <c r="P8" s="28" t="n"/>
      <c r="Q8" s="28" t="n">
        <v>-0.140288</v>
      </c>
      <c r="R8" s="26" t="n">
        <v>75</v>
      </c>
      <c r="S8" s="29" t="n">
        <v>2</v>
      </c>
      <c r="T8" s="24" t="inlineStr">
        <is>
          <t>cs2-tiered-elo-v3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-2</v>
      </c>
      <c r="AD8" s="24" t="inlineStr">
        <is>
          <t>2026-07-22T00:37:45.801491Z</t>
        </is>
      </c>
      <c r="AE8" s="31" t="inlineStr">
        <is>
          <t>Neutral Elo baseline; executable ask 0.6400 (aec-cs2-all-wc-2026-07-21).</t>
        </is>
      </c>
      <c r="AF8" s="31" t="inlineStr">
        <is>
          <t>Research baseline; zero-unit shadow until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Wildcard</t>
        </is>
      </c>
      <c r="AQ8" s="24" t="inlineStr">
        <is>
          <t>Wildcard</t>
        </is>
      </c>
      <c r="AR8" s="24" t="inlineStr">
        <is>
          <t>Wildcard</t>
        </is>
      </c>
      <c r="AS8" s="24" t="inlineStr">
        <is>
          <t>Alliance</t>
        </is>
      </c>
      <c r="AT8" s="24" t="inlineStr">
        <is>
          <t>Alliance</t>
        </is>
      </c>
      <c r="AU8" s="24" t="inlineStr">
        <is>
          <t>Alliance</t>
        </is>
      </c>
      <c r="AV8" s="24" t="n"/>
      <c r="AW8" s="24" t="n"/>
      <c r="AX8" s="24" t="inlineStr">
        <is>
          <t>research_observation</t>
        </is>
      </c>
      <c r="AY8" s="24" t="n"/>
      <c r="AZ8" s="24" t="inlineStr">
        <is>
          <t>shadow_qualified</t>
        </is>
      </c>
      <c r="BA8" s="24" t="inlineStr">
        <is>
          <t>98da4a80b7f318a7919e5e7e0ea665d52be3fd1d2c2ae7cd25aead8acbac7a16</t>
        </is>
      </c>
      <c r="BB8" s="24" t="inlineStr">
        <is>
          <t>neutral_elo</t>
        </is>
      </c>
      <c r="BC8" s="24" t="inlineStr">
        <is>
          <t>cs2-neutral-series-elo-v1</t>
        </is>
      </c>
      <c r="BD8" s="24" t="inlineStr">
        <is>
          <t>9dbde86ab8062ac73a51c94b0ad431573ac8b755ccd742d86794849a749958c7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unknown</t>
        </is>
      </c>
      <c r="BH8" s="24" t="inlineStr">
        <is>
          <t>2026-07-21T08:42:06.948828Z</t>
        </is>
      </c>
      <c r="BI8" s="24" t="inlineStr">
        <is>
          <t>["same_event","same_team_same_day","same_league_same_day"]</t>
        </is>
      </c>
      <c r="BJ8" s="25" t="n"/>
      <c r="BK8" s="26" t="n">
        <v>-178</v>
      </c>
      <c r="BL8" s="27" t="n">
        <v>1.561798</v>
      </c>
      <c r="BM8" s="28" t="n">
        <v>0.640288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</row>
    <row r="9" ht="36" customHeight="1">
      <c r="A9" s="24" t="inlineStr">
        <is>
          <t>c84a788d15a84a97</t>
        </is>
      </c>
      <c r="B9" s="24" t="inlineStr">
        <is>
          <t>2026-07-21T08:42:06.441502Z</t>
        </is>
      </c>
      <c r="C9" s="24" t="inlineStr">
        <is>
          <t>2026-07-21T17:00:00Z</t>
        </is>
      </c>
      <c r="D9" s="24" t="inlineStr">
        <is>
          <t>57988</t>
        </is>
      </c>
      <c r="E9" s="24" t="inlineStr">
        <is>
          <t>CS2</t>
        </is>
      </c>
      <c r="F9" s="24" t="inlineStr">
        <is>
          <t>Just Players</t>
        </is>
      </c>
      <c r="G9" s="24" t="inlineStr">
        <is>
          <t>ex-RUSTEC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</v>
      </c>
      <c r="P9" s="28" t="n"/>
      <c r="Q9" s="28" t="n">
        <v>-0.039171</v>
      </c>
      <c r="R9" s="26" t="n">
        <v>93</v>
      </c>
      <c r="S9" s="29" t="n">
        <v>1.75</v>
      </c>
      <c r="T9" s="24" t="inlineStr">
        <is>
          <t>cs2-tiered-elo-v3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-1.75</v>
      </c>
      <c r="AD9" s="24" t="inlineStr">
        <is>
          <t>2026-07-22T00:37:43.822789Z</t>
        </is>
      </c>
      <c r="AE9" s="31" t="inlineStr">
        <is>
          <t>Neutral Elo baseline; executable ask 0.5400 (aec-cs2-erx-jpu-2026-07-21).</t>
        </is>
      </c>
      <c r="AF9" s="31" t="inlineStr">
        <is>
          <t>Research baseline; zero-unit shadow until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Just Players</t>
        </is>
      </c>
      <c r="AQ9" s="24" t="inlineStr">
        <is>
          <t>Just Players</t>
        </is>
      </c>
      <c r="AR9" s="24" t="inlineStr">
        <is>
          <t>Just Players</t>
        </is>
      </c>
      <c r="AS9" s="24" t="inlineStr">
        <is>
          <t>ex-RUSTEC</t>
        </is>
      </c>
      <c r="AT9" s="24" t="inlineStr">
        <is>
          <t>ex-RUSTEC</t>
        </is>
      </c>
      <c r="AU9" s="24" t="inlineStr">
        <is>
          <t>ex-RUSTEC</t>
        </is>
      </c>
      <c r="AV9" s="24" t="n"/>
      <c r="AW9" s="24" t="n"/>
      <c r="AX9" s="24" t="inlineStr">
        <is>
          <t>research_observation</t>
        </is>
      </c>
      <c r="AY9" s="24" t="n"/>
      <c r="AZ9" s="24" t="inlineStr">
        <is>
          <t>shadow_qualified</t>
        </is>
      </c>
      <c r="BA9" s="24" t="inlineStr">
        <is>
          <t>98da4a80b7f318a7919e5e7e0ea665d52be3fd1d2c2ae7cd25aead8acbac7a16</t>
        </is>
      </c>
      <c r="BB9" s="24" t="inlineStr">
        <is>
          <t>neutral_elo</t>
        </is>
      </c>
      <c r="BC9" s="24" t="inlineStr">
        <is>
          <t>cs2-neutral-series-elo-v1</t>
        </is>
      </c>
      <c r="BD9" s="24" t="inlineStr">
        <is>
          <t>9dbde86ab8062ac73a51c94b0ad431573ac8b755ccd742d86794849a749958c7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unknown</t>
        </is>
      </c>
      <c r="BH9" s="24" t="inlineStr">
        <is>
          <t>2026-07-21T08:42:06.441502Z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</row>
    <row r="10" ht="36" customHeight="1">
      <c r="A10" s="24" t="inlineStr">
        <is>
          <t>0dc815322eab4ae7</t>
        </is>
      </c>
      <c r="B10" s="24" t="inlineStr">
        <is>
          <t>2026-07-21T08:42:05.954502Z</t>
        </is>
      </c>
      <c r="C10" s="24" t="inlineStr">
        <is>
          <t>2026-07-21T14:00:00Z</t>
        </is>
      </c>
      <c r="D10" s="24" t="inlineStr">
        <is>
          <t>56866</t>
        </is>
      </c>
      <c r="E10" s="24" t="inlineStr">
        <is>
          <t>CS2</t>
        </is>
      </c>
      <c r="F10" s="24" t="inlineStr">
        <is>
          <t>QUAZAR</t>
        </is>
      </c>
      <c r="G10" s="24" t="inlineStr">
        <is>
          <t>ENJOY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-213</v>
      </c>
      <c r="M10" s="27" t="n">
        <v>1.469484</v>
      </c>
      <c r="N10" s="28" t="n">
        <v>0.680511</v>
      </c>
      <c r="O10" s="28" t="n">
        <v>0.5</v>
      </c>
      <c r="P10" s="28" t="n"/>
      <c r="Q10" s="28" t="n">
        <v>-0.180511</v>
      </c>
      <c r="R10" s="26" t="n">
        <v>0</v>
      </c>
      <c r="S10" s="29" t="n">
        <v>1.25</v>
      </c>
      <c r="T10" s="24" t="inlineStr">
        <is>
          <t>cs2-tiered-elo-v3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0.5869</v>
      </c>
      <c r="AD10" s="24" t="inlineStr">
        <is>
          <t>2026-07-22T00:37:11.825303Z</t>
        </is>
      </c>
      <c r="AE10" s="31" t="inlineStr">
        <is>
          <t>Neutral Elo baseline; executable ask 0.6800 (aec-cs2-enjoy-qua-2026-07-21).</t>
        </is>
      </c>
      <c r="AF10" s="31" t="inlineStr">
        <is>
          <t>Research baseline; zero-unit shadow until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QUAZAR</t>
        </is>
      </c>
      <c r="AQ10" s="24" t="inlineStr">
        <is>
          <t>QUAZAR</t>
        </is>
      </c>
      <c r="AR10" s="24" t="inlineStr">
        <is>
          <t>QUAZAR</t>
        </is>
      </c>
      <c r="AS10" s="24" t="inlineStr">
        <is>
          <t>ENJOY</t>
        </is>
      </c>
      <c r="AT10" s="24" t="inlineStr">
        <is>
          <t>ENJOY</t>
        </is>
      </c>
      <c r="AU10" s="24" t="inlineStr">
        <is>
          <t>ENJOY</t>
        </is>
      </c>
      <c r="AV10" s="24" t="n"/>
      <c r="AW10" s="24" t="n"/>
      <c r="AX10" s="24" t="inlineStr">
        <is>
          <t>research_observation</t>
        </is>
      </c>
      <c r="AY10" s="24" t="n"/>
      <c r="AZ10" s="24" t="inlineStr">
        <is>
          <t>shadow_qualified</t>
        </is>
      </c>
      <c r="BA10" s="24" t="inlineStr">
        <is>
          <t>98da4a80b7f318a7919e5e7e0ea665d52be3fd1d2c2ae7cd25aead8acbac7a16</t>
        </is>
      </c>
      <c r="BB10" s="24" t="inlineStr">
        <is>
          <t>neutral_elo</t>
        </is>
      </c>
      <c r="BC10" s="24" t="inlineStr">
        <is>
          <t>cs2-neutral-series-elo-v1</t>
        </is>
      </c>
      <c r="BD10" s="24" t="inlineStr">
        <is>
          <t>9dbde86ab8062ac73a51c94b0ad431573ac8b755ccd742d86794849a749958c7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unknown</t>
        </is>
      </c>
      <c r="BH10" s="24" t="inlineStr">
        <is>
          <t>2026-07-21T08:42:05.954502Z</t>
        </is>
      </c>
      <c r="BI10" s="24" t="inlineStr">
        <is>
          <t>["same_event","same_team_same_day","same_league_same_day"]</t>
        </is>
      </c>
      <c r="BJ10" s="25" t="n"/>
      <c r="BK10" s="26" t="n">
        <v>-213</v>
      </c>
      <c r="BL10" s="27" t="n">
        <v>1.469484</v>
      </c>
      <c r="BM10" s="28" t="n">
        <v>0.680511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</row>
    <row r="11" ht="36" customHeight="1">
      <c r="A11" s="24" t="inlineStr">
        <is>
          <t>66bb331b686e41de</t>
        </is>
      </c>
      <c r="B11" s="24" t="inlineStr">
        <is>
          <t>2026-07-21T08:42:05.471401Z</t>
        </is>
      </c>
      <c r="C11" s="24" t="inlineStr">
        <is>
          <t>2026-07-21T13:00:00Z</t>
        </is>
      </c>
      <c r="D11" s="24" t="inlineStr">
        <is>
          <t>57526</t>
        </is>
      </c>
      <c r="E11" s="24" t="inlineStr">
        <is>
          <t>CS2</t>
        </is>
      </c>
      <c r="F11" s="24" t="inlineStr">
        <is>
          <t>Misa Esports</t>
        </is>
      </c>
      <c r="G11" s="24" t="inlineStr">
        <is>
          <t>Honvéd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-108</v>
      </c>
      <c r="M11" s="27" t="n">
        <v>1.925926</v>
      </c>
      <c r="N11" s="28" t="n">
        <v>0.519231</v>
      </c>
      <c r="O11" s="28" t="n">
        <v>0.430547</v>
      </c>
      <c r="P11" s="28" t="n"/>
      <c r="Q11" s="28" t="n">
        <v>-0.088684</v>
      </c>
      <c r="R11" s="26" t="n">
        <v>23</v>
      </c>
      <c r="S11" s="29" t="n">
        <v>1</v>
      </c>
      <c r="T11" s="24" t="inlineStr">
        <is>
          <t>cs2-tiered-elo-v3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-1</v>
      </c>
      <c r="AD11" s="24" t="inlineStr">
        <is>
          <t>2026-07-21T16:28:30.529859Z</t>
        </is>
      </c>
      <c r="AE11" s="31" t="inlineStr">
        <is>
          <t>Neutral Elo baseline; executable ask 0.5200 (aec-cs2-hon-misa-2026-07-21).</t>
        </is>
      </c>
      <c r="AF11" s="31" t="inlineStr">
        <is>
          <t>Research baseline; zero-unit shadow until qualified.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Misa Esports</t>
        </is>
      </c>
      <c r="AQ11" s="24" t="inlineStr">
        <is>
          <t>Misa Esports</t>
        </is>
      </c>
      <c r="AR11" s="24" t="inlineStr">
        <is>
          <t>Misa Esports</t>
        </is>
      </c>
      <c r="AS11" s="24" t="inlineStr">
        <is>
          <t>Honvéd</t>
        </is>
      </c>
      <c r="AT11" s="24" t="inlineStr">
        <is>
          <t>Honvéd</t>
        </is>
      </c>
      <c r="AU11" s="24" t="inlineStr">
        <is>
          <t>Honvéd</t>
        </is>
      </c>
      <c r="AV11" s="24" t="n"/>
      <c r="AW11" s="24" t="n"/>
      <c r="AX11" s="24" t="inlineStr">
        <is>
          <t>research_observation</t>
        </is>
      </c>
      <c r="AY11" s="24" t="n"/>
      <c r="AZ11" s="24" t="inlineStr">
        <is>
          <t>shadow_qualified</t>
        </is>
      </c>
      <c r="BA11" s="24" t="inlineStr">
        <is>
          <t>98da4a80b7f318a7919e5e7e0ea665d52be3fd1d2c2ae7cd25aead8acbac7a16</t>
        </is>
      </c>
      <c r="BB11" s="24" t="inlineStr">
        <is>
          <t>neutral_elo</t>
        </is>
      </c>
      <c r="BC11" s="24" t="inlineStr">
        <is>
          <t>cs2-neutral-series-elo-v1</t>
        </is>
      </c>
      <c r="BD11" s="24" t="inlineStr">
        <is>
          <t>9dbde86ab8062ac73a51c94b0ad431573ac8b755ccd742d86794849a749958c7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unknown</t>
        </is>
      </c>
      <c r="BH11" s="24" t="inlineStr">
        <is>
          <t>2026-07-21T08:42:05.471401Z</t>
        </is>
      </c>
      <c r="BI11" s="24" t="inlineStr">
        <is>
          <t>["same_event","same_team_same_day","same_league_same_day"]</t>
        </is>
      </c>
      <c r="BJ11" s="25" t="n"/>
      <c r="BK11" s="26" t="n">
        <v>-108</v>
      </c>
      <c r="BL11" s="27" t="n">
        <v>1.925926</v>
      </c>
      <c r="BM11" s="28" t="n">
        <v>0.519231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</row>
    <row r="12" ht="36" customHeight="1">
      <c r="A12" s="24" t="inlineStr">
        <is>
          <t>4a56f15ec9514541</t>
        </is>
      </c>
      <c r="B12" s="24" t="inlineStr">
        <is>
          <t>2026-07-21T08:42:04.995915Z</t>
        </is>
      </c>
      <c r="C12" s="24" t="inlineStr">
        <is>
          <t>2026-07-21T13:00:00Z</t>
        </is>
      </c>
      <c r="D12" s="24" t="inlineStr">
        <is>
          <t>56031</t>
        </is>
      </c>
      <c r="E12" s="24" t="inlineStr">
        <is>
          <t>CS2</t>
        </is>
      </c>
      <c r="F12" s="24" t="inlineStr">
        <is>
          <t>Heroic</t>
        </is>
      </c>
      <c r="G12" s="24" t="inlineStr">
        <is>
          <t>HOTU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-233</v>
      </c>
      <c r="M12" s="27" t="n">
        <v>1.429185</v>
      </c>
      <c r="N12" s="28" t="n">
        <v>0.6997</v>
      </c>
      <c r="O12" s="28" t="n">
        <v>0.622966</v>
      </c>
      <c r="P12" s="28" t="n"/>
      <c r="Q12" s="28" t="n">
        <v>-0.076734</v>
      </c>
      <c r="R12" s="26" t="n">
        <v>0</v>
      </c>
      <c r="S12" s="29" t="n">
        <v>0.5</v>
      </c>
      <c r="T12" s="24" t="inlineStr">
        <is>
          <t>cs2-tiered-elo-v3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-0.5</v>
      </c>
      <c r="AD12" s="24" t="inlineStr">
        <is>
          <t>2026-07-21T16:23:14.085821Z</t>
        </is>
      </c>
      <c r="AE12" s="31" t="inlineStr">
        <is>
          <t>Neutral Elo baseline; executable ask 0.7000 (aec-cs2-hotu-hero-2026-07-21).</t>
        </is>
      </c>
      <c r="AF12" s="31" t="inlineStr">
        <is>
          <t>Research baseline; zero-unit shadow until qualified.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Heroic</t>
        </is>
      </c>
      <c r="AQ12" s="24" t="inlineStr">
        <is>
          <t>Heroic</t>
        </is>
      </c>
      <c r="AR12" s="24" t="inlineStr">
        <is>
          <t>Heroic</t>
        </is>
      </c>
      <c r="AS12" s="24" t="inlineStr">
        <is>
          <t>HOTU</t>
        </is>
      </c>
      <c r="AT12" s="24" t="inlineStr">
        <is>
          <t>HOTU</t>
        </is>
      </c>
      <c r="AU12" s="24" t="inlineStr">
        <is>
          <t>HOTU</t>
        </is>
      </c>
      <c r="AV12" s="24" t="n"/>
      <c r="AW12" s="24" t="n"/>
      <c r="AX12" s="24" t="inlineStr">
        <is>
          <t>research_observation</t>
        </is>
      </c>
      <c r="AY12" s="24" t="n"/>
      <c r="AZ12" s="24" t="inlineStr">
        <is>
          <t>shadow_qualified</t>
        </is>
      </c>
      <c r="BA12" s="24" t="inlineStr">
        <is>
          <t>98da4a80b7f318a7919e5e7e0ea665d52be3fd1d2c2ae7cd25aead8acbac7a16</t>
        </is>
      </c>
      <c r="BB12" s="24" t="inlineStr">
        <is>
          <t>neutral_elo</t>
        </is>
      </c>
      <c r="BC12" s="24" t="inlineStr">
        <is>
          <t>cs2-neutral-series-elo-v1</t>
        </is>
      </c>
      <c r="BD12" s="24" t="inlineStr">
        <is>
          <t>9dbde86ab8062ac73a51c94b0ad431573ac8b755ccd742d86794849a749958c7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unknown</t>
        </is>
      </c>
      <c r="BH12" s="24" t="inlineStr">
        <is>
          <t>2026-07-21T08:42:04.995915Z</t>
        </is>
      </c>
      <c r="BI12" s="24" t="inlineStr">
        <is>
          <t>["same_event","same_team_same_day","same_league_same_day"]</t>
        </is>
      </c>
      <c r="BJ12" s="25" t="n"/>
      <c r="BK12" s="26" t="n">
        <v>-233</v>
      </c>
      <c r="BL12" s="27" t="n">
        <v>1.429185</v>
      </c>
      <c r="BM12" s="28" t="n">
        <v>0.6997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</row>
    <row r="13" ht="36" customHeight="1">
      <c r="A13" s="24" t="inlineStr">
        <is>
          <t>b4012dc58ab144a0</t>
        </is>
      </c>
      <c r="B13" s="24" t="inlineStr">
        <is>
          <t>2026-07-21T08:42:04.526061Z</t>
        </is>
      </c>
      <c r="C13" s="24" t="inlineStr">
        <is>
          <t>2026-07-21T13:00:00Z</t>
        </is>
      </c>
      <c r="D13" s="24" t="inlineStr">
        <is>
          <t>56030</t>
        </is>
      </c>
      <c r="E13" s="24" t="inlineStr">
        <is>
          <t>CS2</t>
        </is>
      </c>
      <c r="F13" s="24" t="inlineStr">
        <is>
          <t>Gentle Mates</t>
        </is>
      </c>
      <c r="G13" s="24" t="inlineStr">
        <is>
          <t>3DMAX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122</v>
      </c>
      <c r="M13" s="27" t="n">
        <v>2.22</v>
      </c>
      <c r="N13" s="28" t="n">
        <v>0.45045</v>
      </c>
      <c r="O13" s="28" t="n">
        <v>0.131678</v>
      </c>
      <c r="P13" s="28" t="n"/>
      <c r="Q13" s="28" t="n">
        <v>-0.318772</v>
      </c>
      <c r="R13" s="26" t="n">
        <v>100</v>
      </c>
      <c r="S13" s="29" t="n">
        <v>1.25</v>
      </c>
      <c r="T13" s="24" t="inlineStr">
        <is>
          <t>cs2-tiered-elo-v3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1.525</v>
      </c>
      <c r="AD13" s="24" t="inlineStr">
        <is>
          <t>2026-07-21T16:23:12.183727Z</t>
        </is>
      </c>
      <c r="AE13" s="31" t="inlineStr">
        <is>
          <t>Neutral Elo baseline; executable ask 0.4500 (aec-cs2-3dmax-m8-2026-07-21).</t>
        </is>
      </c>
      <c r="AF13" s="31" t="inlineStr">
        <is>
          <t>Research baseline; zero-unit shadow until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Gentle Mates</t>
        </is>
      </c>
      <c r="AQ13" s="24" t="inlineStr">
        <is>
          <t>Gentle Mates</t>
        </is>
      </c>
      <c r="AR13" s="24" t="inlineStr">
        <is>
          <t>Gentle Mates</t>
        </is>
      </c>
      <c r="AS13" s="24" t="inlineStr">
        <is>
          <t>3DMAX</t>
        </is>
      </c>
      <c r="AT13" s="24" t="inlineStr">
        <is>
          <t>3DMAX</t>
        </is>
      </c>
      <c r="AU13" s="24" t="inlineStr">
        <is>
          <t>3DMAX</t>
        </is>
      </c>
      <c r="AV13" s="24" t="n"/>
      <c r="AW13" s="24" t="n"/>
      <c r="AX13" s="24" t="inlineStr">
        <is>
          <t>research_observation</t>
        </is>
      </c>
      <c r="AY13" s="24" t="n"/>
      <c r="AZ13" s="24" t="inlineStr">
        <is>
          <t>shadow_qualified</t>
        </is>
      </c>
      <c r="BA13" s="24" t="inlineStr">
        <is>
          <t>98da4a80b7f318a7919e5e7e0ea665d52be3fd1d2c2ae7cd25aead8acbac7a16</t>
        </is>
      </c>
      <c r="BB13" s="24" t="inlineStr">
        <is>
          <t>neutral_elo</t>
        </is>
      </c>
      <c r="BC13" s="24" t="inlineStr">
        <is>
          <t>cs2-neutral-series-elo-v1</t>
        </is>
      </c>
      <c r="BD13" s="24" t="inlineStr">
        <is>
          <t>9dbde86ab8062ac73a51c94b0ad431573ac8b755ccd742d86794849a749958c7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unknown</t>
        </is>
      </c>
      <c r="BH13" s="24" t="inlineStr">
        <is>
          <t>2026-07-21T08:42:04.526061Z</t>
        </is>
      </c>
      <c r="BI13" s="24" t="inlineStr">
        <is>
          <t>["same_event","same_team_same_day","same_league_same_day"]</t>
        </is>
      </c>
      <c r="BJ13" s="25" t="n"/>
      <c r="BK13" s="26" t="n">
        <v>122</v>
      </c>
      <c r="BL13" s="27" t="n">
        <v>2.22</v>
      </c>
      <c r="BM13" s="28" t="n">
        <v>0.45045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</row>
    <row r="14" ht="36" customHeight="1">
      <c r="A14" s="24" t="inlineStr">
        <is>
          <t>a54d083f147d48cd</t>
        </is>
      </c>
      <c r="B14" s="24" t="inlineStr">
        <is>
          <t>2026-07-21T08:42:03.993882Z</t>
        </is>
      </c>
      <c r="C14" s="24" t="inlineStr">
        <is>
          <t>2026-07-21T12:30:00Z</t>
        </is>
      </c>
      <c r="D14" s="24" t="inlineStr">
        <is>
          <t>54977</t>
        </is>
      </c>
      <c r="E14" s="24" t="inlineStr">
        <is>
          <t>CS2</t>
        </is>
      </c>
      <c r="F14" s="24" t="inlineStr">
        <is>
          <t>Astralis</t>
        </is>
      </c>
      <c r="G14" s="24" t="inlineStr">
        <is>
          <t>Team Nemesis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0.396366</v>
      </c>
      <c r="P14" s="28" t="n"/>
      <c r="Q14" s="28" t="n">
        <v>-0.223406</v>
      </c>
      <c r="R14" s="26" t="n">
        <v>0</v>
      </c>
      <c r="S14" s="29" t="n">
        <v>0.5</v>
      </c>
      <c r="T14" s="24" t="inlineStr">
        <is>
          <t>cs2-tiered-elo-v3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0.3067</v>
      </c>
      <c r="AD14" s="24" t="inlineStr">
        <is>
          <t>2026-07-21T16:23:09.905762Z</t>
        </is>
      </c>
      <c r="AE14" s="31" t="inlineStr">
        <is>
          <t>Neutral Elo baseline; executable ask 0.6200 (aec-cs2-nem-ast-2026-07-21).</t>
        </is>
      </c>
      <c r="AF14" s="31" t="inlineStr">
        <is>
          <t>Research baseline; zero-unit shadow until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Astralis</t>
        </is>
      </c>
      <c r="AQ14" s="24" t="inlineStr">
        <is>
          <t>Astralis</t>
        </is>
      </c>
      <c r="AR14" s="24" t="inlineStr">
        <is>
          <t>Astralis</t>
        </is>
      </c>
      <c r="AS14" s="24" t="inlineStr">
        <is>
          <t>Team Nemesis</t>
        </is>
      </c>
      <c r="AT14" s="24" t="inlineStr">
        <is>
          <t>Team Nemesis</t>
        </is>
      </c>
      <c r="AU14" s="24" t="inlineStr">
        <is>
          <t>Team Nemesis</t>
        </is>
      </c>
      <c r="AV14" s="24" t="n"/>
      <c r="AW14" s="24" t="n"/>
      <c r="AX14" s="24" t="inlineStr">
        <is>
          <t>research_observation</t>
        </is>
      </c>
      <c r="AY14" s="24" t="n"/>
      <c r="AZ14" s="24" t="inlineStr">
        <is>
          <t>shadow_qualified</t>
        </is>
      </c>
      <c r="BA14" s="24" t="inlineStr">
        <is>
          <t>98da4a80b7f318a7919e5e7e0ea665d52be3fd1d2c2ae7cd25aead8acbac7a16</t>
        </is>
      </c>
      <c r="BB14" s="24" t="inlineStr">
        <is>
          <t>neutral_elo</t>
        </is>
      </c>
      <c r="BC14" s="24" t="inlineStr">
        <is>
          <t>cs2-neutral-series-elo-v1</t>
        </is>
      </c>
      <c r="BD14" s="24" t="inlineStr">
        <is>
          <t>9dbde86ab8062ac73a51c94b0ad431573ac8b755ccd742d86794849a749958c7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unknown</t>
        </is>
      </c>
      <c r="BH14" s="24" t="inlineStr">
        <is>
          <t>2026-07-21T08:42:03.993882Z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</row>
    <row r="15" ht="36" customHeight="1">
      <c r="A15" s="24" t="inlineStr">
        <is>
          <t>e11b56e7627a41de</t>
        </is>
      </c>
      <c r="B15" s="24" t="inlineStr">
        <is>
          <t>2026-07-21T08:42:03.532549Z</t>
        </is>
      </c>
      <c r="C15" s="24" t="inlineStr">
        <is>
          <t>2026-07-21T11:00:00Z</t>
        </is>
      </c>
      <c r="D15" s="24" t="inlineStr">
        <is>
          <t>57524</t>
        </is>
      </c>
      <c r="E15" s="24" t="inlineStr">
        <is>
          <t>CS2</t>
        </is>
      </c>
      <c r="F15" s="24" t="inlineStr">
        <is>
          <t>Entropy</t>
        </is>
      </c>
      <c r="G15" s="24" t="inlineStr">
        <is>
          <t>Esport Academy Copenhagen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-108</v>
      </c>
      <c r="M15" s="27" t="n">
        <v>1.925926</v>
      </c>
      <c r="N15" s="28" t="n">
        <v>0.519231</v>
      </c>
      <c r="O15" s="28" t="n">
        <v>0.5</v>
      </c>
      <c r="P15" s="28" t="n"/>
      <c r="Q15" s="28" t="n">
        <v>-0.019231</v>
      </c>
      <c r="R15" s="26" t="n">
        <v>82</v>
      </c>
      <c r="S15" s="29" t="n">
        <v>1.5</v>
      </c>
      <c r="T15" s="24" t="inlineStr">
        <is>
          <t>cs2-tiered-elo-v3</t>
        </is>
      </c>
      <c r="U15" s="24" t="inlineStr">
        <is>
          <t>settled</t>
        </is>
      </c>
      <c r="V15" s="24" t="inlineStr">
        <is>
          <t>loss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-1.5</v>
      </c>
      <c r="AD15" s="24" t="inlineStr">
        <is>
          <t>2026-07-21T16:23:07.897936Z</t>
        </is>
      </c>
      <c r="AE15" s="31" t="inlineStr">
        <is>
          <t>Neutral Elo baseline; executable ask 0.5200 (aec-cs2-eac-ent-2026-07-21).</t>
        </is>
      </c>
      <c r="AF15" s="31" t="inlineStr">
        <is>
          <t>Research baseline; zero-unit shadow until qualified.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Entropy</t>
        </is>
      </c>
      <c r="AQ15" s="24" t="inlineStr">
        <is>
          <t>Entropy</t>
        </is>
      </c>
      <c r="AR15" s="24" t="inlineStr">
        <is>
          <t>Entropy</t>
        </is>
      </c>
      <c r="AS15" s="24" t="inlineStr">
        <is>
          <t>Esport Academy Copenhagen</t>
        </is>
      </c>
      <c r="AT15" s="24" t="inlineStr">
        <is>
          <t>Esport Academy Copenhagen</t>
        </is>
      </c>
      <c r="AU15" s="24" t="inlineStr">
        <is>
          <t>Esport Academy Copenhagen</t>
        </is>
      </c>
      <c r="AV15" s="24" t="n"/>
      <c r="AW15" s="24" t="n"/>
      <c r="AX15" s="24" t="inlineStr">
        <is>
          <t>research_observation</t>
        </is>
      </c>
      <c r="AY15" s="24" t="n"/>
      <c r="AZ15" s="24" t="inlineStr">
        <is>
          <t>shadow_qualified</t>
        </is>
      </c>
      <c r="BA15" s="24" t="inlineStr">
        <is>
          <t>98da4a80b7f318a7919e5e7e0ea665d52be3fd1d2c2ae7cd25aead8acbac7a16</t>
        </is>
      </c>
      <c r="BB15" s="24" t="inlineStr">
        <is>
          <t>neutral_elo</t>
        </is>
      </c>
      <c r="BC15" s="24" t="inlineStr">
        <is>
          <t>cs2-neutral-series-elo-v1</t>
        </is>
      </c>
      <c r="BD15" s="24" t="inlineStr">
        <is>
          <t>9dbde86ab8062ac73a51c94b0ad431573ac8b755ccd742d86794849a749958c7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unknown</t>
        </is>
      </c>
      <c r="BH15" s="24" t="inlineStr">
        <is>
          <t>2026-07-21T08:42:03.532549Z</t>
        </is>
      </c>
      <c r="BI15" s="24" t="inlineStr">
        <is>
          <t>["same_event","same_team_same_day","same_league_same_day"]</t>
        </is>
      </c>
      <c r="BJ15" s="25" t="n"/>
      <c r="BK15" s="26" t="n">
        <v>-108</v>
      </c>
      <c r="BL15" s="27" t="n">
        <v>1.925926</v>
      </c>
      <c r="BM15" s="28" t="n">
        <v>0.519231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</row>
    <row r="16" ht="36" customHeight="1">
      <c r="A16" s="24" t="inlineStr">
        <is>
          <t>a037d33a498f48a4</t>
        </is>
      </c>
      <c r="B16" s="24" t="inlineStr">
        <is>
          <t>2026-07-21T08:42:03.073727Z</t>
        </is>
      </c>
      <c r="C16" s="24" t="inlineStr">
        <is>
          <t>2026-07-21T10:30:00Z</t>
        </is>
      </c>
      <c r="D16" s="24" t="inlineStr">
        <is>
          <t>56029</t>
        </is>
      </c>
      <c r="E16" s="24" t="inlineStr">
        <is>
          <t>CS2</t>
        </is>
      </c>
      <c r="F16" s="24" t="inlineStr">
        <is>
          <t>CYBERSHOKE Esports</t>
        </is>
      </c>
      <c r="G16" s="24" t="inlineStr">
        <is>
          <t>BET-M 33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156</v>
      </c>
      <c r="M16" s="27" t="n">
        <v>2.56</v>
      </c>
      <c r="N16" s="28" t="n">
        <v>0.390625</v>
      </c>
      <c r="O16" s="28" t="n">
        <v>0.248134</v>
      </c>
      <c r="P16" s="28" t="n"/>
      <c r="Q16" s="28" t="n">
        <v>-0.142491</v>
      </c>
      <c r="R16" s="26" t="n">
        <v>100</v>
      </c>
      <c r="S16" s="29" t="n">
        <v>2</v>
      </c>
      <c r="T16" s="24" t="inlineStr">
        <is>
          <t>cs2-tiered-elo-v3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/>
      <c r="AA16" s="28" t="n"/>
      <c r="AB16" s="28" t="n"/>
      <c r="AC16" s="30" t="n">
        <v>-2</v>
      </c>
      <c r="AD16" s="24" t="inlineStr">
        <is>
          <t>2026-07-21T16:23:05.531118Z</t>
        </is>
      </c>
      <c r="AE16" s="31" t="inlineStr">
        <is>
          <t>Neutral Elo baseline; executable ask 0.3900 (aec-cs2-33-cs-2026-07-21).</t>
        </is>
      </c>
      <c r="AF16" s="31" t="inlineStr">
        <is>
          <t>Research baseline; zero-unit shadow until qualified.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CYBERSHOKE Esports</t>
        </is>
      </c>
      <c r="AQ16" s="24" t="inlineStr">
        <is>
          <t>CYBERSHOKE Esports</t>
        </is>
      </c>
      <c r="AR16" s="24" t="inlineStr">
        <is>
          <t>CYBERSHOKE Esports</t>
        </is>
      </c>
      <c r="AS16" s="24" t="inlineStr">
        <is>
          <t>BET-M 33</t>
        </is>
      </c>
      <c r="AT16" s="24" t="inlineStr">
        <is>
          <t>BET-M 33</t>
        </is>
      </c>
      <c r="AU16" s="24" t="inlineStr">
        <is>
          <t>BET-M 33</t>
        </is>
      </c>
      <c r="AV16" s="24" t="n"/>
      <c r="AW16" s="24" t="n"/>
      <c r="AX16" s="24" t="inlineStr">
        <is>
          <t>research_observation</t>
        </is>
      </c>
      <c r="AY16" s="24" t="n"/>
      <c r="AZ16" s="24" t="inlineStr">
        <is>
          <t>shadow_qualified</t>
        </is>
      </c>
      <c r="BA16" s="24" t="inlineStr">
        <is>
          <t>98da4a80b7f318a7919e5e7e0ea665d52be3fd1d2c2ae7cd25aead8acbac7a16</t>
        </is>
      </c>
      <c r="BB16" s="24" t="inlineStr">
        <is>
          <t>neutral_elo</t>
        </is>
      </c>
      <c r="BC16" s="24" t="inlineStr">
        <is>
          <t>cs2-neutral-series-elo-v1</t>
        </is>
      </c>
      <c r="BD16" s="24" t="inlineStr">
        <is>
          <t>9dbde86ab8062ac73a51c94b0ad431573ac8b755ccd742d86794849a749958c7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unknown</t>
        </is>
      </c>
      <c r="BH16" s="24" t="inlineStr">
        <is>
          <t>2026-07-21T08:42:03.073727Z</t>
        </is>
      </c>
      <c r="BI16" s="24" t="inlineStr">
        <is>
          <t>["same_event","same_team_same_day","same_league_same_day"]</t>
        </is>
      </c>
      <c r="BJ16" s="25" t="n"/>
      <c r="BK16" s="26" t="n">
        <v>156</v>
      </c>
      <c r="BL16" s="27" t="n">
        <v>2.56</v>
      </c>
      <c r="BM16" s="28" t="n">
        <v>0.390625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</row>
    <row r="17" ht="36" customHeight="1">
      <c r="A17" s="24" t="inlineStr">
        <is>
          <t>1709cb0290f74e18</t>
        </is>
      </c>
      <c r="B17" s="24" t="inlineStr">
        <is>
          <t>2026-07-21T08:42:02.617232Z</t>
        </is>
      </c>
      <c r="C17" s="24" t="inlineStr">
        <is>
          <t>2026-07-21T10:00:00Z</t>
        </is>
      </c>
      <c r="D17" s="24" t="inlineStr">
        <is>
          <t>54926</t>
        </is>
      </c>
      <c r="E17" s="24" t="inlineStr">
        <is>
          <t>CS2</t>
        </is>
      </c>
      <c r="F17" s="24" t="inlineStr">
        <is>
          <t>NIP</t>
        </is>
      </c>
      <c r="G17" s="24" t="inlineStr">
        <is>
          <t>M80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108</v>
      </c>
      <c r="M17" s="27" t="n">
        <v>2.08</v>
      </c>
      <c r="N17" s="28" t="n">
        <v>0.480769</v>
      </c>
      <c r="O17" s="28" t="n">
        <v>0.721453</v>
      </c>
      <c r="P17" s="28" t="n"/>
      <c r="Q17" s="28" t="n">
        <v>0.240684</v>
      </c>
      <c r="R17" s="26" t="n">
        <v>100</v>
      </c>
      <c r="S17" s="29" t="n">
        <v>2</v>
      </c>
      <c r="T17" s="24" t="inlineStr">
        <is>
          <t>cs2-tiered-elo-v3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-2</v>
      </c>
      <c r="AD17" s="24" t="inlineStr">
        <is>
          <t>2026-07-21T16:23:03.359750Z</t>
        </is>
      </c>
      <c r="AE17" s="31" t="inlineStr">
        <is>
          <t>Neutral Elo baseline; executable ask 0.4800 (aec-cs2-m80-nip-2026-07-21).</t>
        </is>
      </c>
      <c r="AF17" s="31" t="inlineStr">
        <is>
          <t>Research baseline; zero-unit shadow until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NIP</t>
        </is>
      </c>
      <c r="AQ17" s="24" t="inlineStr">
        <is>
          <t>NIP</t>
        </is>
      </c>
      <c r="AR17" s="24" t="inlineStr">
        <is>
          <t>NIP</t>
        </is>
      </c>
      <c r="AS17" s="24" t="inlineStr">
        <is>
          <t>M80</t>
        </is>
      </c>
      <c r="AT17" s="24" t="inlineStr">
        <is>
          <t>M80</t>
        </is>
      </c>
      <c r="AU17" s="24" t="inlineStr">
        <is>
          <t>M80</t>
        </is>
      </c>
      <c r="AV17" s="24" t="n"/>
      <c r="AW17" s="24" t="n"/>
      <c r="AX17" s="24" t="inlineStr">
        <is>
          <t>research_observation</t>
        </is>
      </c>
      <c r="AY17" s="24" t="n"/>
      <c r="AZ17" s="24" t="inlineStr">
        <is>
          <t>shadow_qualified</t>
        </is>
      </c>
      <c r="BA17" s="24" t="inlineStr">
        <is>
          <t>98da4a80b7f318a7919e5e7e0ea665d52be3fd1d2c2ae7cd25aead8acbac7a16</t>
        </is>
      </c>
      <c r="BB17" s="24" t="inlineStr">
        <is>
          <t>neutral_elo</t>
        </is>
      </c>
      <c r="BC17" s="24" t="inlineStr">
        <is>
          <t>cs2-neutral-series-elo-v1</t>
        </is>
      </c>
      <c r="BD17" s="24" t="inlineStr">
        <is>
          <t>9dbde86ab8062ac73a51c94b0ad431573ac8b755ccd742d86794849a749958c7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unknown</t>
        </is>
      </c>
      <c r="BH17" s="24" t="inlineStr">
        <is>
          <t>2026-07-21T08:42:02.617232Z</t>
        </is>
      </c>
      <c r="BI17" s="24" t="inlineStr">
        <is>
          <t>["same_event","same_team_same_day","same_league_same_day"]</t>
        </is>
      </c>
      <c r="BJ17" s="25" t="n"/>
      <c r="BK17" s="26" t="n">
        <v>108</v>
      </c>
      <c r="BL17" s="27" t="n">
        <v>2.08</v>
      </c>
      <c r="BM17" s="28" t="n">
        <v>0.480769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</row>
    <row r="18" ht="36" customHeight="1">
      <c r="A18" s="24" t="inlineStr">
        <is>
          <t>10bb7e438b824bad</t>
        </is>
      </c>
      <c r="B18" s="24" t="inlineStr">
        <is>
          <t>2026-07-21T08:30:10.932567Z</t>
        </is>
      </c>
      <c r="C18" s="24" t="inlineStr">
        <is>
          <t>2026-07-22T00:00:00Z</t>
        </is>
      </c>
      <c r="D18" s="24" t="inlineStr">
        <is>
          <t>55211</t>
        </is>
      </c>
      <c r="E18" s="24" t="inlineStr">
        <is>
          <t>LOL</t>
        </is>
      </c>
      <c r="F18" s="24" t="inlineStr">
        <is>
          <t>7REX</t>
        </is>
      </c>
      <c r="G18" s="24" t="inlineStr">
        <is>
          <t>Vivo Keyd Stars Academy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0.6887720000000001</v>
      </c>
      <c r="P18" s="28" t="n"/>
      <c r="Q18" s="28" t="n">
        <v>-0.010928</v>
      </c>
      <c r="R18" s="26" t="n">
        <v>4</v>
      </c>
      <c r="S18" s="29" t="n">
        <v>2</v>
      </c>
      <c r="T18" s="24" t="inlineStr">
        <is>
          <t>lol-tiered-elo-v3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0.8584000000000001</v>
      </c>
      <c r="AD18" s="24" t="inlineStr">
        <is>
          <t>2026-07-22T00:57:09.040256Z</t>
        </is>
      </c>
      <c r="AE18" s="31" t="inlineStr">
        <is>
          <t>Neutral Elo baseline; executable ask 0.7000 (aec-lol-vksa-7rex-2026-07-22).</t>
        </is>
      </c>
      <c r="AF18" s="31" t="inlineStr">
        <is>
          <t>Research baseline; zero-unit shadow until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7REX</t>
        </is>
      </c>
      <c r="AQ18" s="24" t="inlineStr">
        <is>
          <t>7REX</t>
        </is>
      </c>
      <c r="AR18" s="24" t="inlineStr">
        <is>
          <t>7REX</t>
        </is>
      </c>
      <c r="AS18" s="24" t="inlineStr">
        <is>
          <t>Vivo Keyd Stars Academy</t>
        </is>
      </c>
      <c r="AT18" s="24" t="inlineStr">
        <is>
          <t>Vivo Keyd Stars Academy</t>
        </is>
      </c>
      <c r="AU18" s="24" t="inlineStr">
        <is>
          <t>Vivo Keyd Stars Academy</t>
        </is>
      </c>
      <c r="AV18" s="24" t="n"/>
      <c r="AW18" s="24" t="n"/>
      <c r="AX18" s="24" t="inlineStr">
        <is>
          <t>research_observation</t>
        </is>
      </c>
      <c r="AY18" s="24" t="n"/>
      <c r="AZ18" s="24" t="inlineStr">
        <is>
          <t>shadow_qualified</t>
        </is>
      </c>
      <c r="BA18" s="24" t="inlineStr">
        <is>
          <t>e0cd9cffa8d11f894fd13b69be474bf2e4371b29db5e62888aec7b8f44f78946</t>
        </is>
      </c>
      <c r="BB18" s="24" t="inlineStr">
        <is>
          <t>neutral_elo</t>
        </is>
      </c>
      <c r="BC18" s="24" t="inlineStr">
        <is>
          <t>lol-neutral-series-elo-v1</t>
        </is>
      </c>
      <c r="BD18" s="24" t="inlineStr">
        <is>
          <t>82612f1b27d5065af8d70fd6669509ff00dc1c7e3a91bb423192bf3b0a9736ce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unknown</t>
        </is>
      </c>
      <c r="BH18" s="24" t="inlineStr">
        <is>
          <t>2026-07-21T08:30:10.932567Z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</row>
    <row r="19" ht="36" customHeight="1">
      <c r="A19" s="24" t="inlineStr">
        <is>
          <t>23354aa9fad94658</t>
        </is>
      </c>
      <c r="B19" s="24" t="inlineStr">
        <is>
          <t>2026-07-21T08:30:10.496331Z</t>
        </is>
      </c>
      <c r="C19" s="24" t="inlineStr">
        <is>
          <t>2026-07-21T23:00:00Z</t>
        </is>
      </c>
      <c r="D19" s="24" t="inlineStr">
        <is>
          <t>55208</t>
        </is>
      </c>
      <c r="E19" s="24" t="inlineStr">
        <is>
          <t>LOL</t>
        </is>
      </c>
      <c r="F19" s="24" t="inlineStr">
        <is>
          <t>Ei Nerd Esports</t>
        </is>
      </c>
      <c r="G19" s="24" t="inlineStr">
        <is>
          <t>Team Solid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-194</v>
      </c>
      <c r="M19" s="27" t="n">
        <v>1.515464</v>
      </c>
      <c r="N19" s="28" t="n">
        <v>0.659864</v>
      </c>
      <c r="O19" s="28" t="n">
        <v>0.5767600000000001</v>
      </c>
      <c r="P19" s="28" t="n"/>
      <c r="Q19" s="28" t="n">
        <v>-0.083104</v>
      </c>
      <c r="R19" s="26" t="n">
        <v>0</v>
      </c>
      <c r="S19" s="29" t="n">
        <v>1.5</v>
      </c>
      <c r="T19" s="24" t="inlineStr">
        <is>
          <t>lol-tiered-elo-v3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0.7732</v>
      </c>
      <c r="AD19" s="24" t="inlineStr">
        <is>
          <t>2026-07-22T00:36:34.578720Z</t>
        </is>
      </c>
      <c r="AE19" s="31" t="inlineStr">
        <is>
          <t>Neutral Elo baseline; executable ask 0.6600 (aec-lol-tse-nerd-2026-07-21).</t>
        </is>
      </c>
      <c r="AF19" s="31" t="inlineStr">
        <is>
          <t>Research baseline; zero-unit shadow until qualified.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Ei Nerd Esports</t>
        </is>
      </c>
      <c r="AQ19" s="24" t="inlineStr">
        <is>
          <t>Ei Nerd Esports</t>
        </is>
      </c>
      <c r="AR19" s="24" t="inlineStr">
        <is>
          <t>Ei Nerd Esports</t>
        </is>
      </c>
      <c r="AS19" s="24" t="inlineStr">
        <is>
          <t>Team Solid</t>
        </is>
      </c>
      <c r="AT19" s="24" t="inlineStr">
        <is>
          <t>Team Solid</t>
        </is>
      </c>
      <c r="AU19" s="24" t="inlineStr">
        <is>
          <t>Team Solid</t>
        </is>
      </c>
      <c r="AV19" s="24" t="n"/>
      <c r="AW19" s="24" t="n"/>
      <c r="AX19" s="24" t="inlineStr">
        <is>
          <t>research_observation</t>
        </is>
      </c>
      <c r="AY19" s="24" t="n"/>
      <c r="AZ19" s="24" t="inlineStr">
        <is>
          <t>shadow_qualified</t>
        </is>
      </c>
      <c r="BA19" s="24" t="inlineStr">
        <is>
          <t>e0cd9cffa8d11f894fd13b69be474bf2e4371b29db5e62888aec7b8f44f78946</t>
        </is>
      </c>
      <c r="BB19" s="24" t="inlineStr">
        <is>
          <t>neutral_elo</t>
        </is>
      </c>
      <c r="BC19" s="24" t="inlineStr">
        <is>
          <t>lol-neutral-series-elo-v1</t>
        </is>
      </c>
      <c r="BD19" s="24" t="inlineStr">
        <is>
          <t>82612f1b27d5065af8d70fd6669509ff00dc1c7e3a91bb423192bf3b0a9736ce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unknown</t>
        </is>
      </c>
      <c r="BH19" s="24" t="inlineStr">
        <is>
          <t>2026-07-21T08:30:10.496331Z</t>
        </is>
      </c>
      <c r="BI19" s="24" t="inlineStr">
        <is>
          <t>["same_event","same_team_same_day","same_league_same_day"]</t>
        </is>
      </c>
      <c r="BJ19" s="25" t="n"/>
      <c r="BK19" s="26" t="n">
        <v>-194</v>
      </c>
      <c r="BL19" s="27" t="n">
        <v>1.515464</v>
      </c>
      <c r="BM19" s="28" t="n">
        <v>0.659864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</row>
    <row r="20" ht="36" customHeight="1">
      <c r="A20" s="24" t="inlineStr">
        <is>
          <t>171bce26e273463d</t>
        </is>
      </c>
      <c r="B20" s="24" t="inlineStr">
        <is>
          <t>2026-07-21T08:30:10.070369Z</t>
        </is>
      </c>
      <c r="C20" s="24" t="inlineStr">
        <is>
          <t>2026-07-21T22:00:00Z</t>
        </is>
      </c>
      <c r="D20" s="24" t="inlineStr">
        <is>
          <t>55206</t>
        </is>
      </c>
      <c r="E20" s="24" t="inlineStr">
        <is>
          <t>LOL</t>
        </is>
      </c>
      <c r="F20" s="24" t="inlineStr">
        <is>
          <t>Estral Esports</t>
        </is>
      </c>
      <c r="G20" s="24" t="inlineStr">
        <is>
          <t>KaBuM! Ilha das Lendas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212</v>
      </c>
      <c r="M20" s="27" t="n">
        <v>3.12</v>
      </c>
      <c r="N20" s="28" t="n">
        <v>0.320513</v>
      </c>
      <c r="O20" s="28" t="n">
        <v>0.563621</v>
      </c>
      <c r="P20" s="28" t="n"/>
      <c r="Q20" s="28" t="n">
        <v>0.243108</v>
      </c>
      <c r="R20" s="26" t="n">
        <v>100</v>
      </c>
      <c r="S20" s="29" t="n">
        <v>1.5</v>
      </c>
      <c r="T20" s="24" t="inlineStr">
        <is>
          <t>lol-tiered-elo-v3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-1.5</v>
      </c>
      <c r="AD20" s="24" t="inlineStr">
        <is>
          <t>2026-07-22T00:36:24.235556Z</t>
        </is>
      </c>
      <c r="AE20" s="31" t="inlineStr">
        <is>
          <t>Neutral Elo baseline; executable ask 0.3200 (aec-lol-kbm-est-2026-07-21).</t>
        </is>
      </c>
      <c r="AF20" s="31" t="inlineStr">
        <is>
          <t>Research baseline; zero-unit shadow until qualified.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Estral Esports</t>
        </is>
      </c>
      <c r="AQ20" s="24" t="inlineStr">
        <is>
          <t>Estral Esports</t>
        </is>
      </c>
      <c r="AR20" s="24" t="inlineStr">
        <is>
          <t>Estral Esports</t>
        </is>
      </c>
      <c r="AS20" s="24" t="inlineStr">
        <is>
          <t>KaBuM! Ilha das Lendas</t>
        </is>
      </c>
      <c r="AT20" s="24" t="inlineStr">
        <is>
          <t>KaBuM! Ilha das Lendas</t>
        </is>
      </c>
      <c r="AU20" s="24" t="inlineStr">
        <is>
          <t>KaBuM! Ilha das Lendas</t>
        </is>
      </c>
      <c r="AV20" s="24" t="n"/>
      <c r="AW20" s="24" t="n"/>
      <c r="AX20" s="24" t="inlineStr">
        <is>
          <t>research_observation</t>
        </is>
      </c>
      <c r="AY20" s="24" t="n"/>
      <c r="AZ20" s="24" t="inlineStr">
        <is>
          <t>shadow_qualified</t>
        </is>
      </c>
      <c r="BA20" s="24" t="inlineStr">
        <is>
          <t>e0cd9cffa8d11f894fd13b69be474bf2e4371b29db5e62888aec7b8f44f78946</t>
        </is>
      </c>
      <c r="BB20" s="24" t="inlineStr">
        <is>
          <t>neutral_elo</t>
        </is>
      </c>
      <c r="BC20" s="24" t="inlineStr">
        <is>
          <t>lol-neutral-series-elo-v1</t>
        </is>
      </c>
      <c r="BD20" s="24" t="inlineStr">
        <is>
          <t>82612f1b27d5065af8d70fd6669509ff00dc1c7e3a91bb423192bf3b0a9736ce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unknown</t>
        </is>
      </c>
      <c r="BH20" s="24" t="inlineStr">
        <is>
          <t>2026-07-21T08:30:10.070369Z</t>
        </is>
      </c>
      <c r="BI20" s="24" t="inlineStr">
        <is>
          <t>["same_event","same_team_same_day","same_league_same_day"]</t>
        </is>
      </c>
      <c r="BJ20" s="25" t="n"/>
      <c r="BK20" s="26" t="n">
        <v>212</v>
      </c>
      <c r="BL20" s="27" t="n">
        <v>3.12</v>
      </c>
      <c r="BM20" s="28" t="n">
        <v>0.320513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</row>
    <row r="21" ht="36" customHeight="1">
      <c r="A21" s="24" t="inlineStr">
        <is>
          <t>e61dd2ea3da24872</t>
        </is>
      </c>
      <c r="B21" s="24" t="inlineStr">
        <is>
          <t>2026-07-21T08:30:09.587217Z</t>
        </is>
      </c>
      <c r="C21" s="24" t="inlineStr">
        <is>
          <t>2026-07-21T21:00:00Z</t>
        </is>
      </c>
      <c r="D21" s="24" t="inlineStr">
        <is>
          <t>55205</t>
        </is>
      </c>
      <c r="E21" s="24" t="inlineStr">
        <is>
          <t>LOL</t>
        </is>
      </c>
      <c r="F21" s="24" t="inlineStr">
        <is>
          <t>RMD Gaming</t>
        </is>
      </c>
      <c r="G21" s="24" t="inlineStr">
        <is>
          <t>paiN Gaming Academy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-203</v>
      </c>
      <c r="M21" s="27" t="n">
        <v>1.492611</v>
      </c>
      <c r="N21" s="28" t="n">
        <v>0.669967</v>
      </c>
      <c r="O21" s="28" t="n">
        <v>0.753541</v>
      </c>
      <c r="P21" s="28" t="n"/>
      <c r="Q21" s="28" t="n">
        <v>0.083574</v>
      </c>
      <c r="R21" s="26" t="n">
        <v>61</v>
      </c>
      <c r="S21" s="29" t="n">
        <v>2</v>
      </c>
      <c r="T21" s="24" t="inlineStr">
        <is>
          <t>lol-tiered-elo-v3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0.9852</v>
      </c>
      <c r="AD21" s="24" t="inlineStr">
        <is>
          <t>2026-07-22T00:57:07.221385Z</t>
        </is>
      </c>
      <c r="AE21" s="31" t="inlineStr">
        <is>
          <t>Neutral Elo baseline; executable ask 0.6700 (aec-lol-pnga-rmd-2026-07-21).</t>
        </is>
      </c>
      <c r="AF21" s="31" t="inlineStr">
        <is>
          <t>Research baseline; zero-unit shadow until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RMD Gaming</t>
        </is>
      </c>
      <c r="AQ21" s="24" t="inlineStr">
        <is>
          <t>RMD Gaming</t>
        </is>
      </c>
      <c r="AR21" s="24" t="inlineStr">
        <is>
          <t>RMD Gaming</t>
        </is>
      </c>
      <c r="AS21" s="24" t="inlineStr">
        <is>
          <t>paiN Gaming Academy</t>
        </is>
      </c>
      <c r="AT21" s="24" t="inlineStr">
        <is>
          <t>paiN Gaming Academy</t>
        </is>
      </c>
      <c r="AU21" s="24" t="inlineStr">
        <is>
          <t>paiN Gaming Academy</t>
        </is>
      </c>
      <c r="AV21" s="24" t="n"/>
      <c r="AW21" s="24" t="n"/>
      <c r="AX21" s="24" t="inlineStr">
        <is>
          <t>research_observation</t>
        </is>
      </c>
      <c r="AY21" s="24" t="n"/>
      <c r="AZ21" s="24" t="inlineStr">
        <is>
          <t>shadow_qualified</t>
        </is>
      </c>
      <c r="BA21" s="24" t="inlineStr">
        <is>
          <t>e0cd9cffa8d11f894fd13b69be474bf2e4371b29db5e62888aec7b8f44f78946</t>
        </is>
      </c>
      <c r="BB21" s="24" t="inlineStr">
        <is>
          <t>neutral_elo</t>
        </is>
      </c>
      <c r="BC21" s="24" t="inlineStr">
        <is>
          <t>lol-neutral-series-elo-v1</t>
        </is>
      </c>
      <c r="BD21" s="24" t="inlineStr">
        <is>
          <t>82612f1b27d5065af8d70fd6669509ff00dc1c7e3a91bb423192bf3b0a9736ce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unknown</t>
        </is>
      </c>
      <c r="BH21" s="24" t="inlineStr">
        <is>
          <t>2026-07-21T08:30:09.587217Z</t>
        </is>
      </c>
      <c r="BI21" s="24" t="inlineStr">
        <is>
          <t>["same_event","same_team_same_day","same_league_same_day"]</t>
        </is>
      </c>
      <c r="BJ21" s="25" t="n"/>
      <c r="BK21" s="26" t="n">
        <v>-203</v>
      </c>
      <c r="BL21" s="27" t="n">
        <v>1.492611</v>
      </c>
      <c r="BM21" s="28" t="n">
        <v>0.669967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</row>
    <row r="22" ht="36" customHeight="1">
      <c r="A22" s="24" t="inlineStr">
        <is>
          <t>89ced1ad6ac349bb</t>
        </is>
      </c>
      <c r="B22" s="24" t="inlineStr">
        <is>
          <t>2026-07-21T08:30:09.169381Z</t>
        </is>
      </c>
      <c r="C22" s="24" t="inlineStr">
        <is>
          <t>2026-07-21T19:00:00Z</t>
        </is>
      </c>
      <c r="D22" s="24" t="inlineStr">
        <is>
          <t>56856</t>
        </is>
      </c>
      <c r="E22" s="24" t="inlineStr">
        <is>
          <t>LOL</t>
        </is>
      </c>
      <c r="F22" s="24" t="inlineStr">
        <is>
          <t>Joblife</t>
        </is>
      </c>
      <c r="G22" s="24" t="inlineStr">
        <is>
          <t>Galions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-194</v>
      </c>
      <c r="M22" s="27" t="n">
        <v>1.515464</v>
      </c>
      <c r="N22" s="28" t="n">
        <v>0.659864</v>
      </c>
      <c r="O22" s="28" t="n">
        <v>0.8542149999999999</v>
      </c>
      <c r="P22" s="28" t="n"/>
      <c r="Q22" s="28" t="n">
        <v>0.194351</v>
      </c>
      <c r="R22" s="26" t="n">
        <v>88</v>
      </c>
      <c r="S22" s="29" t="n">
        <v>2</v>
      </c>
      <c r="T22" s="24" t="inlineStr">
        <is>
          <t>lol-tiered-elo-v3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1.0309</v>
      </c>
      <c r="AD22" s="24" t="inlineStr">
        <is>
          <t>2026-07-22T00:36:02.950999Z</t>
        </is>
      </c>
      <c r="AE22" s="31" t="inlineStr">
        <is>
          <t>Neutral Elo baseline; executable ask 0.6600 (aec-lol-gal-jl-2026-07-21).</t>
        </is>
      </c>
      <c r="AF22" s="31" t="inlineStr">
        <is>
          <t>Research baseline; zero-unit shadow until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Joblife</t>
        </is>
      </c>
      <c r="AQ22" s="24" t="inlineStr">
        <is>
          <t>Joblife</t>
        </is>
      </c>
      <c r="AR22" s="24" t="inlineStr">
        <is>
          <t>Joblife</t>
        </is>
      </c>
      <c r="AS22" s="24" t="inlineStr">
        <is>
          <t>Galions</t>
        </is>
      </c>
      <c r="AT22" s="24" t="inlineStr">
        <is>
          <t>Galions</t>
        </is>
      </c>
      <c r="AU22" s="24" t="inlineStr">
        <is>
          <t>Galions</t>
        </is>
      </c>
      <c r="AV22" s="24" t="n"/>
      <c r="AW22" s="24" t="n"/>
      <c r="AX22" s="24" t="inlineStr">
        <is>
          <t>research_observation</t>
        </is>
      </c>
      <c r="AY22" s="24" t="n"/>
      <c r="AZ22" s="24" t="inlineStr">
        <is>
          <t>shadow_qualified</t>
        </is>
      </c>
      <c r="BA22" s="24" t="inlineStr">
        <is>
          <t>e0cd9cffa8d11f894fd13b69be474bf2e4371b29db5e62888aec7b8f44f78946</t>
        </is>
      </c>
      <c r="BB22" s="24" t="inlineStr">
        <is>
          <t>neutral_elo</t>
        </is>
      </c>
      <c r="BC22" s="24" t="inlineStr">
        <is>
          <t>lol-neutral-series-elo-v1</t>
        </is>
      </c>
      <c r="BD22" s="24" t="inlineStr">
        <is>
          <t>82612f1b27d5065af8d70fd6669509ff00dc1c7e3a91bb423192bf3b0a9736ce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unknown</t>
        </is>
      </c>
      <c r="BH22" s="24" t="inlineStr">
        <is>
          <t>2026-07-21T08:30:09.169381Z</t>
        </is>
      </c>
      <c r="BI22" s="24" t="inlineStr">
        <is>
          <t>["same_event","same_team_same_day","same_league_same_day"]</t>
        </is>
      </c>
      <c r="BJ22" s="25" t="n"/>
      <c r="BK22" s="26" t="n">
        <v>-194</v>
      </c>
      <c r="BL22" s="27" t="n">
        <v>1.515464</v>
      </c>
      <c r="BM22" s="28" t="n">
        <v>0.659864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</row>
    <row r="23" ht="36" customHeight="1">
      <c r="A23" s="24" t="inlineStr">
        <is>
          <t>5985b78f606946dd</t>
        </is>
      </c>
      <c r="B23" s="24" t="inlineStr">
        <is>
          <t>2026-07-21T08:30:08.750906Z</t>
        </is>
      </c>
      <c r="C23" s="24" t="inlineStr">
        <is>
          <t>2026-07-21T18:30:00Z</t>
        </is>
      </c>
      <c r="D23" s="24" t="inlineStr">
        <is>
          <t>57016</t>
        </is>
      </c>
      <c r="E23" s="24" t="inlineStr">
        <is>
          <t>LOL</t>
        </is>
      </c>
      <c r="F23" s="24" t="inlineStr">
        <is>
          <t>Baam Esports</t>
        </is>
      </c>
      <c r="G23" s="24" t="inlineStr">
        <is>
          <t>Pyramid IV Esports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113</v>
      </c>
      <c r="M23" s="27" t="n">
        <v>2.13</v>
      </c>
      <c r="N23" s="28" t="n">
        <v>0.469484</v>
      </c>
      <c r="O23" s="28" t="n">
        <v>0.5</v>
      </c>
      <c r="P23" s="28" t="n"/>
      <c r="Q23" s="28" t="n">
        <v>0</v>
      </c>
      <c r="R23" s="26" t="n">
        <v>33</v>
      </c>
      <c r="S23" s="29" t="n">
        <v>0.5</v>
      </c>
      <c r="T23" s="24" t="inlineStr">
        <is>
          <t>lol-tiered-elo-v3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-0.5</v>
      </c>
      <c r="AD23" s="24" t="inlineStr">
        <is>
          <t>2026-07-22T00:35:59.617906Z</t>
        </is>
      </c>
      <c r="AE23" s="31" t="inlineStr">
        <is>
          <t>Neutral Elo baseline; executable ask 0.4700 (aec-lol-piv-bam-2026-07-21).</t>
        </is>
      </c>
      <c r="AF23" s="31" t="inlineStr">
        <is>
          <t>Research baseline; zero-unit shadow until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Baam Esports</t>
        </is>
      </c>
      <c r="AQ23" s="24" t="inlineStr">
        <is>
          <t>Baam Esports</t>
        </is>
      </c>
      <c r="AR23" s="24" t="inlineStr">
        <is>
          <t>Baam Esports</t>
        </is>
      </c>
      <c r="AS23" s="24" t="inlineStr">
        <is>
          <t>Pyramid IV Esports</t>
        </is>
      </c>
      <c r="AT23" s="24" t="inlineStr">
        <is>
          <t>Pyramid IV Esports</t>
        </is>
      </c>
      <c r="AU23" s="24" t="inlineStr">
        <is>
          <t>Pyramid IV Esports</t>
        </is>
      </c>
      <c r="AV23" s="24" t="n"/>
      <c r="AW23" s="24" t="n"/>
      <c r="AX23" s="24" t="inlineStr">
        <is>
          <t>research_observation</t>
        </is>
      </c>
      <c r="AY23" s="24" t="n"/>
      <c r="AZ23" s="24" t="inlineStr">
        <is>
          <t>shadow_qualified</t>
        </is>
      </c>
      <c r="BA23" s="24" t="inlineStr">
        <is>
          <t>82612f1b27d5065af8d70fd6669509ff00dc1c7e3a91bb423192bf3b0a9736ce</t>
        </is>
      </c>
      <c r="BB23" s="24" t="inlineStr">
        <is>
          <t>neutral_elo</t>
        </is>
      </c>
      <c r="BC23" s="24" t="inlineStr">
        <is>
          <t>lol-neutral-series-elo-v1</t>
        </is>
      </c>
      <c r="BD23" s="24" t="inlineStr">
        <is>
          <t>82612f1b27d5065af8d70fd6669509ff00dc1c7e3a91bb423192bf3b0a9736ce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unknown</t>
        </is>
      </c>
      <c r="BH23" s="24" t="inlineStr">
        <is>
          <t>2026-07-21T08:30:08.750906Z</t>
        </is>
      </c>
      <c r="BI23" s="24" t="inlineStr">
        <is>
          <t>["same_event","same_team_same_day","same_league_same_day"]</t>
        </is>
      </c>
      <c r="BJ23" s="25" t="n"/>
      <c r="BK23" s="26" t="n">
        <v>113</v>
      </c>
      <c r="BL23" s="27" t="n">
        <v>2.13</v>
      </c>
      <c r="BM23" s="28" t="n">
        <v>0.469484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</row>
    <row r="24" ht="36" customHeight="1">
      <c r="A24" s="24" t="inlineStr">
        <is>
          <t>cb4fb35e52d449cd</t>
        </is>
      </c>
      <c r="B24" s="24" t="inlineStr">
        <is>
          <t>2026-07-21T08:30:08.334204Z</t>
        </is>
      </c>
      <c r="C24" s="24" t="inlineStr">
        <is>
          <t>2026-07-21T17:00:00Z</t>
        </is>
      </c>
      <c r="D24" s="24" t="inlineStr">
        <is>
          <t>55198</t>
        </is>
      </c>
      <c r="E24" s="24" t="inlineStr">
        <is>
          <t>LOL</t>
        </is>
      </c>
      <c r="F24" s="24" t="inlineStr">
        <is>
          <t>Once Upon A Team</t>
        </is>
      </c>
      <c r="G24" s="24" t="inlineStr">
        <is>
          <t>mCon esports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-186</v>
      </c>
      <c r="M24" s="27" t="n">
        <v>1.537634</v>
      </c>
      <c r="N24" s="28" t="n">
        <v>0.65035</v>
      </c>
      <c r="O24" s="28" t="n">
        <v>0.616388</v>
      </c>
      <c r="P24" s="28" t="n"/>
      <c r="Q24" s="28" t="n">
        <v>-0.033962</v>
      </c>
      <c r="R24" s="26" t="n">
        <v>0</v>
      </c>
      <c r="S24" s="29" t="n">
        <v>2</v>
      </c>
      <c r="T24" s="24" t="inlineStr">
        <is>
          <t>lol-tiered-elo-v3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1.0753</v>
      </c>
      <c r="AD24" s="24" t="inlineStr">
        <is>
          <t>2026-07-22T00:35:53.796726Z</t>
        </is>
      </c>
      <c r="AE24" s="31" t="inlineStr">
        <is>
          <t>Neutral Elo baseline; executable ask 0.6500 (aec-lol-mcn-ouat-2026-07-21).</t>
        </is>
      </c>
      <c r="AF24" s="31" t="inlineStr">
        <is>
          <t>Research baseline; zero-unit shadow until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Once Upon A Team</t>
        </is>
      </c>
      <c r="AQ24" s="24" t="inlineStr">
        <is>
          <t>Once Upon A Team</t>
        </is>
      </c>
      <c r="AR24" s="24" t="inlineStr">
        <is>
          <t>Once Upon A Team</t>
        </is>
      </c>
      <c r="AS24" s="24" t="inlineStr">
        <is>
          <t>mCon esports</t>
        </is>
      </c>
      <c r="AT24" s="24" t="inlineStr">
        <is>
          <t>mCon esports</t>
        </is>
      </c>
      <c r="AU24" s="24" t="inlineStr">
        <is>
          <t>mCon esports</t>
        </is>
      </c>
      <c r="AV24" s="24" t="n"/>
      <c r="AW24" s="24" t="n"/>
      <c r="AX24" s="24" t="inlineStr">
        <is>
          <t>research_observation</t>
        </is>
      </c>
      <c r="AY24" s="24" t="n"/>
      <c r="AZ24" s="24" t="inlineStr">
        <is>
          <t>shadow_qualified</t>
        </is>
      </c>
      <c r="BA24" s="24" t="inlineStr">
        <is>
          <t>e0cd9cffa8d11f894fd13b69be474bf2e4371b29db5e62888aec7b8f44f78946</t>
        </is>
      </c>
      <c r="BB24" s="24" t="inlineStr">
        <is>
          <t>neutral_elo</t>
        </is>
      </c>
      <c r="BC24" s="24" t="inlineStr">
        <is>
          <t>lol-neutral-series-elo-v1</t>
        </is>
      </c>
      <c r="BD24" s="24" t="inlineStr">
        <is>
          <t>82612f1b27d5065af8d70fd6669509ff00dc1c7e3a91bb423192bf3b0a9736ce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unknown</t>
        </is>
      </c>
      <c r="BH24" s="24" t="inlineStr">
        <is>
          <t>2026-07-21T08:30:08.334204Z</t>
        </is>
      </c>
      <c r="BI24" s="24" t="inlineStr">
        <is>
          <t>["same_event","same_team_same_day","same_league_same_day"]</t>
        </is>
      </c>
      <c r="BJ24" s="25" t="n"/>
      <c r="BK24" s="26" t="n">
        <v>-186</v>
      </c>
      <c r="BL24" s="27" t="n">
        <v>1.537634</v>
      </c>
      <c r="BM24" s="28" t="n">
        <v>0.65035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</row>
    <row r="25" ht="36" customHeight="1">
      <c r="A25" s="24" t="inlineStr">
        <is>
          <t>8cb5922c7860424f</t>
        </is>
      </c>
      <c r="B25" s="24" t="inlineStr">
        <is>
          <t>2026-07-21T08:30:07.926214Z</t>
        </is>
      </c>
      <c r="C25" s="24" t="inlineStr">
        <is>
          <t>2026-07-21T16:00:00Z</t>
        </is>
      </c>
      <c r="D25" s="24" t="inlineStr">
        <is>
          <t>56853</t>
        </is>
      </c>
      <c r="E25" s="24" t="inlineStr">
        <is>
          <t>LOL</t>
        </is>
      </c>
      <c r="F25" s="24" t="inlineStr">
        <is>
          <t>Ici Japon Corp. Esport</t>
        </is>
      </c>
      <c r="G25" s="24" t="inlineStr">
        <is>
          <t>TLN Pirates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0.615103</v>
      </c>
      <c r="P25" s="28" t="n"/>
      <c r="Q25" s="28" t="n">
        <v>0.024939</v>
      </c>
      <c r="R25" s="26" t="n">
        <v>60</v>
      </c>
      <c r="S25" s="29" t="n">
        <v>2</v>
      </c>
      <c r="T25" s="24" t="inlineStr">
        <is>
          <t>lol-tiered-elo-v3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-2</v>
      </c>
      <c r="AD25" s="24" t="inlineStr">
        <is>
          <t>2026-07-22T00:57:04.641649Z</t>
        </is>
      </c>
      <c r="AE25" s="31" t="inlineStr">
        <is>
          <t>Neutral Elo baseline; executable ask 0.5900 (aec-lol-tlnp-ijc-2026-07-21).</t>
        </is>
      </c>
      <c r="AF25" s="31" t="inlineStr">
        <is>
          <t>Research baseline; zero-unit shadow until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Ici Japon Corp. Esport</t>
        </is>
      </c>
      <c r="AQ25" s="24" t="inlineStr">
        <is>
          <t>Ici Japon Corp. Esport</t>
        </is>
      </c>
      <c r="AR25" s="24" t="inlineStr">
        <is>
          <t>Ici Japon Corp. Esport</t>
        </is>
      </c>
      <c r="AS25" s="24" t="inlineStr">
        <is>
          <t>TLN Pirates</t>
        </is>
      </c>
      <c r="AT25" s="24" t="inlineStr">
        <is>
          <t>TLN Pirates</t>
        </is>
      </c>
      <c r="AU25" s="24" t="inlineStr">
        <is>
          <t>TLN Pirates</t>
        </is>
      </c>
      <c r="AV25" s="24" t="n"/>
      <c r="AW25" s="24" t="n"/>
      <c r="AX25" s="24" t="inlineStr">
        <is>
          <t>research_observation</t>
        </is>
      </c>
      <c r="AY25" s="24" t="n"/>
      <c r="AZ25" s="24" t="inlineStr">
        <is>
          <t>shadow_qualified</t>
        </is>
      </c>
      <c r="BA25" s="24" t="inlineStr">
        <is>
          <t>e0cd9cffa8d11f894fd13b69be474bf2e4371b29db5e62888aec7b8f44f78946</t>
        </is>
      </c>
      <c r="BB25" s="24" t="inlineStr">
        <is>
          <t>neutral_elo</t>
        </is>
      </c>
      <c r="BC25" s="24" t="inlineStr">
        <is>
          <t>lol-neutral-series-elo-v1</t>
        </is>
      </c>
      <c r="BD25" s="24" t="inlineStr">
        <is>
          <t>82612f1b27d5065af8d70fd6669509ff00dc1c7e3a91bb423192bf3b0a9736ce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unknown</t>
        </is>
      </c>
      <c r="BH25" s="24" t="inlineStr">
        <is>
          <t>2026-07-21T08:30:07.926214Z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</row>
    <row r="26" ht="36" customHeight="1">
      <c r="A26" s="24" t="inlineStr">
        <is>
          <t>ae3d2668608949f1</t>
        </is>
      </c>
      <c r="B26" s="24" t="inlineStr">
        <is>
          <t>2026-07-21T08:30:07.516232Z</t>
        </is>
      </c>
      <c r="C26" s="24" t="inlineStr">
        <is>
          <t>2026-07-21T11:30:00Z</t>
        </is>
      </c>
      <c r="D26" s="24" t="inlineStr">
        <is>
          <t>54961</t>
        </is>
      </c>
      <c r="E26" s="24" t="inlineStr">
        <is>
          <t>LOL</t>
        </is>
      </c>
      <c r="F26" s="24" t="inlineStr">
        <is>
          <t>DN SOOPers</t>
        </is>
      </c>
      <c r="G26" s="24" t="inlineStr">
        <is>
          <t>Hanwha Life Esports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194</v>
      </c>
      <c r="M26" s="27" t="n">
        <v>2.94</v>
      </c>
      <c r="N26" s="28" t="n">
        <v>0.340136</v>
      </c>
      <c r="O26" s="28" t="n">
        <v>0.958215</v>
      </c>
      <c r="P26" s="28" t="n"/>
      <c r="Q26" s="28" t="n">
        <v>0.618079</v>
      </c>
      <c r="R26" s="26" t="n">
        <v>100</v>
      </c>
      <c r="S26" s="29" t="n">
        <v>2</v>
      </c>
      <c r="T26" s="24" t="inlineStr">
        <is>
          <t>lol-tiered-elo-v3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-2</v>
      </c>
      <c r="AD26" s="24" t="inlineStr">
        <is>
          <t>2026-07-21T16:22:59.458123Z</t>
        </is>
      </c>
      <c r="AE26" s="31" t="inlineStr">
        <is>
          <t>Neutral Elo baseline; executable ask 0.3400 (aec-lol-hle-dns-2026-07-21).</t>
        </is>
      </c>
      <c r="AF26" s="31" t="inlineStr">
        <is>
          <t>Research baseline; zero-unit shadow until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DN SOOPers</t>
        </is>
      </c>
      <c r="AQ26" s="24" t="inlineStr">
        <is>
          <t>DN SOOPers</t>
        </is>
      </c>
      <c r="AR26" s="24" t="inlineStr">
        <is>
          <t>DN SOOPers</t>
        </is>
      </c>
      <c r="AS26" s="24" t="inlineStr">
        <is>
          <t>Hanwha Life Esports</t>
        </is>
      </c>
      <c r="AT26" s="24" t="inlineStr">
        <is>
          <t>Hanwha Life Esports</t>
        </is>
      </c>
      <c r="AU26" s="24" t="inlineStr">
        <is>
          <t>Hanwha Life Esports</t>
        </is>
      </c>
      <c r="AV26" s="24" t="n"/>
      <c r="AW26" s="24" t="n"/>
      <c r="AX26" s="24" t="inlineStr">
        <is>
          <t>research_observation</t>
        </is>
      </c>
      <c r="AY26" s="24" t="n"/>
      <c r="AZ26" s="24" t="inlineStr">
        <is>
          <t>shadow_qualified</t>
        </is>
      </c>
      <c r="BA26" s="24" t="inlineStr">
        <is>
          <t>e0cd9cffa8d11f894fd13b69be474bf2e4371b29db5e62888aec7b8f44f78946</t>
        </is>
      </c>
      <c r="BB26" s="24" t="inlineStr">
        <is>
          <t>neutral_elo</t>
        </is>
      </c>
      <c r="BC26" s="24" t="inlineStr">
        <is>
          <t>lol-neutral-series-elo-v1</t>
        </is>
      </c>
      <c r="BD26" s="24" t="inlineStr">
        <is>
          <t>82612f1b27d5065af8d70fd6669509ff00dc1c7e3a91bb423192bf3b0a9736ce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unknown</t>
        </is>
      </c>
      <c r="BH26" s="24" t="inlineStr">
        <is>
          <t>2026-07-21T08:30:07.516232Z</t>
        </is>
      </c>
      <c r="BI26" s="24" t="inlineStr">
        <is>
          <t>["same_event","same_team_same_day","same_league_same_day"]</t>
        </is>
      </c>
      <c r="BJ26" s="25" t="n"/>
      <c r="BK26" s="26" t="n">
        <v>194</v>
      </c>
      <c r="BL26" s="27" t="n">
        <v>2.94</v>
      </c>
      <c r="BM26" s="28" t="n">
        <v>0.340136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</row>
    <row r="27" ht="36" customHeight="1">
      <c r="A27" s="24" t="inlineStr">
        <is>
          <t>a5e22a03019c4082</t>
        </is>
      </c>
      <c r="B27" s="24" t="inlineStr">
        <is>
          <t>2026-07-21T08:30:07.112719Z</t>
        </is>
      </c>
      <c r="C27" s="24" t="inlineStr">
        <is>
          <t>2026-07-21T10:45:00Z</t>
        </is>
      </c>
      <c r="D27" s="24" t="inlineStr">
        <is>
          <t>54950</t>
        </is>
      </c>
      <c r="E27" s="24" t="inlineStr">
        <is>
          <t>LOL</t>
        </is>
      </c>
      <c r="F27" s="24" t="inlineStr">
        <is>
          <t>Kiwoom DRX</t>
        </is>
      </c>
      <c r="G27" s="24" t="inlineStr">
        <is>
          <t>T1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144</v>
      </c>
      <c r="M27" s="27" t="n">
        <v>2.44</v>
      </c>
      <c r="N27" s="28" t="n">
        <v>0.409836</v>
      </c>
      <c r="O27" s="28" t="n">
        <v>0.933732</v>
      </c>
      <c r="P27" s="28" t="n"/>
      <c r="Q27" s="28" t="n">
        <v>0.523896</v>
      </c>
      <c r="R27" s="26" t="n">
        <v>100</v>
      </c>
      <c r="S27" s="29" t="n">
        <v>2</v>
      </c>
      <c r="T27" s="24" t="inlineStr">
        <is>
          <t>lol-tiered-elo-v3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2.88</v>
      </c>
      <c r="AD27" s="24" t="inlineStr">
        <is>
          <t>2026-07-21T16:22:57.422620Z</t>
        </is>
      </c>
      <c r="AE27" s="31" t="inlineStr">
        <is>
          <t>Neutral Elo baseline; executable ask 0.4100 (aec-lol-t1-krx-2026-07-21).</t>
        </is>
      </c>
      <c r="AF27" s="31" t="inlineStr">
        <is>
          <t>Research baseline; zero-unit shadow until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Kiwoom DRX</t>
        </is>
      </c>
      <c r="AQ27" s="24" t="inlineStr">
        <is>
          <t>Kiwoom DRX</t>
        </is>
      </c>
      <c r="AR27" s="24" t="inlineStr">
        <is>
          <t>Kiwoom DRX</t>
        </is>
      </c>
      <c r="AS27" s="24" t="inlineStr">
        <is>
          <t>T1</t>
        </is>
      </c>
      <c r="AT27" s="24" t="inlineStr">
        <is>
          <t>T1</t>
        </is>
      </c>
      <c r="AU27" s="24" t="inlineStr">
        <is>
          <t>T1</t>
        </is>
      </c>
      <c r="AV27" s="24" t="n"/>
      <c r="AW27" s="24" t="n"/>
      <c r="AX27" s="24" t="inlineStr">
        <is>
          <t>research_observation</t>
        </is>
      </c>
      <c r="AY27" s="24" t="n"/>
      <c r="AZ27" s="24" t="inlineStr">
        <is>
          <t>shadow_qualified</t>
        </is>
      </c>
      <c r="BA27" s="24" t="inlineStr">
        <is>
          <t>e0cd9cffa8d11f894fd13b69be474bf2e4371b29db5e62888aec7b8f44f78946</t>
        </is>
      </c>
      <c r="BB27" s="24" t="inlineStr">
        <is>
          <t>neutral_elo</t>
        </is>
      </c>
      <c r="BC27" s="24" t="inlineStr">
        <is>
          <t>lol-neutral-series-elo-v1</t>
        </is>
      </c>
      <c r="BD27" s="24" t="inlineStr">
        <is>
          <t>82612f1b27d5065af8d70fd6669509ff00dc1c7e3a91bb423192bf3b0a9736ce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unknown</t>
        </is>
      </c>
      <c r="BH27" s="24" t="inlineStr">
        <is>
          <t>2026-07-21T08:30:07.112719Z</t>
        </is>
      </c>
      <c r="BI27" s="24" t="inlineStr">
        <is>
          <t>["same_event","same_team_same_day","same_league_same_day"]</t>
        </is>
      </c>
      <c r="BJ27" s="25" t="n"/>
      <c r="BK27" s="26" t="n">
        <v>144</v>
      </c>
      <c r="BL27" s="27" t="n">
        <v>2.44</v>
      </c>
      <c r="BM27" s="28" t="n">
        <v>0.409836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</row>
    <row r="28" ht="36" customHeight="1">
      <c r="A28" s="24" t="inlineStr">
        <is>
          <t>c4ffd820db69431c</t>
        </is>
      </c>
      <c r="B28" s="24" t="inlineStr">
        <is>
          <t>2026-07-21T08:28:27.770993Z</t>
        </is>
      </c>
      <c r="C28" s="24" t="inlineStr">
        <is>
          <t>2026-07-21T19:40:00-0400</t>
        </is>
      </c>
      <c r="D28" s="24" t="inlineStr">
        <is>
          <t>401816210</t>
        </is>
      </c>
      <c r="E28" s="24" t="inlineStr">
        <is>
          <t>MLB</t>
        </is>
      </c>
      <c r="F28" s="24" t="inlineStr">
        <is>
          <t>New York Mets</t>
        </is>
      </c>
      <c r="G28" s="24" t="inlineStr">
        <is>
          <t>Milwaukee Brewers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0.640995</v>
      </c>
      <c r="P28" s="28" t="n"/>
      <c r="Q28" s="28" t="n">
        <v>0.07018000000000001</v>
      </c>
      <c r="R28" s="26" t="n">
        <v>55</v>
      </c>
      <c r="S28" s="29" t="n">
        <v>2</v>
      </c>
      <c r="T28" s="24" t="inlineStr">
        <is>
          <t>mlb-elo-trend-lr-v5</t>
        </is>
      </c>
      <c r="U28" s="24" t="inlineStr">
        <is>
          <t>settled</t>
        </is>
      </c>
      <c r="V28" s="24" t="inlineStr">
        <is>
          <t>loss</t>
        </is>
      </c>
      <c r="W28" s="26" t="n">
        <v>4</v>
      </c>
      <c r="X28" s="26" t="n">
        <v>0</v>
      </c>
      <c r="Y28" s="25" t="n"/>
      <c r="Z28" s="26" t="n"/>
      <c r="AA28" s="28" t="n"/>
      <c r="AB28" s="28" t="n"/>
      <c r="AC28" s="30" t="n">
        <v>-2</v>
      </c>
      <c r="AD28" s="24" t="inlineStr">
        <is>
          <t>2026-07-22T02:39:32.011342Z</t>
        </is>
      </c>
      <c r="AE28" s="31" t="inlineStr">
        <is>
          <t>Learned LR call at threshold 0.5500; executable ask 0.5700 (aec-mlb-nym-mil-2026-07-21).</t>
        </is>
      </c>
      <c r="AF28" s="31" t="inlineStr">
        <is>
          <t>Learned model; promotion gate not yet open; zero-unit research until review.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mlb-nym</t>
        </is>
      </c>
      <c r="AQ28" s="24" t="inlineStr">
        <is>
          <t>New York Mets</t>
        </is>
      </c>
      <c r="AR28" s="24" t="inlineStr">
        <is>
          <t>New York Mets</t>
        </is>
      </c>
      <c r="AS28" s="24" t="inlineStr">
        <is>
          <t>mlb-mil</t>
        </is>
      </c>
      <c r="AT28" s="24" t="inlineStr">
        <is>
          <t>Milwaukee Brewers</t>
        </is>
      </c>
      <c r="AU28" s="24" t="inlineStr">
        <is>
          <t>Milwaukee Brewers</t>
        </is>
      </c>
      <c r="AV28" s="24" t="n"/>
      <c r="AW28" s="24" t="n"/>
      <c r="AX28" s="24" t="inlineStr">
        <is>
          <t>research_observation</t>
        </is>
      </c>
      <c r="AY28" s="24" t="n"/>
      <c r="AZ28" s="24" t="inlineStr">
        <is>
          <t>shadow_qualified</t>
        </is>
      </c>
      <c r="BA28" s="24" t="inlineStr">
        <is>
          <t>5224fb6ffbc9ddf8fa517627b830ac851192da94d241963d556945393a42bb9d</t>
        </is>
      </c>
      <c r="BB28" s="24" t="inlineStr">
        <is>
          <t>learned_lr</t>
        </is>
      </c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inlineStr">
        <is>
          <t>b3842f29fc9906ce</t>
        </is>
      </c>
      <c r="BF28" s="24" t="inlineStr">
        <is>
          <t>1</t>
        </is>
      </c>
      <c r="BG28" s="24" t="inlineStr">
        <is>
          <t>mlb-elo-trend-lr-v4</t>
        </is>
      </c>
      <c r="BH28" s="24" t="inlineStr">
        <is>
          <t>2026-07-21T08:27:49.015557Z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>
        <v>0.567164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</row>
    <row r="29" ht="36" customHeight="1">
      <c r="A29" s="24" t="inlineStr">
        <is>
          <t>1448d26963064074</t>
        </is>
      </c>
      <c r="B29" s="24" t="inlineStr">
        <is>
          <t>2026-07-20T16:51:29.251336Z</t>
        </is>
      </c>
      <c r="C29" s="24" t="inlineStr">
        <is>
          <t>2026-07-20T22:00:00-0400</t>
        </is>
      </c>
      <c r="D29" s="24" t="inlineStr">
        <is>
          <t>401857084</t>
        </is>
      </c>
      <c r="E29" s="24" t="inlineStr">
        <is>
          <t>WNBA</t>
        </is>
      </c>
      <c r="F29" s="24" t="inlineStr">
        <is>
          <t>Washington Mystics</t>
        </is>
      </c>
      <c r="G29" s="24" t="inlineStr">
        <is>
          <t>Golden State Valkyries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-317</v>
      </c>
      <c r="M29" s="27" t="n">
        <v>1.315457</v>
      </c>
      <c r="N29" s="28" t="n">
        <v>0.760192</v>
      </c>
      <c r="O29" s="28" t="n">
        <v>0.750463</v>
      </c>
      <c r="P29" s="28" t="n"/>
      <c r="Q29" s="28" t="n">
        <v>-0.009729</v>
      </c>
      <c r="R29" s="26" t="n">
        <v>15</v>
      </c>
      <c r="S29" s="29" t="n">
        <v>2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loss</t>
        </is>
      </c>
      <c r="W29" s="26" t="n">
        <v>90</v>
      </c>
      <c r="X29" s="26" t="n">
        <v>82</v>
      </c>
      <c r="Y29" s="25" t="n"/>
      <c r="Z29" s="26" t="n"/>
      <c r="AA29" s="28" t="n"/>
      <c r="AB29" s="28" t="n"/>
      <c r="AC29" s="30" t="n">
        <v>-2</v>
      </c>
      <c r="AD29" s="24" t="inlineStr">
        <is>
          <t>2026-07-21T04:41:14.522877Z</t>
        </is>
      </c>
      <c r="AE29" s="31" t="inlineStr">
        <is>
          <t>Learned LR call at threshold 0.5051; executable ask 0.7600 (aec-wnba-wsh-gsv-2026-07-20).</t>
        </is>
      </c>
      <c r="AF29" s="31" t="inlineStr">
        <is>
          <t>Learned model; promotion gate not yet open; zero-unit research until review.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wnba-was</t>
        </is>
      </c>
      <c r="AQ29" s="24" t="inlineStr">
        <is>
          <t>Washington Mystics</t>
        </is>
      </c>
      <c r="AR29" s="24" t="inlineStr">
        <is>
          <t>Washington Mystics</t>
        </is>
      </c>
      <c r="AS29" s="24" t="inlineStr">
        <is>
          <t>wnba-gsv</t>
        </is>
      </c>
      <c r="AT29" s="24" t="inlineStr">
        <is>
          <t>Golden State Valkyries</t>
        </is>
      </c>
      <c r="AU29" s="24" t="inlineStr">
        <is>
          <t>Golden State Valkyries</t>
        </is>
      </c>
      <c r="AV29" s="24" t="n"/>
      <c r="AW29" s="24" t="n"/>
      <c r="AX29" s="24" t="inlineStr">
        <is>
          <t>research_observation</t>
        </is>
      </c>
      <c r="AY29" s="24" t="n"/>
      <c r="AZ29" s="24" t="inlineStr">
        <is>
          <t>shadow_qualified</t>
        </is>
      </c>
      <c r="BA29" s="24" t="inlineStr">
        <is>
          <t>43ee2f84f025c10f83f80a8c22d49c35c420734a8a730b5f272287225cceee4b</t>
        </is>
      </c>
      <c r="BB29" s="24" t="inlineStr">
        <is>
          <t>learned_lr</t>
        </is>
      </c>
      <c r="BC29" s="24" t="inlineStr">
        <is>
          <t>wnba-elo-trend-lr-v3</t>
        </is>
      </c>
      <c r="BD29" s="24" t="inlineStr">
        <is>
          <t>43ee2f84f025c10f83f80a8c22d49c35c420734a8a730b5f272287225cceee4b</t>
        </is>
      </c>
      <c r="BE29" s="24" t="inlineStr">
        <is>
          <t>a82314f65618b567</t>
        </is>
      </c>
      <c r="BF29" s="24" t="inlineStr">
        <is>
          <t>1</t>
        </is>
      </c>
      <c r="BG29" s="24" t="inlineStr">
        <is>
          <t>wnba-elo-trend-lr-v3</t>
        </is>
      </c>
      <c r="BH29" s="24" t="inlineStr">
        <is>
          <t>2026-07-20T16:50:08.487466Z</t>
        </is>
      </c>
      <c r="BI29" s="24" t="inlineStr">
        <is>
          <t>["same_event","same_team_same_day","same_league_same_day"]</t>
        </is>
      </c>
      <c r="BJ29" s="25" t="n"/>
      <c r="BK29" s="26" t="n">
        <v>-317</v>
      </c>
      <c r="BL29" s="27" t="n">
        <v>1.315457</v>
      </c>
      <c r="BM29" s="28" t="n">
        <v>0.760192</v>
      </c>
      <c r="BN29" s="28" t="n">
        <v>0.752475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</row>
    <row r="30" ht="36" customHeight="1">
      <c r="A30" s="24" t="inlineStr">
        <is>
          <t>bad6de5495784c26</t>
        </is>
      </c>
      <c r="B30" s="24" t="inlineStr">
        <is>
          <t>2026-07-20T16:51:29.251336Z</t>
        </is>
      </c>
      <c r="C30" s="24" t="inlineStr">
        <is>
          <t>2026-07-20T20:00:00-0400</t>
        </is>
      </c>
      <c r="D30" s="24" t="inlineStr">
        <is>
          <t>401892393</t>
        </is>
      </c>
      <c r="E30" s="24" t="inlineStr">
        <is>
          <t>WNBA</t>
        </is>
      </c>
      <c r="F30" s="24" t="inlineStr">
        <is>
          <t>New York Liberty</t>
        </is>
      </c>
      <c r="G30" s="24" t="inlineStr">
        <is>
          <t>Dallas Wings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150</v>
      </c>
      <c r="M30" s="27" t="n">
        <v>2.5</v>
      </c>
      <c r="N30" s="28" t="n">
        <v>0.4</v>
      </c>
      <c r="O30" s="28" t="n">
        <v>0.751217</v>
      </c>
      <c r="P30" s="28" t="n"/>
      <c r="Q30" s="28" t="n">
        <v>0.351217</v>
      </c>
      <c r="R30" s="26" t="n">
        <v>100</v>
      </c>
      <c r="S30" s="29" t="n">
        <v>2</v>
      </c>
      <c r="T30" s="24" t="inlineStr">
        <is>
          <t>wnba-elo-trend-lr-v4</t>
        </is>
      </c>
      <c r="U30" s="24" t="inlineStr">
        <is>
          <t>settled</t>
        </is>
      </c>
      <c r="V30" s="24" t="inlineStr">
        <is>
          <t>loss</t>
        </is>
      </c>
      <c r="W30" s="26" t="n">
        <v>99</v>
      </c>
      <c r="X30" s="26" t="n">
        <v>98</v>
      </c>
      <c r="Y30" s="25" t="n"/>
      <c r="Z30" s="26" t="n"/>
      <c r="AA30" s="28" t="n"/>
      <c r="AB30" s="28" t="n"/>
      <c r="AC30" s="30" t="n">
        <v>-2</v>
      </c>
      <c r="AD30" s="24" t="inlineStr">
        <is>
          <t>2026-07-21T03:23:03.319616Z</t>
        </is>
      </c>
      <c r="AE30" s="31" t="inlineStr">
        <is>
          <t>Learned LR call at threshold 0.5051; executable ask 0.4000 (aec-wnba-ny-dal-2026-07-20).</t>
        </is>
      </c>
      <c r="AF30" s="31" t="inlineStr">
        <is>
          <t>Learned model; promotion gate not yet open; zero-unit research until review.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NO_CALL_LARGE_DISAGREEMENT_REVIEW</t>
        </is>
      </c>
      <c r="AP30" s="24" t="inlineStr">
        <is>
          <t>wnba-nyl</t>
        </is>
      </c>
      <c r="AQ30" s="24" t="inlineStr">
        <is>
          <t>New York Liberty</t>
        </is>
      </c>
      <c r="AR30" s="24" t="inlineStr">
        <is>
          <t>New York Liberty</t>
        </is>
      </c>
      <c r="AS30" s="24" t="inlineStr">
        <is>
          <t>wnba-dal</t>
        </is>
      </c>
      <c r="AT30" s="24" t="inlineStr">
        <is>
          <t>Dallas Wings</t>
        </is>
      </c>
      <c r="AU30" s="24" t="inlineStr">
        <is>
          <t>Dallas Wings</t>
        </is>
      </c>
      <c r="AV30" s="24" t="n"/>
      <c r="AW30" s="24" t="n"/>
      <c r="AX30" s="24" t="inlineStr">
        <is>
          <t>research_observation</t>
        </is>
      </c>
      <c r="AY30" s="24" t="n"/>
      <c r="AZ30" s="24" t="inlineStr">
        <is>
          <t>shadow_qualified</t>
        </is>
      </c>
      <c r="BA30" s="24" t="inlineStr">
        <is>
          <t>43ee2f84f025c10f83f80a8c22d49c35c420734a8a730b5f272287225cceee4b</t>
        </is>
      </c>
      <c r="BB30" s="24" t="inlineStr">
        <is>
          <t>learned_lr</t>
        </is>
      </c>
      <c r="BC30" s="24" t="inlineStr">
        <is>
          <t>wnba-elo-trend-lr-v3</t>
        </is>
      </c>
      <c r="BD30" s="24" t="inlineStr">
        <is>
          <t>43ee2f84f025c10f83f80a8c22d49c35c420734a8a730b5f272287225cceee4b</t>
        </is>
      </c>
      <c r="BE30" s="24" t="inlineStr">
        <is>
          <t>3b474aa853a60d81</t>
        </is>
      </c>
      <c r="BF30" s="24" t="inlineStr">
        <is>
          <t>1</t>
        </is>
      </c>
      <c r="BG30" s="24" t="inlineStr">
        <is>
          <t>wnba-elo-trend-lr-v3</t>
        </is>
      </c>
      <c r="BH30" s="24" t="inlineStr">
        <is>
          <t>2026-07-20T16:50:05.640054Z</t>
        </is>
      </c>
      <c r="BI30" s="24" t="inlineStr">
        <is>
          <t>["same_event","same_team_same_day","same_league_same_day"]</t>
        </is>
      </c>
      <c r="BJ30" s="25" t="n"/>
      <c r="BK30" s="26" t="n">
        <v>150</v>
      </c>
      <c r="BL30" s="27" t="n">
        <v>2.5</v>
      </c>
      <c r="BM30" s="28" t="n">
        <v>0.4</v>
      </c>
      <c r="BN30" s="28" t="n">
        <v>0.39604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</row>
    <row r="31" ht="36" customHeight="1">
      <c r="A31" s="24" t="inlineStr">
        <is>
          <t>8e32ac1402eb48d9</t>
        </is>
      </c>
      <c r="B31" s="24" t="inlineStr">
        <is>
          <t>2026-07-20T16:51:29.251336Z</t>
        </is>
      </c>
      <c r="C31" s="24" t="inlineStr">
        <is>
          <t>2026-07-20T20:00:00-0400</t>
        </is>
      </c>
      <c r="D31" s="24" t="inlineStr">
        <is>
          <t>401857083</t>
        </is>
      </c>
      <c r="E31" s="24" t="inlineStr">
        <is>
          <t>WNBA</t>
        </is>
      </c>
      <c r="F31" s="24" t="inlineStr">
        <is>
          <t>Las Vegas Aces</t>
        </is>
      </c>
      <c r="G31" s="24" t="inlineStr">
        <is>
          <t>Toronto Tempo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-488</v>
      </c>
      <c r="M31" s="27" t="n">
        <v>1.204918</v>
      </c>
      <c r="N31" s="28" t="n">
        <v>0.829932</v>
      </c>
      <c r="O31" s="28" t="n">
        <v>0.6572210000000001</v>
      </c>
      <c r="P31" s="28" t="n"/>
      <c r="Q31" s="28" t="n">
        <v>-0.172711</v>
      </c>
      <c r="R31" s="26" t="n">
        <v>0</v>
      </c>
      <c r="S31" s="29" t="n">
        <v>2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109</v>
      </c>
      <c r="X31" s="26" t="n">
        <v>83</v>
      </c>
      <c r="Y31" s="25" t="n"/>
      <c r="Z31" s="26" t="n"/>
      <c r="AA31" s="28" t="n"/>
      <c r="AB31" s="28" t="n"/>
      <c r="AC31" s="30" t="n">
        <v>0.4098</v>
      </c>
      <c r="AD31" s="24" t="inlineStr">
        <is>
          <t>2026-07-21T03:23:02.722081Z</t>
        </is>
      </c>
      <c r="AE31" s="31" t="inlineStr">
        <is>
          <t>Learned LR call at threshold 0.5051; executable ask 0.8300 (aec-wnba-lv-tor-2026-07-20).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NO_CALL_LARGE_DISAGREEMENT_REVIEW</t>
        </is>
      </c>
      <c r="AP31" s="24" t="inlineStr">
        <is>
          <t>wnba-lva</t>
        </is>
      </c>
      <c r="AQ31" s="24" t="inlineStr">
        <is>
          <t>Las Vegas Aces</t>
        </is>
      </c>
      <c r="AR31" s="24" t="inlineStr">
        <is>
          <t>Las Vegas Aces</t>
        </is>
      </c>
      <c r="AS31" s="24" t="inlineStr">
        <is>
          <t>wnba-tor</t>
        </is>
      </c>
      <c r="AT31" s="24" t="inlineStr">
        <is>
          <t>Toronto Tempo</t>
        </is>
      </c>
      <c r="AU31" s="24" t="inlineStr">
        <is>
          <t>Toronto Tempo</t>
        </is>
      </c>
      <c r="AV31" s="24" t="n"/>
      <c r="AW31" s="24" t="n"/>
      <c r="AX31" s="24" t="inlineStr">
        <is>
          <t>research_observation</t>
        </is>
      </c>
      <c r="AY31" s="24" t="n"/>
      <c r="AZ31" s="24" t="inlineStr">
        <is>
          <t>shadow_qualified</t>
        </is>
      </c>
      <c r="BA31" s="24" t="inlineStr">
        <is>
          <t>43ee2f84f025c10f83f80a8c22d49c35c420734a8a730b5f272287225cceee4b</t>
        </is>
      </c>
      <c r="BB31" s="24" t="inlineStr">
        <is>
          <t>learned_lr</t>
        </is>
      </c>
      <c r="BC31" s="24" t="inlineStr">
        <is>
          <t>wnba-elo-trend-lr-v3</t>
        </is>
      </c>
      <c r="BD31" s="24" t="inlineStr">
        <is>
          <t>43ee2f84f025c10f83f80a8c22d49c35c420734a8a730b5f272287225cceee4b</t>
        </is>
      </c>
      <c r="BE31" s="24" t="inlineStr">
        <is>
          <t>32740a9f4976946d</t>
        </is>
      </c>
      <c r="BF31" s="24" t="inlineStr">
        <is>
          <t>1</t>
        </is>
      </c>
      <c r="BG31" s="24" t="inlineStr">
        <is>
          <t>wnba-elo-trend-lr-v3</t>
        </is>
      </c>
      <c r="BH31" s="24" t="inlineStr">
        <is>
          <t>2026-07-20T16:50:03.139284Z</t>
        </is>
      </c>
      <c r="BI31" s="24" t="inlineStr">
        <is>
          <t>["same_event","same_team_same_day","same_league_same_day"]</t>
        </is>
      </c>
      <c r="BJ31" s="25" t="n"/>
      <c r="BK31" s="26" t="n">
        <v>-488</v>
      </c>
      <c r="BL31" s="27" t="n">
        <v>1.204918</v>
      </c>
      <c r="BM31" s="28" t="n">
        <v>0.829932</v>
      </c>
      <c r="BN31" s="28" t="n">
        <v>0.821782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</row>
    <row r="32" ht="36" customHeight="1">
      <c r="A32" s="24" t="inlineStr">
        <is>
          <t>88b26afefe2f4e23</t>
        </is>
      </c>
      <c r="B32" s="24" t="inlineStr">
        <is>
          <t>2026-07-20T16:51:29.251336Z</t>
        </is>
      </c>
      <c r="C32" s="24" t="inlineStr">
        <is>
          <t>2026-07-20T22:00:00-0400</t>
        </is>
      </c>
      <c r="D32" s="24" t="inlineStr">
        <is>
          <t>401857085</t>
        </is>
      </c>
      <c r="E32" s="24" t="inlineStr">
        <is>
          <t>WNBA</t>
        </is>
      </c>
      <c r="F32" s="24" t="inlineStr">
        <is>
          <t>Minnesota Lynx</t>
        </is>
      </c>
      <c r="G32" s="24" t="inlineStr">
        <is>
          <t>Seattle Storm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-426</v>
      </c>
      <c r="M32" s="27" t="n">
        <v>1.234742</v>
      </c>
      <c r="N32" s="28" t="n">
        <v>0.809886</v>
      </c>
      <c r="O32" s="28" t="n">
        <v>0.738843</v>
      </c>
      <c r="P32" s="28" t="n"/>
      <c r="Q32" s="28" t="n">
        <v>-0.071043</v>
      </c>
      <c r="R32" s="26" t="n">
        <v>0</v>
      </c>
      <c r="S32" s="29" t="n">
        <v>2</v>
      </c>
      <c r="T32" s="24" t="inlineStr">
        <is>
          <t>wnba-elo-trend-lr-v4</t>
        </is>
      </c>
      <c r="U32" s="24" t="inlineStr">
        <is>
          <t>settled</t>
        </is>
      </c>
      <c r="V32" s="24" t="inlineStr">
        <is>
          <t>win</t>
        </is>
      </c>
      <c r="W32" s="26" t="n">
        <v>105</v>
      </c>
      <c r="X32" s="26" t="n">
        <v>102</v>
      </c>
      <c r="Y32" s="25" t="n"/>
      <c r="Z32" s="26" t="n"/>
      <c r="AA32" s="28" t="n"/>
      <c r="AB32" s="28" t="n"/>
      <c r="AC32" s="30" t="n">
        <v>0.4695</v>
      </c>
      <c r="AD32" s="24" t="inlineStr">
        <is>
          <t>2026-07-21T04:41:15.120452Z</t>
        </is>
      </c>
      <c r="AE32" s="31" t="inlineStr">
        <is>
          <t>Learned LR call at threshold 0.5051; executable ask 0.8100 (aec-wnba-min-sea-2026-07-20).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wnba-min</t>
        </is>
      </c>
      <c r="AQ32" s="24" t="inlineStr">
        <is>
          <t>Minnesota Lynx</t>
        </is>
      </c>
      <c r="AR32" s="24" t="inlineStr">
        <is>
          <t>Minnesota Lynx</t>
        </is>
      </c>
      <c r="AS32" s="24" t="inlineStr">
        <is>
          <t>wnba-sea</t>
        </is>
      </c>
      <c r="AT32" s="24" t="inlineStr">
        <is>
          <t>Seattle Storm</t>
        </is>
      </c>
      <c r="AU32" s="24" t="inlineStr">
        <is>
          <t>Seattle Storm</t>
        </is>
      </c>
      <c r="AV32" s="24" t="n"/>
      <c r="AW32" s="24" t="n"/>
      <c r="AX32" s="24" t="inlineStr">
        <is>
          <t>research_observation</t>
        </is>
      </c>
      <c r="AY32" s="24" t="n"/>
      <c r="AZ32" s="24" t="inlineStr">
        <is>
          <t>shadow_qualified</t>
        </is>
      </c>
      <c r="BA32" s="24" t="inlineStr">
        <is>
          <t>43ee2f84f025c10f83f80a8c22d49c35c420734a8a730b5f272287225cceee4b</t>
        </is>
      </c>
      <c r="BB32" s="24" t="inlineStr">
        <is>
          <t>learned_lr</t>
        </is>
      </c>
      <c r="BC32" s="24" t="inlineStr">
        <is>
          <t>wnba-elo-trend-lr-v3</t>
        </is>
      </c>
      <c r="BD32" s="24" t="inlineStr">
        <is>
          <t>43ee2f84f025c10f83f80a8c22d49c35c420734a8a730b5f272287225cceee4b</t>
        </is>
      </c>
      <c r="BE32" s="24" t="inlineStr">
        <is>
          <t>c7928758cc04b6e5</t>
        </is>
      </c>
      <c r="BF32" s="24" t="inlineStr">
        <is>
          <t>1</t>
        </is>
      </c>
      <c r="BG32" s="24" t="inlineStr">
        <is>
          <t>wnba-elo-trend-lr-v3</t>
        </is>
      </c>
      <c r="BH32" s="24" t="inlineStr">
        <is>
          <t>2026-07-20T16:50:09.431257Z</t>
        </is>
      </c>
      <c r="BI32" s="24" t="inlineStr">
        <is>
          <t>["same_event","same_team_same_day","same_league_same_day"]</t>
        </is>
      </c>
      <c r="BJ32" s="25" t="n"/>
      <c r="BK32" s="26" t="n">
        <v>-426</v>
      </c>
      <c r="BL32" s="27" t="n">
        <v>1.234742</v>
      </c>
      <c r="BM32" s="28" t="n">
        <v>0.809886</v>
      </c>
      <c r="BN32" s="28" t="n">
        <v>0.80198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</row>
    <row r="33" ht="36" customHeight="1">
      <c r="A33" s="24" t="inlineStr">
        <is>
          <t>f81ea303cbeb49b7</t>
        </is>
      </c>
      <c r="B33" s="24" t="inlineStr">
        <is>
          <t>2026-07-20T16:51:22.921041Z</t>
        </is>
      </c>
      <c r="C33" s="24" t="inlineStr">
        <is>
          <t>2026-07-20T20:40:00-0400</t>
        </is>
      </c>
      <c r="D33" s="24" t="inlineStr">
        <is>
          <t>401816197</t>
        </is>
      </c>
      <c r="E33" s="24" t="inlineStr">
        <is>
          <t>MLB</t>
        </is>
      </c>
      <c r="F33" s="24" t="inlineStr">
        <is>
          <t>Washington Nationals</t>
        </is>
      </c>
      <c r="G33" s="24" t="inlineStr">
        <is>
          <t>Colorado Rockies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-117</v>
      </c>
      <c r="M33" s="27" t="n">
        <v>1.854701</v>
      </c>
      <c r="N33" s="28" t="n">
        <v>0.539171</v>
      </c>
      <c r="O33" s="28" t="n">
        <v>0.5563709999999999</v>
      </c>
      <c r="P33" s="28" t="n"/>
      <c r="Q33" s="28" t="n">
        <v>0.0172</v>
      </c>
      <c r="R33" s="26" t="n">
        <v>29</v>
      </c>
      <c r="S33" s="29" t="n">
        <v>1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win</t>
        </is>
      </c>
      <c r="W33" s="26" t="n">
        <v>7</v>
      </c>
      <c r="X33" s="26" t="n">
        <v>3</v>
      </c>
      <c r="Y33" s="25" t="n"/>
      <c r="Z33" s="26" t="n"/>
      <c r="AA33" s="28" t="n"/>
      <c r="AB33" s="28" t="n"/>
      <c r="AC33" s="30" t="n">
        <v>0.8547</v>
      </c>
      <c r="AD33" s="24" t="inlineStr">
        <is>
          <t>2026-07-21T03:23:01.741923Z</t>
        </is>
      </c>
      <c r="AE33" s="31" t="inlineStr">
        <is>
          <t>Learned LR call at threshold 0.5500; executable ask 0.5400 (aec-mlb-wsh-col-2026-07-20).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mlb-wsh</t>
        </is>
      </c>
      <c r="AQ33" s="24" t="inlineStr">
        <is>
          <t>Washington Nationals</t>
        </is>
      </c>
      <c r="AR33" s="24" t="inlineStr">
        <is>
          <t>Washington Nationals</t>
        </is>
      </c>
      <c r="AS33" s="24" t="inlineStr">
        <is>
          <t>mlb-col</t>
        </is>
      </c>
      <c r="AT33" s="24" t="inlineStr">
        <is>
          <t>Colorado Rockies</t>
        </is>
      </c>
      <c r="AU33" s="24" t="inlineStr">
        <is>
          <t>Colorado Rockies</t>
        </is>
      </c>
      <c r="AV33" s="24" t="n"/>
      <c r="AW33" s="24" t="n"/>
      <c r="AX33" s="24" t="inlineStr">
        <is>
          <t>research_observation</t>
        </is>
      </c>
      <c r="AY33" s="24" t="n"/>
      <c r="AZ33" s="24" t="inlineStr">
        <is>
          <t>shadow_qualified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a2f336c1cee8c92e</t>
        </is>
      </c>
      <c r="BF33" s="24" t="inlineStr">
        <is>
          <t>1</t>
        </is>
      </c>
      <c r="BG33" s="24" t="inlineStr">
        <is>
          <t>mlb-elo-trend-lr-v4</t>
        </is>
      </c>
      <c r="BH33" s="24" t="inlineStr">
        <is>
          <t>2026-07-20T16:49:57.889100Z</t>
        </is>
      </c>
      <c r="BI33" s="24" t="inlineStr">
        <is>
          <t>["same_event","same_team_same_day","same_league_same_day"]</t>
        </is>
      </c>
      <c r="BJ33" s="25" t="n"/>
      <c r="BK33" s="26" t="n">
        <v>-117</v>
      </c>
      <c r="BL33" s="27" t="n">
        <v>1.854701</v>
      </c>
      <c r="BM33" s="28" t="n">
        <v>0.539171</v>
      </c>
      <c r="BN33" s="28" t="n">
        <v>0.537313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</row>
    <row r="34" ht="36" customHeight="1">
      <c r="A34" s="24" t="inlineStr">
        <is>
          <t>72ce2bb793db4274</t>
        </is>
      </c>
      <c r="B34" s="24" t="inlineStr">
        <is>
          <t>2026-07-20T16:51:22.921041Z</t>
        </is>
      </c>
      <c r="C34" s="24" t="inlineStr">
        <is>
          <t>2026-07-20T20:10:00-0400</t>
        </is>
      </c>
      <c r="D34" s="24" t="inlineStr">
        <is>
          <t>401816194</t>
        </is>
      </c>
      <c r="E34" s="24" t="inlineStr">
        <is>
          <t>MLB</t>
        </is>
      </c>
      <c r="F34" s="24" t="inlineStr">
        <is>
          <t>Miami Marlins</t>
        </is>
      </c>
      <c r="G34" s="24" t="inlineStr">
        <is>
          <t>Houston Astros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-115</v>
      </c>
      <c r="M34" s="27" t="n">
        <v>1.869565</v>
      </c>
      <c r="N34" s="28" t="n">
        <v>0.534884</v>
      </c>
      <c r="O34" s="28" t="n">
        <v>0.512555</v>
      </c>
      <c r="P34" s="28" t="n"/>
      <c r="Q34" s="28" t="n">
        <v>-0.022329</v>
      </c>
      <c r="R34" s="26" t="n">
        <v>9</v>
      </c>
      <c r="S34" s="29" t="n">
        <v>0.75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8</v>
      </c>
      <c r="Y34" s="25" t="n"/>
      <c r="Z34" s="26" t="n"/>
      <c r="AA34" s="28" t="n"/>
      <c r="AB34" s="28" t="n"/>
      <c r="AC34" s="30" t="n">
        <v>0.6522</v>
      </c>
      <c r="AD34" s="24" t="inlineStr">
        <is>
          <t>2026-07-21T03:23:01.217645Z</t>
        </is>
      </c>
      <c r="AE34" s="31" t="inlineStr">
        <is>
          <t>Learned LR call at threshold 0.5500; executable ask 0.5350 (aec-mlb-mia-hou-2026-07-20).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mlb-mia</t>
        </is>
      </c>
      <c r="AQ34" s="24" t="inlineStr">
        <is>
          <t>Miami Marlins</t>
        </is>
      </c>
      <c r="AR34" s="24" t="inlineStr">
        <is>
          <t>Miami Marlins</t>
        </is>
      </c>
      <c r="AS34" s="24" t="inlineStr">
        <is>
          <t>mlb-hou</t>
        </is>
      </c>
      <c r="AT34" s="24" t="inlineStr">
        <is>
          <t>Houston Astros</t>
        </is>
      </c>
      <c r="AU34" s="24" t="inlineStr">
        <is>
          <t>Houston Astros</t>
        </is>
      </c>
      <c r="AV34" s="24" t="n"/>
      <c r="AW34" s="24" t="n"/>
      <c r="AX34" s="24" t="inlineStr">
        <is>
          <t>research_observation</t>
        </is>
      </c>
      <c r="AY34" s="24" t="n"/>
      <c r="AZ34" s="24" t="inlineStr">
        <is>
          <t>shadow_qualified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ba8ef6f8648f77b7</t>
        </is>
      </c>
      <c r="BF34" s="24" t="inlineStr">
        <is>
          <t>1</t>
        </is>
      </c>
      <c r="BG34" s="24" t="inlineStr">
        <is>
          <t>mlb-elo-trend-lr-v4</t>
        </is>
      </c>
      <c r="BH34" s="24" t="inlineStr">
        <is>
          <t>2026-07-20T16:49:57.999184Z</t>
        </is>
      </c>
      <c r="BI34" s="24" t="inlineStr">
        <is>
          <t>["same_event","same_team_same_day","same_league_same_day"]</t>
        </is>
      </c>
      <c r="BJ34" s="25" t="n"/>
      <c r="BK34" s="26" t="n">
        <v>-115</v>
      </c>
      <c r="BL34" s="27" t="n">
        <v>1.869565</v>
      </c>
      <c r="BM34" s="28" t="n">
        <v>0.534884</v>
      </c>
      <c r="BN34" s="28" t="n">
        <v>0.532338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</row>
    <row r="35" ht="36" customHeight="1">
      <c r="A35" s="24" t="inlineStr">
        <is>
          <t>7618df835a764a49</t>
        </is>
      </c>
      <c r="B35" s="24" t="inlineStr">
        <is>
          <t>2026-07-20T16:51:22.921041Z</t>
        </is>
      </c>
      <c r="C35" s="24" t="inlineStr">
        <is>
          <t>2026-07-20T20:05:00-0400</t>
        </is>
      </c>
      <c r="D35" s="24" t="inlineStr">
        <is>
          <t>401816193</t>
        </is>
      </c>
      <c r="E35" s="24" t="inlineStr">
        <is>
          <t>MLB</t>
        </is>
      </c>
      <c r="F35" s="24" t="inlineStr">
        <is>
          <t>Detroit Tigers</t>
        </is>
      </c>
      <c r="G35" s="24" t="inlineStr">
        <is>
          <t>Chicago Cubs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-106</v>
      </c>
      <c r="M35" s="27" t="n">
        <v>1.943396</v>
      </c>
      <c r="N35" s="28" t="n">
        <v>0.514563</v>
      </c>
      <c r="O35" s="28" t="n">
        <v>0.566967</v>
      </c>
      <c r="P35" s="28" t="n"/>
      <c r="Q35" s="28" t="n">
        <v>0.052404</v>
      </c>
      <c r="R35" s="26" t="n">
        <v>46</v>
      </c>
      <c r="S35" s="29" t="n">
        <v>1.25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8</v>
      </c>
      <c r="X35" s="26" t="n">
        <v>6</v>
      </c>
      <c r="Y35" s="25" t="n"/>
      <c r="Z35" s="26" t="n"/>
      <c r="AA35" s="28" t="n"/>
      <c r="AB35" s="28" t="n"/>
      <c r="AC35" s="30" t="n">
        <v>-1.25</v>
      </c>
      <c r="AD35" s="24" t="inlineStr">
        <is>
          <t>2026-07-21T04:41:13.078708Z</t>
        </is>
      </c>
      <c r="AE35" s="31" t="inlineStr">
        <is>
          <t>Learned LR call at threshold 0.5500; executable ask 0.5150 (aec-mlb-det-chc-2026-07-20).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mlb-det</t>
        </is>
      </c>
      <c r="AQ35" s="24" t="inlineStr">
        <is>
          <t>Detroit Tigers</t>
        </is>
      </c>
      <c r="AR35" s="24" t="inlineStr">
        <is>
          <t>Detroit Tigers</t>
        </is>
      </c>
      <c r="AS35" s="24" t="inlineStr">
        <is>
          <t>mlb-chc</t>
        </is>
      </c>
      <c r="AT35" s="24" t="inlineStr">
        <is>
          <t>Chicago Cubs</t>
        </is>
      </c>
      <c r="AU35" s="24" t="inlineStr">
        <is>
          <t>Chicago Cubs</t>
        </is>
      </c>
      <c r="AV35" s="24" t="n"/>
      <c r="AW35" s="24" t="n"/>
      <c r="AX35" s="24" t="inlineStr">
        <is>
          <t>research_observation</t>
        </is>
      </c>
      <c r="AY35" s="24" t="n"/>
      <c r="AZ35" s="24" t="inlineStr">
        <is>
          <t>shadow_qualified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b84afb2c70e14d93</t>
        </is>
      </c>
      <c r="BF35" s="24" t="inlineStr">
        <is>
          <t>1</t>
        </is>
      </c>
      <c r="BG35" s="24" t="inlineStr">
        <is>
          <t>mlb-elo-trend-lr-v4</t>
        </is>
      </c>
      <c r="BH35" s="24" t="inlineStr">
        <is>
          <t>2026-07-20T16:49:55.275935Z</t>
        </is>
      </c>
      <c r="BI35" s="24" t="inlineStr">
        <is>
          <t>["same_event","same_team_same_day","same_league_same_day"]</t>
        </is>
      </c>
      <c r="BJ35" s="25" t="n"/>
      <c r="BK35" s="26" t="n">
        <v>-106</v>
      </c>
      <c r="BL35" s="27" t="n">
        <v>1.943396</v>
      </c>
      <c r="BM35" s="28" t="n">
        <v>0.514563</v>
      </c>
      <c r="BN35" s="28" t="n">
        <v>0.5124379999999999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</row>
    <row r="36" ht="36" customHeight="1">
      <c r="A36" s="24" t="inlineStr">
        <is>
          <t>cb75d7c2e48146fd</t>
        </is>
      </c>
      <c r="B36" s="24" t="inlineStr">
        <is>
          <t>2026-07-20T16:51:22.921041Z</t>
        </is>
      </c>
      <c r="C36" s="24" t="inlineStr">
        <is>
          <t>2026-07-20T19:07:00-0400</t>
        </is>
      </c>
      <c r="D36" s="24" t="inlineStr">
        <is>
          <t>401816191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Toronto Blue Jays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-147</v>
      </c>
      <c r="M36" s="27" t="n">
        <v>1.680272</v>
      </c>
      <c r="N36" s="28" t="n">
        <v>0.5951419999999999</v>
      </c>
      <c r="O36" s="28" t="n">
        <v>0.530206</v>
      </c>
      <c r="P36" s="28" t="n"/>
      <c r="Q36" s="28" t="n">
        <v>-0.06493599999999999</v>
      </c>
      <c r="R36" s="26" t="n">
        <v>0</v>
      </c>
      <c r="S36" s="29" t="n">
        <v>0.75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loss</t>
        </is>
      </c>
      <c r="W36" s="26" t="n">
        <v>7</v>
      </c>
      <c r="X36" s="26" t="n">
        <v>1</v>
      </c>
      <c r="Y36" s="25" t="n"/>
      <c r="Z36" s="26" t="n"/>
      <c r="AA36" s="28" t="n"/>
      <c r="AB36" s="28" t="n"/>
      <c r="AC36" s="30" t="n">
        <v>-0.75</v>
      </c>
      <c r="AD36" s="24" t="inlineStr">
        <is>
          <t>2026-07-21T03:22:58.024771Z</t>
        </is>
      </c>
      <c r="AE36" s="31" t="inlineStr">
        <is>
          <t>Learned LR call at threshold 0.5500; executable ask 0.5950 (aec-mlb-tb-tor-2026-07-20).</t>
        </is>
      </c>
      <c r="AF36" s="31" t="inlineStr">
        <is>
          <t>Learned model; promotion gate not yet open; zero-unit research until review.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mlb-tb</t>
        </is>
      </c>
      <c r="AQ36" s="24" t="inlineStr">
        <is>
          <t>Tampa Bay Rays</t>
        </is>
      </c>
      <c r="AR36" s="24" t="inlineStr">
        <is>
          <t>Tampa Bay Rays</t>
        </is>
      </c>
      <c r="AS36" s="24" t="inlineStr">
        <is>
          <t>mlb-tor</t>
        </is>
      </c>
      <c r="AT36" s="24" t="inlineStr">
        <is>
          <t>Toronto Blue Jays</t>
        </is>
      </c>
      <c r="AU36" s="24" t="inlineStr">
        <is>
          <t>Toronto Blue Jays</t>
        </is>
      </c>
      <c r="AV36" s="24" t="n"/>
      <c r="AW36" s="24" t="n"/>
      <c r="AX36" s="24" t="inlineStr">
        <is>
          <t>research_observation</t>
        </is>
      </c>
      <c r="AY36" s="24" t="n"/>
      <c r="AZ36" s="24" t="inlineStr">
        <is>
          <t>shadow_qualified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78559912fe10ab9f</t>
        </is>
      </c>
      <c r="BF36" s="24" t="inlineStr">
        <is>
          <t>1</t>
        </is>
      </c>
      <c r="BG36" s="24" t="inlineStr">
        <is>
          <t>mlb-elo-trend-lr-v4</t>
        </is>
      </c>
      <c r="BH36" s="24" t="inlineStr">
        <is>
          <t>2026-07-20T16:49:46.297746Z</t>
        </is>
      </c>
      <c r="BI36" s="24" t="inlineStr">
        <is>
          <t>["same_event","same_team_same_day","same_league_same_day"]</t>
        </is>
      </c>
      <c r="BJ36" s="25" t="n"/>
      <c r="BK36" s="26" t="n">
        <v>-147</v>
      </c>
      <c r="BL36" s="27" t="n">
        <v>1.680272</v>
      </c>
      <c r="BM36" s="28" t="n">
        <v>0.5951419999999999</v>
      </c>
      <c r="BN36" s="28" t="n">
        <v>0.59204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</row>
    <row r="37" ht="36" customHeight="1">
      <c r="A37" s="24" t="inlineStr">
        <is>
          <t>6decd852a8dd4c0b</t>
        </is>
      </c>
      <c r="B37" s="24" t="inlineStr">
        <is>
          <t>2026-07-20T16:51:22.921041Z</t>
        </is>
      </c>
      <c r="C37" s="24" t="inlineStr">
        <is>
          <t>2026-07-20T18:40:00-0400</t>
        </is>
      </c>
      <c r="D37" s="24" t="inlineStr">
        <is>
          <t>401816188</t>
        </is>
      </c>
      <c r="E37" s="24" t="inlineStr">
        <is>
          <t>MLB</t>
        </is>
      </c>
      <c r="F37" s="24" t="inlineStr">
        <is>
          <t>Minnesota Twins</t>
        </is>
      </c>
      <c r="G37" s="24" t="inlineStr">
        <is>
          <t>Cleveland Guardians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115</v>
      </c>
      <c r="M37" s="27" t="n">
        <v>2.15</v>
      </c>
      <c r="N37" s="28" t="n">
        <v>0.465116</v>
      </c>
      <c r="O37" s="28" t="n">
        <v>0.5726869999999999</v>
      </c>
      <c r="P37" s="28" t="n"/>
      <c r="Q37" s="28" t="n">
        <v>0.107571</v>
      </c>
      <c r="R37" s="26" t="n">
        <v>100</v>
      </c>
      <c r="S37" s="29" t="n">
        <v>1.25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win</t>
        </is>
      </c>
      <c r="W37" s="26" t="n">
        <v>4</v>
      </c>
      <c r="X37" s="26" t="n">
        <v>13</v>
      </c>
      <c r="Y37" s="25" t="n"/>
      <c r="Z37" s="26" t="n"/>
      <c r="AA37" s="28" t="n"/>
      <c r="AB37" s="28" t="n"/>
      <c r="AC37" s="30" t="n">
        <v>1.4375</v>
      </c>
      <c r="AD37" s="24" t="inlineStr">
        <is>
          <t>2026-07-21T03:22:56.453059Z</t>
        </is>
      </c>
      <c r="AE37" s="31" t="inlineStr">
        <is>
          <t>Learned LR call at threshold 0.5500; executable ask 0.4650 (aec-mlb-min-cle-2026-07-20).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NO_CALL_LARGE_DISAGREEMENT_REVIEW</t>
        </is>
      </c>
      <c r="AP37" s="24" t="inlineStr">
        <is>
          <t>mlb-min</t>
        </is>
      </c>
      <c r="AQ37" s="24" t="inlineStr">
        <is>
          <t>Minnesota Twins</t>
        </is>
      </c>
      <c r="AR37" s="24" t="inlineStr">
        <is>
          <t>Minnesota Twins</t>
        </is>
      </c>
      <c r="AS37" s="24" t="inlineStr">
        <is>
          <t>mlb-cle</t>
        </is>
      </c>
      <c r="AT37" s="24" t="inlineStr">
        <is>
          <t>Cleveland Guardians</t>
        </is>
      </c>
      <c r="AU37" s="24" t="inlineStr">
        <is>
          <t>Cleveland Guardians</t>
        </is>
      </c>
      <c r="AV37" s="24" t="n"/>
      <c r="AW37" s="24" t="n"/>
      <c r="AX37" s="24" t="inlineStr">
        <is>
          <t>research_observation</t>
        </is>
      </c>
      <c r="AY37" s="24" t="n"/>
      <c r="AZ37" s="24" t="inlineStr">
        <is>
          <t>shadow_qualified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2170ac399ced5417</t>
        </is>
      </c>
      <c r="BF37" s="24" t="inlineStr">
        <is>
          <t>1</t>
        </is>
      </c>
      <c r="BG37" s="24" t="inlineStr">
        <is>
          <t>mlb-elo-trend-lr-v4</t>
        </is>
      </c>
      <c r="BH37" s="24" t="inlineStr">
        <is>
          <t>2026-07-20T16:49:43.428041Z</t>
        </is>
      </c>
      <c r="BI37" s="24" t="inlineStr">
        <is>
          <t>["same_event","same_team_same_day","same_league_same_day"]</t>
        </is>
      </c>
      <c r="BJ37" s="25" t="n"/>
      <c r="BK37" s="26" t="n">
        <v>115</v>
      </c>
      <c r="BL37" s="27" t="n">
        <v>2.15</v>
      </c>
      <c r="BM37" s="28" t="n">
        <v>0.465116</v>
      </c>
      <c r="BN37" s="28" t="n">
        <v>0.462687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</row>
    <row r="38" ht="36" customHeight="1">
      <c r="A38" s="24" t="inlineStr">
        <is>
          <t>861a5e055b304313</t>
        </is>
      </c>
      <c r="B38" s="24" t="inlineStr">
        <is>
          <t>2026-07-20T16:51:22.921041Z</t>
        </is>
      </c>
      <c r="C38" s="24" t="inlineStr">
        <is>
          <t>2026-07-20T19:00:00-0400</t>
        </is>
      </c>
      <c r="D38" s="24" t="inlineStr">
        <is>
          <t>401816187</t>
        </is>
      </c>
      <c r="E38" s="24" t="inlineStr">
        <is>
          <t>MLB</t>
        </is>
      </c>
      <c r="F38" s="24" t="inlineStr">
        <is>
          <t>Los Angeles Dodgers</t>
        </is>
      </c>
      <c r="G38" s="24" t="inlineStr">
        <is>
          <t>Philadelphia Phillies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125</v>
      </c>
      <c r="M38" s="27" t="n">
        <v>2.25</v>
      </c>
      <c r="N38" s="28" t="n">
        <v>0.444444</v>
      </c>
      <c r="O38" s="28" t="n">
        <v>0.513332</v>
      </c>
      <c r="P38" s="28" t="n"/>
      <c r="Q38" s="28" t="n">
        <v>0.068888</v>
      </c>
      <c r="R38" s="26" t="n">
        <v>54</v>
      </c>
      <c r="S38" s="29" t="n">
        <v>0.75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10</v>
      </c>
      <c r="Y38" s="25" t="n"/>
      <c r="Z38" s="26" t="n"/>
      <c r="AA38" s="28" t="n"/>
      <c r="AB38" s="28" t="n"/>
      <c r="AC38" s="30" t="n">
        <v>-0.75</v>
      </c>
      <c r="AD38" s="24" t="inlineStr">
        <is>
          <t>2026-07-21T03:22:56.976964Z</t>
        </is>
      </c>
      <c r="AE38" s="31" t="inlineStr">
        <is>
          <t>Learned LR call at threshold 0.5500; executable ask 0.4450 (aec-mlb-lad-phi-2026-07-20).</t>
        </is>
      </c>
      <c r="AF38" s="31" t="inlineStr">
        <is>
          <t>Learned model; promotion gate not yet open; zero-unit research until review.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mlb-lad</t>
        </is>
      </c>
      <c r="AQ38" s="24" t="inlineStr">
        <is>
          <t>Los Angeles Dodgers</t>
        </is>
      </c>
      <c r="AR38" s="24" t="inlineStr">
        <is>
          <t>Los Angeles Dodgers</t>
        </is>
      </c>
      <c r="AS38" s="24" t="inlineStr">
        <is>
          <t>mlb-phi</t>
        </is>
      </c>
      <c r="AT38" s="24" t="inlineStr">
        <is>
          <t>Philadelphia Phillies</t>
        </is>
      </c>
      <c r="AU38" s="24" t="inlineStr">
        <is>
          <t>Philadelphia Phillies</t>
        </is>
      </c>
      <c r="AV38" s="24" t="n"/>
      <c r="AW38" s="24" t="n"/>
      <c r="AX38" s="24" t="inlineStr">
        <is>
          <t>research_observation</t>
        </is>
      </c>
      <c r="AY38" s="24" t="n"/>
      <c r="AZ38" s="24" t="inlineStr">
        <is>
          <t>shadow_qualified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bac520e15b938e92</t>
        </is>
      </c>
      <c r="BF38" s="24" t="inlineStr">
        <is>
          <t>1</t>
        </is>
      </c>
      <c r="BG38" s="24" t="inlineStr">
        <is>
          <t>mlb-elo-trend-lr-v4</t>
        </is>
      </c>
      <c r="BH38" s="24" t="inlineStr">
        <is>
          <t>2026-07-20T16:49:49.060953Z</t>
        </is>
      </c>
      <c r="BI38" s="24" t="inlineStr">
        <is>
          <t>["same_event","same_team_same_day","same_league_same_day"]</t>
        </is>
      </c>
      <c r="BJ38" s="25" t="n"/>
      <c r="BK38" s="26" t="n">
        <v>125</v>
      </c>
      <c r="BL38" s="27" t="n">
        <v>2.25</v>
      </c>
      <c r="BM38" s="28" t="n">
        <v>0.444444</v>
      </c>
      <c r="BN38" s="28" t="n">
        <v>0.442786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</row>
    <row r="39" ht="36" customHeight="1">
      <c r="A39" s="24" t="inlineStr">
        <is>
          <t>ece2750201f94d16</t>
        </is>
      </c>
      <c r="B39" s="24" t="inlineStr">
        <is>
          <t>2026-07-20T16:51:22.921041Z</t>
        </is>
      </c>
      <c r="C39" s="24" t="inlineStr">
        <is>
          <t>2026-07-20T19:05:00-0400</t>
        </is>
      </c>
      <c r="D39" s="24" t="inlineStr">
        <is>
          <t>401816189</t>
        </is>
      </c>
      <c r="E39" s="24" t="inlineStr">
        <is>
          <t>MLB</t>
        </is>
      </c>
      <c r="F39" s="24" t="inlineStr">
        <is>
          <t>Pittsburgh Pirates</t>
        </is>
      </c>
      <c r="G39" s="24" t="inlineStr">
        <is>
          <t>New York Yankees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-108</v>
      </c>
      <c r="M39" s="27" t="n">
        <v>1.925926</v>
      </c>
      <c r="N39" s="28" t="n">
        <v>0.519231</v>
      </c>
      <c r="O39" s="28" t="n">
        <v>0.578558</v>
      </c>
      <c r="P39" s="28" t="n"/>
      <c r="Q39" s="28" t="n">
        <v>0.059327</v>
      </c>
      <c r="R39" s="26" t="n">
        <v>50</v>
      </c>
      <c r="S39" s="29" t="n">
        <v>1.25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win</t>
        </is>
      </c>
      <c r="W39" s="26" t="n">
        <v>5</v>
      </c>
      <c r="X39" s="26" t="n">
        <v>8</v>
      </c>
      <c r="Y39" s="25" t="n"/>
      <c r="Z39" s="26" t="n"/>
      <c r="AA39" s="28" t="n"/>
      <c r="AB39" s="28" t="n"/>
      <c r="AC39" s="30" t="n">
        <v>1.1574</v>
      </c>
      <c r="AD39" s="24" t="inlineStr">
        <is>
          <t>2026-07-21T03:22:57.501856Z</t>
        </is>
      </c>
      <c r="AE39" s="31" t="inlineStr">
        <is>
          <t>Learned LR call at threshold 0.5500; executable ask 0.5200 (aec-mlb-pit-nyy-2026-07-20).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mlb-pit</t>
        </is>
      </c>
      <c r="AQ39" s="24" t="inlineStr">
        <is>
          <t>Pittsburgh Pirates</t>
        </is>
      </c>
      <c r="AR39" s="24" t="inlineStr">
        <is>
          <t>Pittsburgh Pirates</t>
        </is>
      </c>
      <c r="AS39" s="24" t="inlineStr">
        <is>
          <t>mlb-nyy</t>
        </is>
      </c>
      <c r="AT39" s="24" t="inlineStr">
        <is>
          <t>New York Yankees</t>
        </is>
      </c>
      <c r="AU39" s="24" t="inlineStr">
        <is>
          <t>New York Yankees</t>
        </is>
      </c>
      <c r="AV39" s="24" t="n"/>
      <c r="AW39" s="24" t="n"/>
      <c r="AX39" s="24" t="inlineStr">
        <is>
          <t>research_observation</t>
        </is>
      </c>
      <c r="AY39" s="24" t="n"/>
      <c r="AZ39" s="24" t="inlineStr">
        <is>
          <t>shadow_qualified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38ab7db5a3798f0c</t>
        </is>
      </c>
      <c r="BF39" s="24" t="inlineStr">
        <is>
          <t>1</t>
        </is>
      </c>
      <c r="BG39" s="24" t="inlineStr">
        <is>
          <t>mlb-elo-trend-lr-v4</t>
        </is>
      </c>
      <c r="BH39" s="24" t="inlineStr">
        <is>
          <t>2026-07-20T16:49:45.032018Z</t>
        </is>
      </c>
      <c r="BI39" s="24" t="inlineStr">
        <is>
          <t>["same_event","same_team_same_day","same_league_same_day"]</t>
        </is>
      </c>
      <c r="BJ39" s="25" t="n"/>
      <c r="BK39" s="26" t="n">
        <v>-108</v>
      </c>
      <c r="BL39" s="27" t="n">
        <v>1.925926</v>
      </c>
      <c r="BM39" s="28" t="n">
        <v>0.519231</v>
      </c>
      <c r="BN39" s="28" t="n">
        <v>0.517413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</row>
    <row r="40" ht="36" customHeight="1">
      <c r="A40" s="24" t="inlineStr">
        <is>
          <t>4e0b58352844406f</t>
        </is>
      </c>
      <c r="B40" s="24" t="inlineStr">
        <is>
          <t>2026-07-20T16:51:22.921041Z</t>
        </is>
      </c>
      <c r="C40" s="24" t="inlineStr">
        <is>
          <t>2026-07-20T19:10:00-0400</t>
        </is>
      </c>
      <c r="D40" s="24" t="inlineStr">
        <is>
          <t>401816186</t>
        </is>
      </c>
      <c r="E40" s="24" t="inlineStr">
        <is>
          <t>MLB</t>
        </is>
      </c>
      <c r="F40" s="24" t="inlineStr">
        <is>
          <t>Baltimore Orioles</t>
        </is>
      </c>
      <c r="G40" s="24" t="inlineStr">
        <is>
          <t>Boston Red Sox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-144</v>
      </c>
      <c r="M40" s="27" t="n">
        <v>1.694444</v>
      </c>
      <c r="N40" s="28" t="n">
        <v>0.590164</v>
      </c>
      <c r="O40" s="28" t="n">
        <v>0.565797</v>
      </c>
      <c r="P40" s="28" t="n"/>
      <c r="Q40" s="28" t="n">
        <v>-0.024367</v>
      </c>
      <c r="R40" s="26" t="n">
        <v>8</v>
      </c>
      <c r="S40" s="29" t="n">
        <v>1.25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5</v>
      </c>
      <c r="X40" s="26" t="n">
        <v>6</v>
      </c>
      <c r="Y40" s="25" t="n"/>
      <c r="Z40" s="26" t="n"/>
      <c r="AA40" s="28" t="n"/>
      <c r="AB40" s="28" t="n"/>
      <c r="AC40" s="30" t="n">
        <v>0.8681</v>
      </c>
      <c r="AD40" s="24" t="inlineStr">
        <is>
          <t>2026-07-21T03:22:58.604560Z</t>
        </is>
      </c>
      <c r="AE40" s="31" t="inlineStr">
        <is>
          <t>Learned LR call at threshold 0.5500; executable ask 0.5900 (aec-mlb-bal-bos-2026-07-20).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mlb-bal</t>
        </is>
      </c>
      <c r="AQ40" s="24" t="inlineStr">
        <is>
          <t>Baltimore Orioles</t>
        </is>
      </c>
      <c r="AR40" s="24" t="inlineStr">
        <is>
          <t>Baltimore Orioles</t>
        </is>
      </c>
      <c r="AS40" s="24" t="inlineStr">
        <is>
          <t>mlb-bos</t>
        </is>
      </c>
      <c r="AT40" s="24" t="inlineStr">
        <is>
          <t>Boston Red Sox</t>
        </is>
      </c>
      <c r="AU40" s="24" t="inlineStr">
        <is>
          <t>Boston Red Sox</t>
        </is>
      </c>
      <c r="AV40" s="24" t="n"/>
      <c r="AW40" s="24" t="n"/>
      <c r="AX40" s="24" t="inlineStr">
        <is>
          <t>research_observation</t>
        </is>
      </c>
      <c r="AY40" s="24" t="n"/>
      <c r="AZ40" s="24" t="inlineStr">
        <is>
          <t>shadow_qualified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9fe2d27778a72dfe</t>
        </is>
      </c>
      <c r="BF40" s="24" t="inlineStr">
        <is>
          <t>1</t>
        </is>
      </c>
      <c r="BG40" s="24" t="inlineStr">
        <is>
          <t>mlb-elo-trend-lr-v4</t>
        </is>
      </c>
      <c r="BH40" s="24" t="inlineStr">
        <is>
          <t>2026-07-20T16:49:47.890533Z</t>
        </is>
      </c>
      <c r="BI40" s="24" t="inlineStr">
        <is>
          <t>["same_event","same_team_same_day","same_league_same_day"]</t>
        </is>
      </c>
      <c r="BJ40" s="25" t="n"/>
      <c r="BK40" s="26" t="n">
        <v>-144</v>
      </c>
      <c r="BL40" s="27" t="n">
        <v>1.694444</v>
      </c>
      <c r="BM40" s="28" t="n">
        <v>0.590164</v>
      </c>
      <c r="BN40" s="28" t="n">
        <v>0.5870649999999999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</row>
    <row r="41" ht="36" customHeight="1">
      <c r="A41" s="24" t="inlineStr">
        <is>
          <t>7d9b0c728f2a41c2</t>
        </is>
      </c>
      <c r="B41" s="24" t="inlineStr">
        <is>
          <t>2026-07-20T16:51:22.921041Z</t>
        </is>
      </c>
      <c r="C41" s="24" t="inlineStr">
        <is>
          <t>2026-07-20T19:15:00-0400</t>
        </is>
      </c>
      <c r="D41" s="24" t="inlineStr">
        <is>
          <t>401816190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Atlanta Braves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-127</v>
      </c>
      <c r="M41" s="27" t="n">
        <v>1.787402</v>
      </c>
      <c r="N41" s="28" t="n">
        <v>0.5594710000000001</v>
      </c>
      <c r="O41" s="28" t="n">
        <v>0.550915</v>
      </c>
      <c r="P41" s="28" t="n"/>
      <c r="Q41" s="28" t="n">
        <v>-0.008555999999999999</v>
      </c>
      <c r="R41" s="26" t="n">
        <v>16</v>
      </c>
      <c r="S41" s="29" t="n">
        <v>1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3</v>
      </c>
      <c r="Y41" s="25" t="n"/>
      <c r="Z41" s="26" t="n"/>
      <c r="AA41" s="28" t="n"/>
      <c r="AB41" s="28" t="n"/>
      <c r="AC41" s="30" t="n">
        <v>0.7874</v>
      </c>
      <c r="AD41" s="24" t="inlineStr">
        <is>
          <t>2026-07-21T03:22:59.127193Z</t>
        </is>
      </c>
      <c r="AE41" s="31" t="inlineStr">
        <is>
          <t>Learned LR call at threshold 0.5500; executable ask 0.5600 (aec-mlb-sd-atl-2026-07-20).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NO_CALL_LOW_EDGE</t>
        </is>
      </c>
      <c r="AP41" s="24" t="inlineStr">
        <is>
          <t>mlb-sd</t>
        </is>
      </c>
      <c r="AQ41" s="24" t="inlineStr">
        <is>
          <t>San Diego Padres</t>
        </is>
      </c>
      <c r="AR41" s="24" t="inlineStr">
        <is>
          <t>San Diego Padres</t>
        </is>
      </c>
      <c r="AS41" s="24" t="inlineStr">
        <is>
          <t>mlb-atl</t>
        </is>
      </c>
      <c r="AT41" s="24" t="inlineStr">
        <is>
          <t>Atlanta Braves</t>
        </is>
      </c>
      <c r="AU41" s="24" t="inlineStr">
        <is>
          <t>Atlanta Braves</t>
        </is>
      </c>
      <c r="AV41" s="24" t="n"/>
      <c r="AW41" s="24" t="n"/>
      <c r="AX41" s="24" t="inlineStr">
        <is>
          <t>research_observation</t>
        </is>
      </c>
      <c r="AY41" s="24" t="n"/>
      <c r="AZ41" s="24" t="inlineStr">
        <is>
          <t>shadow_qualified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f0b5eac7c97d1146</t>
        </is>
      </c>
      <c r="BF41" s="24" t="inlineStr">
        <is>
          <t>1</t>
        </is>
      </c>
      <c r="BG41" s="24" t="inlineStr">
        <is>
          <t>mlb-elo-trend-lr-v4</t>
        </is>
      </c>
      <c r="BH41" s="24" t="inlineStr">
        <is>
          <t>2026-07-20T16:49:50.749198Z</t>
        </is>
      </c>
      <c r="BI41" s="24" t="inlineStr">
        <is>
          <t>["same_event","same_team_same_day","same_league_same_day"]</t>
        </is>
      </c>
      <c r="BJ41" s="25" t="n"/>
      <c r="BK41" s="26" t="n">
        <v>-127</v>
      </c>
      <c r="BL41" s="27" t="n">
        <v>1.787402</v>
      </c>
      <c r="BM41" s="28" t="n">
        <v>0.5594710000000001</v>
      </c>
      <c r="BN41" s="28" t="n">
        <v>0.557214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</row>
    <row r="42" ht="36" customHeight="1">
      <c r="A42" s="24" t="inlineStr">
        <is>
          <t>bf92a3a0bb864f15</t>
        </is>
      </c>
      <c r="B42" s="24" t="inlineStr">
        <is>
          <t>2026-07-20T16:51:22.921041Z</t>
        </is>
      </c>
      <c r="C42" s="24" t="inlineStr">
        <is>
          <t>2026-07-20T19:40:00-0400</t>
        </is>
      </c>
      <c r="D42" s="24" t="inlineStr">
        <is>
          <t>401816195</t>
        </is>
      </c>
      <c r="E42" s="24" t="inlineStr">
        <is>
          <t>MLB</t>
        </is>
      </c>
      <c r="F42" s="24" t="inlineStr">
        <is>
          <t>New York Mets</t>
        </is>
      </c>
      <c r="G42" s="24" t="inlineStr">
        <is>
          <t>Milwaukee Brewers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-199</v>
      </c>
      <c r="M42" s="27" t="n">
        <v>1.502513</v>
      </c>
      <c r="N42" s="28" t="n">
        <v>0.665552</v>
      </c>
      <c r="O42" s="28" t="n">
        <v>0.640995</v>
      </c>
      <c r="P42" s="28" t="n"/>
      <c r="Q42" s="28" t="n">
        <v>-0.024557</v>
      </c>
      <c r="R42" s="26" t="n">
        <v>8</v>
      </c>
      <c r="S42" s="29" t="n">
        <v>2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win</t>
        </is>
      </c>
      <c r="W42" s="26" t="n">
        <v>3</v>
      </c>
      <c r="X42" s="26" t="n">
        <v>8</v>
      </c>
      <c r="Y42" s="25" t="n"/>
      <c r="Z42" s="26" t="n"/>
      <c r="AA42" s="28" t="n"/>
      <c r="AB42" s="28" t="n"/>
      <c r="AC42" s="30" t="n">
        <v>1.005</v>
      </c>
      <c r="AD42" s="24" t="inlineStr">
        <is>
          <t>2026-07-21T03:22:59.646932Z</t>
        </is>
      </c>
      <c r="AE42" s="31" t="inlineStr">
        <is>
          <t>Learned LR call at threshold 0.5500; executable ask 0.6650 (aec-mlb-nym-mil-2026-07-20).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NO_CALL_LOW_EDGE</t>
        </is>
      </c>
      <c r="AP42" s="24" t="inlineStr">
        <is>
          <t>mlb-nym</t>
        </is>
      </c>
      <c r="AQ42" s="24" t="inlineStr">
        <is>
          <t>New York Mets</t>
        </is>
      </c>
      <c r="AR42" s="24" t="inlineStr">
        <is>
          <t>New York Mets</t>
        </is>
      </c>
      <c r="AS42" s="24" t="inlineStr">
        <is>
          <t>mlb-mil</t>
        </is>
      </c>
      <c r="AT42" s="24" t="inlineStr">
        <is>
          <t>Milwaukee Brewers</t>
        </is>
      </c>
      <c r="AU42" s="24" t="inlineStr">
        <is>
          <t>Milwaukee Brewers</t>
        </is>
      </c>
      <c r="AV42" s="24" t="n"/>
      <c r="AW42" s="24" t="n"/>
      <c r="AX42" s="24" t="inlineStr">
        <is>
          <t>research_observation</t>
        </is>
      </c>
      <c r="AY42" s="24" t="n"/>
      <c r="AZ42" s="24" t="inlineStr">
        <is>
          <t>shadow_qualified</t>
        </is>
      </c>
      <c r="BA42" s="24" t="inlineStr">
        <is>
          <t>5224fb6ffbc9ddf8fa517627b830ac851192da94d241963d556945393a42bb9d</t>
        </is>
      </c>
      <c r="BB42" s="24" t="inlineStr">
        <is>
          <t>learned_lr</t>
        </is>
      </c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inlineStr">
        <is>
          <t>6d5f3f5e8f75cb2b</t>
        </is>
      </c>
      <c r="BF42" s="24" t="inlineStr">
        <is>
          <t>1</t>
        </is>
      </c>
      <c r="BG42" s="24" t="inlineStr">
        <is>
          <t>mlb-elo-trend-lr-v4</t>
        </is>
      </c>
      <c r="BH42" s="24" t="inlineStr">
        <is>
          <t>2026-07-20T16:49:52.302406Z</t>
        </is>
      </c>
      <c r="BI42" s="24" t="inlineStr">
        <is>
          <t>["same_event","same_team_same_day","same_league_same_day"]</t>
        </is>
      </c>
      <c r="BJ42" s="25" t="n"/>
      <c r="BK42" s="26" t="n">
        <v>-199</v>
      </c>
      <c r="BL42" s="27" t="n">
        <v>1.502513</v>
      </c>
      <c r="BM42" s="28" t="n">
        <v>0.665552</v>
      </c>
      <c r="BN42" s="28" t="n">
        <v>0.6616919999999999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</row>
    <row r="43" ht="36" customHeight="1">
      <c r="A43" s="24" t="inlineStr">
        <is>
          <t>b94d181b3fce488d</t>
        </is>
      </c>
      <c r="B43" s="24" t="inlineStr">
        <is>
          <t>2026-07-20T16:51:22.921041Z</t>
        </is>
      </c>
      <c r="C43" s="24" t="inlineStr">
        <is>
          <t>2026-07-20T19:40:00-0400</t>
        </is>
      </c>
      <c r="D43" s="24" t="inlineStr">
        <is>
          <t>401816196</t>
        </is>
      </c>
      <c r="E43" s="24" t="inlineStr">
        <is>
          <t>MLB</t>
        </is>
      </c>
      <c r="F43" s="24" t="inlineStr">
        <is>
          <t>San Francisco Giants</t>
        </is>
      </c>
      <c r="G43" s="24" t="inlineStr">
        <is>
          <t>Kansas City Royals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-111</v>
      </c>
      <c r="M43" s="27" t="n">
        <v>1.900901</v>
      </c>
      <c r="N43" s="28" t="n">
        <v>0.526066</v>
      </c>
      <c r="O43" s="28" t="n">
        <v>0.514213</v>
      </c>
      <c r="P43" s="28" t="n"/>
      <c r="Q43" s="28" t="n">
        <v>-0.011853</v>
      </c>
      <c r="R43" s="26" t="n">
        <v>14</v>
      </c>
      <c r="S43" s="29" t="n">
        <v>0.75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win</t>
        </is>
      </c>
      <c r="W43" s="26" t="n">
        <v>3</v>
      </c>
      <c r="X43" s="26" t="n">
        <v>4</v>
      </c>
      <c r="Y43" s="25" t="n"/>
      <c r="Z43" s="26" t="n"/>
      <c r="AA43" s="28" t="n"/>
      <c r="AB43" s="28" t="n"/>
      <c r="AC43" s="30" t="n">
        <v>0.6757</v>
      </c>
      <c r="AD43" s="24" t="inlineStr">
        <is>
          <t>2026-07-21T03:23:00.166900Z</t>
        </is>
      </c>
      <c r="AE43" s="31" t="inlineStr">
        <is>
          <t>Learned LR call at threshold 0.5500; executable ask 0.5250 (aec-mlb-sf-kc-2026-07-20).</t>
        </is>
      </c>
      <c r="AF43" s="31" t="inlineStr">
        <is>
          <t>Learned model; promotion gate not yet open; zero-unit research until review.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NO_CALL_LOW_EDGE</t>
        </is>
      </c>
      <c r="AP43" s="24" t="inlineStr">
        <is>
          <t>mlb-sf</t>
        </is>
      </c>
      <c r="AQ43" s="24" t="inlineStr">
        <is>
          <t>San Francisco Giants</t>
        </is>
      </c>
      <c r="AR43" s="24" t="inlineStr">
        <is>
          <t>San Francisco Giants</t>
        </is>
      </c>
      <c r="AS43" s="24" t="inlineStr">
        <is>
          <t>mlb-kc</t>
        </is>
      </c>
      <c r="AT43" s="24" t="inlineStr">
        <is>
          <t>Kansas City Royals</t>
        </is>
      </c>
      <c r="AU43" s="24" t="inlineStr">
        <is>
          <t>Kansas City Royals</t>
        </is>
      </c>
      <c r="AV43" s="24" t="n"/>
      <c r="AW43" s="24" t="n"/>
      <c r="AX43" s="24" t="inlineStr">
        <is>
          <t>research_observation</t>
        </is>
      </c>
      <c r="AY43" s="24" t="n"/>
      <c r="AZ43" s="24" t="inlineStr">
        <is>
          <t>shadow_qualified</t>
        </is>
      </c>
      <c r="BA43" s="24" t="inlineStr">
        <is>
          <t>5224fb6ffbc9ddf8fa517627b830ac851192da94d241963d556945393a42bb9d</t>
        </is>
      </c>
      <c r="BB43" s="24" t="inlineStr">
        <is>
          <t>learned_lr</t>
        </is>
      </c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inlineStr">
        <is>
          <t>9c457d5cc4752804</t>
        </is>
      </c>
      <c r="BF43" s="24" t="inlineStr">
        <is>
          <t>1</t>
        </is>
      </c>
      <c r="BG43" s="24" t="inlineStr">
        <is>
          <t>mlb-elo-trend-lr-v4</t>
        </is>
      </c>
      <c r="BH43" s="24" t="inlineStr">
        <is>
          <t>2026-07-20T16:49:53.625598Z</t>
        </is>
      </c>
      <c r="BI43" s="24" t="inlineStr">
        <is>
          <t>["same_event","same_team_same_day","same_league_same_day"]</t>
        </is>
      </c>
      <c r="BJ43" s="25" t="n"/>
      <c r="BK43" s="26" t="n">
        <v>-111</v>
      </c>
      <c r="BL43" s="27" t="n">
        <v>1.900901</v>
      </c>
      <c r="BM43" s="28" t="n">
        <v>0.526066</v>
      </c>
      <c r="BN43" s="28" t="n">
        <v>0.522388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</row>
    <row r="44" ht="36" customHeight="1">
      <c r="A44" s="24" t="inlineStr">
        <is>
          <t>622d03ff4b5e4bae</t>
        </is>
      </c>
      <c r="B44" s="24" t="inlineStr">
        <is>
          <t>2026-07-20T16:51:22.921041Z</t>
        </is>
      </c>
      <c r="C44" s="24" t="inlineStr">
        <is>
          <t>2026-07-20T20:05:00-0400</t>
        </is>
      </c>
      <c r="D44" s="24" t="inlineStr">
        <is>
          <t>401816192</t>
        </is>
      </c>
      <c r="E44" s="24" t="inlineStr">
        <is>
          <t>MLB</t>
        </is>
      </c>
      <c r="F44" s="24" t="inlineStr">
        <is>
          <t>Chicago White Sox</t>
        </is>
      </c>
      <c r="G44" s="24" t="inlineStr">
        <is>
          <t>Texas Rangers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-160</v>
      </c>
      <c r="M44" s="27" t="n">
        <v>1.625</v>
      </c>
      <c r="N44" s="28" t="n">
        <v>0.615385</v>
      </c>
      <c r="O44" s="28" t="n">
        <v>0.524518</v>
      </c>
      <c r="P44" s="28" t="n"/>
      <c r="Q44" s="28" t="n">
        <v>-0.090867</v>
      </c>
      <c r="R44" s="26" t="n">
        <v>0</v>
      </c>
      <c r="S44" s="29" t="n">
        <v>0.75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loss</t>
        </is>
      </c>
      <c r="W44" s="26" t="n">
        <v>10</v>
      </c>
      <c r="X44" s="26" t="n">
        <v>3</v>
      </c>
      <c r="Y44" s="25" t="n"/>
      <c r="Z44" s="26" t="n"/>
      <c r="AA44" s="28" t="n"/>
      <c r="AB44" s="28" t="n"/>
      <c r="AC44" s="30" t="n">
        <v>-0.75</v>
      </c>
      <c r="AD44" s="24" t="inlineStr">
        <is>
          <t>2026-07-21T03:23:00.689939Z</t>
        </is>
      </c>
      <c r="AE44" s="31" t="inlineStr">
        <is>
          <t>Learned LR call at threshold 0.5500; executable ask 0.6150 (aec-mlb-cws-tex-2026-07-20).</t>
        </is>
      </c>
      <c r="AF44" s="31" t="inlineStr">
        <is>
          <t>Learned model; promotion gate not yet open; zero-unit research until review.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mlb-cws</t>
        </is>
      </c>
      <c r="AQ44" s="24" t="inlineStr">
        <is>
          <t>Chicago White Sox</t>
        </is>
      </c>
      <c r="AR44" s="24" t="inlineStr">
        <is>
          <t>Chicago White Sox</t>
        </is>
      </c>
      <c r="AS44" s="24" t="inlineStr">
        <is>
          <t>mlb-tex</t>
        </is>
      </c>
      <c r="AT44" s="24" t="inlineStr">
        <is>
          <t>Texas Rangers</t>
        </is>
      </c>
      <c r="AU44" s="24" t="inlineStr">
        <is>
          <t>Texas Rangers</t>
        </is>
      </c>
      <c r="AV44" s="24" t="n"/>
      <c r="AW44" s="24" t="n"/>
      <c r="AX44" s="24" t="inlineStr">
        <is>
          <t>research_observation</t>
        </is>
      </c>
      <c r="AY44" s="24" t="n"/>
      <c r="AZ44" s="24" t="inlineStr">
        <is>
          <t>shadow_qualified</t>
        </is>
      </c>
      <c r="BA44" s="24" t="inlineStr">
        <is>
          <t>5224fb6ffbc9ddf8fa517627b830ac851192da94d241963d556945393a42bb9d</t>
        </is>
      </c>
      <c r="BB44" s="24" t="inlineStr">
        <is>
          <t>learned_lr</t>
        </is>
      </c>
      <c r="BC44" s="24" t="inlineStr">
        <is>
          <t>mlb-elo-trend-lr-v4</t>
        </is>
      </c>
      <c r="BD44" s="24" t="inlineStr">
        <is>
          <t>5224fb6ffbc9ddf8fa517627b830ac851192da94d241963d556945393a42bb9d</t>
        </is>
      </c>
      <c r="BE44" s="24" t="inlineStr">
        <is>
          <t>87e15ff2f82f8974</t>
        </is>
      </c>
      <c r="BF44" s="24" t="inlineStr">
        <is>
          <t>1</t>
        </is>
      </c>
      <c r="BG44" s="24" t="inlineStr">
        <is>
          <t>mlb-elo-trend-lr-v4</t>
        </is>
      </c>
      <c r="BH44" s="24" t="inlineStr">
        <is>
          <t>2026-07-20T16:49:54.280329Z</t>
        </is>
      </c>
      <c r="BI44" s="24" t="inlineStr">
        <is>
          <t>["same_event","same_team_same_day","same_league_same_day"]</t>
        </is>
      </c>
      <c r="BJ44" s="25" t="n"/>
      <c r="BK44" s="26" t="n">
        <v>-160</v>
      </c>
      <c r="BL44" s="27" t="n">
        <v>1.625</v>
      </c>
      <c r="BM44" s="28" t="n">
        <v>0.615385</v>
      </c>
      <c r="BN44" s="28" t="n">
        <v>0.61194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</row>
    <row r="45" ht="36" customHeight="1">
      <c r="A45" s="24" t="inlineStr">
        <is>
          <t>94e10378aa314fd4</t>
        </is>
      </c>
      <c r="B45" s="24" t="inlineStr">
        <is>
          <t>2026-07-20T16:51:22.921041Z</t>
        </is>
      </c>
      <c r="C45" s="24" t="inlineStr">
        <is>
          <t>2026-07-20T22:00:00-0400</t>
        </is>
      </c>
      <c r="D45" s="24" t="inlineStr">
        <is>
          <t>401816200</t>
        </is>
      </c>
      <c r="E45" s="24" t="inlineStr">
        <is>
          <t>MLB</t>
        </is>
      </c>
      <c r="F45" s="24" t="inlineStr">
        <is>
          <t>St. Louis Cardinals</t>
        </is>
      </c>
      <c r="G45" s="24" t="inlineStr">
        <is>
          <t>Los Angeles Angels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102</v>
      </c>
      <c r="M45" s="27" t="n">
        <v>2.02</v>
      </c>
      <c r="N45" s="28" t="n">
        <v>0.49505</v>
      </c>
      <c r="O45" s="28" t="n">
        <v>0.52919</v>
      </c>
      <c r="P45" s="28" t="n"/>
      <c r="Q45" s="28" t="n">
        <v>0.03414</v>
      </c>
      <c r="R45" s="26" t="n">
        <v>37</v>
      </c>
      <c r="S45" s="29" t="n">
        <v>0.75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3</v>
      </c>
      <c r="Y45" s="25" t="n"/>
      <c r="Z45" s="26" t="n"/>
      <c r="AA45" s="28" t="n"/>
      <c r="AB45" s="28" t="n"/>
      <c r="AC45" s="30" t="n">
        <v>-0.75</v>
      </c>
      <c r="AD45" s="24" t="inlineStr">
        <is>
          <t>2026-07-21T04:45:45.695602Z</t>
        </is>
      </c>
      <c r="AE45" s="31" t="inlineStr">
        <is>
          <t>Learned LR call at threshold 0.5500; executable ask 0.4950 (aec-mlb-stl-laa-2026-07-20).</t>
        </is>
      </c>
      <c r="AF45" s="31" t="inlineStr">
        <is>
          <t>Learned model; promotion gate not yet open; zero-unit research until review.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mlb-stl</t>
        </is>
      </c>
      <c r="AQ45" s="24" t="inlineStr">
        <is>
          <t>St. Louis Cardinals</t>
        </is>
      </c>
      <c r="AR45" s="24" t="inlineStr">
        <is>
          <t>St. Louis Cardinals</t>
        </is>
      </c>
      <c r="AS45" s="24" t="inlineStr">
        <is>
          <t>mlb-laa</t>
        </is>
      </c>
      <c r="AT45" s="24" t="inlineStr">
        <is>
          <t>Los Angeles Angels</t>
        </is>
      </c>
      <c r="AU45" s="24" t="inlineStr">
        <is>
          <t>Los Angeles Angels</t>
        </is>
      </c>
      <c r="AV45" s="24" t="n"/>
      <c r="AW45" s="24" t="n"/>
      <c r="AX45" s="24" t="inlineStr">
        <is>
          <t>research_observation</t>
        </is>
      </c>
      <c r="AY45" s="24" t="n"/>
      <c r="AZ45" s="24" t="inlineStr">
        <is>
          <t>shadow_qualified</t>
        </is>
      </c>
      <c r="BA45" s="24" t="inlineStr">
        <is>
          <t>5224fb6ffbc9ddf8fa517627b830ac851192da94d241963d556945393a42bb9d</t>
        </is>
      </c>
      <c r="BB45" s="24" t="inlineStr">
        <is>
          <t>learned_lr</t>
        </is>
      </c>
      <c r="BC45" s="24" t="inlineStr">
        <is>
          <t>mlb-elo-trend-lr-v4</t>
        </is>
      </c>
      <c r="BD45" s="24" t="inlineStr">
        <is>
          <t>5224fb6ffbc9ddf8fa517627b830ac851192da94d241963d556945393a42bb9d</t>
        </is>
      </c>
      <c r="BE45" s="24" t="inlineStr">
        <is>
          <t>e8de503e18ea775f</t>
        </is>
      </c>
      <c r="BF45" s="24" t="inlineStr">
        <is>
          <t>1</t>
        </is>
      </c>
      <c r="BG45" s="24" t="inlineStr">
        <is>
          <t>mlb-elo-trend-lr-v4</t>
        </is>
      </c>
      <c r="BH45" s="24" t="inlineStr">
        <is>
          <t>2026-07-20T16:50:01.882720Z</t>
        </is>
      </c>
      <c r="BI45" s="24" t="inlineStr">
        <is>
          <t>["same_event","same_team_same_day","same_league_same_day"]</t>
        </is>
      </c>
      <c r="BJ45" s="25" t="n"/>
      <c r="BK45" s="26" t="n">
        <v>102</v>
      </c>
      <c r="BL45" s="27" t="n">
        <v>2.02</v>
      </c>
      <c r="BM45" s="28" t="n">
        <v>0.49505</v>
      </c>
      <c r="BN45" s="28" t="n">
        <v>0.492537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</row>
    <row r="46" ht="36" customHeight="1">
      <c r="A46" s="24" t="inlineStr">
        <is>
          <t>7cb37a4f69df4942</t>
        </is>
      </c>
      <c r="B46" s="24" t="inlineStr">
        <is>
          <t>2026-07-20T16:51:22.921041Z</t>
        </is>
      </c>
      <c r="C46" s="24" t="inlineStr">
        <is>
          <t>2026-07-20T21:40:00-0400</t>
        </is>
      </c>
      <c r="D46" s="24" t="inlineStr">
        <is>
          <t>401816199</t>
        </is>
      </c>
      <c r="E46" s="24" t="inlineStr">
        <is>
          <t>MLB</t>
        </is>
      </c>
      <c r="F46" s="24" t="inlineStr">
        <is>
          <t>Cincinnati Reds</t>
        </is>
      </c>
      <c r="G46" s="24" t="inlineStr">
        <is>
          <t>Seattle Mariners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-141</v>
      </c>
      <c r="M46" s="27" t="n">
        <v>1.70922</v>
      </c>
      <c r="N46" s="28" t="n">
        <v>0.585062</v>
      </c>
      <c r="O46" s="28" t="n">
        <v>0.592852</v>
      </c>
      <c r="P46" s="28" t="n"/>
      <c r="Q46" s="28" t="n">
        <v>0.00779</v>
      </c>
      <c r="R46" s="26" t="n">
        <v>24</v>
      </c>
      <c r="S46" s="29" t="n">
        <v>1.5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8</v>
      </c>
      <c r="Y46" s="25" t="n"/>
      <c r="Z46" s="26" t="n"/>
      <c r="AA46" s="28" t="n"/>
      <c r="AB46" s="28" t="n"/>
      <c r="AC46" s="30" t="n">
        <v>1.0638</v>
      </c>
      <c r="AD46" s="24" t="inlineStr">
        <is>
          <t>2026-07-21T04:41:13.678089Z</t>
        </is>
      </c>
      <c r="AE46" s="31" t="inlineStr">
        <is>
          <t>Learned LR call at threshold 0.5500; executable ask 0.5850 (aec-mlb-cin-sea-2026-07-20).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NO_CALL_LOW_EDGE</t>
        </is>
      </c>
      <c r="AP46" s="24" t="inlineStr">
        <is>
          <t>mlb-cin</t>
        </is>
      </c>
      <c r="AQ46" s="24" t="inlineStr">
        <is>
          <t>Cincinnati Reds</t>
        </is>
      </c>
      <c r="AR46" s="24" t="inlineStr">
        <is>
          <t>Cincinnati Reds</t>
        </is>
      </c>
      <c r="AS46" s="24" t="inlineStr">
        <is>
          <t>mlb-sea</t>
        </is>
      </c>
      <c r="AT46" s="24" t="inlineStr">
        <is>
          <t>Seattle Mariners</t>
        </is>
      </c>
      <c r="AU46" s="24" t="inlineStr">
        <is>
          <t>Seattle Mariners</t>
        </is>
      </c>
      <c r="AV46" s="24" t="n"/>
      <c r="AW46" s="24" t="n"/>
      <c r="AX46" s="24" t="inlineStr">
        <is>
          <t>research_observation</t>
        </is>
      </c>
      <c r="AY46" s="24" t="n"/>
      <c r="AZ46" s="24" t="inlineStr">
        <is>
          <t>shadow_qualified</t>
        </is>
      </c>
      <c r="BA46" s="24" t="inlineStr">
        <is>
          <t>5224fb6ffbc9ddf8fa517627b830ac851192da94d241963d556945393a42bb9d</t>
        </is>
      </c>
      <c r="BB46" s="24" t="inlineStr">
        <is>
          <t>learned_lr</t>
        </is>
      </c>
      <c r="BC46" s="24" t="inlineStr">
        <is>
          <t>mlb-elo-trend-lr-v4</t>
        </is>
      </c>
      <c r="BD46" s="24" t="inlineStr">
        <is>
          <t>5224fb6ffbc9ddf8fa517627b830ac851192da94d241963d556945393a42bb9d</t>
        </is>
      </c>
      <c r="BE46" s="24" t="inlineStr">
        <is>
          <t>af7ccafcacf69681</t>
        </is>
      </c>
      <c r="BF46" s="24" t="inlineStr">
        <is>
          <t>1</t>
        </is>
      </c>
      <c r="BG46" s="24" t="inlineStr">
        <is>
          <t>mlb-elo-trend-lr-v4</t>
        </is>
      </c>
      <c r="BH46" s="24" t="inlineStr">
        <is>
          <t>2026-07-20T16:50:00.666883Z</t>
        </is>
      </c>
      <c r="BI46" s="24" t="inlineStr">
        <is>
          <t>["same_event","same_team_same_day","same_league_same_day"]</t>
        </is>
      </c>
      <c r="BJ46" s="25" t="n"/>
      <c r="BK46" s="26" t="n">
        <v>-141</v>
      </c>
      <c r="BL46" s="27" t="n">
        <v>1.70922</v>
      </c>
      <c r="BM46" s="28" t="n">
        <v>0.585062</v>
      </c>
      <c r="BN46" s="28" t="n">
        <v>0.58209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</row>
    <row r="47" ht="36" customHeight="1">
      <c r="A47" s="24" t="inlineStr">
        <is>
          <t>8c04d5d23e3b43ce</t>
        </is>
      </c>
      <c r="B47" s="24" t="inlineStr">
        <is>
          <t>2026-07-20T16:51:22.921041Z</t>
        </is>
      </c>
      <c r="C47" s="24" t="inlineStr">
        <is>
          <t>2026-07-20T21:40:00-0400</t>
        </is>
      </c>
      <c r="D47" s="24" t="inlineStr">
        <is>
          <t>401816198</t>
        </is>
      </c>
      <c r="E47" s="24" t="inlineStr">
        <is>
          <t>MLB</t>
        </is>
      </c>
      <c r="F47" s="24" t="inlineStr">
        <is>
          <t>Athletics</t>
        </is>
      </c>
      <c r="G47" s="24" t="inlineStr">
        <is>
          <t>Arizona Diamondbacks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-141</v>
      </c>
      <c r="M47" s="27" t="n">
        <v>1.70922</v>
      </c>
      <c r="N47" s="28" t="n">
        <v>0.585062</v>
      </c>
      <c r="O47" s="28" t="n">
        <v>0.58189</v>
      </c>
      <c r="P47" s="28" t="n"/>
      <c r="Q47" s="28" t="n">
        <v>-0.003172</v>
      </c>
      <c r="R47" s="26" t="n">
        <v>18</v>
      </c>
      <c r="S47" s="29" t="n">
        <v>1.25</v>
      </c>
      <c r="T47" s="24" t="inlineStr">
        <is>
          <t>mlb-elo-trend-lr-v5</t>
        </is>
      </c>
      <c r="U47" s="24" t="inlineStr">
        <is>
          <t>settled</t>
        </is>
      </c>
      <c r="V47" s="24" t="inlineStr">
        <is>
          <t>loss</t>
        </is>
      </c>
      <c r="W47" s="26" t="n">
        <v>5</v>
      </c>
      <c r="X47" s="26" t="n">
        <v>2</v>
      </c>
      <c r="Y47" s="25" t="n"/>
      <c r="Z47" s="26" t="n"/>
      <c r="AA47" s="28" t="n"/>
      <c r="AB47" s="28" t="n"/>
      <c r="AC47" s="30" t="n">
        <v>-1.25</v>
      </c>
      <c r="AD47" s="24" t="inlineStr">
        <is>
          <t>2026-07-21T05:20:47.162425Z</t>
        </is>
      </c>
      <c r="AE47" s="31" t="inlineStr">
        <is>
          <t>Learned LR call at threshold 0.5500; executable ask 0.5850 (aec-mlb-ath-az-2026-07-20).</t>
        </is>
      </c>
      <c r="AF47" s="31" t="inlineStr">
        <is>
          <t>Learned model; promotion gate not yet open; zero-unit research until review.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mlb-ath</t>
        </is>
      </c>
      <c r="AQ47" s="24" t="inlineStr">
        <is>
          <t>Athletics</t>
        </is>
      </c>
      <c r="AR47" s="24" t="inlineStr">
        <is>
          <t>Athletics</t>
        </is>
      </c>
      <c r="AS47" s="24" t="inlineStr">
        <is>
          <t>mlb-ari</t>
        </is>
      </c>
      <c r="AT47" s="24" t="inlineStr">
        <is>
          <t>Arizona Diamondbacks</t>
        </is>
      </c>
      <c r="AU47" s="24" t="inlineStr">
        <is>
          <t>Arizona Diamondbacks</t>
        </is>
      </c>
      <c r="AV47" s="24" t="n"/>
      <c r="AW47" s="24" t="n"/>
      <c r="AX47" s="24" t="inlineStr">
        <is>
          <t>research_observation</t>
        </is>
      </c>
      <c r="AY47" s="24" t="n"/>
      <c r="AZ47" s="24" t="inlineStr">
        <is>
          <t>shadow_qualified</t>
        </is>
      </c>
      <c r="BA47" s="24" t="inlineStr">
        <is>
          <t>5224fb6ffbc9ddf8fa517627b830ac851192da94d241963d556945393a42bb9d</t>
        </is>
      </c>
      <c r="BB47" s="24" t="inlineStr">
        <is>
          <t>learned_lr</t>
        </is>
      </c>
      <c r="BC47" s="24" t="inlineStr">
        <is>
          <t>mlb-elo-trend-lr-v4</t>
        </is>
      </c>
      <c r="BD47" s="24" t="inlineStr">
        <is>
          <t>5224fb6ffbc9ddf8fa517627b830ac851192da94d241963d556945393a42bb9d</t>
        </is>
      </c>
      <c r="BE47" s="24" t="inlineStr">
        <is>
          <t>7b682aa5da86e2a4</t>
        </is>
      </c>
      <c r="BF47" s="24" t="inlineStr">
        <is>
          <t>1</t>
        </is>
      </c>
      <c r="BG47" s="24" t="inlineStr">
        <is>
          <t>mlb-elo-trend-lr-v4</t>
        </is>
      </c>
      <c r="BH47" s="24" t="inlineStr">
        <is>
          <t>2026-07-20T16:49:59.810461Z</t>
        </is>
      </c>
      <c r="BI47" s="24" t="inlineStr">
        <is>
          <t>["same_event","same_team_same_day","same_league_same_day"]</t>
        </is>
      </c>
      <c r="BJ47" s="25" t="n"/>
      <c r="BK47" s="26" t="n">
        <v>-141</v>
      </c>
      <c r="BL47" s="27" t="n">
        <v>1.70922</v>
      </c>
      <c r="BM47" s="28" t="n">
        <v>0.585062</v>
      </c>
      <c r="BN47" s="28" t="n">
        <v>0.58209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</row>
    <row r="48" ht="36" customHeight="1">
      <c r="A48" s="24" t="inlineStr">
        <is>
          <t>35cfaddd8fa54724</t>
        </is>
      </c>
      <c r="B48" s="24" t="inlineStr">
        <is>
          <t>2026-07-19T13:23:06.843442Z</t>
        </is>
      </c>
      <c r="C48" s="24" t="inlineStr">
        <is>
          <t>2026-07-19T20:05Z</t>
        </is>
      </c>
      <c r="D48" s="24" t="inlineStr">
        <is>
          <t>401816185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Athletics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130</v>
      </c>
      <c r="M48" s="27" t="n">
        <v>2.3</v>
      </c>
      <c r="N48" s="28" t="n">
        <v>0.434783</v>
      </c>
      <c r="O48" s="28" t="n">
        <v>0.556646</v>
      </c>
      <c r="P48" s="28" t="n"/>
      <c r="Q48" s="28" t="n">
        <v>0.121863</v>
      </c>
      <c r="R48" s="26" t="n">
        <v>100</v>
      </c>
      <c r="S48" s="29" t="n">
        <v>1</v>
      </c>
      <c r="T48" s="24" t="inlineStr">
        <is>
          <t>mlb-elo-trend-lr-v5</t>
        </is>
      </c>
      <c r="U48" s="24" t="inlineStr">
        <is>
          <t>settled</t>
        </is>
      </c>
      <c r="V48" s="24" t="inlineStr">
        <is>
          <t>loss</t>
        </is>
      </c>
      <c r="W48" s="26" t="n">
        <v>5</v>
      </c>
      <c r="X48" s="26" t="n">
        <v>2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2026-07-19T23:07:45.507453Z</t>
        </is>
      </c>
      <c r="AE48" s="31" t="inlineStr">
        <is>
          <t>Learned LR call at threshold 0.5150; executable ask 0.4350 (aec-mlb-wsh-ath-2026-07-19).</t>
        </is>
      </c>
      <c r="AF48" s="31" t="inlineStr">
        <is>
          <t>Learned model; promotion gate not yet open; zero-unit research until review.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mlb-wsh</t>
        </is>
      </c>
      <c r="AQ48" s="24" t="inlineStr">
        <is>
          <t>Washington Nationals</t>
        </is>
      </c>
      <c r="AR48" s="24" t="inlineStr">
        <is>
          <t>Washington Nationals</t>
        </is>
      </c>
      <c r="AS48" s="24" t="inlineStr">
        <is>
          <t>mlb-ath</t>
        </is>
      </c>
      <c r="AT48" s="24" t="inlineStr">
        <is>
          <t>Athletics</t>
        </is>
      </c>
      <c r="AU48" s="24" t="inlineStr">
        <is>
          <t>Athletics</t>
        </is>
      </c>
      <c r="AV48" s="24" t="n"/>
      <c r="AW48" s="24" t="n"/>
      <c r="AX48" s="24" t="inlineStr">
        <is>
          <t>research_observation</t>
        </is>
      </c>
      <c r="AY48" s="24" t="n"/>
      <c r="AZ48" s="24" t="inlineStr">
        <is>
          <t>research</t>
        </is>
      </c>
      <c r="BA48" s="24" t="inlineStr">
        <is>
          <t>5224fb6ffbc9ddf8fa517627b830ac851192da94d241963d556945393a42bb9d</t>
        </is>
      </c>
      <c r="BB48" s="24" t="inlineStr">
        <is>
          <t>learned_lr</t>
        </is>
      </c>
      <c r="BC48" s="24" t="inlineStr">
        <is>
          <t>mlb-elo-trend-lr-v4</t>
        </is>
      </c>
      <c r="BD48" s="24" t="inlineStr">
        <is>
          <t>5224fb6ffbc9ddf8fa517627b830ac851192da94d241963d556945393a42bb9d</t>
        </is>
      </c>
      <c r="BE48" s="24" t="inlineStr">
        <is>
          <t>47154d07c5727d94</t>
        </is>
      </c>
      <c r="BF48" s="24" t="inlineStr">
        <is>
          <t>1</t>
        </is>
      </c>
      <c r="BG48" s="24" t="inlineStr">
        <is>
          <t>mlb-elo-trend-lr-v3</t>
        </is>
      </c>
      <c r="BH48" s="24" t="inlineStr">
        <is>
          <t>2026-07-19T13:22:14.970065Z</t>
        </is>
      </c>
      <c r="BI48" s="24" t="inlineStr">
        <is>
          <t>["same_event","same_team_same_day","same_league_same_day"]</t>
        </is>
      </c>
      <c r="BJ48" s="25" t="n"/>
      <c r="BK48" s="26" t="n">
        <v>130</v>
      </c>
      <c r="BL48" s="27" t="n">
        <v>2.3</v>
      </c>
      <c r="BM48" s="28" t="n">
        <v>0.434783</v>
      </c>
      <c r="BN48" s="28" t="n">
        <v>0.432836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-1</v>
      </c>
      <c r="BZ48" s="24" t="inlineStr">
        <is>
          <t>2026-07-19T23:07:45.507453Z</t>
        </is>
      </c>
      <c r="CA48" s="31" t="inlineStr">
        <is>
          <t>fixed one-unit hypothetical scoring; no real exposure or execution</t>
        </is>
      </c>
      <c r="CB48" s="24" t="n"/>
    </row>
    <row r="49" ht="36" customHeight="1">
      <c r="A49" s="24" t="inlineStr">
        <is>
          <t>121539248eb44830</t>
        </is>
      </c>
      <c r="B49" s="24" t="inlineStr">
        <is>
          <t>2026-07-19T13:23:06.843442Z</t>
        </is>
      </c>
      <c r="C49" s="24" t="inlineStr">
        <is>
          <t>2026-07-19T17:35Z</t>
        </is>
      </c>
      <c r="D49" s="24" t="inlineStr">
        <is>
          <t>401816176</t>
        </is>
      </c>
      <c r="E49" s="24" t="inlineStr">
        <is>
          <t>MLB</t>
        </is>
      </c>
      <c r="F49" s="24" t="inlineStr">
        <is>
          <t>Texas Rangers</t>
        </is>
      </c>
      <c r="G49" s="24" t="inlineStr">
        <is>
          <t>Atlanta Braves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108</v>
      </c>
      <c r="M49" s="27" t="n">
        <v>2.08</v>
      </c>
      <c r="N49" s="28" t="n">
        <v>0.480769</v>
      </c>
      <c r="O49" s="28" t="n">
        <v>0.566738</v>
      </c>
      <c r="P49" s="28" t="n"/>
      <c r="Q49" s="28" t="n">
        <v>0.085969</v>
      </c>
      <c r="R49" s="26" t="n">
        <v>85</v>
      </c>
      <c r="S49" s="29" t="n">
        <v>1.25</v>
      </c>
      <c r="T49" s="24" t="inlineStr">
        <is>
          <t>mlb-elo-trend-lr-v5</t>
        </is>
      </c>
      <c r="U49" s="24" t="inlineStr">
        <is>
          <t>settled</t>
        </is>
      </c>
      <c r="V49" s="24" t="inlineStr">
        <is>
          <t>win</t>
        </is>
      </c>
      <c r="W49" s="26" t="n">
        <v>5</v>
      </c>
      <c r="X49" s="26" t="n">
        <v>8</v>
      </c>
      <c r="Y49" s="25" t="n"/>
      <c r="Z49" s="26" t="n"/>
      <c r="AA49" s="28" t="n"/>
      <c r="AB49" s="28" t="n"/>
      <c r="AC49" s="30" t="n">
        <v>1.35</v>
      </c>
      <c r="AD49" s="24" t="inlineStr">
        <is>
          <t>2026-07-19T21:31:35.621312Z</t>
        </is>
      </c>
      <c r="AE49" s="31" t="inlineStr">
        <is>
          <t>Learned LR call at threshold 0.5150; executable ask 0.4800 (aec-mlb-tex-atl-2026-07-19).</t>
        </is>
      </c>
      <c r="AF49" s="31" t="inlineStr">
        <is>
          <t>Learned model; promotion gate not yet open; zero-unit research until review.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mlb-tex</t>
        </is>
      </c>
      <c r="AQ49" s="24" t="inlineStr">
        <is>
          <t>Texas Rangers</t>
        </is>
      </c>
      <c r="AR49" s="24" t="inlineStr">
        <is>
          <t>Texas Rangers</t>
        </is>
      </c>
      <c r="AS49" s="24" t="inlineStr">
        <is>
          <t>mlb-atl</t>
        </is>
      </c>
      <c r="AT49" s="24" t="inlineStr">
        <is>
          <t>Atlanta Braves</t>
        </is>
      </c>
      <c r="AU49" s="24" t="inlineStr">
        <is>
          <t>Atlanta Braves</t>
        </is>
      </c>
      <c r="AV49" s="24" t="n"/>
      <c r="AW49" s="24" t="n"/>
      <c r="AX49" s="24" t="inlineStr">
        <is>
          <t>research_observation</t>
        </is>
      </c>
      <c r="AY49" s="24" t="n"/>
      <c r="AZ49" s="24" t="inlineStr">
        <is>
          <t>research</t>
        </is>
      </c>
      <c r="BA49" s="24" t="inlineStr">
        <is>
          <t>5224fb6ffbc9ddf8fa517627b830ac851192da94d241963d556945393a42bb9d</t>
        </is>
      </c>
      <c r="BB49" s="24" t="inlineStr">
        <is>
          <t>learned_lr</t>
        </is>
      </c>
      <c r="BC49" s="24" t="inlineStr">
        <is>
          <t>mlb-elo-trend-lr-v4</t>
        </is>
      </c>
      <c r="BD49" s="24" t="inlineStr">
        <is>
          <t>5224fb6ffbc9ddf8fa517627b830ac851192da94d241963d556945393a42bb9d</t>
        </is>
      </c>
      <c r="BE49" s="24" t="inlineStr">
        <is>
          <t>94b28766e76410c6</t>
        </is>
      </c>
      <c r="BF49" s="24" t="inlineStr">
        <is>
          <t>1</t>
        </is>
      </c>
      <c r="BG49" s="24" t="inlineStr">
        <is>
          <t>mlb-elo-trend-lr-v3</t>
        </is>
      </c>
      <c r="BH49" s="24" t="inlineStr">
        <is>
          <t>2026-07-19T13:22:02.614593Z</t>
        </is>
      </c>
      <c r="BI49" s="24" t="inlineStr">
        <is>
          <t>["same_event","same_team_same_day","same_league_same_day"]</t>
        </is>
      </c>
      <c r="BJ49" s="25" t="n"/>
      <c r="BK49" s="26" t="n">
        <v>108</v>
      </c>
      <c r="BL49" s="27" t="n">
        <v>2.08</v>
      </c>
      <c r="BM49" s="28" t="n">
        <v>0.480769</v>
      </c>
      <c r="BN49" s="28" t="n">
        <v>0.477612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1.08</v>
      </c>
      <c r="BZ49" s="24" t="inlineStr">
        <is>
          <t>2026-07-19T21:31:35.621312Z</t>
        </is>
      </c>
      <c r="CA49" s="31" t="inlineStr">
        <is>
          <t>fixed one-unit hypothetical scoring; no real exposure or execution</t>
        </is>
      </c>
      <c r="CB49" s="24" t="n"/>
    </row>
    <row r="50" ht="36" customHeight="1">
      <c r="A50" s="24" t="inlineStr">
        <is>
          <t>4ee0f5bbef6b4559</t>
        </is>
      </c>
      <c r="B50" s="24" t="inlineStr">
        <is>
          <t>2026-07-19T13:23:06.843442Z</t>
        </is>
      </c>
      <c r="C50" s="24" t="inlineStr">
        <is>
          <t>2026-07-19T19:10Z</t>
        </is>
      </c>
      <c r="D50" s="24" t="inlineStr">
        <is>
          <t>401816181</t>
        </is>
      </c>
      <c r="E50" s="24" t="inlineStr">
        <is>
          <t>MLB</t>
        </is>
      </c>
      <c r="F50" s="24" t="inlineStr">
        <is>
          <t>Cincinnati Reds</t>
        </is>
      </c>
      <c r="G50" s="24" t="inlineStr">
        <is>
          <t>Colorado Rockies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-133</v>
      </c>
      <c r="M50" s="27" t="n">
        <v>1.75188</v>
      </c>
      <c r="N50" s="28" t="n">
        <v>0.570815</v>
      </c>
      <c r="O50" s="28" t="n">
        <v>0.600425</v>
      </c>
      <c r="P50" s="28" t="n"/>
      <c r="Q50" s="28" t="n">
        <v>0.02961</v>
      </c>
      <c r="R50" s="26" t="n">
        <v>29</v>
      </c>
      <c r="S50" s="29" t="n">
        <v>1.5</v>
      </c>
      <c r="T50" s="24" t="inlineStr">
        <is>
          <t>mlb-elo-trend-lr-v5</t>
        </is>
      </c>
      <c r="U50" s="24" t="inlineStr">
        <is>
          <t>settled</t>
        </is>
      </c>
      <c r="V50" s="24" t="inlineStr">
        <is>
          <t>win</t>
        </is>
      </c>
      <c r="W50" s="26" t="n">
        <v>9</v>
      </c>
      <c r="X50" s="26" t="n">
        <v>6</v>
      </c>
      <c r="Y50" s="25" t="n"/>
      <c r="Z50" s="26" t="n"/>
      <c r="AA50" s="28" t="n"/>
      <c r="AB50" s="28" t="n"/>
      <c r="AC50" s="30" t="n">
        <v>1.1278</v>
      </c>
      <c r="AD50" s="24" t="inlineStr">
        <is>
          <t>2026-07-19T22:14:31.386508Z</t>
        </is>
      </c>
      <c r="AE50" s="31" t="inlineStr">
        <is>
          <t>Learned LR call at threshold 0.5150; executable ask 0.5700 (aec-mlb-cin-col-2026-07-19).</t>
        </is>
      </c>
      <c r="AF50" s="31" t="inlineStr">
        <is>
          <t>Learned model; promotion gate not yet open; zero-unit research until review.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mlb-cin</t>
        </is>
      </c>
      <c r="AQ50" s="24" t="inlineStr">
        <is>
          <t>Cincinnati Reds</t>
        </is>
      </c>
      <c r="AR50" s="24" t="inlineStr">
        <is>
          <t>Cincinnati Reds</t>
        </is>
      </c>
      <c r="AS50" s="24" t="inlineStr">
        <is>
          <t>mlb-col</t>
        </is>
      </c>
      <c r="AT50" s="24" t="inlineStr">
        <is>
          <t>Colorado Rockies</t>
        </is>
      </c>
      <c r="AU50" s="24" t="inlineStr">
        <is>
          <t>Colorado Rockies</t>
        </is>
      </c>
      <c r="AV50" s="24" t="n"/>
      <c r="AW50" s="24" t="n"/>
      <c r="AX50" s="24" t="inlineStr">
        <is>
          <t>research_observation</t>
        </is>
      </c>
      <c r="AY50" s="24" t="n"/>
      <c r="AZ50" s="24" t="inlineStr">
        <is>
          <t>research</t>
        </is>
      </c>
      <c r="BA50" s="24" t="inlineStr">
        <is>
          <t>5224fb6ffbc9ddf8fa517627b830ac851192da94d241963d556945393a42bb9d</t>
        </is>
      </c>
      <c r="BB50" s="24" t="inlineStr">
        <is>
          <t>learned_lr</t>
        </is>
      </c>
      <c r="BC50" s="24" t="inlineStr">
        <is>
          <t>mlb-elo-trend-lr-v4</t>
        </is>
      </c>
      <c r="BD50" s="24" t="inlineStr">
        <is>
          <t>5224fb6ffbc9ddf8fa517627b830ac851192da94d241963d556945393a42bb9d</t>
        </is>
      </c>
      <c r="BE50" s="24" t="inlineStr">
        <is>
          <t>b8bf91edb90bdfcb</t>
        </is>
      </c>
      <c r="BF50" s="24" t="inlineStr">
        <is>
          <t>1</t>
        </is>
      </c>
      <c r="BG50" s="24" t="inlineStr">
        <is>
          <t>mlb-elo-trend-lr-v3</t>
        </is>
      </c>
      <c r="BH50" s="24" t="inlineStr">
        <is>
          <t>2026-07-19T13:22:13.486376Z</t>
        </is>
      </c>
      <c r="BI50" s="24" t="inlineStr">
        <is>
          <t>["same_event","same_team_same_day","same_league_same_day"]</t>
        </is>
      </c>
      <c r="BJ50" s="25" t="n"/>
      <c r="BK50" s="26" t="n">
        <v>-133</v>
      </c>
      <c r="BL50" s="27" t="n">
        <v>1.75188</v>
      </c>
      <c r="BM50" s="28" t="n">
        <v>0.570815</v>
      </c>
      <c r="BN50" s="28" t="n">
        <v>0.567164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>
        <v>1</v>
      </c>
      <c r="BY50" s="27" t="n">
        <v>0.75188</v>
      </c>
      <c r="BZ50" s="24" t="inlineStr">
        <is>
          <t>2026-07-19T22:14:31.386508Z</t>
        </is>
      </c>
      <c r="CA50" s="31" t="inlineStr">
        <is>
          <t>fixed one-unit hypothetical scoring; no real exposure or execution</t>
        </is>
      </c>
      <c r="CB50" s="24" t="n"/>
    </row>
    <row r="51" ht="36" customHeight="1">
      <c r="A51" s="24" t="inlineStr">
        <is>
          <t>44eda71121684cc1</t>
        </is>
      </c>
      <c r="B51" s="24" t="inlineStr">
        <is>
          <t>2026-07-19T12:55:04.872783Z</t>
        </is>
      </c>
      <c r="C51" s="24" t="inlineStr">
        <is>
          <t>2026-07-19T23:00Z</t>
        </is>
      </c>
      <c r="D51" s="24" t="inlineStr">
        <is>
          <t>401857082</t>
        </is>
      </c>
      <c r="E51" s="24" t="inlineStr">
        <is>
          <t>WNBA</t>
        </is>
      </c>
      <c r="F51" s="24" t="inlineStr">
        <is>
          <t>Connecticut Sun</t>
        </is>
      </c>
      <c r="G51" s="24" t="inlineStr">
        <is>
          <t>Phoenix Mercury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-156</v>
      </c>
      <c r="M51" s="27" t="n">
        <v>1.641026</v>
      </c>
      <c r="N51" s="28" t="n">
        <v>0.609375</v>
      </c>
      <c r="O51" s="28" t="n">
        <v>0.565769</v>
      </c>
      <c r="P51" s="28" t="n"/>
      <c r="Q51" s="28" t="n">
        <v>-0.043606</v>
      </c>
      <c r="R51" s="26" t="n">
        <v>28</v>
      </c>
      <c r="S51" s="29" t="n">
        <v>1.25</v>
      </c>
      <c r="T51" s="24" t="inlineStr">
        <is>
          <t>wnba-elo-trend-lr-v4</t>
        </is>
      </c>
      <c r="U51" s="24" t="inlineStr">
        <is>
          <t>settled</t>
        </is>
      </c>
      <c r="V51" s="24" t="inlineStr">
        <is>
          <t>win</t>
        </is>
      </c>
      <c r="W51" s="26" t="n">
        <v>63</v>
      </c>
      <c r="X51" s="26" t="n">
        <v>72</v>
      </c>
      <c r="Y51" s="25" t="n"/>
      <c r="Z51" s="26" t="n"/>
      <c r="AA51" s="28" t="n"/>
      <c r="AB51" s="28" t="n"/>
      <c r="AC51" s="30" t="n">
        <v>0.8013</v>
      </c>
      <c r="AD51" s="24" t="inlineStr">
        <is>
          <t>2026-07-20T07:27:22.185310Z</t>
        </is>
      </c>
      <c r="AE51" s="31" t="inlineStr">
        <is>
          <t>Learned LR call at threshold 0.5000; executable ask 0.6100 (aec-wnba-conn-phx-2026-07-19).</t>
        </is>
      </c>
      <c r="AF51" s="31" t="inlineStr">
        <is>
          <t>Learned model; promotion gate not yet open; zero-unit research until review.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wnba-con</t>
        </is>
      </c>
      <c r="AQ51" s="24" t="inlineStr">
        <is>
          <t>Connecticut Sun</t>
        </is>
      </c>
      <c r="AR51" s="24" t="inlineStr">
        <is>
          <t>Connecticut Sun</t>
        </is>
      </c>
      <c r="AS51" s="24" t="inlineStr">
        <is>
          <t>wnba-phx</t>
        </is>
      </c>
      <c r="AT51" s="24" t="inlineStr">
        <is>
          <t>Phoenix Mercury</t>
        </is>
      </c>
      <c r="AU51" s="24" t="inlineStr">
        <is>
          <t>Phoenix Mercury</t>
        </is>
      </c>
      <c r="AV51" s="24" t="n"/>
      <c r="AW51" s="24" t="n"/>
      <c r="AX51" s="24" t="inlineStr">
        <is>
          <t>research_observation</t>
        </is>
      </c>
      <c r="AY51" s="24" t="n"/>
      <c r="AZ51" s="24" t="inlineStr">
        <is>
          <t>research</t>
        </is>
      </c>
      <c r="BA51" s="24" t="inlineStr">
        <is>
          <t>d339198b196cb3fcd02950ed5efbdd4cefbeb95b2cd63cd756e77f99dc483719</t>
        </is>
      </c>
      <c r="BB51" s="24" t="inlineStr">
        <is>
          <t>learned_lr</t>
        </is>
      </c>
      <c r="BC51" s="24" t="inlineStr">
        <is>
          <t>wnba-elo-trend-lr-v3</t>
        </is>
      </c>
      <c r="BD51" s="24" t="inlineStr">
        <is>
          <t>d339198b196cb3fcd02950ed5efbdd4cefbeb95b2cd63cd756e77f99dc483719</t>
        </is>
      </c>
      <c r="BE51" s="24" t="inlineStr">
        <is>
          <t>25b3f96c5c4591d1</t>
        </is>
      </c>
      <c r="BF51" s="24" t="inlineStr">
        <is>
          <t>1</t>
        </is>
      </c>
      <c r="BG51" s="24" t="inlineStr">
        <is>
          <t>wnba-elo-trend-lr-v3</t>
        </is>
      </c>
      <c r="BH51" s="24" t="inlineStr">
        <is>
          <t>2026-07-19T12:20:56.954791Z</t>
        </is>
      </c>
      <c r="BI51" s="24" t="inlineStr">
        <is>
          <t>["same_event","same_team_same_day","same_league_same_day"]</t>
        </is>
      </c>
      <c r="BJ51" s="25" t="n"/>
      <c r="BK51" s="26" t="n">
        <v>-156</v>
      </c>
      <c r="BL51" s="27" t="n">
        <v>1.641026</v>
      </c>
      <c r="BM51" s="28" t="n">
        <v>0.609375</v>
      </c>
      <c r="BN51" s="28" t="n">
        <v>0.6039600000000001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</row>
    <row r="52" ht="36" customHeight="1">
      <c r="A52" s="24" t="inlineStr">
        <is>
          <t>9f52810e7f374e1c</t>
        </is>
      </c>
      <c r="B52" s="24" t="inlineStr">
        <is>
          <t>2026-07-19T12:55:04.872783Z</t>
        </is>
      </c>
      <c r="C52" s="24" t="inlineStr">
        <is>
          <t>2026-07-19T20:00Z</t>
        </is>
      </c>
      <c r="D52" s="24" t="inlineStr">
        <is>
          <t>401857081</t>
        </is>
      </c>
      <c r="E52" s="24" t="inlineStr">
        <is>
          <t>WNBA</t>
        </is>
      </c>
      <c r="F52" s="24" t="inlineStr">
        <is>
          <t>Chicago Sky</t>
        </is>
      </c>
      <c r="G52" s="24" t="inlineStr">
        <is>
          <t>Atlanta Dream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-426</v>
      </c>
      <c r="M52" s="27" t="n">
        <v>1.234742</v>
      </c>
      <c r="N52" s="28" t="n">
        <v>0.809886</v>
      </c>
      <c r="O52" s="28" t="n">
        <v>0.675714</v>
      </c>
      <c r="P52" s="28" t="n"/>
      <c r="Q52" s="28" t="n">
        <v>-0.134172</v>
      </c>
      <c r="R52" s="26" t="n">
        <v>0</v>
      </c>
      <c r="S52" s="29" t="n">
        <v>2</v>
      </c>
      <c r="T52" s="24" t="inlineStr">
        <is>
          <t>wnba-elo-trend-lr-v4</t>
        </is>
      </c>
      <c r="U52" s="24" t="inlineStr">
        <is>
          <t>settled</t>
        </is>
      </c>
      <c r="V52" s="24" t="inlineStr">
        <is>
          <t>win</t>
        </is>
      </c>
      <c r="W52" s="26" t="n">
        <v>91</v>
      </c>
      <c r="X52" s="26" t="n">
        <v>93</v>
      </c>
      <c r="Y52" s="25" t="n"/>
      <c r="Z52" s="26" t="n"/>
      <c r="AA52" s="28" t="n"/>
      <c r="AB52" s="28" t="n"/>
      <c r="AC52" s="30" t="n">
        <v>0.4695</v>
      </c>
      <c r="AD52" s="24" t="inlineStr">
        <is>
          <t>2026-07-19T23:12:46.205387Z</t>
        </is>
      </c>
      <c r="AE52" s="31" t="inlineStr">
        <is>
          <t>Learned LR call at threshold 0.5000; executable ask 0.8100 (aec-wnba-chi-atl-2026-07-19).</t>
        </is>
      </c>
      <c r="AF52" s="31" t="inlineStr">
        <is>
          <t>Learned model; promotion gate not yet open; zero-unit research until review.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wnba-chi</t>
        </is>
      </c>
      <c r="AQ52" s="24" t="inlineStr">
        <is>
          <t>Chicago Sky</t>
        </is>
      </c>
      <c r="AR52" s="24" t="inlineStr">
        <is>
          <t>Chicago Sky</t>
        </is>
      </c>
      <c r="AS52" s="24" t="inlineStr">
        <is>
          <t>wnba-atl</t>
        </is>
      </c>
      <c r="AT52" s="24" t="inlineStr">
        <is>
          <t>Atlanta Dream</t>
        </is>
      </c>
      <c r="AU52" s="24" t="inlineStr">
        <is>
          <t>Atlanta Dream</t>
        </is>
      </c>
      <c r="AV52" s="24" t="n"/>
      <c r="AW52" s="24" t="n"/>
      <c r="AX52" s="24" t="inlineStr">
        <is>
          <t>research_observation</t>
        </is>
      </c>
      <c r="AY52" s="24" t="n"/>
      <c r="AZ52" s="24" t="inlineStr">
        <is>
          <t>research</t>
        </is>
      </c>
      <c r="BA52" s="24" t="inlineStr">
        <is>
          <t>d339198b196cb3fcd02950ed5efbdd4cefbeb95b2cd63cd756e77f99dc483719</t>
        </is>
      </c>
      <c r="BB52" s="24" t="inlineStr">
        <is>
          <t>learned_lr</t>
        </is>
      </c>
      <c r="BC52" s="24" t="inlineStr">
        <is>
          <t>wnba-elo-trend-lr-v3</t>
        </is>
      </c>
      <c r="BD52" s="24" t="inlineStr">
        <is>
          <t>d339198b196cb3fcd02950ed5efbdd4cefbeb95b2cd63cd756e77f99dc483719</t>
        </is>
      </c>
      <c r="BE52" s="24" t="inlineStr">
        <is>
          <t>6a68fc6e2a5a0b4a</t>
        </is>
      </c>
      <c r="BF52" s="24" t="inlineStr">
        <is>
          <t>1</t>
        </is>
      </c>
      <c r="BG52" s="24" t="inlineStr">
        <is>
          <t>wnba-elo-trend-lr-v3</t>
        </is>
      </c>
      <c r="BH52" s="24" t="inlineStr">
        <is>
          <t>2026-07-19T12:20:55.900740Z</t>
        </is>
      </c>
      <c r="BI52" s="24" t="inlineStr">
        <is>
          <t>["same_event","same_team_same_day","same_league_same_day"]</t>
        </is>
      </c>
      <c r="BJ52" s="25" t="n"/>
      <c r="BK52" s="26" t="n">
        <v>-426</v>
      </c>
      <c r="BL52" s="27" t="n">
        <v>1.234742</v>
      </c>
      <c r="BM52" s="28" t="n">
        <v>0.809886</v>
      </c>
      <c r="BN52" s="28" t="n">
        <v>0.80198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</row>
    <row r="53" ht="36" customHeight="1">
      <c r="A53" s="24" t="inlineStr">
        <is>
          <t>660d896695654e99</t>
        </is>
      </c>
      <c r="B53" s="24" t="inlineStr">
        <is>
          <t>2026-07-19T12:55:04.872783Z</t>
        </is>
      </c>
      <c r="C53" s="24" t="inlineStr">
        <is>
          <t>2026-07-19T17:00Z</t>
        </is>
      </c>
      <c r="D53" s="24" t="inlineStr">
        <is>
          <t>401857080</t>
        </is>
      </c>
      <c r="E53" s="24" t="inlineStr">
        <is>
          <t>WNBA</t>
        </is>
      </c>
      <c r="F53" s="24" t="inlineStr">
        <is>
          <t>Los Angeles Sparks</t>
        </is>
      </c>
      <c r="G53" s="24" t="inlineStr">
        <is>
          <t>Dallas Wings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-400</v>
      </c>
      <c r="M53" s="27" t="n">
        <v>1.25</v>
      </c>
      <c r="N53" s="28" t="n">
        <v>0.8</v>
      </c>
      <c r="O53" s="28" t="n">
        <v>0.7509749999999999</v>
      </c>
      <c r="P53" s="28" t="n"/>
      <c r="Q53" s="28" t="n">
        <v>-0.049025</v>
      </c>
      <c r="R53" s="26" t="n">
        <v>25</v>
      </c>
      <c r="S53" s="29" t="n">
        <v>2</v>
      </c>
      <c r="T53" s="24" t="inlineStr">
        <is>
          <t>wnba-elo-trend-lr-v4</t>
        </is>
      </c>
      <c r="U53" s="24" t="inlineStr">
        <is>
          <t>settled</t>
        </is>
      </c>
      <c r="V53" s="24" t="inlineStr">
        <is>
          <t>win</t>
        </is>
      </c>
      <c r="W53" s="26" t="n">
        <v>82</v>
      </c>
      <c r="X53" s="26" t="n">
        <v>90</v>
      </c>
      <c r="Y53" s="25" t="n"/>
      <c r="Z53" s="26" t="n"/>
      <c r="AA53" s="28" t="n"/>
      <c r="AB53" s="28" t="n"/>
      <c r="AC53" s="30" t="n">
        <v>0.5</v>
      </c>
      <c r="AD53" s="24" t="inlineStr">
        <is>
          <t>2026-07-19T23:12:45.958826Z</t>
        </is>
      </c>
      <c r="AE53" s="31" t="inlineStr">
        <is>
          <t>Learned LR call at threshold 0.5000; executable ask 0.8000 (aec-wnba-la-dal-2026-07-19).</t>
        </is>
      </c>
      <c r="AF53" s="31" t="inlineStr">
        <is>
          <t>Learned model; promotion gate not yet open; zero-unit research until review.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wnba-las</t>
        </is>
      </c>
      <c r="AQ53" s="24" t="inlineStr">
        <is>
          <t>Los Angeles Sparks</t>
        </is>
      </c>
      <c r="AR53" s="24" t="inlineStr">
        <is>
          <t>Los Angeles Sparks</t>
        </is>
      </c>
      <c r="AS53" s="24" t="inlineStr">
        <is>
          <t>wnba-dal</t>
        </is>
      </c>
      <c r="AT53" s="24" t="inlineStr">
        <is>
          <t>Dallas Wings</t>
        </is>
      </c>
      <c r="AU53" s="24" t="inlineStr">
        <is>
          <t>Dallas Wings</t>
        </is>
      </c>
      <c r="AV53" s="24" t="n"/>
      <c r="AW53" s="24" t="n"/>
      <c r="AX53" s="24" t="inlineStr">
        <is>
          <t>research_observation</t>
        </is>
      </c>
      <c r="AY53" s="24" t="n"/>
      <c r="AZ53" s="24" t="inlineStr">
        <is>
          <t>research</t>
        </is>
      </c>
      <c r="BA53" s="24" t="inlineStr">
        <is>
          <t>d339198b196cb3fcd02950ed5efbdd4cefbeb95b2cd63cd756e77f99dc483719</t>
        </is>
      </c>
      <c r="BB53" s="24" t="inlineStr">
        <is>
          <t>learned_lr</t>
        </is>
      </c>
      <c r="BC53" s="24" t="inlineStr">
        <is>
          <t>wnba-elo-trend-lr-v3</t>
        </is>
      </c>
      <c r="BD53" s="24" t="inlineStr">
        <is>
          <t>d339198b196cb3fcd02950ed5efbdd4cefbeb95b2cd63cd756e77f99dc483719</t>
        </is>
      </c>
      <c r="BE53" s="24" t="inlineStr">
        <is>
          <t>1105570c96caae80</t>
        </is>
      </c>
      <c r="BF53" s="24" t="inlineStr">
        <is>
          <t>1</t>
        </is>
      </c>
      <c r="BG53" s="24" t="inlineStr">
        <is>
          <t>wnba-elo-trend-lr-v3</t>
        </is>
      </c>
      <c r="BH53" s="24" t="inlineStr">
        <is>
          <t>2026-07-19T12:20:54.245538Z</t>
        </is>
      </c>
      <c r="BI53" s="24" t="inlineStr">
        <is>
          <t>["same_event","same_team_same_day","same_league_same_day"]</t>
        </is>
      </c>
      <c r="BJ53" s="25" t="n"/>
      <c r="BK53" s="26" t="n">
        <v>-400</v>
      </c>
      <c r="BL53" s="27" t="n">
        <v>1.25</v>
      </c>
      <c r="BM53" s="28" t="n">
        <v>0.8</v>
      </c>
      <c r="BN53" s="28" t="n">
        <v>0.792079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</row>
    <row r="54" ht="36" customHeight="1">
      <c r="A54" s="24" t="inlineStr">
        <is>
          <t>4c364c0842444748</t>
        </is>
      </c>
      <c r="B54" s="24" t="inlineStr">
        <is>
          <t>2026-07-19T12:54:59.612626Z</t>
        </is>
      </c>
      <c r="C54" s="24" t="inlineStr">
        <is>
          <t>2026-07-19T23:20Z</t>
        </is>
      </c>
      <c r="D54" s="24" t="inlineStr">
        <is>
          <t>401816172</t>
        </is>
      </c>
      <c r="E54" s="24" t="inlineStr">
        <is>
          <t>MLB</t>
        </is>
      </c>
      <c r="F54" s="24" t="inlineStr">
        <is>
          <t>Los Angeles Dodgers</t>
        </is>
      </c>
      <c r="G54" s="24" t="inlineStr">
        <is>
          <t>New York Yankees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-108</v>
      </c>
      <c r="M54" s="27" t="n">
        <v>1.925926</v>
      </c>
      <c r="N54" s="28" t="n">
        <v>0.519231</v>
      </c>
      <c r="O54" s="28" t="n">
        <v>0.518236</v>
      </c>
      <c r="P54" s="28" t="n"/>
      <c r="Q54" s="28" t="n">
        <v>-0.000995</v>
      </c>
      <c r="R54" s="26" t="n">
        <v>99</v>
      </c>
      <c r="S54" s="29" t="n">
        <v>0.75</v>
      </c>
      <c r="T54" s="24" t="inlineStr">
        <is>
          <t>mlb-elo-trend-lr-v5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2</v>
      </c>
      <c r="Y54" s="25" t="n"/>
      <c r="Z54" s="26" t="n"/>
      <c r="AA54" s="28" t="n"/>
      <c r="AB54" s="28" t="n"/>
      <c r="AC54" s="30" t="n">
        <v>-0.75</v>
      </c>
      <c r="AD54" s="24" t="inlineStr">
        <is>
          <t>2026-07-20T07:27:21.588181Z</t>
        </is>
      </c>
      <c r="AE54" s="31" t="inlineStr">
        <is>
          <t>Learned LR call at threshold 0.5150; executable ask 0.5200 (aec-mlb-lad-nyy-2026-07-19).</t>
        </is>
      </c>
      <c r="AF54" s="31" t="inlineStr">
        <is>
          <t>Learned model; promotion gate not yet open; zero-unit research until review.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mlb-lad</t>
        </is>
      </c>
      <c r="AQ54" s="24" t="inlineStr">
        <is>
          <t>Los Angeles Dodgers</t>
        </is>
      </c>
      <c r="AR54" s="24" t="inlineStr">
        <is>
          <t>Los Angeles Dodgers</t>
        </is>
      </c>
      <c r="AS54" s="24" t="inlineStr">
        <is>
          <t>mlb-nyy</t>
        </is>
      </c>
      <c r="AT54" s="24" t="inlineStr">
        <is>
          <t>New York Yankees</t>
        </is>
      </c>
      <c r="AU54" s="24" t="inlineStr">
        <is>
          <t>New York Yankees</t>
        </is>
      </c>
      <c r="AV54" s="24" t="n"/>
      <c r="AW54" s="24" t="n"/>
      <c r="AX54" s="24" t="inlineStr">
        <is>
          <t>research_observation</t>
        </is>
      </c>
      <c r="AY54" s="24" t="n"/>
      <c r="AZ54" s="24" t="inlineStr">
        <is>
          <t>research</t>
        </is>
      </c>
      <c r="BA54" s="24" t="inlineStr">
        <is>
          <t>5224fb6ffbc9ddf8fa517627b830ac851192da94d241963d556945393a42bb9d</t>
        </is>
      </c>
      <c r="BB54" s="24" t="inlineStr">
        <is>
          <t>learned_lr</t>
        </is>
      </c>
      <c r="BC54" s="24" t="inlineStr">
        <is>
          <t>mlb-elo-trend-lr-v4</t>
        </is>
      </c>
      <c r="BD54" s="24" t="inlineStr">
        <is>
          <t>5224fb6ffbc9ddf8fa517627b830ac851192da94d241963d556945393a42bb9d</t>
        </is>
      </c>
      <c r="BE54" s="24" t="inlineStr">
        <is>
          <t>3d0e5a17bc5bf87f</t>
        </is>
      </c>
      <c r="BF54" s="24" t="inlineStr">
        <is>
          <t>1</t>
        </is>
      </c>
      <c r="BG54" s="24" t="inlineStr">
        <is>
          <t>mlb-elo-trend-lr-v3</t>
        </is>
      </c>
      <c r="BH54" s="24" t="inlineStr">
        <is>
          <t>2026-07-19T12:20:50.977544Z</t>
        </is>
      </c>
      <c r="BI54" s="24" t="inlineStr">
        <is>
          <t>["same_event","same_team_same_day","same_league_same_day"]</t>
        </is>
      </c>
      <c r="BJ54" s="25" t="n"/>
      <c r="BK54" s="26" t="n">
        <v>-108</v>
      </c>
      <c r="BL54" s="27" t="n">
        <v>1.925926</v>
      </c>
      <c r="BM54" s="28" t="n">
        <v>0.519231</v>
      </c>
      <c r="BN54" s="28" t="n">
        <v>0.517413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</row>
    <row r="55" ht="36" customHeight="1">
      <c r="A55" s="24" t="inlineStr">
        <is>
          <t>24dc5460b71f4e79</t>
        </is>
      </c>
      <c r="B55" s="24" t="inlineStr">
        <is>
          <t>2026-07-19T12:54:59.612626Z</t>
        </is>
      </c>
      <c r="C55" s="24" t="inlineStr">
        <is>
          <t>2026-07-19T18:10Z</t>
        </is>
      </c>
      <c r="D55" s="24" t="inlineStr">
        <is>
          <t>401816178</t>
        </is>
      </c>
      <c r="E55" s="24" t="inlineStr">
        <is>
          <t>MLB</t>
        </is>
      </c>
      <c r="F55" s="24" t="inlineStr">
        <is>
          <t>Miami Marlins</t>
        </is>
      </c>
      <c r="G55" s="24" t="inlineStr">
        <is>
          <t>Milwaukee Brewers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-122</v>
      </c>
      <c r="M55" s="27" t="n">
        <v>1.819672</v>
      </c>
      <c r="N55" s="28" t="n">
        <v>0.54955</v>
      </c>
      <c r="O55" s="28" t="n">
        <v>0.6307700000000001</v>
      </c>
      <c r="P55" s="28" t="n"/>
      <c r="Q55" s="28" t="n">
        <v>0.08122</v>
      </c>
      <c r="R55" s="26" t="n">
        <v>81</v>
      </c>
      <c r="S55" s="29" t="n">
        <v>1.75</v>
      </c>
      <c r="T55" s="24" t="inlineStr">
        <is>
          <t>mlb-elo-trend-lr-v5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3</v>
      </c>
      <c r="Y55" s="25" t="n"/>
      <c r="Z55" s="26" t="n"/>
      <c r="AA55" s="28" t="n"/>
      <c r="AB55" s="28" t="n"/>
      <c r="AC55" s="30" t="n">
        <v>1.4344</v>
      </c>
      <c r="AD55" s="24" t="inlineStr">
        <is>
          <t>2026-07-19T23:12:44.452287Z</t>
        </is>
      </c>
      <c r="AE55" s="31" t="inlineStr">
        <is>
          <t>Learned LR call at threshold 0.5150; executable ask 0.5500 (aec-mlb-mia-mil-2026-07-19).</t>
        </is>
      </c>
      <c r="AF55" s="31" t="inlineStr">
        <is>
          <t>Learned model; promotion gate not yet open; zero-unit research until review.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mlb-mia</t>
        </is>
      </c>
      <c r="AQ55" s="24" t="inlineStr">
        <is>
          <t>Miami Marlins</t>
        </is>
      </c>
      <c r="AR55" s="24" t="inlineStr">
        <is>
          <t>Miami Marlins</t>
        </is>
      </c>
      <c r="AS55" s="24" t="inlineStr">
        <is>
          <t>mlb-mil</t>
        </is>
      </c>
      <c r="AT55" s="24" t="inlineStr">
        <is>
          <t>Milwaukee Brewers</t>
        </is>
      </c>
      <c r="AU55" s="24" t="inlineStr">
        <is>
          <t>Milwaukee Brewers</t>
        </is>
      </c>
      <c r="AV55" s="24" t="n"/>
      <c r="AW55" s="24" t="n"/>
      <c r="AX55" s="24" t="inlineStr">
        <is>
          <t>research_observation</t>
        </is>
      </c>
      <c r="AY55" s="24" t="n"/>
      <c r="AZ55" s="24" t="inlineStr">
        <is>
          <t>research</t>
        </is>
      </c>
      <c r="BA55" s="24" t="inlineStr">
        <is>
          <t>5224fb6ffbc9ddf8fa517627b830ac851192da94d241963d556945393a42bb9d</t>
        </is>
      </c>
      <c r="BB55" s="24" t="inlineStr">
        <is>
          <t>learned_lr</t>
        </is>
      </c>
      <c r="BC55" s="24" t="inlineStr">
        <is>
          <t>mlb-elo-trend-lr-v4</t>
        </is>
      </c>
      <c r="BD55" s="24" t="inlineStr">
        <is>
          <t>5224fb6ffbc9ddf8fa517627b830ac851192da94d241963d556945393a42bb9d</t>
        </is>
      </c>
      <c r="BE55" s="24" t="inlineStr">
        <is>
          <t>8fb0cba25307b5b8</t>
        </is>
      </c>
      <c r="BF55" s="24" t="inlineStr">
        <is>
          <t>1</t>
        </is>
      </c>
      <c r="BG55" s="24" t="inlineStr">
        <is>
          <t>mlb-elo-trend-lr-v3</t>
        </is>
      </c>
      <c r="BH55" s="24" t="inlineStr">
        <is>
          <t>2026-07-19T12:20:42.218493Z</t>
        </is>
      </c>
      <c r="BI55" s="24" t="inlineStr">
        <is>
          <t>["same_event","same_team_same_day","same_league_same_day"]</t>
        </is>
      </c>
      <c r="BJ55" s="25" t="n"/>
      <c r="BK55" s="26" t="n">
        <v>-122</v>
      </c>
      <c r="BL55" s="27" t="n">
        <v>1.819672</v>
      </c>
      <c r="BM55" s="28" t="n">
        <v>0.54955</v>
      </c>
      <c r="BN55" s="28" t="n">
        <v>0.547264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</row>
    <row r="56" ht="36" customHeight="1">
      <c r="A56" s="24" t="inlineStr">
        <is>
          <t>a41133c348d04e51</t>
        </is>
      </c>
      <c r="B56" s="24" t="inlineStr">
        <is>
          <t>2026-07-19T12:54:59.612626Z</t>
        </is>
      </c>
      <c r="C56" s="24" t="inlineStr">
        <is>
          <t>2026-07-19T18:10Z</t>
        </is>
      </c>
      <c r="D56" s="24" t="inlineStr">
        <is>
          <t>401816180</t>
        </is>
      </c>
      <c r="E56" s="24" t="inlineStr">
        <is>
          <t>MLB</t>
        </is>
      </c>
      <c r="F56" s="24" t="inlineStr">
        <is>
          <t>San Diego Padres</t>
        </is>
      </c>
      <c r="G56" s="24" t="inlineStr">
        <is>
          <t>Kansas City Royals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115</v>
      </c>
      <c r="M56" s="27" t="n">
        <v>2.15</v>
      </c>
      <c r="N56" s="28" t="n">
        <v>0.465116</v>
      </c>
      <c r="O56" s="28" t="n">
        <v>0.520718</v>
      </c>
      <c r="P56" s="28" t="n"/>
      <c r="Q56" s="28" t="n">
        <v>0.055602</v>
      </c>
      <c r="R56" s="26" t="n">
        <v>55</v>
      </c>
      <c r="S56" s="29" t="n">
        <v>0.75</v>
      </c>
      <c r="T56" s="24" t="inlineStr">
        <is>
          <t>mlb-elo-trend-lr-v5</t>
        </is>
      </c>
      <c r="U56" s="24" t="inlineStr">
        <is>
          <t>settled</t>
        </is>
      </c>
      <c r="V56" s="24" t="inlineStr">
        <is>
          <t>win</t>
        </is>
      </c>
      <c r="W56" s="26" t="n">
        <v>19</v>
      </c>
      <c r="X56" s="26" t="n">
        <v>2</v>
      </c>
      <c r="Y56" s="25" t="n"/>
      <c r="Z56" s="26" t="n"/>
      <c r="AA56" s="28" t="n"/>
      <c r="AB56" s="28" t="n"/>
      <c r="AC56" s="30" t="n">
        <v>0.8625</v>
      </c>
      <c r="AD56" s="24" t="inlineStr">
        <is>
          <t>2026-07-19T23:12:44.698613Z</t>
        </is>
      </c>
      <c r="AE56" s="31" t="inlineStr">
        <is>
          <t>Learned LR call at threshold 0.5150; executable ask 0.4650 (aec-mlb-sd-kc-2026-07-19).</t>
        </is>
      </c>
      <c r="AF56" s="31" t="inlineStr">
        <is>
          <t>Learned model; promotion gate not yet open; zero-unit research until review.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mlb-sd</t>
        </is>
      </c>
      <c r="AQ56" s="24" t="inlineStr">
        <is>
          <t>San Diego Padres</t>
        </is>
      </c>
      <c r="AR56" s="24" t="inlineStr">
        <is>
          <t>San Diego Padres</t>
        </is>
      </c>
      <c r="AS56" s="24" t="inlineStr">
        <is>
          <t>mlb-kc</t>
        </is>
      </c>
      <c r="AT56" s="24" t="inlineStr">
        <is>
          <t>Kansas City Royals</t>
        </is>
      </c>
      <c r="AU56" s="24" t="inlineStr">
        <is>
          <t>Kansas City Royals</t>
        </is>
      </c>
      <c r="AV56" s="24" t="n"/>
      <c r="AW56" s="24" t="n"/>
      <c r="AX56" s="24" t="inlineStr">
        <is>
          <t>research_observation</t>
        </is>
      </c>
      <c r="AY56" s="24" t="n"/>
      <c r="AZ56" s="24" t="inlineStr">
        <is>
          <t>research</t>
        </is>
      </c>
      <c r="BA56" s="24" t="inlineStr">
        <is>
          <t>5224fb6ffbc9ddf8fa517627b830ac851192da94d241963d556945393a42bb9d</t>
        </is>
      </c>
      <c r="BB56" s="24" t="inlineStr">
        <is>
          <t>learned_lr</t>
        </is>
      </c>
      <c r="BC56" s="24" t="inlineStr">
        <is>
          <t>mlb-elo-trend-lr-v4</t>
        </is>
      </c>
      <c r="BD56" s="24" t="inlineStr">
        <is>
          <t>5224fb6ffbc9ddf8fa517627b830ac851192da94d241963d556945393a42bb9d</t>
        </is>
      </c>
      <c r="BE56" s="24" t="inlineStr">
        <is>
          <t>fce46e57be25f762</t>
        </is>
      </c>
      <c r="BF56" s="24" t="inlineStr">
        <is>
          <t>1</t>
        </is>
      </c>
      <c r="BG56" s="24" t="inlineStr">
        <is>
          <t>mlb-elo-trend-lr-v3</t>
        </is>
      </c>
      <c r="BH56" s="24" t="inlineStr">
        <is>
          <t>2026-07-19T12:20:43.564485Z</t>
        </is>
      </c>
      <c r="BI56" s="24" t="inlineStr">
        <is>
          <t>["same_event","same_team_same_day","same_league_same_day"]</t>
        </is>
      </c>
      <c r="BJ56" s="25" t="n"/>
      <c r="BK56" s="26" t="n">
        <v>115</v>
      </c>
      <c r="BL56" s="27" t="n">
        <v>2.15</v>
      </c>
      <c r="BM56" s="28" t="n">
        <v>0.465116</v>
      </c>
      <c r="BN56" s="28" t="n">
        <v>0.462687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</row>
    <row r="57" ht="36" customHeight="1">
      <c r="A57" s="24" t="inlineStr">
        <is>
          <t>4efa6372827f49d2</t>
        </is>
      </c>
      <c r="B57" s="24" t="inlineStr">
        <is>
          <t>2026-07-19T12:54:59.612626Z</t>
        </is>
      </c>
      <c r="C57" s="24" t="inlineStr">
        <is>
          <t>2026-07-19T20:07Z</t>
        </is>
      </c>
      <c r="D57" s="24" t="inlineStr">
        <is>
          <t>401816182</t>
        </is>
      </c>
      <c r="E57" s="24" t="inlineStr">
        <is>
          <t>MLB</t>
        </is>
      </c>
      <c r="F57" s="24" t="inlineStr">
        <is>
          <t>Detroit Tigers</t>
        </is>
      </c>
      <c r="G57" s="24" t="inlineStr">
        <is>
          <t>Los Angeles Angels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-141</v>
      </c>
      <c r="M57" s="27" t="n">
        <v>1.70922</v>
      </c>
      <c r="N57" s="28" t="n">
        <v>0.585062</v>
      </c>
      <c r="O57" s="28" t="n">
        <v>0.526852</v>
      </c>
      <c r="P57" s="28" t="n"/>
      <c r="Q57" s="28" t="n">
        <v>-0.05821</v>
      </c>
      <c r="R57" s="26" t="n">
        <v>41</v>
      </c>
      <c r="S57" s="29" t="n">
        <v>0.75</v>
      </c>
      <c r="T57" s="24" t="inlineStr">
        <is>
          <t>mlb-elo-trend-lr-v5</t>
        </is>
      </c>
      <c r="U57" s="24" t="inlineStr">
        <is>
          <t>settled</t>
        </is>
      </c>
      <c r="V57" s="24" t="inlineStr">
        <is>
          <t>loss</t>
        </is>
      </c>
      <c r="W57" s="26" t="n">
        <v>2</v>
      </c>
      <c r="X57" s="26" t="n">
        <v>3</v>
      </c>
      <c r="Y57" s="25" t="n"/>
      <c r="Z57" s="26" t="n"/>
      <c r="AA57" s="28" t="n"/>
      <c r="AB57" s="28" t="n"/>
      <c r="AC57" s="30" t="n">
        <v>-0.75</v>
      </c>
      <c r="AD57" s="24" t="inlineStr">
        <is>
          <t>2026-07-19T23:12:45.192018Z</t>
        </is>
      </c>
      <c r="AE57" s="31" t="inlineStr">
        <is>
          <t>Learned LR call at threshold 0.5150; executable ask 0.5850 (aec-mlb-det-laa-2026-07-19).</t>
        </is>
      </c>
      <c r="AF57" s="31" t="inlineStr">
        <is>
          <t>Learned model; promotion gate not yet open; zero-unit research until review.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mlb-det</t>
        </is>
      </c>
      <c r="AQ57" s="24" t="inlineStr">
        <is>
          <t>Detroit Tigers</t>
        </is>
      </c>
      <c r="AR57" s="24" t="inlineStr">
        <is>
          <t>Detroit Tigers</t>
        </is>
      </c>
      <c r="AS57" s="24" t="inlineStr">
        <is>
          <t>mlb-laa</t>
        </is>
      </c>
      <c r="AT57" s="24" t="inlineStr">
        <is>
          <t>Los Angeles Angels</t>
        </is>
      </c>
      <c r="AU57" s="24" t="inlineStr">
        <is>
          <t>Los Angeles Angels</t>
        </is>
      </c>
      <c r="AV57" s="24" t="n"/>
      <c r="AW57" s="24" t="n"/>
      <c r="AX57" s="24" t="inlineStr">
        <is>
          <t>research_observation</t>
        </is>
      </c>
      <c r="AY57" s="24" t="n"/>
      <c r="AZ57" s="24" t="inlineStr">
        <is>
          <t>research</t>
        </is>
      </c>
      <c r="BA57" s="24" t="inlineStr">
        <is>
          <t>5224fb6ffbc9ddf8fa517627b830ac851192da94d241963d556945393a42bb9d</t>
        </is>
      </c>
      <c r="BB57" s="24" t="inlineStr">
        <is>
          <t>learned_lr</t>
        </is>
      </c>
      <c r="BC57" s="24" t="inlineStr">
        <is>
          <t>mlb-elo-trend-lr-v4</t>
        </is>
      </c>
      <c r="BD57" s="24" t="inlineStr">
        <is>
          <t>5224fb6ffbc9ddf8fa517627b830ac851192da94d241963d556945393a42bb9d</t>
        </is>
      </c>
      <c r="BE57" s="24" t="inlineStr">
        <is>
          <t>116e26539f29a0c8</t>
        </is>
      </c>
      <c r="BF57" s="24" t="inlineStr">
        <is>
          <t>1</t>
        </is>
      </c>
      <c r="BG57" s="24" t="inlineStr">
        <is>
          <t>mlb-elo-trend-lr-v3</t>
        </is>
      </c>
      <c r="BH57" s="24" t="inlineStr">
        <is>
          <t>2026-07-19T12:20:47.368573Z</t>
        </is>
      </c>
      <c r="BI57" s="24" t="inlineStr">
        <is>
          <t>["same_event","same_team_same_day","same_league_same_day"]</t>
        </is>
      </c>
      <c r="BJ57" s="25" t="n"/>
      <c r="BK57" s="26" t="n">
        <v>-141</v>
      </c>
      <c r="BL57" s="27" t="n">
        <v>1.70922</v>
      </c>
      <c r="BM57" s="28" t="n">
        <v>0.585062</v>
      </c>
      <c r="BN57" s="28" t="n">
        <v>0.58209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</row>
    <row r="58" ht="36" customHeight="1">
      <c r="A58" s="24" t="inlineStr">
        <is>
          <t>437e59320f8e4a43</t>
        </is>
      </c>
      <c r="B58" s="24" t="inlineStr">
        <is>
          <t>2026-07-19T12:54:59.612626Z</t>
        </is>
      </c>
      <c r="C58" s="24" t="inlineStr">
        <is>
          <t>2026-07-19T20:10Z</t>
        </is>
      </c>
      <c r="D58" s="24" t="inlineStr">
        <is>
          <t>401816184</t>
        </is>
      </c>
      <c r="E58" s="24" t="inlineStr">
        <is>
          <t>MLB</t>
        </is>
      </c>
      <c r="F58" s="24" t="inlineStr">
        <is>
          <t>St. Louis Cardinals</t>
        </is>
      </c>
      <c r="G58" s="24" t="inlineStr">
        <is>
          <t>Arizona Diamondbacks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0.518517</v>
      </c>
      <c r="P58" s="28" t="n"/>
      <c r="Q58" s="28" t="n">
        <v>-0.007549</v>
      </c>
      <c r="R58" s="26" t="n">
        <v>92</v>
      </c>
      <c r="S58" s="29" t="n">
        <v>0.75</v>
      </c>
      <c r="T58" s="24" t="inlineStr">
        <is>
          <t>mlb-elo-trend-lr-v5</t>
        </is>
      </c>
      <c r="U58" s="24" t="inlineStr">
        <is>
          <t>settled</t>
        </is>
      </c>
      <c r="V58" s="24" t="inlineStr">
        <is>
          <t>win</t>
        </is>
      </c>
      <c r="W58" s="26" t="n">
        <v>7</v>
      </c>
      <c r="X58" s="26" t="n">
        <v>8</v>
      </c>
      <c r="Y58" s="25" t="n"/>
      <c r="Z58" s="26" t="n"/>
      <c r="AA58" s="28" t="n"/>
      <c r="AB58" s="28" t="n"/>
      <c r="AC58" s="30" t="n">
        <v>0.6757</v>
      </c>
      <c r="AD58" s="24" t="inlineStr">
        <is>
          <t>2026-07-19T23:51:12.968396Z</t>
        </is>
      </c>
      <c r="AE58" s="31" t="inlineStr">
        <is>
          <t>Learned LR call at threshold 0.5150; executable ask 0.5250 (aec-mlb-stl-az-2026-07-19).</t>
        </is>
      </c>
      <c r="AF58" s="31" t="inlineStr">
        <is>
          <t>Learned model; promotion gate not yet open; zero-unit research until review.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mlb-stl</t>
        </is>
      </c>
      <c r="AQ58" s="24" t="inlineStr">
        <is>
          <t>St. Louis Cardinals</t>
        </is>
      </c>
      <c r="AR58" s="24" t="inlineStr">
        <is>
          <t>St. Louis Cardinals</t>
        </is>
      </c>
      <c r="AS58" s="24" t="inlineStr">
        <is>
          <t>mlb-ari</t>
        </is>
      </c>
      <c r="AT58" s="24" t="inlineStr">
        <is>
          <t>Arizona Diamondbacks</t>
        </is>
      </c>
      <c r="AU58" s="24" t="inlineStr">
        <is>
          <t>Arizona Diamondbacks</t>
        </is>
      </c>
      <c r="AV58" s="24" t="n"/>
      <c r="AW58" s="24" t="n"/>
      <c r="AX58" s="24" t="inlineStr">
        <is>
          <t>research_observation</t>
        </is>
      </c>
      <c r="AY58" s="24" t="n"/>
      <c r="AZ58" s="24" t="inlineStr">
        <is>
          <t>research</t>
        </is>
      </c>
      <c r="BA58" s="24" t="inlineStr">
        <is>
          <t>5224fb6ffbc9ddf8fa517627b830ac851192da94d241963d556945393a42bb9d</t>
        </is>
      </c>
      <c r="BB58" s="24" t="inlineStr">
        <is>
          <t>learned_lr</t>
        </is>
      </c>
      <c r="BC58" s="24" t="inlineStr">
        <is>
          <t>mlb-elo-trend-lr-v4</t>
        </is>
      </c>
      <c r="BD58" s="24" t="inlineStr">
        <is>
          <t>5224fb6ffbc9ddf8fa517627b830ac851192da94d241963d556945393a42bb9d</t>
        </is>
      </c>
      <c r="BE58" s="24" t="inlineStr">
        <is>
          <t>c892d911f3a93b8b</t>
        </is>
      </c>
      <c r="BF58" s="24" t="inlineStr">
        <is>
          <t>1</t>
        </is>
      </c>
      <c r="BG58" s="24" t="inlineStr">
        <is>
          <t>mlb-elo-trend-lr-v3</t>
        </is>
      </c>
      <c r="BH58" s="24" t="inlineStr">
        <is>
          <t>2026-07-19T12:20:49.926170Z</t>
        </is>
      </c>
      <c r="BI58" s="24" t="inlineStr">
        <is>
          <t>["same_event","same_team_same_day","same_league_same_day"]</t>
        </is>
      </c>
      <c r="BJ58" s="25" t="n"/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</row>
    <row r="59" ht="36" customHeight="1">
      <c r="A59" s="24" t="inlineStr">
        <is>
          <t>244750b2034f4f13</t>
        </is>
      </c>
      <c r="B59" s="24" t="inlineStr">
        <is>
          <t>2026-07-19T12:54:59.612626Z</t>
        </is>
      </c>
      <c r="C59" s="24" t="inlineStr">
        <is>
          <t>2026-07-19T18:10Z</t>
        </is>
      </c>
      <c r="D59" s="24" t="inlineStr">
        <is>
          <t>401816177</t>
        </is>
      </c>
      <c r="E59" s="24" t="inlineStr">
        <is>
          <t>MLB</t>
        </is>
      </c>
      <c r="F59" s="24" t="inlineStr">
        <is>
          <t>Baltimore Orioles</t>
        </is>
      </c>
      <c r="G59" s="24" t="inlineStr">
        <is>
          <t>Houston Astros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-106</v>
      </c>
      <c r="M59" s="27" t="n">
        <v>1.943396</v>
      </c>
      <c r="N59" s="28" t="n">
        <v>0.514563</v>
      </c>
      <c r="O59" s="28" t="n">
        <v>0.518824</v>
      </c>
      <c r="P59" s="28" t="n"/>
      <c r="Q59" s="28" t="n">
        <v>0.004261</v>
      </c>
      <c r="R59" s="26" t="n">
        <v>4</v>
      </c>
      <c r="S59" s="29" t="n">
        <v>0.75</v>
      </c>
      <c r="T59" s="24" t="inlineStr">
        <is>
          <t>mlb-elo-trend-lr-v5</t>
        </is>
      </c>
      <c r="U59" s="24" t="inlineStr">
        <is>
          <t>settled</t>
        </is>
      </c>
      <c r="V59" s="24" t="inlineStr">
        <is>
          <t>loss</t>
        </is>
      </c>
      <c r="W59" s="26" t="n">
        <v>5</v>
      </c>
      <c r="X59" s="26" t="n">
        <v>2</v>
      </c>
      <c r="Y59" s="25" t="n"/>
      <c r="Z59" s="26" t="n"/>
      <c r="AA59" s="28" t="n"/>
      <c r="AB59" s="28" t="n"/>
      <c r="AC59" s="30" t="n">
        <v>-0.75</v>
      </c>
      <c r="AD59" s="24" t="inlineStr">
        <is>
          <t>2026-07-19T23:12:44.208798Z</t>
        </is>
      </c>
      <c r="AE59" s="31" t="inlineStr">
        <is>
          <t>Learned LR call at threshold 0.5150; executable ask 0.5150 (aec-mlb-bal-hou-2026-07-19).</t>
        </is>
      </c>
      <c r="AF59" s="31" t="inlineStr">
        <is>
          <t>Learned model; promotion gate not yet open; zero-unit research until review.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mlb-bal</t>
        </is>
      </c>
      <c r="AQ59" s="24" t="inlineStr">
        <is>
          <t>Baltimore Orioles</t>
        </is>
      </c>
      <c r="AR59" s="24" t="inlineStr">
        <is>
          <t>Baltimore Orioles</t>
        </is>
      </c>
      <c r="AS59" s="24" t="inlineStr">
        <is>
          <t>mlb-hou</t>
        </is>
      </c>
      <c r="AT59" s="24" t="inlineStr">
        <is>
          <t>Houston Astros</t>
        </is>
      </c>
      <c r="AU59" s="24" t="inlineStr">
        <is>
          <t>Houston Astros</t>
        </is>
      </c>
      <c r="AV59" s="24" t="n"/>
      <c r="AW59" s="24" t="n"/>
      <c r="AX59" s="24" t="inlineStr">
        <is>
          <t>research_observation</t>
        </is>
      </c>
      <c r="AY59" s="24" t="n"/>
      <c r="AZ59" s="24" t="inlineStr">
        <is>
          <t>research</t>
        </is>
      </c>
      <c r="BA59" s="24" t="inlineStr">
        <is>
          <t>5224fb6ffbc9ddf8fa517627b830ac851192da94d241963d556945393a42bb9d</t>
        </is>
      </c>
      <c r="BB59" s="24" t="inlineStr">
        <is>
          <t>learned_lr</t>
        </is>
      </c>
      <c r="BC59" s="24" t="inlineStr">
        <is>
          <t>mlb-elo-trend-lr-v4</t>
        </is>
      </c>
      <c r="BD59" s="24" t="inlineStr">
        <is>
          <t>5224fb6ffbc9ddf8fa517627b830ac851192da94d241963d556945393a42bb9d</t>
        </is>
      </c>
      <c r="BE59" s="24" t="inlineStr">
        <is>
          <t>fb65fbe93d283ddf</t>
        </is>
      </c>
      <c r="BF59" s="24" t="inlineStr">
        <is>
          <t>1</t>
        </is>
      </c>
      <c r="BG59" s="24" t="inlineStr">
        <is>
          <t>mlb-elo-trend-lr-v3</t>
        </is>
      </c>
      <c r="BH59" s="24" t="inlineStr">
        <is>
          <t>2026-07-19T12:20:40.690565Z</t>
        </is>
      </c>
      <c r="BI59" s="24" t="inlineStr">
        <is>
          <t>["same_event","same_team_same_day","same_league_same_day"]</t>
        </is>
      </c>
      <c r="BJ59" s="25" t="n"/>
      <c r="BK59" s="26" t="n">
        <v>-106</v>
      </c>
      <c r="BL59" s="27" t="n">
        <v>1.943396</v>
      </c>
      <c r="BM59" s="28" t="n">
        <v>0.514563</v>
      </c>
      <c r="BN59" s="28" t="n">
        <v>0.5124379999999999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</row>
    <row r="60" ht="36" customHeight="1">
      <c r="A60" s="24" t="inlineStr">
        <is>
          <t>8a8510fe3d5e43d4</t>
        </is>
      </c>
      <c r="B60" s="24" t="inlineStr">
        <is>
          <t>2026-07-19T12:54:59.612626Z</t>
        </is>
      </c>
      <c r="C60" s="24" t="inlineStr">
        <is>
          <t>2026-07-19T20:10Z</t>
        </is>
      </c>
      <c r="D60" s="24" t="inlineStr">
        <is>
          <t>401816183</t>
        </is>
      </c>
      <c r="E60" s="24" t="inlineStr">
        <is>
          <t>MLB</t>
        </is>
      </c>
      <c r="F60" s="24" t="inlineStr">
        <is>
          <t>San Francisco Giants</t>
        </is>
      </c>
      <c r="G60" s="24" t="inlineStr">
        <is>
          <t>Seattle Mariners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-163</v>
      </c>
      <c r="M60" s="27" t="n">
        <v>1.613497</v>
      </c>
      <c r="N60" s="28" t="n">
        <v>0.619772</v>
      </c>
      <c r="O60" s="28" t="n">
        <v>0.595469</v>
      </c>
      <c r="P60" s="28" t="n"/>
      <c r="Q60" s="28" t="n">
        <v>-0.024303</v>
      </c>
      <c r="R60" s="26" t="n">
        <v>75</v>
      </c>
      <c r="S60" s="29" t="n">
        <v>1.5</v>
      </c>
      <c r="T60" s="24" t="inlineStr">
        <is>
          <t>mlb-elo-trend-lr-v5</t>
        </is>
      </c>
      <c r="U60" s="24" t="inlineStr">
        <is>
          <t>settled</t>
        </is>
      </c>
      <c r="V60" s="24" t="inlineStr">
        <is>
          <t>win</t>
        </is>
      </c>
      <c r="W60" s="26" t="n">
        <v>3</v>
      </c>
      <c r="X60" s="26" t="n">
        <v>6</v>
      </c>
      <c r="Y60" s="25" t="n"/>
      <c r="Z60" s="26" t="n"/>
      <c r="AA60" s="28" t="n"/>
      <c r="AB60" s="28" t="n"/>
      <c r="AC60" s="30" t="n">
        <v>0.9202</v>
      </c>
      <c r="AD60" s="24" t="inlineStr">
        <is>
          <t>2026-07-19T23:12:45.440735Z</t>
        </is>
      </c>
      <c r="AE60" s="31" t="inlineStr">
        <is>
          <t>Learned LR call at threshold 0.5150; executable ask 0.6200 (aec-mlb-sf-sea-2026-07-19).</t>
        </is>
      </c>
      <c r="AF60" s="31" t="inlineStr">
        <is>
          <t>Learned model; promotion gate not yet open; zero-unit research until review.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mlb-sf</t>
        </is>
      </c>
      <c r="AQ60" s="24" t="inlineStr">
        <is>
          <t>San Francisco Giants</t>
        </is>
      </c>
      <c r="AR60" s="24" t="inlineStr">
        <is>
          <t>San Francisco Giants</t>
        </is>
      </c>
      <c r="AS60" s="24" t="inlineStr">
        <is>
          <t>mlb-sea</t>
        </is>
      </c>
      <c r="AT60" s="24" t="inlineStr">
        <is>
          <t>Seattle Mariners</t>
        </is>
      </c>
      <c r="AU60" s="24" t="inlineStr">
        <is>
          <t>Seattle Mariners</t>
        </is>
      </c>
      <c r="AV60" s="24" t="n"/>
      <c r="AW60" s="24" t="n"/>
      <c r="AX60" s="24" t="inlineStr">
        <is>
          <t>research_observation</t>
        </is>
      </c>
      <c r="AY60" s="24" t="n"/>
      <c r="AZ60" s="24" t="inlineStr">
        <is>
          <t>research</t>
        </is>
      </c>
      <c r="BA60" s="24" t="inlineStr">
        <is>
          <t>5224fb6ffbc9ddf8fa517627b830ac851192da94d241963d556945393a42bb9d</t>
        </is>
      </c>
      <c r="BB60" s="24" t="inlineStr">
        <is>
          <t>learned_lr</t>
        </is>
      </c>
      <c r="BC60" s="24" t="inlineStr">
        <is>
          <t>mlb-elo-trend-lr-v4</t>
        </is>
      </c>
      <c r="BD60" s="24" t="inlineStr">
        <is>
          <t>5224fb6ffbc9ddf8fa517627b830ac851192da94d241963d556945393a42bb9d</t>
        </is>
      </c>
      <c r="BE60" s="24" t="inlineStr">
        <is>
          <t>56bcde9b031bb310</t>
        </is>
      </c>
      <c r="BF60" s="24" t="inlineStr">
        <is>
          <t>1</t>
        </is>
      </c>
      <c r="BG60" s="24" t="inlineStr">
        <is>
          <t>mlb-elo-trend-lr-v3</t>
        </is>
      </c>
      <c r="BH60" s="24" t="inlineStr">
        <is>
          <t>2026-07-19T12:20:48.978861Z</t>
        </is>
      </c>
      <c r="BI60" s="24" t="inlineStr">
        <is>
          <t>["same_event","same_team_same_day","same_league_same_day"]</t>
        </is>
      </c>
      <c r="BJ60" s="25" t="n"/>
      <c r="BK60" s="26" t="n">
        <v>-163</v>
      </c>
      <c r="BL60" s="27" t="n">
        <v>1.613497</v>
      </c>
      <c r="BM60" s="28" t="n">
        <v>0.619772</v>
      </c>
      <c r="BN60" s="28" t="n">
        <v>0.616915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</row>
    <row r="61" ht="36" customHeight="1">
      <c r="A61" s="24" t="inlineStr">
        <is>
          <t>adbbe8982e7c4a22</t>
        </is>
      </c>
      <c r="B61" s="24" t="inlineStr">
        <is>
          <t>2026-07-19T12:54:59.612626Z</t>
        </is>
      </c>
      <c r="C61" s="24" t="inlineStr">
        <is>
          <t>2026-07-19T17:40Z</t>
        </is>
      </c>
      <c r="D61" s="24" t="inlineStr">
        <is>
          <t>401816174</t>
        </is>
      </c>
      <c r="E61" s="24" t="inlineStr">
        <is>
          <t>MLB</t>
        </is>
      </c>
      <c r="F61" s="24" t="inlineStr">
        <is>
          <t>Pittsburgh Pirates</t>
        </is>
      </c>
      <c r="G61" s="24" t="inlineStr">
        <is>
          <t>Cleveland Guardians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117</v>
      </c>
      <c r="M61" s="27" t="n">
        <v>2.17</v>
      </c>
      <c r="N61" s="28" t="n">
        <v>0.460829</v>
      </c>
      <c r="O61" s="28" t="n">
        <v>0.560582</v>
      </c>
      <c r="P61" s="28" t="n"/>
      <c r="Q61" s="28" t="n">
        <v>0.09975299999999999</v>
      </c>
      <c r="R61" s="26" t="n">
        <v>99</v>
      </c>
      <c r="S61" s="29" t="n">
        <v>1</v>
      </c>
      <c r="T61" s="24" t="inlineStr">
        <is>
          <t>mlb-elo-trend-lr-v5</t>
        </is>
      </c>
      <c r="U61" s="24" t="inlineStr">
        <is>
          <t>settled</t>
        </is>
      </c>
      <c r="V61" s="24" t="inlineStr">
        <is>
          <t>loss</t>
        </is>
      </c>
      <c r="W61" s="26" t="n">
        <v>7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2026-07-19T23:12:43.966052Z</t>
        </is>
      </c>
      <c r="AE61" s="31" t="inlineStr">
        <is>
          <t>Learned LR call at threshold 0.5150; executable ask 0.4600 (aec-mlb-pit-cle-2026-07-19).</t>
        </is>
      </c>
      <c r="AF61" s="31" t="inlineStr">
        <is>
          <t>Learned model; promotion gate not yet open; zero-unit research until review.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mlb-pit</t>
        </is>
      </c>
      <c r="AQ61" s="24" t="inlineStr">
        <is>
          <t>Pittsburgh Pirates</t>
        </is>
      </c>
      <c r="AR61" s="24" t="inlineStr">
        <is>
          <t>Pittsburgh Pirates</t>
        </is>
      </c>
      <c r="AS61" s="24" t="inlineStr">
        <is>
          <t>mlb-cle</t>
        </is>
      </c>
      <c r="AT61" s="24" t="inlineStr">
        <is>
          <t>Cleveland Guardians</t>
        </is>
      </c>
      <c r="AU61" s="24" t="inlineStr">
        <is>
          <t>Cleveland Guardians</t>
        </is>
      </c>
      <c r="AV61" s="24" t="n"/>
      <c r="AW61" s="24" t="n"/>
      <c r="AX61" s="24" t="inlineStr">
        <is>
          <t>research_observation</t>
        </is>
      </c>
      <c r="AY61" s="24" t="n"/>
      <c r="AZ61" s="24" t="inlineStr">
        <is>
          <t>research</t>
        </is>
      </c>
      <c r="BA61" s="24" t="inlineStr">
        <is>
          <t>5224fb6ffbc9ddf8fa517627b830ac851192da94d241963d556945393a42bb9d</t>
        </is>
      </c>
      <c r="BB61" s="24" t="inlineStr">
        <is>
          <t>learned_lr</t>
        </is>
      </c>
      <c r="BC61" s="24" t="inlineStr">
        <is>
          <t>mlb-elo-trend-lr-v4</t>
        </is>
      </c>
      <c r="BD61" s="24" t="inlineStr">
        <is>
          <t>5224fb6ffbc9ddf8fa517627b830ac851192da94d241963d556945393a42bb9d</t>
        </is>
      </c>
      <c r="BE61" s="24" t="inlineStr">
        <is>
          <t>1ea7c40ec20aaa1c</t>
        </is>
      </c>
      <c r="BF61" s="24" t="inlineStr">
        <is>
          <t>1</t>
        </is>
      </c>
      <c r="BG61" s="24" t="inlineStr">
        <is>
          <t>mlb-elo-trend-lr-v3</t>
        </is>
      </c>
      <c r="BH61" s="24" t="inlineStr">
        <is>
          <t>2026-07-19T12:20:39.567439Z</t>
        </is>
      </c>
      <c r="BI61" s="24" t="inlineStr">
        <is>
          <t>["same_event","same_team_same_day","same_league_same_day"]</t>
        </is>
      </c>
      <c r="BJ61" s="25" t="n"/>
      <c r="BK61" s="26" t="n">
        <v>117</v>
      </c>
      <c r="BL61" s="27" t="n">
        <v>2.17</v>
      </c>
      <c r="BM61" s="28" t="n">
        <v>0.460829</v>
      </c>
      <c r="BN61" s="28" t="n">
        <v>0.457711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</row>
    <row r="62" ht="36" customHeight="1">
      <c r="A62" s="24" t="inlineStr">
        <is>
          <t>381bf45d8dc64de8</t>
        </is>
      </c>
      <c r="B62" s="24" t="inlineStr">
        <is>
          <t>2026-07-19T12:54:59.612626Z</t>
        </is>
      </c>
      <c r="C62" s="24" t="inlineStr">
        <is>
          <t>2026-07-19T18:20Z</t>
        </is>
      </c>
      <c r="D62" s="24" t="inlineStr">
        <is>
          <t>401816179</t>
        </is>
      </c>
      <c r="E62" s="24" t="inlineStr">
        <is>
          <t>MLB</t>
        </is>
      </c>
      <c r="F62" s="24" t="inlineStr">
        <is>
          <t>Minnesota Twins</t>
        </is>
      </c>
      <c r="G62" s="24" t="inlineStr">
        <is>
          <t>Chicago Cubs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-150</v>
      </c>
      <c r="M62" s="27" t="n">
        <v>1.666667</v>
      </c>
      <c r="N62" s="28" t="n">
        <v>0.6</v>
      </c>
      <c r="O62" s="28" t="n">
        <v>0.599047</v>
      </c>
      <c r="P62" s="28" t="n"/>
      <c r="Q62" s="28" t="n">
        <v>-0.000953</v>
      </c>
      <c r="R62" s="26" t="n">
        <v>99</v>
      </c>
      <c r="S62" s="29" t="n">
        <v>1.5</v>
      </c>
      <c r="T62" s="24" t="inlineStr">
        <is>
          <t>mlb-elo-trend-lr-v5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10</v>
      </c>
      <c r="Y62" s="25" t="n"/>
      <c r="Z62" s="26" t="n"/>
      <c r="AA62" s="28" t="n"/>
      <c r="AB62" s="28" t="n"/>
      <c r="AC62" s="30" t="n">
        <v>1</v>
      </c>
      <c r="AD62" s="24" t="inlineStr">
        <is>
          <t>2026-07-19T23:12:44.944082Z</t>
        </is>
      </c>
      <c r="AE62" s="31" t="inlineStr">
        <is>
          <t>Learned LR call at threshold 0.5150; executable ask 0.6000 (aec-mlb-min-chc-2026-07-19).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mlb-min</t>
        </is>
      </c>
      <c r="AQ62" s="24" t="inlineStr">
        <is>
          <t>Minnesota Twins</t>
        </is>
      </c>
      <c r="AR62" s="24" t="inlineStr">
        <is>
          <t>Minnesota Twins</t>
        </is>
      </c>
      <c r="AS62" s="24" t="inlineStr">
        <is>
          <t>mlb-chc</t>
        </is>
      </c>
      <c r="AT62" s="24" t="inlineStr">
        <is>
          <t>Chicago Cubs</t>
        </is>
      </c>
      <c r="AU62" s="24" t="inlineStr">
        <is>
          <t>Chicago Cubs</t>
        </is>
      </c>
      <c r="AV62" s="24" t="n"/>
      <c r="AW62" s="24" t="n"/>
      <c r="AX62" s="24" t="inlineStr">
        <is>
          <t>research_observation</t>
        </is>
      </c>
      <c r="AY62" s="24" t="n"/>
      <c r="AZ62" s="24" t="inlineStr">
        <is>
          <t>research</t>
        </is>
      </c>
      <c r="BA62" s="24" t="inlineStr">
        <is>
          <t>5224fb6ffbc9ddf8fa517627b830ac851192da94d241963d556945393a42bb9d</t>
        </is>
      </c>
      <c r="BB62" s="24" t="inlineStr">
        <is>
          <t>learned_lr</t>
        </is>
      </c>
      <c r="BC62" s="24" t="inlineStr">
        <is>
          <t>mlb-elo-trend-lr-v4</t>
        </is>
      </c>
      <c r="BD62" s="24" t="inlineStr">
        <is>
          <t>5224fb6ffbc9ddf8fa517627b830ac851192da94d241963d556945393a42bb9d</t>
        </is>
      </c>
      <c r="BE62" s="24" t="inlineStr">
        <is>
          <t>a5e44fbf125c8b8d</t>
        </is>
      </c>
      <c r="BF62" s="24" t="inlineStr">
        <is>
          <t>1</t>
        </is>
      </c>
      <c r="BG62" s="24" t="inlineStr">
        <is>
          <t>mlb-elo-trend-lr-v3</t>
        </is>
      </c>
      <c r="BH62" s="24" t="inlineStr">
        <is>
          <t>2026-07-19T12:20:44.784549Z</t>
        </is>
      </c>
      <c r="BI62" s="24" t="inlineStr">
        <is>
          <t>["same_event","same_team_same_day","same_league_same_day"]</t>
        </is>
      </c>
      <c r="BJ62" s="25" t="n"/>
      <c r="BK62" s="26" t="n">
        <v>-150</v>
      </c>
      <c r="BL62" s="27" t="n">
        <v>1.666667</v>
      </c>
      <c r="BM62" s="28" t="n">
        <v>0.6</v>
      </c>
      <c r="BN62" s="28" t="n">
        <v>0.597015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</row>
    <row r="63" ht="36" customHeight="1">
      <c r="A63" s="24" t="inlineStr">
        <is>
          <t>7b496571632f4a03</t>
        </is>
      </c>
      <c r="B63" s="24" t="inlineStr">
        <is>
          <t>2026-07-19T12:54:59.612626Z</t>
        </is>
      </c>
      <c r="C63" s="24" t="inlineStr">
        <is>
          <t>2026-07-19T17:35Z</t>
        </is>
      </c>
      <c r="D63" s="24" t="inlineStr">
        <is>
          <t>401816173</t>
        </is>
      </c>
      <c r="E63" s="24" t="inlineStr">
        <is>
          <t>MLB</t>
        </is>
      </c>
      <c r="F63" s="24" t="inlineStr">
        <is>
          <t>New York Mets</t>
        </is>
      </c>
      <c r="G63" s="24" t="inlineStr">
        <is>
          <t>Philadelphia Phillies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117</v>
      </c>
      <c r="M63" s="27" t="n">
        <v>2.17</v>
      </c>
      <c r="N63" s="28" t="n">
        <v>0.460829</v>
      </c>
      <c r="O63" s="28" t="n">
        <v>0.6153690000000001</v>
      </c>
      <c r="P63" s="28" t="n"/>
      <c r="Q63" s="28" t="n">
        <v>0.15454</v>
      </c>
      <c r="R63" s="26" t="n">
        <v>100</v>
      </c>
      <c r="S63" s="29" t="n">
        <v>1.75</v>
      </c>
      <c r="T63" s="24" t="inlineStr">
        <is>
          <t>mlb-elo-trend-lr-v5</t>
        </is>
      </c>
      <c r="U63" s="24" t="inlineStr">
        <is>
          <t>settled</t>
        </is>
      </c>
      <c r="V63" s="24" t="inlineStr">
        <is>
          <t>loss</t>
        </is>
      </c>
      <c r="W63" s="26" t="n">
        <v>6</v>
      </c>
      <c r="X63" s="26" t="n">
        <v>1</v>
      </c>
      <c r="Y63" s="25" t="n"/>
      <c r="Z63" s="26" t="n"/>
      <c r="AA63" s="28" t="n"/>
      <c r="AB63" s="28" t="n"/>
      <c r="AC63" s="30" t="n">
        <v>-1.75</v>
      </c>
      <c r="AD63" s="24" t="inlineStr">
        <is>
          <t>2026-07-19T23:12:43.477592Z</t>
        </is>
      </c>
      <c r="AE63" s="31" t="inlineStr">
        <is>
          <t>Learned LR call at threshold 0.5150; executable ask 0.4600 (aec-mlb-nym-phi-2026-07-19).</t>
        </is>
      </c>
      <c r="AF63" s="31" t="inlineStr">
        <is>
          <t>Learned model; promotion gate not yet open; zero-unit research until review.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mlb-nym</t>
        </is>
      </c>
      <c r="AQ63" s="24" t="inlineStr">
        <is>
          <t>New York Mets</t>
        </is>
      </c>
      <c r="AR63" s="24" t="inlineStr">
        <is>
          <t>New York Mets</t>
        </is>
      </c>
      <c r="AS63" s="24" t="inlineStr">
        <is>
          <t>mlb-phi</t>
        </is>
      </c>
      <c r="AT63" s="24" t="inlineStr">
        <is>
          <t>Philadelphia Phillies</t>
        </is>
      </c>
      <c r="AU63" s="24" t="inlineStr">
        <is>
          <t>Philadelphia Phillies</t>
        </is>
      </c>
      <c r="AV63" s="24" t="n"/>
      <c r="AW63" s="24" t="n"/>
      <c r="AX63" s="24" t="inlineStr">
        <is>
          <t>research_observation</t>
        </is>
      </c>
      <c r="AY63" s="24" t="n"/>
      <c r="AZ63" s="24" t="inlineStr">
        <is>
          <t>research</t>
        </is>
      </c>
      <c r="BA63" s="24" t="inlineStr">
        <is>
          <t>5224fb6ffbc9ddf8fa517627b830ac851192da94d241963d556945393a42bb9d</t>
        </is>
      </c>
      <c r="BB63" s="24" t="inlineStr">
        <is>
          <t>learned_lr</t>
        </is>
      </c>
      <c r="BC63" s="24" t="inlineStr">
        <is>
          <t>mlb-elo-trend-lr-v4</t>
        </is>
      </c>
      <c r="BD63" s="24" t="inlineStr">
        <is>
          <t>5224fb6ffbc9ddf8fa517627b830ac851192da94d241963d556945393a42bb9d</t>
        </is>
      </c>
      <c r="BE63" s="24" t="inlineStr">
        <is>
          <t>f5f93a0e01a0b4e1</t>
        </is>
      </c>
      <c r="BF63" s="24" t="inlineStr">
        <is>
          <t>1</t>
        </is>
      </c>
      <c r="BG63" s="24" t="inlineStr">
        <is>
          <t>mlb-elo-trend-lr-v3</t>
        </is>
      </c>
      <c r="BH63" s="24" t="inlineStr">
        <is>
          <t>2026-07-19T12:20:37.335421Z</t>
        </is>
      </c>
      <c r="BI63" s="24" t="inlineStr">
        <is>
          <t>["same_event","same_team_same_day","same_league_same_day"]</t>
        </is>
      </c>
      <c r="BJ63" s="25" t="n"/>
      <c r="BK63" s="26" t="n">
        <v>117</v>
      </c>
      <c r="BL63" s="27" t="n">
        <v>2.17</v>
      </c>
      <c r="BM63" s="28" t="n">
        <v>0.460829</v>
      </c>
      <c r="BN63" s="28" t="n">
        <v>0.457711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</row>
    <row r="64" ht="36" customHeight="1">
      <c r="A64" s="24" t="inlineStr">
        <is>
          <t>f036fa1150dd4319</t>
        </is>
      </c>
      <c r="B64" s="24" t="inlineStr">
        <is>
          <t>2026-07-19T12:54:59.612626Z</t>
        </is>
      </c>
      <c r="C64" s="24" t="inlineStr">
        <is>
          <t>2026-07-19T16:15Z</t>
        </is>
      </c>
      <c r="D64" s="24" t="inlineStr">
        <is>
          <t>401816171</t>
        </is>
      </c>
      <c r="E64" s="24" t="inlineStr">
        <is>
          <t>MLB</t>
        </is>
      </c>
      <c r="F64" s="24" t="inlineStr">
        <is>
          <t>Chicago White Sox</t>
        </is>
      </c>
      <c r="G64" s="24" t="inlineStr">
        <is>
          <t>Toronto Blue Jays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104</v>
      </c>
      <c r="M64" s="27" t="n">
        <v>2.04</v>
      </c>
      <c r="N64" s="28" t="n">
        <v>0.490196</v>
      </c>
      <c r="O64" s="28" t="n">
        <v>0.552013</v>
      </c>
      <c r="P64" s="28" t="n"/>
      <c r="Q64" s="28" t="n">
        <v>0.061817</v>
      </c>
      <c r="R64" s="26" t="n">
        <v>61</v>
      </c>
      <c r="S64" s="29" t="n">
        <v>1</v>
      </c>
      <c r="T64" s="24" t="inlineStr">
        <is>
          <t>mlb-elo-trend-lr-v5</t>
        </is>
      </c>
      <c r="U64" s="24" t="inlineStr">
        <is>
          <t>settled</t>
        </is>
      </c>
      <c r="V64" s="24" t="inlineStr">
        <is>
          <t>loss</t>
        </is>
      </c>
      <c r="W64" s="26" t="n">
        <v>3</v>
      </c>
      <c r="X64" s="26" t="n">
        <v>0</v>
      </c>
      <c r="Y64" s="25" t="n"/>
      <c r="Z64" s="26" t="n"/>
      <c r="AA64" s="28" t="n"/>
      <c r="AB64" s="28" t="n"/>
      <c r="AC64" s="30" t="n">
        <v>-1</v>
      </c>
      <c r="AD64" s="24" t="inlineStr">
        <is>
          <t>2026-07-19T23:12:43.225807Z</t>
        </is>
      </c>
      <c r="AE64" s="31" t="inlineStr">
        <is>
          <t>Learned LR call at threshold 0.5150; executable ask 0.4900 (aec-mlb-cws-tor-2026-07-19).</t>
        </is>
      </c>
      <c r="AF64" s="31" t="inlineStr">
        <is>
          <t>Learned model; promotion gate not yet open; zero-unit research until review.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mlb-cws</t>
        </is>
      </c>
      <c r="AQ64" s="24" t="inlineStr">
        <is>
          <t>Chicago White Sox</t>
        </is>
      </c>
      <c r="AR64" s="24" t="inlineStr">
        <is>
          <t>Chicago White Sox</t>
        </is>
      </c>
      <c r="AS64" s="24" t="inlineStr">
        <is>
          <t>mlb-tor</t>
        </is>
      </c>
      <c r="AT64" s="24" t="inlineStr">
        <is>
          <t>Toronto Blue Jays</t>
        </is>
      </c>
      <c r="AU64" s="24" t="inlineStr">
        <is>
          <t>Toronto Blue Jays</t>
        </is>
      </c>
      <c r="AV64" s="24" t="n"/>
      <c r="AW64" s="24" t="n"/>
      <c r="AX64" s="24" t="inlineStr">
        <is>
          <t>research_observation</t>
        </is>
      </c>
      <c r="AY64" s="24" t="n"/>
      <c r="AZ64" s="24" t="inlineStr">
        <is>
          <t>research</t>
        </is>
      </c>
      <c r="BA64" s="24" t="inlineStr">
        <is>
          <t>5224fb6ffbc9ddf8fa517627b830ac851192da94d241963d556945393a42bb9d</t>
        </is>
      </c>
      <c r="BB64" s="24" t="inlineStr">
        <is>
          <t>learned_lr</t>
        </is>
      </c>
      <c r="BC64" s="24" t="inlineStr">
        <is>
          <t>mlb-elo-trend-lr-v4</t>
        </is>
      </c>
      <c r="BD64" s="24" t="inlineStr">
        <is>
          <t>5224fb6ffbc9ddf8fa517627b830ac851192da94d241963d556945393a42bb9d</t>
        </is>
      </c>
      <c r="BE64" s="24" t="inlineStr">
        <is>
          <t>097339aadf4c669a</t>
        </is>
      </c>
      <c r="BF64" s="24" t="inlineStr">
        <is>
          <t>1</t>
        </is>
      </c>
      <c r="BG64" s="24" t="inlineStr">
        <is>
          <t>mlb-elo-trend-lr-v3</t>
        </is>
      </c>
      <c r="BH64" s="24" t="inlineStr">
        <is>
          <t>2026-07-19T12:20:33.531222Z</t>
        </is>
      </c>
      <c r="BI64" s="24" t="inlineStr">
        <is>
          <t>["same_event","same_team_same_day","same_league_same_day"]</t>
        </is>
      </c>
      <c r="BJ64" s="25" t="n"/>
      <c r="BK64" s="26" t="n">
        <v>104</v>
      </c>
      <c r="BL64" s="27" t="n">
        <v>2.04</v>
      </c>
      <c r="BM64" s="28" t="n">
        <v>0.490196</v>
      </c>
      <c r="BN64" s="28" t="n">
        <v>0.487562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</row>
    <row r="65" ht="36" customHeight="1">
      <c r="A65" s="24" t="inlineStr">
        <is>
          <t>661bb12e4b834336</t>
        </is>
      </c>
      <c r="B65" s="24" t="inlineStr">
        <is>
          <t>2026-07-19T12:54:59.612626Z</t>
        </is>
      </c>
      <c r="C65" s="24" t="inlineStr">
        <is>
          <t>2026-07-19T17:35Z</t>
        </is>
      </c>
      <c r="D65" s="24" t="inlineStr">
        <is>
          <t>401816175</t>
        </is>
      </c>
      <c r="E65" s="24" t="inlineStr">
        <is>
          <t>MLB</t>
        </is>
      </c>
      <c r="F65" s="24" t="inlineStr">
        <is>
          <t>Tampa Bay Rays</t>
        </is>
      </c>
      <c r="G65" s="24" t="inlineStr">
        <is>
          <t>Boston Red Sox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-117</v>
      </c>
      <c r="M65" s="27" t="n">
        <v>1.854701</v>
      </c>
      <c r="N65" s="28" t="n">
        <v>0.539171</v>
      </c>
      <c r="O65" s="28" t="n">
        <v>0.5530080000000001</v>
      </c>
      <c r="P65" s="28" t="n"/>
      <c r="Q65" s="28" t="n">
        <v>0.013837</v>
      </c>
      <c r="R65" s="26" t="n">
        <v>13</v>
      </c>
      <c r="S65" s="29" t="n">
        <v>1</v>
      </c>
      <c r="T65" s="24" t="inlineStr">
        <is>
          <t>mlb-elo-trend-lr-v5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6</v>
      </c>
      <c r="Y65" s="25" t="n"/>
      <c r="Z65" s="26" t="n"/>
      <c r="AA65" s="28" t="n"/>
      <c r="AB65" s="28" t="n"/>
      <c r="AC65" s="30" t="n">
        <v>0.8547</v>
      </c>
      <c r="AD65" s="24" t="inlineStr">
        <is>
          <t>2026-07-19T23:12:43.720828Z</t>
        </is>
      </c>
      <c r="AE65" s="31" t="inlineStr">
        <is>
          <t>Learned LR call at threshold 0.5150; executable ask 0.5400 (aec-mlb-tb-bos-2026-07-19).</t>
        </is>
      </c>
      <c r="AF65" s="31" t="inlineStr">
        <is>
          <t>Learned model; promotion gate not yet open; zero-unit research until review.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mlb-tb</t>
        </is>
      </c>
      <c r="AQ65" s="24" t="inlineStr">
        <is>
          <t>Tampa Bay Rays</t>
        </is>
      </c>
      <c r="AR65" s="24" t="inlineStr">
        <is>
          <t>Tampa Bay Rays</t>
        </is>
      </c>
      <c r="AS65" s="24" t="inlineStr">
        <is>
          <t>mlb-bos</t>
        </is>
      </c>
      <c r="AT65" s="24" t="inlineStr">
        <is>
          <t>Boston Red Sox</t>
        </is>
      </c>
      <c r="AU65" s="24" t="inlineStr">
        <is>
          <t>Boston Red Sox</t>
        </is>
      </c>
      <c r="AV65" s="24" t="n"/>
      <c r="AW65" s="24" t="n"/>
      <c r="AX65" s="24" t="inlineStr">
        <is>
          <t>research_observation</t>
        </is>
      </c>
      <c r="AY65" s="24" t="n"/>
      <c r="AZ65" s="24" t="inlineStr">
        <is>
          <t>research</t>
        </is>
      </c>
      <c r="BA65" s="24" t="inlineStr">
        <is>
          <t>5224fb6ffbc9ddf8fa517627b830ac851192da94d241963d556945393a42bb9d</t>
        </is>
      </c>
      <c r="BB65" s="24" t="inlineStr">
        <is>
          <t>learned_lr</t>
        </is>
      </c>
      <c r="BC65" s="24" t="inlineStr">
        <is>
          <t>mlb-elo-trend-lr-v4</t>
        </is>
      </c>
      <c r="BD65" s="24" t="inlineStr">
        <is>
          <t>5224fb6ffbc9ddf8fa517627b830ac851192da94d241963d556945393a42bb9d</t>
        </is>
      </c>
      <c r="BE65" s="24" t="inlineStr">
        <is>
          <t>d975b9b26847e04d</t>
        </is>
      </c>
      <c r="BF65" s="24" t="inlineStr">
        <is>
          <t>1</t>
        </is>
      </c>
      <c r="BG65" s="24" t="inlineStr">
        <is>
          <t>mlb-elo-trend-lr-v3</t>
        </is>
      </c>
      <c r="BH65" s="24" t="inlineStr">
        <is>
          <t>2026-07-19T12:20:38.787831Z</t>
        </is>
      </c>
      <c r="BI65" s="24" t="inlineStr">
        <is>
          <t>["same_event","same_team_same_day","same_league_same_day"]</t>
        </is>
      </c>
      <c r="BJ65" s="25" t="n"/>
      <c r="BK65" s="26" t="n">
        <v>-117</v>
      </c>
      <c r="BL65" s="27" t="n">
        <v>1.854701</v>
      </c>
      <c r="BM65" s="28" t="n">
        <v>0.539171</v>
      </c>
      <c r="BN65" s="28" t="n">
        <v>0.537313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</row>
    <row r="66" ht="36" customHeight="1">
      <c r="A66" s="24" t="inlineStr">
        <is>
          <t>deb68aa7d25042de</t>
        </is>
      </c>
      <c r="B66" s="24" t="inlineStr">
        <is>
          <t>2026-07-19T10:49:38.448695+00:00</t>
        </is>
      </c>
      <c r="C66" s="24" t="inlineStr">
        <is>
          <t>2026-07-17T14:00:00-0400</t>
        </is>
      </c>
      <c r="D66" s="24" t="inlineStr">
        <is>
          <t>Atla-Toro-2026-07-17</t>
        </is>
      </c>
      <c r="E66" s="24" t="inlineStr">
        <is>
          <t>WNBA</t>
        </is>
      </c>
      <c r="F66" s="24" t="inlineStr">
        <is>
          <t>Atlanta Dream</t>
        </is>
      </c>
      <c r="G66" s="24" t="inlineStr">
        <is>
          <t>Toronto Tempo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</t>
        </is>
      </c>
      <c r="L66" s="26" t="n">
        <v>-376</v>
      </c>
      <c r="M66" s="27" t="n">
        <v>1.265957</v>
      </c>
      <c r="N66" s="28" t="n">
        <v>0.789916</v>
      </c>
      <c r="O66" s="28" t="n">
        <v>0.534506</v>
      </c>
      <c r="P66" s="28" t="n">
        <v>0.05</v>
      </c>
      <c r="Q66" s="28" t="n">
        <v>-0.25541</v>
      </c>
      <c r="R66" s="26" t="n"/>
      <c r="S66" s="29" t="n">
        <v>0.75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win</t>
        </is>
      </c>
      <c r="W66" s="26" t="n">
        <v>111</v>
      </c>
      <c r="X66" s="26" t="n">
        <v>92</v>
      </c>
      <c r="Y66" s="25" t="n"/>
      <c r="Z66" s="26" t="n"/>
      <c r="AA66" s="28" t="n"/>
      <c r="AB66" s="28" t="n"/>
      <c r="AC66" s="30" t="n">
        <v>0.1995</v>
      </c>
      <c r="AD66" s="24" t="inlineStr">
        <is>
          <t>2026-07-19T12:18:56.426270+00:00</t>
        </is>
      </c>
      <c r="AE66" s="31" t="inlineStr">
        <is>
          <t>backtest</t>
        </is>
      </c>
      <c r="AF66" s="31" t="n"/>
      <c r="AG66" s="24" t="n"/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n"/>
      <c r="AQ66" s="24" t="n"/>
      <c r="AR66" s="24" t="inlineStr">
        <is>
          <t>Atlanta Dream</t>
        </is>
      </c>
      <c r="AS66" s="24" t="n"/>
      <c r="AT66" s="24" t="n"/>
      <c r="AU66" s="24" t="inlineStr">
        <is>
          <t>Toronto Tempo</t>
        </is>
      </c>
      <c r="AV66" s="24" t="n"/>
      <c r="AW66" s="24" t="n"/>
      <c r="AX66" s="24" t="inlineStr">
        <is>
          <t>research_observation</t>
        </is>
      </c>
      <c r="AY66" s="24" t="n"/>
      <c r="AZ66" s="24" t="inlineStr">
        <is>
          <t>shadow_qualified</t>
        </is>
      </c>
      <c r="BA66" s="24" t="n"/>
      <c r="BB66" s="24" t="inlineStr">
        <is>
          <t>identity</t>
        </is>
      </c>
      <c r="BC66" s="24" t="inlineStr">
        <is>
          <t>identity-v1</t>
        </is>
      </c>
      <c r="BD66" s="24" t="n"/>
      <c r="BE66" s="24" t="inlineStr">
        <is>
          <t>legacy-1</t>
        </is>
      </c>
      <c r="BF66" s="24" t="inlineStr">
        <is>
          <t>legacy-unresolved</t>
        </is>
      </c>
      <c r="BG66" s="24" t="inlineStr">
        <is>
          <t>legacy</t>
        </is>
      </c>
      <c r="BH66" s="24" t="inlineStr">
        <is>
          <t>2026-07-17T16:26:18.670439Z</t>
        </is>
      </c>
      <c r="BI66" s="24" t="n"/>
      <c r="BJ66" s="25" t="n"/>
      <c r="BK66" s="26" t="n">
        <v>-376</v>
      </c>
      <c r="BL66" s="27" t="n">
        <v>1.265957</v>
      </c>
      <c r="BM66" s="28" t="n">
        <v>0.789916</v>
      </c>
      <c r="BN66" s="28" t="n">
        <v>0.782178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</row>
    <row r="67" ht="36" customHeight="1">
      <c r="A67" s="24" t="inlineStr">
        <is>
          <t>413a2bc86aab48de</t>
        </is>
      </c>
      <c r="B67" s="24" t="inlineStr">
        <is>
          <t>2026-07-19T10:49:38.448695+00:00</t>
        </is>
      </c>
      <c r="C67" s="24" t="inlineStr">
        <is>
          <t>2026-07-18T14:00:00-0400</t>
        </is>
      </c>
      <c r="D67" s="24" t="inlineStr">
        <is>
          <t>Wash-Gold-2026-07-18</t>
        </is>
      </c>
      <c r="E67" s="24" t="inlineStr">
        <is>
          <t>WNBA</t>
        </is>
      </c>
      <c r="F67" s="24" t="inlineStr">
        <is>
          <t>Washington Mystics</t>
        </is>
      </c>
      <c r="G67" s="24" t="inlineStr">
        <is>
          <t>Golden State Valkyries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</t>
        </is>
      </c>
      <c r="L67" s="26" t="n">
        <v>-355</v>
      </c>
      <c r="M67" s="27" t="n">
        <v>1.28169</v>
      </c>
      <c r="N67" s="28" t="n">
        <v>0.78022</v>
      </c>
      <c r="O67" s="28" t="n">
        <v>0.743891</v>
      </c>
      <c r="P67" s="28" t="n">
        <v>0.05</v>
      </c>
      <c r="Q67" s="28" t="n">
        <v>-0.036329</v>
      </c>
      <c r="R67" s="26" t="n"/>
      <c r="S67" s="29" t="n">
        <v>2</v>
      </c>
      <c r="T67" s="24" t="inlineStr">
        <is>
          <t>wnba-elo-trend-lr-v4</t>
        </is>
      </c>
      <c r="U67" s="24" t="inlineStr">
        <is>
          <t>settled</t>
        </is>
      </c>
      <c r="V67" s="24" t="inlineStr">
        <is>
          <t>win</t>
        </is>
      </c>
      <c r="W67" s="26" t="n">
        <v>69</v>
      </c>
      <c r="X67" s="26" t="n">
        <v>74</v>
      </c>
      <c r="Y67" s="25" t="n"/>
      <c r="Z67" s="26" t="n"/>
      <c r="AA67" s="28" t="n"/>
      <c r="AB67" s="28" t="n"/>
      <c r="AC67" s="30" t="n">
        <v>0.5634</v>
      </c>
      <c r="AD67" s="24" t="inlineStr">
        <is>
          <t>2026-07-19T12:18:56.428540+00:00</t>
        </is>
      </c>
      <c r="AE67" s="31" t="inlineStr">
        <is>
          <t>backtest</t>
        </is>
      </c>
      <c r="AF67" s="31" t="n"/>
      <c r="AG67" s="24" t="n"/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n"/>
      <c r="AQ67" s="24" t="n"/>
      <c r="AR67" s="24" t="inlineStr">
        <is>
          <t>Washington Mystics</t>
        </is>
      </c>
      <c r="AS67" s="24" t="n"/>
      <c r="AT67" s="24" t="n"/>
      <c r="AU67" s="24" t="inlineStr">
        <is>
          <t>Golden State Valkyries</t>
        </is>
      </c>
      <c r="AV67" s="24" t="n"/>
      <c r="AW67" s="24" t="n"/>
      <c r="AX67" s="24" t="inlineStr">
        <is>
          <t>research_observation</t>
        </is>
      </c>
      <c r="AY67" s="24" t="n"/>
      <c r="AZ67" s="24" t="inlineStr">
        <is>
          <t>shadow_qualified</t>
        </is>
      </c>
      <c r="BA67" s="24" t="n"/>
      <c r="BB67" s="24" t="inlineStr">
        <is>
          <t>identity</t>
        </is>
      </c>
      <c r="BC67" s="24" t="inlineStr">
        <is>
          <t>identity-v1</t>
        </is>
      </c>
      <c r="BD67" s="24" t="n"/>
      <c r="BE67" s="24" t="inlineStr">
        <is>
          <t>legacy-1</t>
        </is>
      </c>
      <c r="BF67" s="24" t="inlineStr">
        <is>
          <t>legacy-unresolved</t>
        </is>
      </c>
      <c r="BG67" s="24" t="inlineStr">
        <is>
          <t>legacy</t>
        </is>
      </c>
      <c r="BH67" s="24" t="inlineStr">
        <is>
          <t>2026-07-18T17:33:31.640957Z</t>
        </is>
      </c>
      <c r="BI67" s="24" t="n"/>
      <c r="BJ67" s="25" t="n"/>
      <c r="BK67" s="26" t="n">
        <v>-355</v>
      </c>
      <c r="BL67" s="27" t="n">
        <v>1.28169</v>
      </c>
      <c r="BM67" s="28" t="n">
        <v>0.78022</v>
      </c>
      <c r="BN67" s="28" t="n">
        <v>0.772277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</row>
    <row r="68" ht="36" customHeight="1">
      <c r="A68" s="24" t="inlineStr">
        <is>
          <t>5c32fca0897f4465</t>
        </is>
      </c>
      <c r="B68" s="24" t="inlineStr">
        <is>
          <t>2026-07-19T10:49:38.448695+00:00</t>
        </is>
      </c>
      <c r="C68" s="24" t="inlineStr">
        <is>
          <t>2026-07-18T14:00:00-0400</t>
        </is>
      </c>
      <c r="D68" s="24" t="inlineStr">
        <is>
          <t>Port-Minn-2026-07-18</t>
        </is>
      </c>
      <c r="E68" s="24" t="inlineStr">
        <is>
          <t>WNBA</t>
        </is>
      </c>
      <c r="F68" s="24" t="inlineStr">
        <is>
          <t>Portland Fire</t>
        </is>
      </c>
      <c r="G68" s="24" t="inlineStr">
        <is>
          <t>Minnesota Lynx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</t>
        </is>
      </c>
      <c r="L68" s="26" t="n">
        <v>-669</v>
      </c>
      <c r="M68" s="27" t="n">
        <v>1.149477</v>
      </c>
      <c r="N68" s="28" t="n">
        <v>0.869961</v>
      </c>
      <c r="O68" s="28" t="n">
        <v>0.741703</v>
      </c>
      <c r="P68" s="28" t="n">
        <v>0.05</v>
      </c>
      <c r="Q68" s="28" t="n">
        <v>-0.128258</v>
      </c>
      <c r="R68" s="26" t="n"/>
      <c r="S68" s="29" t="n">
        <v>2</v>
      </c>
      <c r="T68" s="24" t="inlineStr">
        <is>
          <t>wnba-elo-trend-lr-v4</t>
        </is>
      </c>
      <c r="U68" s="24" t="inlineStr">
        <is>
          <t>settled</t>
        </is>
      </c>
      <c r="V68" s="24" t="inlineStr">
        <is>
          <t>win</t>
        </is>
      </c>
      <c r="W68" s="26" t="n">
        <v>93</v>
      </c>
      <c r="X68" s="26" t="n">
        <v>101</v>
      </c>
      <c r="Y68" s="25" t="n"/>
      <c r="Z68" s="26" t="n"/>
      <c r="AA68" s="28" t="n"/>
      <c r="AB68" s="28" t="n"/>
      <c r="AC68" s="30" t="n">
        <v>0.299</v>
      </c>
      <c r="AD68" s="24" t="inlineStr">
        <is>
          <t>2026-07-19T12:18:56.428398+00:00</t>
        </is>
      </c>
      <c r="AE68" s="31" t="inlineStr">
        <is>
          <t>backtest</t>
        </is>
      </c>
      <c r="AF68" s="31" t="n"/>
      <c r="AG68" s="24" t="n"/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n"/>
      <c r="AQ68" s="24" t="n"/>
      <c r="AR68" s="24" t="inlineStr">
        <is>
          <t>Portland Fire</t>
        </is>
      </c>
      <c r="AS68" s="24" t="n"/>
      <c r="AT68" s="24" t="n"/>
      <c r="AU68" s="24" t="inlineStr">
        <is>
          <t>Minnesota Lynx</t>
        </is>
      </c>
      <c r="AV68" s="24" t="n"/>
      <c r="AW68" s="24" t="n"/>
      <c r="AX68" s="24" t="inlineStr">
        <is>
          <t>research_observation</t>
        </is>
      </c>
      <c r="AY68" s="24" t="n"/>
      <c r="AZ68" s="24" t="inlineStr">
        <is>
          <t>shadow_qualified</t>
        </is>
      </c>
      <c r="BA68" s="24" t="n"/>
      <c r="BB68" s="24" t="inlineStr">
        <is>
          <t>identity</t>
        </is>
      </c>
      <c r="BC68" s="24" t="inlineStr">
        <is>
          <t>identity-v1</t>
        </is>
      </c>
      <c r="BD68" s="24" t="n"/>
      <c r="BE68" s="24" t="inlineStr">
        <is>
          <t>legacy-1</t>
        </is>
      </c>
      <c r="BF68" s="24" t="inlineStr">
        <is>
          <t>legacy-unresolved</t>
        </is>
      </c>
      <c r="BG68" s="24" t="inlineStr">
        <is>
          <t>legacy</t>
        </is>
      </c>
      <c r="BH68" s="24" t="inlineStr">
        <is>
          <t>2026-07-18T17:33:30.250960Z</t>
        </is>
      </c>
      <c r="BI68" s="24" t="n"/>
      <c r="BJ68" s="25" t="n"/>
      <c r="BK68" s="26" t="n">
        <v>-669</v>
      </c>
      <c r="BL68" s="27" t="n">
        <v>1.149477</v>
      </c>
      <c r="BM68" s="28" t="n">
        <v>0.869961</v>
      </c>
      <c r="BN68" s="28" t="n">
        <v>0.861386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</row>
    <row r="69" ht="36" customHeight="1">
      <c r="A69" s="24" t="inlineStr">
        <is>
          <t>7e8754f391d2475e</t>
        </is>
      </c>
      <c r="B69" s="24" t="inlineStr">
        <is>
          <t>2026-07-19T10:49:38.448695+00:00</t>
        </is>
      </c>
      <c r="C69" s="24" t="inlineStr">
        <is>
          <t>2026-07-18T14:00:00-0400</t>
        </is>
      </c>
      <c r="D69" s="24" t="inlineStr">
        <is>
          <t>Detr-LosA-2026-07-18</t>
        </is>
      </c>
      <c r="E69" s="24" t="inlineStr">
        <is>
          <t>MLB</t>
        </is>
      </c>
      <c r="F69" s="24" t="inlineStr">
        <is>
          <t>Detroit Tigers</t>
        </is>
      </c>
      <c r="G69" s="24" t="inlineStr">
        <is>
          <t>Los Angeles Angels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</t>
        </is>
      </c>
      <c r="L69" s="26" t="n">
        <v>-178</v>
      </c>
      <c r="M69" s="27" t="n">
        <v>1.561798</v>
      </c>
      <c r="N69" s="28" t="n">
        <v>0.640288</v>
      </c>
      <c r="O69" s="28" t="n">
        <v>0.550233</v>
      </c>
      <c r="P69" s="28" t="n">
        <v>0.05</v>
      </c>
      <c r="Q69" s="28" t="n">
        <v>-0.090055</v>
      </c>
      <c r="R69" s="26" t="n">
        <v>9</v>
      </c>
      <c r="S69" s="29" t="n">
        <v>1</v>
      </c>
      <c r="T69" s="24" t="inlineStr">
        <is>
          <t>mlb-elo-trend-lr-v5</t>
        </is>
      </c>
      <c r="U69" s="24" t="inlineStr">
        <is>
          <t>settled</t>
        </is>
      </c>
      <c r="V69" s="24" t="inlineStr">
        <is>
          <t>win</t>
        </is>
      </c>
      <c r="W69" s="26" t="n">
        <v>7</v>
      </c>
      <c r="X69" s="26" t="n">
        <v>0</v>
      </c>
      <c r="Y69" s="25" t="n"/>
      <c r="Z69" s="26" t="n"/>
      <c r="AA69" s="28" t="n"/>
      <c r="AB69" s="28" t="n"/>
      <c r="AC69" s="30" t="n">
        <v>0.5618</v>
      </c>
      <c r="AD69" s="24" t="inlineStr">
        <is>
          <t>2026-07-19T12:18:56.428327+00:00</t>
        </is>
      </c>
      <c r="AE69" s="31" t="inlineStr">
        <is>
          <t>backtest</t>
        </is>
      </c>
      <c r="AF69" s="31" t="n"/>
      <c r="AG69" s="24" t="n"/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n"/>
      <c r="AQ69" s="24" t="n"/>
      <c r="AR69" s="24" t="inlineStr">
        <is>
          <t>Detroit Tigers</t>
        </is>
      </c>
      <c r="AS69" s="24" t="n"/>
      <c r="AT69" s="24" t="n"/>
      <c r="AU69" s="24" t="inlineStr">
        <is>
          <t>Los Angeles Angels</t>
        </is>
      </c>
      <c r="AV69" s="24" t="n"/>
      <c r="AW69" s="24" t="n"/>
      <c r="AX69" s="24" t="inlineStr">
        <is>
          <t>research_observation</t>
        </is>
      </c>
      <c r="AY69" s="24" t="n"/>
      <c r="AZ69" s="24" t="inlineStr">
        <is>
          <t>shadow_qualified</t>
        </is>
      </c>
      <c r="BA69" s="24" t="inlineStr">
        <is>
          <t>5224fb6ffbc9ddf8fa517627b830ac851192da94d241963d556945393a42bb9d</t>
        </is>
      </c>
      <c r="BB69" s="24" t="inlineStr">
        <is>
          <t>identity</t>
        </is>
      </c>
      <c r="BC69" s="24" t="inlineStr">
        <is>
          <t>mlb-elo-trend-lr-v4</t>
        </is>
      </c>
      <c r="BD69" s="24" t="inlineStr">
        <is>
          <t>5224fb6ffbc9ddf8fa517627b830ac851192da94d241963d556945393a42bb9d</t>
        </is>
      </c>
      <c r="BE69" s="24" t="inlineStr">
        <is>
          <t>legacy-1</t>
        </is>
      </c>
      <c r="BF69" s="24" t="inlineStr">
        <is>
          <t>legacy-unresolved</t>
        </is>
      </c>
      <c r="BG69" s="24" t="inlineStr">
        <is>
          <t>legacy</t>
        </is>
      </c>
      <c r="BH69" s="24" t="inlineStr">
        <is>
          <t>2026-07-18T17:33:26.013189Z</t>
        </is>
      </c>
      <c r="BI69" s="24" t="n"/>
      <c r="BJ69" s="25" t="n"/>
      <c r="BK69" s="26" t="n">
        <v>-178</v>
      </c>
      <c r="BL69" s="27" t="n">
        <v>1.561798</v>
      </c>
      <c r="BM69" s="28" t="n">
        <v>0.640288</v>
      </c>
      <c r="BN69" s="28" t="n">
        <v>0.636816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</row>
    <row r="70" ht="36" customHeight="1">
      <c r="A70" s="24" t="inlineStr">
        <is>
          <t>f1019aa0671049ee</t>
        </is>
      </c>
      <c r="B70" s="24" t="inlineStr">
        <is>
          <t>2026-07-19T10:49:38.448695+00:00</t>
        </is>
      </c>
      <c r="C70" s="24" t="inlineStr">
        <is>
          <t>2026-07-18T14:00:00-0400</t>
        </is>
      </c>
      <c r="D70" s="24" t="inlineStr">
        <is>
          <t>SanF-Seat-2026-07-18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Seattle Mariners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</t>
        </is>
      </c>
      <c r="L70" s="26" t="n">
        <v>-138</v>
      </c>
      <c r="M70" s="27" t="n">
        <v>1.724638</v>
      </c>
      <c r="N70" s="28" t="n">
        <v>0.579832</v>
      </c>
      <c r="O70" s="28" t="n">
        <v>0.597575</v>
      </c>
      <c r="P70" s="28" t="n">
        <v>0.05</v>
      </c>
      <c r="Q70" s="28" t="n">
        <v>0.017743</v>
      </c>
      <c r="R70" s="26" t="n">
        <v>17</v>
      </c>
      <c r="S70" s="29" t="n">
        <v>1.5</v>
      </c>
      <c r="T70" s="24" t="inlineStr">
        <is>
          <t>mlb-elo-trend-lr-v5</t>
        </is>
      </c>
      <c r="U70" s="24" t="inlineStr">
        <is>
          <t>settled</t>
        </is>
      </c>
      <c r="V70" s="24" t="inlineStr">
        <is>
          <t>win</t>
        </is>
      </c>
      <c r="W70" s="26" t="n">
        <v>3</v>
      </c>
      <c r="X70" s="26" t="n">
        <v>4</v>
      </c>
      <c r="Y70" s="25" t="n"/>
      <c r="Z70" s="26" t="n"/>
      <c r="AA70" s="28" t="n"/>
      <c r="AB70" s="28" t="n"/>
      <c r="AC70" s="30" t="n">
        <v>1.087</v>
      </c>
      <c r="AD70" s="24" t="inlineStr">
        <is>
          <t>2026-07-19T12:18:56.427590+00:00</t>
        </is>
      </c>
      <c r="AE70" s="31" t="inlineStr">
        <is>
          <t>backtest</t>
        </is>
      </c>
      <c r="AF70" s="31" t="n"/>
      <c r="AG70" s="24" t="n"/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n"/>
      <c r="AQ70" s="24" t="n"/>
      <c r="AR70" s="24" t="inlineStr">
        <is>
          <t>San Francisco Giants</t>
        </is>
      </c>
      <c r="AS70" s="24" t="n"/>
      <c r="AT70" s="24" t="n"/>
      <c r="AU70" s="24" t="inlineStr">
        <is>
          <t>Seattle Mariners</t>
        </is>
      </c>
      <c r="AV70" s="24" t="n"/>
      <c r="AW70" s="24" t="n"/>
      <c r="AX70" s="24" t="inlineStr">
        <is>
          <t>research_observation</t>
        </is>
      </c>
      <c r="AY70" s="24" t="n"/>
      <c r="AZ70" s="24" t="inlineStr">
        <is>
          <t>shadow_qualified</t>
        </is>
      </c>
      <c r="BA70" s="24" t="inlineStr">
        <is>
          <t>5224fb6ffbc9ddf8fa517627b830ac851192da94d241963d556945393a42bb9d</t>
        </is>
      </c>
      <c r="BB70" s="24" t="inlineStr">
        <is>
          <t>identity</t>
        </is>
      </c>
      <c r="BC70" s="24" t="inlineStr">
        <is>
          <t>mlb-elo-trend-lr-v4</t>
        </is>
      </c>
      <c r="BD70" s="24" t="inlineStr">
        <is>
          <t>5224fb6ffbc9ddf8fa517627b830ac851192da94d241963d556945393a42bb9d</t>
        </is>
      </c>
      <c r="BE70" s="24" t="inlineStr">
        <is>
          <t>legacy-1</t>
        </is>
      </c>
      <c r="BF70" s="24" t="inlineStr">
        <is>
          <t>legacy-unresolved</t>
        </is>
      </c>
      <c r="BG70" s="24" t="inlineStr">
        <is>
          <t>legacy</t>
        </is>
      </c>
      <c r="BH70" s="24" t="inlineStr">
        <is>
          <t>2026-07-18T17:35:05.699206Z</t>
        </is>
      </c>
      <c r="BI70" s="24" t="n"/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</row>
    <row r="71" ht="36" customHeight="1">
      <c r="A71" s="24" t="inlineStr">
        <is>
          <t>f8293c8d16d748f5</t>
        </is>
      </c>
      <c r="B71" s="24" t="inlineStr">
        <is>
          <t>2026-07-19T10:49:38.448695+00:00</t>
        </is>
      </c>
      <c r="C71" s="24" t="inlineStr">
        <is>
          <t>2026-07-18T14:00:00-0400</t>
        </is>
      </c>
      <c r="D71" s="24" t="inlineStr">
        <is>
          <t>St.L-Ariz-2026-07-18</t>
        </is>
      </c>
      <c r="E71" s="24" t="inlineStr">
        <is>
          <t>MLB</t>
        </is>
      </c>
      <c r="F71" s="24" t="inlineStr">
        <is>
          <t>St. Louis Cardinals</t>
        </is>
      </c>
      <c r="G71" s="24" t="inlineStr">
        <is>
          <t>Arizona Diamondbacks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</t>
        </is>
      </c>
      <c r="L71" s="26" t="n">
        <v>-111</v>
      </c>
      <c r="M71" s="27" t="n">
        <v>1.900901</v>
      </c>
      <c r="N71" s="28" t="n">
        <v>0.526066</v>
      </c>
      <c r="O71" s="28" t="n">
        <v>0.525388</v>
      </c>
      <c r="P71" s="28" t="n">
        <v>0.05</v>
      </c>
      <c r="Q71" s="28" t="n">
        <v>-0.000678</v>
      </c>
      <c r="R71" s="26" t="n">
        <v>99</v>
      </c>
      <c r="S71" s="29" t="n">
        <v>0.75</v>
      </c>
      <c r="T71" s="24" t="inlineStr">
        <is>
          <t>mlb-elo-trend-lr-v5</t>
        </is>
      </c>
      <c r="U71" s="24" t="inlineStr">
        <is>
          <t>settled</t>
        </is>
      </c>
      <c r="V71" s="24" t="inlineStr">
        <is>
          <t>win</t>
        </is>
      </c>
      <c r="W71" s="26" t="n">
        <v>3</v>
      </c>
      <c r="X71" s="26" t="n">
        <v>5</v>
      </c>
      <c r="Y71" s="25" t="n"/>
      <c r="Z71" s="26" t="n"/>
      <c r="AA71" s="28" t="n"/>
      <c r="AB71" s="28" t="n"/>
      <c r="AC71" s="30" t="n">
        <v>0.6757</v>
      </c>
      <c r="AD71" s="24" t="inlineStr">
        <is>
          <t>2026-07-19T12:18:56.427204+00:00</t>
        </is>
      </c>
      <c r="AE71" s="31" t="inlineStr">
        <is>
          <t>backtest</t>
        </is>
      </c>
      <c r="AF71" s="31" t="n"/>
      <c r="AG71" s="24" t="n"/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n"/>
      <c r="AQ71" s="24" t="n"/>
      <c r="AR71" s="24" t="inlineStr">
        <is>
          <t>St. Louis Cardinals</t>
        </is>
      </c>
      <c r="AS71" s="24" t="n"/>
      <c r="AT71" s="24" t="n"/>
      <c r="AU71" s="24" t="inlineStr">
        <is>
          <t>Arizona Diamondbacks</t>
        </is>
      </c>
      <c r="AV71" s="24" t="n"/>
      <c r="AW71" s="24" t="n"/>
      <c r="AX71" s="24" t="inlineStr">
        <is>
          <t>research_observation</t>
        </is>
      </c>
      <c r="AY71" s="24" t="n"/>
      <c r="AZ71" s="24" t="inlineStr">
        <is>
          <t>shadow_qualified</t>
        </is>
      </c>
      <c r="BA71" s="24" t="inlineStr">
        <is>
          <t>5224fb6ffbc9ddf8fa517627b830ac851192da94d241963d556945393a42bb9d</t>
        </is>
      </c>
      <c r="BB71" s="24" t="inlineStr">
        <is>
          <t>identity</t>
        </is>
      </c>
      <c r="BC71" s="24" t="inlineStr">
        <is>
          <t>mlb-elo-trend-lr-v4</t>
        </is>
      </c>
      <c r="BD71" s="24" t="inlineStr">
        <is>
          <t>5224fb6ffbc9ddf8fa517627b830ac851192da94d241963d556945393a42bb9d</t>
        </is>
      </c>
      <c r="BE71" s="24" t="inlineStr">
        <is>
          <t>legacy-1</t>
        </is>
      </c>
      <c r="BF71" s="24" t="inlineStr">
        <is>
          <t>legacy-unresolved</t>
        </is>
      </c>
      <c r="BG71" s="24" t="inlineStr">
        <is>
          <t>legacy</t>
        </is>
      </c>
      <c r="BH71" s="24" t="inlineStr">
        <is>
          <t>2026-07-18T17:33:15.460034Z</t>
        </is>
      </c>
      <c r="BI71" s="24" t="n"/>
      <c r="BJ71" s="25" t="n"/>
      <c r="BK71" s="26" t="n">
        <v>-111</v>
      </c>
      <c r="BL71" s="27" t="n">
        <v>1.900901</v>
      </c>
      <c r="BM71" s="28" t="n">
        <v>0.526066</v>
      </c>
      <c r="BN71" s="28" t="n">
        <v>0.522388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</row>
    <row r="72" ht="36" customHeight="1">
      <c r="A72" s="24" t="inlineStr">
        <is>
          <t>33934bb67697420b</t>
        </is>
      </c>
      <c r="B72" s="24" t="inlineStr">
        <is>
          <t>2026-07-19T10:49:38.448695+00:00</t>
        </is>
      </c>
      <c r="C72" s="24" t="inlineStr">
        <is>
          <t>2026-07-17T14:00:00-0400</t>
        </is>
      </c>
      <c r="D72" s="24" t="inlineStr">
        <is>
          <t>Conn-Phoe-2026-07-17</t>
        </is>
      </c>
      <c r="E72" s="24" t="inlineStr">
        <is>
          <t>WNBA</t>
        </is>
      </c>
      <c r="F72" s="24" t="inlineStr">
        <is>
          <t>Connecticut Sun</t>
        </is>
      </c>
      <c r="G72" s="24" t="inlineStr">
        <is>
          <t>Phoenix Mercury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</t>
        </is>
      </c>
      <c r="L72" s="26" t="n">
        <v>-178</v>
      </c>
      <c r="M72" s="27" t="n">
        <v>1.561798</v>
      </c>
      <c r="N72" s="28" t="n">
        <v>0.640288</v>
      </c>
      <c r="O72" s="28" t="n">
        <v>0.637935</v>
      </c>
      <c r="P72" s="28" t="n">
        <v>0.05</v>
      </c>
      <c r="Q72" s="28" t="n">
        <v>-0.002353</v>
      </c>
      <c r="R72" s="26" t="n"/>
      <c r="S72" s="29" t="n">
        <v>2</v>
      </c>
      <c r="T72" s="24" t="inlineStr">
        <is>
          <t>wnba-elo-trend-lr-v4</t>
        </is>
      </c>
      <c r="U72" s="24" t="inlineStr">
        <is>
          <t>settled</t>
        </is>
      </c>
      <c r="V72" s="24" t="inlineStr">
        <is>
          <t>loss</t>
        </is>
      </c>
      <c r="W72" s="26" t="n">
        <v>96</v>
      </c>
      <c r="X72" s="26" t="n">
        <v>83</v>
      </c>
      <c r="Y72" s="25" t="n"/>
      <c r="Z72" s="26" t="n"/>
      <c r="AA72" s="28" t="n"/>
      <c r="AB72" s="28" t="n"/>
      <c r="AC72" s="30" t="n">
        <v>-2</v>
      </c>
      <c r="AD72" s="24" t="inlineStr">
        <is>
          <t>2026-07-19T12:18:56.426414+00:00</t>
        </is>
      </c>
      <c r="AE72" s="31" t="inlineStr">
        <is>
          <t>backtest</t>
        </is>
      </c>
      <c r="AF72" s="31" t="n"/>
      <c r="AG72" s="24" t="n"/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n"/>
      <c r="AQ72" s="24" t="n"/>
      <c r="AR72" s="24" t="inlineStr">
        <is>
          <t>Connecticut Sun</t>
        </is>
      </c>
      <c r="AS72" s="24" t="n"/>
      <c r="AT72" s="24" t="n"/>
      <c r="AU72" s="24" t="inlineStr">
        <is>
          <t>Phoenix Mercury</t>
        </is>
      </c>
      <c r="AV72" s="24" t="n"/>
      <c r="AW72" s="24" t="n"/>
      <c r="AX72" s="24" t="inlineStr">
        <is>
          <t>research_observation</t>
        </is>
      </c>
      <c r="AY72" s="24" t="n"/>
      <c r="AZ72" s="24" t="inlineStr">
        <is>
          <t>shadow_qualified</t>
        </is>
      </c>
      <c r="BA72" s="24" t="n"/>
      <c r="BB72" s="24" t="inlineStr">
        <is>
          <t>identity</t>
        </is>
      </c>
      <c r="BC72" s="24" t="inlineStr">
        <is>
          <t>identity-v1</t>
        </is>
      </c>
      <c r="BD72" s="24" t="n"/>
      <c r="BE72" s="24" t="inlineStr">
        <is>
          <t>legacy-1</t>
        </is>
      </c>
      <c r="BF72" s="24" t="inlineStr">
        <is>
          <t>legacy-unresolved</t>
        </is>
      </c>
      <c r="BG72" s="24" t="inlineStr">
        <is>
          <t>legacy</t>
        </is>
      </c>
      <c r="BH72" s="24" t="inlineStr">
        <is>
          <t>2026-07-17T17:12:46.282679Z</t>
        </is>
      </c>
      <c r="BI72" s="24" t="n"/>
      <c r="BJ72" s="25" t="n"/>
      <c r="BK72" s="26" t="n">
        <v>-178</v>
      </c>
      <c r="BL72" s="27" t="n">
        <v>1.561798</v>
      </c>
      <c r="BM72" s="28" t="n">
        <v>0.640288</v>
      </c>
      <c r="BN72" s="28" t="n">
        <v>0.633663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</row>
    <row r="73" ht="36" customHeight="1">
      <c r="A73" s="24" t="inlineStr">
        <is>
          <t>9d42b77cda3d44a7</t>
        </is>
      </c>
      <c r="B73" s="24" t="inlineStr">
        <is>
          <t>2026-07-19T10:49:38.448695+00:00</t>
        </is>
      </c>
      <c r="C73" s="24" t="inlineStr">
        <is>
          <t>2026-07-17T14:00:00-0400</t>
        </is>
      </c>
      <c r="D73" s="24" t="inlineStr">
        <is>
          <t>LosA-Chic-2026-07-17</t>
        </is>
      </c>
      <c r="E73" s="24" t="inlineStr">
        <is>
          <t>WNBA</t>
        </is>
      </c>
      <c r="F73" s="24" t="inlineStr">
        <is>
          <t>Los Angeles Sparks</t>
        </is>
      </c>
      <c r="G73" s="24" t="inlineStr">
        <is>
          <t>Chicago Sky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</t>
        </is>
      </c>
      <c r="L73" s="26" t="n">
        <v>-113</v>
      </c>
      <c r="M73" s="27" t="n">
        <v>1.884956</v>
      </c>
      <c r="N73" s="28" t="n">
        <v>0.530516</v>
      </c>
      <c r="O73" s="28" t="n">
        <v>0.505358</v>
      </c>
      <c r="P73" s="28" t="n">
        <v>0.05</v>
      </c>
      <c r="Q73" s="28" t="n">
        <v>-0.025158</v>
      </c>
      <c r="R73" s="26" t="n"/>
      <c r="S73" s="29" t="n">
        <v>0.5</v>
      </c>
      <c r="T73" s="24" t="inlineStr">
        <is>
          <t>wnba-elo-trend-lr-v4</t>
        </is>
      </c>
      <c r="U73" s="24" t="inlineStr">
        <is>
          <t>settled</t>
        </is>
      </c>
      <c r="V73" s="24" t="inlineStr">
        <is>
          <t>win</t>
        </is>
      </c>
      <c r="W73" s="26" t="n">
        <v>82</v>
      </c>
      <c r="X73" s="26" t="n">
        <v>96</v>
      </c>
      <c r="Y73" s="25" t="n"/>
      <c r="Z73" s="26" t="n"/>
      <c r="AA73" s="28" t="n"/>
      <c r="AB73" s="28" t="n"/>
      <c r="AC73" s="30" t="n">
        <v>0.4425</v>
      </c>
      <c r="AD73" s="24" t="inlineStr">
        <is>
          <t>2026-07-19T12:18:56.426343+00:00</t>
        </is>
      </c>
      <c r="AE73" s="31" t="inlineStr">
        <is>
          <t>backtest</t>
        </is>
      </c>
      <c r="AF73" s="31" t="n"/>
      <c r="AG73" s="24" t="n"/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n"/>
      <c r="AQ73" s="24" t="n"/>
      <c r="AR73" s="24" t="inlineStr">
        <is>
          <t>Los Angeles Sparks</t>
        </is>
      </c>
      <c r="AS73" s="24" t="n"/>
      <c r="AT73" s="24" t="n"/>
      <c r="AU73" s="24" t="inlineStr">
        <is>
          <t>Chicago Sky</t>
        </is>
      </c>
      <c r="AV73" s="24" t="n"/>
      <c r="AW73" s="24" t="n"/>
      <c r="AX73" s="24" t="inlineStr">
        <is>
          <t>research_observation</t>
        </is>
      </c>
      <c r="AY73" s="24" t="n"/>
      <c r="AZ73" s="24" t="inlineStr">
        <is>
          <t>shadow_qualified</t>
        </is>
      </c>
      <c r="BA73" s="24" t="n"/>
      <c r="BB73" s="24" t="inlineStr">
        <is>
          <t>identity</t>
        </is>
      </c>
      <c r="BC73" s="24" t="inlineStr">
        <is>
          <t>identity-v1</t>
        </is>
      </c>
      <c r="BD73" s="24" t="n"/>
      <c r="BE73" s="24" t="inlineStr">
        <is>
          <t>legacy-1</t>
        </is>
      </c>
      <c r="BF73" s="24" t="inlineStr">
        <is>
          <t>legacy-unresolved</t>
        </is>
      </c>
      <c r="BG73" s="24" t="inlineStr">
        <is>
          <t>legacy</t>
        </is>
      </c>
      <c r="BH73" s="24" t="inlineStr">
        <is>
          <t>2026-07-17T17:12:46.881853Z</t>
        </is>
      </c>
      <c r="BI73" s="24" t="n"/>
      <c r="BJ73" s="25" t="n"/>
      <c r="BK73" s="26" t="n">
        <v>-113</v>
      </c>
      <c r="BL73" s="27" t="n">
        <v>1.884956</v>
      </c>
      <c r="BM73" s="28" t="n">
        <v>0.530516</v>
      </c>
      <c r="BN73" s="28" t="n">
        <v>0.524752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</row>
    <row r="74" ht="36" customHeight="1">
      <c r="A74" s="24" t="inlineStr">
        <is>
          <t>19647b771ec94081</t>
        </is>
      </c>
      <c r="B74" s="24" t="inlineStr">
        <is>
          <t>2026-07-19T10:49:38.448695+00:00</t>
        </is>
      </c>
      <c r="C74" s="24" t="inlineStr">
        <is>
          <t>2026-07-17T20:40:00-0400</t>
        </is>
      </c>
      <c r="D74" s="24" t="inlineStr">
        <is>
          <t>Cinc-Colo-2026-07-17</t>
        </is>
      </c>
      <c r="E74" s="24" t="inlineStr">
        <is>
          <t>MLB</t>
        </is>
      </c>
      <c r="F74" s="24" t="inlineStr">
        <is>
          <t>Cincinnati Reds</t>
        </is>
      </c>
      <c r="G74" s="24" t="inlineStr">
        <is>
          <t>Colorado Rockies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</t>
        </is>
      </c>
      <c r="L74" s="26" t="n">
        <v>104</v>
      </c>
      <c r="M74" s="27" t="n">
        <v>2.04</v>
      </c>
      <c r="N74" s="28" t="n">
        <v>0.490196</v>
      </c>
      <c r="O74" s="28" t="n">
        <v>0.582862</v>
      </c>
      <c r="P74" s="28" t="n">
        <v>0.05</v>
      </c>
      <c r="Q74" s="28" t="n">
        <v>0.092666</v>
      </c>
      <c r="R74" s="26" t="n">
        <v>92</v>
      </c>
      <c r="S74" s="29" t="n">
        <v>1.25</v>
      </c>
      <c r="T74" s="24" t="inlineStr">
        <is>
          <t>mlb-elo-trend-lr-v5</t>
        </is>
      </c>
      <c r="U74" s="24" t="inlineStr">
        <is>
          <t>settled</t>
        </is>
      </c>
      <c r="V74" s="24" t="inlineStr">
        <is>
          <t>win</t>
        </is>
      </c>
      <c r="W74" s="26" t="n">
        <v>7</v>
      </c>
      <c r="X74" s="26" t="n">
        <v>2</v>
      </c>
      <c r="Y74" s="25" t="n"/>
      <c r="Z74" s="26" t="n"/>
      <c r="AA74" s="28" t="n"/>
      <c r="AB74" s="28" t="n"/>
      <c r="AC74" s="30" t="n">
        <v>1.3</v>
      </c>
      <c r="AD74" s="24" t="inlineStr">
        <is>
          <t>2026-07-19T12:18:56.425382+00:00</t>
        </is>
      </c>
      <c r="AE74" s="31" t="inlineStr">
        <is>
          <t>backtest</t>
        </is>
      </c>
      <c r="AF74" s="31" t="n"/>
      <c r="AG74" s="24" t="n"/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n"/>
      <c r="AQ74" s="24" t="n"/>
      <c r="AR74" s="24" t="inlineStr">
        <is>
          <t>Cincinnati Reds</t>
        </is>
      </c>
      <c r="AS74" s="24" t="n"/>
      <c r="AT74" s="24" t="n"/>
      <c r="AU74" s="24" t="inlineStr">
        <is>
          <t>Colorado Rockies</t>
        </is>
      </c>
      <c r="AV74" s="24" t="n"/>
      <c r="AW74" s="24" t="n"/>
      <c r="AX74" s="24" t="inlineStr">
        <is>
          <t>research_observation</t>
        </is>
      </c>
      <c r="AY74" s="24" t="n"/>
      <c r="AZ74" s="24" t="inlineStr">
        <is>
          <t>shadow_qualified</t>
        </is>
      </c>
      <c r="BA74" s="24" t="inlineStr">
        <is>
          <t>5224fb6ffbc9ddf8fa517627b830ac851192da94d241963d556945393a42bb9d</t>
        </is>
      </c>
      <c r="BB74" s="24" t="inlineStr">
        <is>
          <t>identity</t>
        </is>
      </c>
      <c r="BC74" s="24" t="inlineStr">
        <is>
          <t>mlb-elo-trend-lr-v4</t>
        </is>
      </c>
      <c r="BD74" s="24" t="inlineStr">
        <is>
          <t>5224fb6ffbc9ddf8fa517627b830ac851192da94d241963d556945393a42bb9d</t>
        </is>
      </c>
      <c r="BE74" s="24" t="inlineStr">
        <is>
          <t>legacy-1</t>
        </is>
      </c>
      <c r="BF74" s="24" t="inlineStr">
        <is>
          <t>legacy-unresolved</t>
        </is>
      </c>
      <c r="BG74" s="24" t="inlineStr">
        <is>
          <t>legacy</t>
        </is>
      </c>
      <c r="BH74" s="24" t="inlineStr">
        <is>
          <t>2026-07-17T16:26:11.935150Z</t>
        </is>
      </c>
      <c r="BI74" s="24" t="n"/>
      <c r="BJ74" s="25" t="n"/>
      <c r="BK74" s="26" t="n">
        <v>104</v>
      </c>
      <c r="BL74" s="27" t="n">
        <v>2.04</v>
      </c>
      <c r="BM74" s="28" t="n">
        <v>0.490196</v>
      </c>
      <c r="BN74" s="28" t="n">
        <v>0.487562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</row>
    <row r="75" ht="36" customHeight="1">
      <c r="A75" s="24" t="inlineStr">
        <is>
          <t>cebdc679239c4a7e</t>
        </is>
      </c>
      <c r="B75" s="24" t="inlineStr">
        <is>
          <t>2026-07-19T10:49:38.448695+00:00</t>
        </is>
      </c>
      <c r="C75" s="24" t="inlineStr">
        <is>
          <t>2026-07-17T14:00:00-0400</t>
        </is>
      </c>
      <c r="D75" s="24" t="inlineStr">
        <is>
          <t>SanF-Seat-2026-07-17</t>
        </is>
      </c>
      <c r="E75" s="24" t="inlineStr">
        <is>
          <t>MLB</t>
        </is>
      </c>
      <c r="F75" s="24" t="inlineStr">
        <is>
          <t>San Francisco Giants</t>
        </is>
      </c>
      <c r="G75" s="24" t="inlineStr">
        <is>
          <t>Seattle Mariners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</t>
        </is>
      </c>
      <c r="L75" s="26" t="n">
        <v>-174</v>
      </c>
      <c r="M75" s="27" t="n">
        <v>1.574713</v>
      </c>
      <c r="N75" s="28" t="n">
        <v>0.635036</v>
      </c>
      <c r="O75" s="28" t="n">
        <v>0.597575</v>
      </c>
      <c r="P75" s="28" t="n">
        <v>0.05</v>
      </c>
      <c r="Q75" s="28" t="n">
        <v>-0.037461</v>
      </c>
      <c r="R75" s="26" t="n">
        <v>62</v>
      </c>
      <c r="S75" s="29" t="n">
        <v>1.5</v>
      </c>
      <c r="T75" s="24" t="inlineStr">
        <is>
          <t>mlb-elo-trend-lr-v5</t>
        </is>
      </c>
      <c r="U75" s="24" t="inlineStr">
        <is>
          <t>settled</t>
        </is>
      </c>
      <c r="V75" s="24" t="inlineStr">
        <is>
          <t>loss</t>
        </is>
      </c>
      <c r="W75" s="26" t="n">
        <v>7</v>
      </c>
      <c r="X75" s="26" t="n">
        <v>0</v>
      </c>
      <c r="Y75" s="25" t="n"/>
      <c r="Z75" s="26" t="n"/>
      <c r="AA75" s="28" t="n"/>
      <c r="AB75" s="28" t="n"/>
      <c r="AC75" s="30" t="n">
        <v>-1.5</v>
      </c>
      <c r="AD75" s="24" t="inlineStr">
        <is>
          <t>2026-07-19T12:18:56.426191+00:00</t>
        </is>
      </c>
      <c r="AE75" s="31" t="inlineStr">
        <is>
          <t>backtest</t>
        </is>
      </c>
      <c r="AF75" s="31" t="n"/>
      <c r="AG75" s="24" t="n"/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n"/>
      <c r="AQ75" s="24" t="n"/>
      <c r="AR75" s="24" t="inlineStr">
        <is>
          <t>San Francisco Giants</t>
        </is>
      </c>
      <c r="AS75" s="24" t="n"/>
      <c r="AT75" s="24" t="n"/>
      <c r="AU75" s="24" t="inlineStr">
        <is>
          <t>Seattle Mariners</t>
        </is>
      </c>
      <c r="AV75" s="24" t="n"/>
      <c r="AW75" s="24" t="n"/>
      <c r="AX75" s="24" t="inlineStr">
        <is>
          <t>research_observation</t>
        </is>
      </c>
      <c r="AY75" s="24" t="n"/>
      <c r="AZ75" s="24" t="inlineStr">
        <is>
          <t>shadow_qualified</t>
        </is>
      </c>
      <c r="BA75" s="24" t="inlineStr">
        <is>
          <t>5224fb6ffbc9ddf8fa517627b830ac851192da94d241963d556945393a42bb9d</t>
        </is>
      </c>
      <c r="BB75" s="24" t="inlineStr">
        <is>
          <t>identity</t>
        </is>
      </c>
      <c r="BC75" s="24" t="inlineStr">
        <is>
          <t>mlb-elo-trend-lr-v4</t>
        </is>
      </c>
      <c r="BD75" s="24" t="inlineStr">
        <is>
          <t>5224fb6ffbc9ddf8fa517627b830ac851192da94d241963d556945393a42bb9d</t>
        </is>
      </c>
      <c r="BE75" s="24" t="inlineStr">
        <is>
          <t>legacy-1</t>
        </is>
      </c>
      <c r="BF75" s="24" t="inlineStr">
        <is>
          <t>legacy-unresolved</t>
        </is>
      </c>
      <c r="BG75" s="24" t="inlineStr">
        <is>
          <t>legacy</t>
        </is>
      </c>
      <c r="BH75" s="24" t="inlineStr">
        <is>
          <t>2026-07-17T16:26:16.071100Z</t>
        </is>
      </c>
      <c r="BI75" s="24" t="n"/>
      <c r="BJ75" s="25" t="n"/>
      <c r="BK75" s="26" t="n">
        <v>-174</v>
      </c>
      <c r="BL75" s="27" t="n">
        <v>1.574713</v>
      </c>
      <c r="BM75" s="28" t="n">
        <v>0.635036</v>
      </c>
      <c r="BN75" s="28" t="n">
        <v>0.631841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</row>
    <row r="76" ht="36" customHeight="1">
      <c r="A76" s="24" t="inlineStr">
        <is>
          <t>caa582b839304286</t>
        </is>
      </c>
      <c r="B76" s="24" t="inlineStr">
        <is>
          <t>2026-07-19T10:49:38.448695+00:00</t>
        </is>
      </c>
      <c r="C76" s="24" t="inlineStr">
        <is>
          <t>2026-07-17T14:00:00-0400</t>
        </is>
      </c>
      <c r="D76" s="24" t="inlineStr">
        <is>
          <t>Balt-Hous-2026-07-17</t>
        </is>
      </c>
      <c r="E76" s="24" t="inlineStr">
        <is>
          <t>MLB</t>
        </is>
      </c>
      <c r="F76" s="24" t="inlineStr">
        <is>
          <t>Baltimore Orioles</t>
        </is>
      </c>
      <c r="G76" s="24" t="inlineStr">
        <is>
          <t>Houston Astros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</t>
        </is>
      </c>
      <c r="L76" s="26" t="n">
        <v>-106</v>
      </c>
      <c r="M76" s="27" t="n">
        <v>1.943396</v>
      </c>
      <c r="N76" s="28" t="n">
        <v>0.514563</v>
      </c>
      <c r="O76" s="28" t="n">
        <v>0.524624</v>
      </c>
      <c r="P76" s="28" t="n">
        <v>0.05</v>
      </c>
      <c r="Q76" s="28" t="n">
        <v>0.010061</v>
      </c>
      <c r="R76" s="26" t="n">
        <v>10</v>
      </c>
      <c r="S76" s="29" t="n">
        <v>0.75</v>
      </c>
      <c r="T76" s="24" t="inlineStr">
        <is>
          <t>mlb-elo-trend-lr-v5</t>
        </is>
      </c>
      <c r="U76" s="24" t="inlineStr">
        <is>
          <t>settled</t>
        </is>
      </c>
      <c r="V76" s="24" t="inlineStr">
        <is>
          <t>loss</t>
        </is>
      </c>
      <c r="W76" s="26" t="n">
        <v>3</v>
      </c>
      <c r="X76" s="26" t="n">
        <v>2</v>
      </c>
      <c r="Y76" s="25" t="n"/>
      <c r="Z76" s="26" t="n"/>
      <c r="AA76" s="28" t="n"/>
      <c r="AB76" s="28" t="n"/>
      <c r="AC76" s="30" t="n">
        <v>-0.75</v>
      </c>
      <c r="AD76" s="24" t="inlineStr">
        <is>
          <t>2026-07-19T12:18:56.425183+00:00</t>
        </is>
      </c>
      <c r="AE76" s="31" t="inlineStr">
        <is>
          <t>backtest</t>
        </is>
      </c>
      <c r="AF76" s="31" t="n"/>
      <c r="AG76" s="24" t="n"/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n"/>
      <c r="AQ76" s="24" t="n"/>
      <c r="AR76" s="24" t="inlineStr">
        <is>
          <t>Baltimore Orioles</t>
        </is>
      </c>
      <c r="AS76" s="24" t="n"/>
      <c r="AT76" s="24" t="n"/>
      <c r="AU76" s="24" t="inlineStr">
        <is>
          <t>Houston Astros</t>
        </is>
      </c>
      <c r="AV76" s="24" t="n"/>
      <c r="AW76" s="24" t="n"/>
      <c r="AX76" s="24" t="inlineStr">
        <is>
          <t>research_observation</t>
        </is>
      </c>
      <c r="AY76" s="24" t="n"/>
      <c r="AZ76" s="24" t="inlineStr">
        <is>
          <t>shadow_qualified</t>
        </is>
      </c>
      <c r="BA76" s="24" t="inlineStr">
        <is>
          <t>5224fb6ffbc9ddf8fa517627b830ac851192da94d241963d556945393a42bb9d</t>
        </is>
      </c>
      <c r="BB76" s="24" t="inlineStr">
        <is>
          <t>identity</t>
        </is>
      </c>
      <c r="BC76" s="24" t="inlineStr">
        <is>
          <t>mlb-elo-trend-lr-v4</t>
        </is>
      </c>
      <c r="BD76" s="24" t="inlineStr">
        <is>
          <t>5224fb6ffbc9ddf8fa517627b830ac851192da94d241963d556945393a42bb9d</t>
        </is>
      </c>
      <c r="BE76" s="24" t="inlineStr">
        <is>
          <t>legacy-1</t>
        </is>
      </c>
      <c r="BF76" s="24" t="inlineStr">
        <is>
          <t>legacy-unresolved</t>
        </is>
      </c>
      <c r="BG76" s="24" t="inlineStr">
        <is>
          <t>legacy</t>
        </is>
      </c>
      <c r="BH76" s="24" t="inlineStr">
        <is>
          <t>2026-07-17T16:26:10.857493Z</t>
        </is>
      </c>
      <c r="BI76" s="24" t="n"/>
      <c r="BJ76" s="25" t="n"/>
      <c r="BK76" s="26" t="n">
        <v>-106</v>
      </c>
      <c r="BL76" s="27" t="n">
        <v>1.943396</v>
      </c>
      <c r="BM76" s="28" t="n">
        <v>0.514563</v>
      </c>
      <c r="BN76" s="28" t="n">
        <v>0.5124379999999999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</row>
    <row r="77" ht="36" customHeight="1">
      <c r="A77" s="24" t="inlineStr">
        <is>
          <t>4224d3689d5b44ed</t>
        </is>
      </c>
      <c r="B77" s="24" t="inlineStr">
        <is>
          <t>2026-07-19T10:49:38.448695+00:00</t>
        </is>
      </c>
      <c r="C77" s="24" t="inlineStr">
        <is>
          <t>2026-07-17T14:00:00-0400</t>
        </is>
      </c>
      <c r="D77" s="24" t="inlineStr">
        <is>
          <t>SanD-Kans-2026-07-17</t>
        </is>
      </c>
      <c r="E77" s="24" t="inlineStr">
        <is>
          <t>MLB</t>
        </is>
      </c>
      <c r="F77" s="24" t="inlineStr">
        <is>
          <t>San Diego Padres</t>
        </is>
      </c>
      <c r="G77" s="24" t="inlineStr">
        <is>
          <t>Kansas City Royals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</t>
        </is>
      </c>
      <c r="L77" s="26" t="n">
        <v>-113</v>
      </c>
      <c r="M77" s="27" t="n">
        <v>1.884956</v>
      </c>
      <c r="N77" s="28" t="n">
        <v>0.530516</v>
      </c>
      <c r="O77" s="28" t="n">
        <v>0.521172</v>
      </c>
      <c r="P77" s="28" t="n">
        <v>0.05</v>
      </c>
      <c r="Q77" s="28" t="n">
        <v>-0.009344</v>
      </c>
      <c r="R77" s="26" t="n">
        <v>90</v>
      </c>
      <c r="S77" s="29" t="n">
        <v>0.75</v>
      </c>
      <c r="T77" s="24" t="inlineStr">
        <is>
          <t>mlb-elo-trend-lr-v5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7</v>
      </c>
      <c r="Y77" s="25" t="n"/>
      <c r="Z77" s="26" t="n"/>
      <c r="AA77" s="28" t="n"/>
      <c r="AB77" s="28" t="n"/>
      <c r="AC77" s="30" t="n">
        <v>-0.75</v>
      </c>
      <c r="AD77" s="24" t="inlineStr">
        <is>
          <t>2026-07-19T12:18:56.424980+00:00</t>
        </is>
      </c>
      <c r="AE77" s="31" t="inlineStr">
        <is>
          <t>backtest</t>
        </is>
      </c>
      <c r="AF77" s="31" t="n"/>
      <c r="AG77" s="24" t="n"/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n"/>
      <c r="AQ77" s="24" t="n"/>
      <c r="AR77" s="24" t="inlineStr">
        <is>
          <t>San Diego Padres</t>
        </is>
      </c>
      <c r="AS77" s="24" t="n"/>
      <c r="AT77" s="24" t="n"/>
      <c r="AU77" s="24" t="inlineStr">
        <is>
          <t>Kansas City Royals</t>
        </is>
      </c>
      <c r="AV77" s="24" t="n"/>
      <c r="AW77" s="24" t="n"/>
      <c r="AX77" s="24" t="inlineStr">
        <is>
          <t>research_observation</t>
        </is>
      </c>
      <c r="AY77" s="24" t="n"/>
      <c r="AZ77" s="24" t="inlineStr">
        <is>
          <t>shadow_qualified</t>
        </is>
      </c>
      <c r="BA77" s="24" t="inlineStr">
        <is>
          <t>5224fb6ffbc9ddf8fa517627b830ac851192da94d241963d556945393a42bb9d</t>
        </is>
      </c>
      <c r="BB77" s="24" t="inlineStr">
        <is>
          <t>identity</t>
        </is>
      </c>
      <c r="BC77" s="24" t="inlineStr">
        <is>
          <t>mlb-elo-trend-lr-v4</t>
        </is>
      </c>
      <c r="BD77" s="24" t="inlineStr">
        <is>
          <t>5224fb6ffbc9ddf8fa517627b830ac851192da94d241963d556945393a42bb9d</t>
        </is>
      </c>
      <c r="BE77" s="24" t="inlineStr">
        <is>
          <t>legacy-1</t>
        </is>
      </c>
      <c r="BF77" s="24" t="inlineStr">
        <is>
          <t>legacy-unresolved</t>
        </is>
      </c>
      <c r="BG77" s="24" t="inlineStr">
        <is>
          <t>legacy</t>
        </is>
      </c>
      <c r="BH77" s="24" t="inlineStr">
        <is>
          <t>2026-07-17T16:26:09.836107Z</t>
        </is>
      </c>
      <c r="BI77" s="24" t="n"/>
      <c r="BJ77" s="25" t="n"/>
      <c r="BK77" s="26" t="n">
        <v>-113</v>
      </c>
      <c r="BL77" s="27" t="n">
        <v>1.884956</v>
      </c>
      <c r="BM77" s="28" t="n">
        <v>0.530516</v>
      </c>
      <c r="BN77" s="28" t="n">
        <v>0.527363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</row>
    <row r="78" ht="36" customHeight="1">
      <c r="A78" s="24" t="inlineStr">
        <is>
          <t>713f57aaeede4418</t>
        </is>
      </c>
      <c r="B78" s="24" t="inlineStr">
        <is>
          <t>2026-07-19T10:49:38.448695+00:00</t>
        </is>
      </c>
      <c r="C78" s="24" t="inlineStr">
        <is>
          <t>2026-07-17T14:00:00-0400</t>
        </is>
      </c>
      <c r="D78" s="24" t="inlineStr">
        <is>
          <t>Chic-Toro-2026-07-17</t>
        </is>
      </c>
      <c r="E78" s="24" t="inlineStr">
        <is>
          <t>MLB</t>
        </is>
      </c>
      <c r="F78" s="24" t="inlineStr">
        <is>
          <t>Chicago White Sox</t>
        </is>
      </c>
      <c r="G78" s="24" t="inlineStr">
        <is>
          <t>Toronto Blue Jays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</t>
        </is>
      </c>
      <c r="L78" s="26" t="n">
        <v>-122</v>
      </c>
      <c r="M78" s="27" t="n">
        <v>1.819672</v>
      </c>
      <c r="N78" s="28" t="n">
        <v>0.54955</v>
      </c>
      <c r="O78" s="28" t="n">
        <v>0.551581</v>
      </c>
      <c r="P78" s="28" t="n">
        <v>0.05</v>
      </c>
      <c r="Q78" s="28" t="n">
        <v>0.002031</v>
      </c>
      <c r="R78" s="26" t="n">
        <v>2</v>
      </c>
      <c r="S78" s="29" t="n">
        <v>1</v>
      </c>
      <c r="T78" s="24" t="inlineStr">
        <is>
          <t>mlb-elo-trend-lr-v5</t>
        </is>
      </c>
      <c r="U78" s="24" t="inlineStr">
        <is>
          <t>settled</t>
        </is>
      </c>
      <c r="V78" s="24" t="inlineStr">
        <is>
          <t>loss</t>
        </is>
      </c>
      <c r="W78" s="26" t="n">
        <v>12</v>
      </c>
      <c r="X78" s="26" t="n">
        <v>4</v>
      </c>
      <c r="Y78" s="25" t="n"/>
      <c r="Z78" s="26" t="n"/>
      <c r="AA78" s="28" t="n"/>
      <c r="AB78" s="28" t="n"/>
      <c r="AC78" s="30" t="n">
        <v>-1</v>
      </c>
      <c r="AD78" s="24" t="inlineStr">
        <is>
          <t>2026-07-19T12:18:56.424376+00:00</t>
        </is>
      </c>
      <c r="AE78" s="31" t="inlineStr">
        <is>
          <t>backtest</t>
        </is>
      </c>
      <c r="AF78" s="31" t="n"/>
      <c r="AG78" s="24" t="n"/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n"/>
      <c r="AQ78" s="24" t="n"/>
      <c r="AR78" s="24" t="inlineStr">
        <is>
          <t>Chicago White Sox</t>
        </is>
      </c>
      <c r="AS78" s="24" t="n"/>
      <c r="AT78" s="24" t="n"/>
      <c r="AU78" s="24" t="inlineStr">
        <is>
          <t>Toronto Blue Jays</t>
        </is>
      </c>
      <c r="AV78" s="24" t="n"/>
      <c r="AW78" s="24" t="n"/>
      <c r="AX78" s="24" t="inlineStr">
        <is>
          <t>research_observation</t>
        </is>
      </c>
      <c r="AY78" s="24" t="n"/>
      <c r="AZ78" s="24" t="inlineStr">
        <is>
          <t>shadow_qualified</t>
        </is>
      </c>
      <c r="BA78" s="24" t="inlineStr">
        <is>
          <t>5224fb6ffbc9ddf8fa517627b830ac851192da94d241963d556945393a42bb9d</t>
        </is>
      </c>
      <c r="BB78" s="24" t="inlineStr">
        <is>
          <t>identity</t>
        </is>
      </c>
      <c r="BC78" s="24" t="inlineStr">
        <is>
          <t>mlb-elo-trend-lr-v4</t>
        </is>
      </c>
      <c r="BD78" s="24" t="inlineStr">
        <is>
          <t>5224fb6ffbc9ddf8fa517627b830ac851192da94d241963d556945393a42bb9d</t>
        </is>
      </c>
      <c r="BE78" s="24" t="inlineStr">
        <is>
          <t>legacy-1</t>
        </is>
      </c>
      <c r="BF78" s="24" t="inlineStr">
        <is>
          <t>legacy-unresolved</t>
        </is>
      </c>
      <c r="BG78" s="24" t="inlineStr">
        <is>
          <t>legacy</t>
        </is>
      </c>
      <c r="BH78" s="24" t="inlineStr">
        <is>
          <t>2026-07-17T16:26:05.906965Z</t>
        </is>
      </c>
      <c r="BI78" s="24" t="n"/>
      <c r="BJ78" s="25" t="n"/>
      <c r="BK78" s="26" t="n">
        <v>-122</v>
      </c>
      <c r="BL78" s="27" t="n">
        <v>1.819672</v>
      </c>
      <c r="BM78" s="28" t="n">
        <v>0.54955</v>
      </c>
      <c r="BN78" s="28" t="n">
        <v>0.547264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</row>
    <row r="79" ht="36" customHeight="1">
      <c r="A79" s="24" t="inlineStr">
        <is>
          <t>9e5a3c9d33b2497b</t>
        </is>
      </c>
      <c r="B79" s="24" t="inlineStr">
        <is>
          <t>2026-07-19T10:49:38.448695+00:00</t>
        </is>
      </c>
      <c r="C79" s="24" t="inlineStr">
        <is>
          <t>2026-07-18T14:00:00-0400</t>
        </is>
      </c>
      <c r="D79" s="24" t="inlineStr">
        <is>
          <t>NewY-Phil-2026-07-18</t>
        </is>
      </c>
      <c r="E79" s="24" t="inlineStr">
        <is>
          <t>MLB</t>
        </is>
      </c>
      <c r="F79" s="24" t="inlineStr">
        <is>
          <t>New York Mets</t>
        </is>
      </c>
      <c r="G79" s="24" t="inlineStr">
        <is>
          <t>Philadelphia Phillies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</t>
        </is>
      </c>
      <c r="L79" s="26" t="n">
        <v>-163</v>
      </c>
      <c r="M79" s="27" t="n">
        <v>1.613497</v>
      </c>
      <c r="N79" s="28" t="n">
        <v>0.619772</v>
      </c>
      <c r="O79" s="28" t="n">
        <v>0.611768</v>
      </c>
      <c r="P79" s="28" t="n">
        <v>0.05</v>
      </c>
      <c r="Q79" s="28" t="n">
        <v>-0.008004000000000001</v>
      </c>
      <c r="R79" s="26" t="n">
        <v>91</v>
      </c>
      <c r="S79" s="29" t="n">
        <v>1.5</v>
      </c>
      <c r="T79" s="24" t="inlineStr">
        <is>
          <t>mlb-elo-trend-lr-v5</t>
        </is>
      </c>
      <c r="U79" s="24" t="inlineStr">
        <is>
          <t>settled</t>
        </is>
      </c>
      <c r="V79" s="24" t="inlineStr">
        <is>
          <t>win</t>
        </is>
      </c>
      <c r="W79" s="26" t="n">
        <v>1</v>
      </c>
      <c r="X79" s="26" t="n">
        <v>6</v>
      </c>
      <c r="Y79" s="25" t="n"/>
      <c r="Z79" s="26" t="n"/>
      <c r="AA79" s="28" t="n"/>
      <c r="AB79" s="28" t="n"/>
      <c r="AC79" s="30" t="n">
        <v>0.9202</v>
      </c>
      <c r="AD79" s="24" t="inlineStr">
        <is>
          <t>2026-07-19T12:18:56.426817+00:00</t>
        </is>
      </c>
      <c r="AE79" s="31" t="inlineStr">
        <is>
          <t>backtest</t>
        </is>
      </c>
      <c r="AF79" s="31" t="n"/>
      <c r="AG79" s="24" t="n"/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n"/>
      <c r="AQ79" s="24" t="n"/>
      <c r="AR79" s="24" t="inlineStr">
        <is>
          <t>New York Mets</t>
        </is>
      </c>
      <c r="AS79" s="24" t="n"/>
      <c r="AT79" s="24" t="n"/>
      <c r="AU79" s="24" t="inlineStr">
        <is>
          <t>Philadelphia Phillies</t>
        </is>
      </c>
      <c r="AV79" s="24" t="n"/>
      <c r="AW79" s="24" t="n"/>
      <c r="AX79" s="24" t="inlineStr">
        <is>
          <t>research_observation</t>
        </is>
      </c>
      <c r="AY79" s="24" t="n"/>
      <c r="AZ79" s="24" t="inlineStr">
        <is>
          <t>shadow_qualified</t>
        </is>
      </c>
      <c r="BA79" s="24" t="inlineStr">
        <is>
          <t>5224fb6ffbc9ddf8fa517627b830ac851192da94d241963d556945393a42bb9d</t>
        </is>
      </c>
      <c r="BB79" s="24" t="inlineStr">
        <is>
          <t>identity</t>
        </is>
      </c>
      <c r="BC79" s="24" t="inlineStr">
        <is>
          <t>mlb-elo-trend-lr-v4</t>
        </is>
      </c>
      <c r="BD79" s="24" t="inlineStr">
        <is>
          <t>5224fb6ffbc9ddf8fa517627b830ac851192da94d241963d556945393a42bb9d</t>
        </is>
      </c>
      <c r="BE79" s="24" t="inlineStr">
        <is>
          <t>legacy-1</t>
        </is>
      </c>
      <c r="BF79" s="24" t="inlineStr">
        <is>
          <t>legacy-unresolved</t>
        </is>
      </c>
      <c r="BG79" s="24" t="inlineStr">
        <is>
          <t>legacy</t>
        </is>
      </c>
      <c r="BH79" s="24" t="inlineStr">
        <is>
          <t>2026-07-18T17:33:12.199724Z</t>
        </is>
      </c>
      <c r="BI79" s="24" t="n"/>
      <c r="BJ79" s="25" t="n"/>
      <c r="BK79" s="26" t="n">
        <v>-163</v>
      </c>
      <c r="BL79" s="27" t="n">
        <v>1.613497</v>
      </c>
      <c r="BM79" s="28" t="n">
        <v>0.619772</v>
      </c>
      <c r="BN79" s="28" t="n">
        <v>0.616915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</row>
    <row r="80" ht="36" customHeight="1">
      <c r="A80" s="24" t="inlineStr">
        <is>
          <t>ba6d8918b5e04b6c</t>
        </is>
      </c>
      <c r="B80" s="24" t="inlineStr">
        <is>
          <t>2026-07-19T10:49:38.448695+00:00</t>
        </is>
      </c>
      <c r="C80" s="24" t="inlineStr">
        <is>
          <t>2026-07-17T14:00:00-0400</t>
        </is>
      </c>
      <c r="D80" s="24" t="inlineStr">
        <is>
          <t>Texa-Atla-2026-07-17</t>
        </is>
      </c>
      <c r="E80" s="24" t="inlineStr">
        <is>
          <t>MLB</t>
        </is>
      </c>
      <c r="F80" s="24" t="inlineStr">
        <is>
          <t>Texas Rangers</t>
        </is>
      </c>
      <c r="G80" s="24" t="inlineStr">
        <is>
          <t>Atlanta Braves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</t>
        </is>
      </c>
      <c r="L80" s="26" t="n">
        <v>-194</v>
      </c>
      <c r="M80" s="27" t="n">
        <v>1.515464</v>
      </c>
      <c r="N80" s="28" t="n">
        <v>0.659864</v>
      </c>
      <c r="O80" s="28" t="n">
        <v>0.577396</v>
      </c>
      <c r="P80" s="28" t="n">
        <v>0.05</v>
      </c>
      <c r="Q80" s="28" t="n">
        <v>-0.082468</v>
      </c>
      <c r="R80" s="26" t="n">
        <v>17</v>
      </c>
      <c r="S80" s="29" t="n">
        <v>1.25</v>
      </c>
      <c r="T80" s="24" t="inlineStr">
        <is>
          <t>mlb-elo-trend-lr-v5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15</v>
      </c>
      <c r="Y80" s="25" t="n"/>
      <c r="Z80" s="26" t="n"/>
      <c r="AA80" s="28" t="n"/>
      <c r="AB80" s="28" t="n"/>
      <c r="AC80" s="30" t="n">
        <v>0.6443</v>
      </c>
      <c r="AD80" s="24" t="inlineStr">
        <is>
          <t>2026-07-19T12:18:56.424168+00:00</t>
        </is>
      </c>
      <c r="AE80" s="31" t="inlineStr">
        <is>
          <t>backtest</t>
        </is>
      </c>
      <c r="AF80" s="31" t="n"/>
      <c r="AG80" s="24" t="n"/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n"/>
      <c r="AQ80" s="24" t="n"/>
      <c r="AR80" s="24" t="inlineStr">
        <is>
          <t>Texas Rangers</t>
        </is>
      </c>
      <c r="AS80" s="24" t="n"/>
      <c r="AT80" s="24" t="n"/>
      <c r="AU80" s="24" t="inlineStr">
        <is>
          <t>Atlanta Braves</t>
        </is>
      </c>
      <c r="AV80" s="24" t="n"/>
      <c r="AW80" s="24" t="n"/>
      <c r="AX80" s="24" t="inlineStr">
        <is>
          <t>research_observation</t>
        </is>
      </c>
      <c r="AY80" s="24" t="n"/>
      <c r="AZ80" s="24" t="inlineStr">
        <is>
          <t>shadow_qualified</t>
        </is>
      </c>
      <c r="BA80" s="24" t="inlineStr">
        <is>
          <t>5224fb6ffbc9ddf8fa517627b830ac851192da94d241963d556945393a42bb9d</t>
        </is>
      </c>
      <c r="BB80" s="24" t="inlineStr">
        <is>
          <t>identity</t>
        </is>
      </c>
      <c r="BC80" s="24" t="inlineStr">
        <is>
          <t>mlb-elo-trend-lr-v4</t>
        </is>
      </c>
      <c r="BD80" s="24" t="inlineStr">
        <is>
          <t>5224fb6ffbc9ddf8fa517627b830ac851192da94d241963d556945393a42bb9d</t>
        </is>
      </c>
      <c r="BE80" s="24" t="inlineStr">
        <is>
          <t>legacy-1</t>
        </is>
      </c>
      <c r="BF80" s="24" t="inlineStr">
        <is>
          <t>legacy-unresolved</t>
        </is>
      </c>
      <c r="BG80" s="24" t="inlineStr">
        <is>
          <t>legacy</t>
        </is>
      </c>
      <c r="BH80" s="24" t="inlineStr">
        <is>
          <t>2026-07-17T16:26:07.030893Z</t>
        </is>
      </c>
      <c r="BI80" s="24" t="n"/>
      <c r="BJ80" s="25" t="n"/>
      <c r="BK80" s="26" t="n">
        <v>-194</v>
      </c>
      <c r="BL80" s="27" t="n">
        <v>1.515464</v>
      </c>
      <c r="BM80" s="28" t="n">
        <v>0.659864</v>
      </c>
      <c r="BN80" s="28" t="n">
        <v>0.656716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</row>
    <row r="81" ht="36" customHeight="1">
      <c r="A81" s="24" t="inlineStr">
        <is>
          <t>632575e6d24b409b</t>
        </is>
      </c>
      <c r="B81" s="24" t="inlineStr">
        <is>
          <t>2026-07-19T10:49:38.448695+00:00</t>
        </is>
      </c>
      <c r="C81" s="24" t="inlineStr">
        <is>
          <t>2026-07-17T21:38:00-0400</t>
        </is>
      </c>
      <c r="D81" s="24" t="inlineStr">
        <is>
          <t>Detr-LosA-2026-07-17</t>
        </is>
      </c>
      <c r="E81" s="24" t="inlineStr">
        <is>
          <t>MLB</t>
        </is>
      </c>
      <c r="F81" s="24" t="inlineStr">
        <is>
          <t>Detroit Tigers</t>
        </is>
      </c>
      <c r="G81" s="24" t="inlineStr">
        <is>
          <t>Los Angeles Angels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</t>
        </is>
      </c>
      <c r="L81" s="26" t="n">
        <v>-104</v>
      </c>
      <c r="M81" s="27" t="n">
        <v>1.961538</v>
      </c>
      <c r="N81" s="28" t="n">
        <v>0.509804</v>
      </c>
      <c r="O81" s="28" t="n">
        <v>0.550233</v>
      </c>
      <c r="P81" s="28" t="n">
        <v>0.05</v>
      </c>
      <c r="Q81" s="28" t="n">
        <v>0.040429</v>
      </c>
      <c r="R81" s="26" t="n">
        <v>40</v>
      </c>
      <c r="S81" s="29" t="n">
        <v>1</v>
      </c>
      <c r="T81" s="24" t="inlineStr">
        <is>
          <t>mlb-elo-trend-lr-v5</t>
        </is>
      </c>
      <c r="U81" s="24" t="inlineStr">
        <is>
          <t>settled</t>
        </is>
      </c>
      <c r="V81" s="24" t="inlineStr">
        <is>
          <t>win</t>
        </is>
      </c>
      <c r="W81" s="26" t="n">
        <v>2</v>
      </c>
      <c r="X81" s="26" t="n">
        <v>1</v>
      </c>
      <c r="Y81" s="25" t="n"/>
      <c r="Z81" s="26" t="n"/>
      <c r="AA81" s="28" t="n"/>
      <c r="AB81" s="28" t="n"/>
      <c r="AC81" s="30" t="n">
        <v>0.9615</v>
      </c>
      <c r="AD81" s="24" t="inlineStr">
        <is>
          <t>2026-07-19T12:18:56.425591+00:00</t>
        </is>
      </c>
      <c r="AE81" s="31" t="inlineStr">
        <is>
          <t>backtest</t>
        </is>
      </c>
      <c r="AF81" s="31" t="n"/>
      <c r="AG81" s="24" t="n"/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n"/>
      <c r="AQ81" s="24" t="n"/>
      <c r="AR81" s="24" t="inlineStr">
        <is>
          <t>Detroit Tigers</t>
        </is>
      </c>
      <c r="AS81" s="24" t="n"/>
      <c r="AT81" s="24" t="n"/>
      <c r="AU81" s="24" t="inlineStr">
        <is>
          <t>Los Angeles Angels</t>
        </is>
      </c>
      <c r="AV81" s="24" t="n"/>
      <c r="AW81" s="24" t="n"/>
      <c r="AX81" s="24" t="inlineStr">
        <is>
          <t>research_observation</t>
        </is>
      </c>
      <c r="AY81" s="24" t="n"/>
      <c r="AZ81" s="24" t="inlineStr">
        <is>
          <t>shadow_qualified</t>
        </is>
      </c>
      <c r="BA81" s="24" t="inlineStr">
        <is>
          <t>5224fb6ffbc9ddf8fa517627b830ac851192da94d241963d556945393a42bb9d</t>
        </is>
      </c>
      <c r="BB81" s="24" t="inlineStr">
        <is>
          <t>identity</t>
        </is>
      </c>
      <c r="BC81" s="24" t="inlineStr">
        <is>
          <t>mlb-elo-trend-lr-v4</t>
        </is>
      </c>
      <c r="BD81" s="24" t="inlineStr">
        <is>
          <t>5224fb6ffbc9ddf8fa517627b830ac851192da94d241963d556945393a42bb9d</t>
        </is>
      </c>
      <c r="BE81" s="24" t="inlineStr">
        <is>
          <t>legacy-1</t>
        </is>
      </c>
      <c r="BF81" s="24" t="inlineStr">
        <is>
          <t>legacy-unresolved</t>
        </is>
      </c>
      <c r="BG81" s="24" t="inlineStr">
        <is>
          <t>legacy</t>
        </is>
      </c>
      <c r="BH81" s="24" t="inlineStr">
        <is>
          <t>2026-07-17T16:26:12.761758Z</t>
        </is>
      </c>
      <c r="BI81" s="24" t="n"/>
      <c r="BJ81" s="25" t="n"/>
      <c r="BK81" s="26" t="n">
        <v>-104</v>
      </c>
      <c r="BL81" s="27" t="n">
        <v>1.961538</v>
      </c>
      <c r="BM81" s="28" t="n">
        <v>0.509804</v>
      </c>
      <c r="BN81" s="28" t="n">
        <v>0.507463</v>
      </c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</row>
    <row r="82" ht="36" customHeight="1">
      <c r="A82" s="24" t="inlineStr">
        <is>
          <t>2fe604a809ed46d5</t>
        </is>
      </c>
      <c r="B82" s="24" t="inlineStr">
        <is>
          <t>2026-07-19T10:49:38.448695+00:00</t>
        </is>
      </c>
      <c r="C82" s="24" t="inlineStr">
        <is>
          <t>2026-07-17T13:35:00-0400</t>
        </is>
      </c>
      <c r="D82" s="24" t="inlineStr">
        <is>
          <t>Tamp-Bost-2026-07-17-G1</t>
        </is>
      </c>
      <c r="E82" s="24" t="inlineStr">
        <is>
          <t>MLB</t>
        </is>
      </c>
      <c r="F82" s="24" t="inlineStr">
        <is>
          <t>Tampa Bay Rays</t>
        </is>
      </c>
      <c r="G82" s="24" t="inlineStr">
        <is>
          <t>Boston Red Sox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</t>
        </is>
      </c>
      <c r="L82" s="26" t="n">
        <v>-106</v>
      </c>
      <c r="M82" s="27" t="n">
        <v>1.943396</v>
      </c>
      <c r="N82" s="28" t="n">
        <v>0.514563</v>
      </c>
      <c r="O82" s="28" t="n">
        <v>0.550333</v>
      </c>
      <c r="P82" s="28" t="n">
        <v>0.05</v>
      </c>
      <c r="Q82" s="28" t="n">
        <v>0.03577</v>
      </c>
      <c r="R82" s="26" t="n">
        <v>35</v>
      </c>
      <c r="S82" s="29" t="n">
        <v>1</v>
      </c>
      <c r="T82" s="24" t="inlineStr">
        <is>
          <t>mlb-elo-trend-lr-v5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10</v>
      </c>
      <c r="Y82" s="25" t="n"/>
      <c r="Z82" s="26" t="n"/>
      <c r="AA82" s="28" t="n"/>
      <c r="AB82" s="28" t="n"/>
      <c r="AC82" s="30" t="n">
        <v>0.9434</v>
      </c>
      <c r="AD82" s="24" t="inlineStr">
        <is>
          <t>2026-07-19T12:18:56.423740+00:00</t>
        </is>
      </c>
      <c r="AE82" s="31" t="inlineStr">
        <is>
          <t>backtest</t>
        </is>
      </c>
      <c r="AF82" s="31" t="n"/>
      <c r="AG82" s="24" t="n"/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n"/>
      <c r="AQ82" s="24" t="n"/>
      <c r="AR82" s="24" t="inlineStr">
        <is>
          <t>Tampa Bay Rays</t>
        </is>
      </c>
      <c r="AS82" s="24" t="n"/>
      <c r="AT82" s="24" t="n"/>
      <c r="AU82" s="24" t="inlineStr">
        <is>
          <t>Boston Red Sox</t>
        </is>
      </c>
      <c r="AV82" s="24" t="n"/>
      <c r="AW82" s="24" t="n"/>
      <c r="AX82" s="24" t="inlineStr">
        <is>
          <t>research_observation</t>
        </is>
      </c>
      <c r="AY82" s="24" t="n"/>
      <c r="AZ82" s="24" t="inlineStr">
        <is>
          <t>shadow_qualified</t>
        </is>
      </c>
      <c r="BA82" s="24" t="inlineStr">
        <is>
          <t>5224fb6ffbc9ddf8fa517627b830ac851192da94d241963d556945393a42bb9d</t>
        </is>
      </c>
      <c r="BB82" s="24" t="inlineStr">
        <is>
          <t>identity</t>
        </is>
      </c>
      <c r="BC82" s="24" t="inlineStr">
        <is>
          <t>mlb-elo-trend-lr-v4</t>
        </is>
      </c>
      <c r="BD82" s="24" t="inlineStr">
        <is>
          <t>5224fb6ffbc9ddf8fa517627b830ac851192da94d241963d556945393a42bb9d</t>
        </is>
      </c>
      <c r="BE82" s="24" t="inlineStr">
        <is>
          <t>legacy-1</t>
        </is>
      </c>
      <c r="BF82" s="24" t="inlineStr">
        <is>
          <t>legacy-unresolved</t>
        </is>
      </c>
      <c r="BG82" s="24" t="inlineStr">
        <is>
          <t>legacy</t>
        </is>
      </c>
      <c r="BH82" s="24" t="inlineStr">
        <is>
          <t>2026-07-17T16:26:03.970000Z</t>
        </is>
      </c>
      <c r="BI82" s="24" t="n"/>
      <c r="BJ82" s="25" t="n"/>
      <c r="BK82" s="26" t="n">
        <v>-106</v>
      </c>
      <c r="BL82" s="27" t="n">
        <v>1.943396</v>
      </c>
      <c r="BM82" s="28" t="n">
        <v>0.514563</v>
      </c>
      <c r="BN82" s="28" t="n">
        <v>0.5124379999999999</v>
      </c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</row>
    <row r="83" ht="36" customHeight="1">
      <c r="A83" s="24" t="inlineStr">
        <is>
          <t>509252032f1947b8</t>
        </is>
      </c>
      <c r="B83" s="24" t="inlineStr">
        <is>
          <t>2026-07-19T10:49:38.448695+00:00</t>
        </is>
      </c>
      <c r="C83" s="24" t="inlineStr">
        <is>
          <t>2026-07-17T20:05:00-0400</t>
        </is>
      </c>
      <c r="D83" s="24" t="inlineStr">
        <is>
          <t>Minn-Chic-2026-07-17</t>
        </is>
      </c>
      <c r="E83" s="24" t="inlineStr">
        <is>
          <t>MLB</t>
        </is>
      </c>
      <c r="F83" s="24" t="inlineStr">
        <is>
          <t>Minnesota Twins</t>
        </is>
      </c>
      <c r="G83" s="24" t="inlineStr">
        <is>
          <t>Chicago Cubs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</t>
        </is>
      </c>
      <c r="L83" s="26" t="n">
        <v>-133</v>
      </c>
      <c r="M83" s="27" t="n">
        <v>1.75188</v>
      </c>
      <c r="N83" s="28" t="n">
        <v>0.570815</v>
      </c>
      <c r="O83" s="28" t="n">
        <v>0.60271</v>
      </c>
      <c r="P83" s="28" t="n">
        <v>0.05</v>
      </c>
      <c r="Q83" s="28" t="n">
        <v>0.031895</v>
      </c>
      <c r="R83" s="26" t="n">
        <v>31</v>
      </c>
      <c r="S83" s="29" t="n">
        <v>1.5</v>
      </c>
      <c r="T83" s="24" t="inlineStr">
        <is>
          <t>mlb-elo-trend-lr-v5</t>
        </is>
      </c>
      <c r="U83" s="24" t="inlineStr">
        <is>
          <t>settled</t>
        </is>
      </c>
      <c r="V83" s="24" t="inlineStr">
        <is>
          <t>loss</t>
        </is>
      </c>
      <c r="W83" s="26" t="n">
        <v>5</v>
      </c>
      <c r="X83" s="26" t="n">
        <v>2</v>
      </c>
      <c r="Y83" s="25" t="n"/>
      <c r="Z83" s="26" t="n"/>
      <c r="AA83" s="28" t="n"/>
      <c r="AB83" s="28" t="n"/>
      <c r="AC83" s="30" t="n">
        <v>-1.5</v>
      </c>
      <c r="AD83" s="24" t="inlineStr">
        <is>
          <t>2026-07-19T12:18:56.424770+00:00</t>
        </is>
      </c>
      <c r="AE83" s="31" t="inlineStr">
        <is>
          <t>backtest</t>
        </is>
      </c>
      <c r="AF83" s="31" t="n"/>
      <c r="AG83" s="24" t="n"/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n"/>
      <c r="AQ83" s="24" t="n"/>
      <c r="AR83" s="24" t="inlineStr">
        <is>
          <t>Minnesota Twins</t>
        </is>
      </c>
      <c r="AS83" s="24" t="n"/>
      <c r="AT83" s="24" t="n"/>
      <c r="AU83" s="24" t="inlineStr">
        <is>
          <t>Chicago Cubs</t>
        </is>
      </c>
      <c r="AV83" s="24" t="n"/>
      <c r="AW83" s="24" t="n"/>
      <c r="AX83" s="24" t="inlineStr">
        <is>
          <t>research_observation</t>
        </is>
      </c>
      <c r="AY83" s="24" t="n"/>
      <c r="AZ83" s="24" t="inlineStr">
        <is>
          <t>shadow_qualified</t>
        </is>
      </c>
      <c r="BA83" s="24" t="inlineStr">
        <is>
          <t>5224fb6ffbc9ddf8fa517627b830ac851192da94d241963d556945393a42bb9d</t>
        </is>
      </c>
      <c r="BB83" s="24" t="inlineStr">
        <is>
          <t>identity</t>
        </is>
      </c>
      <c r="BC83" s="24" t="inlineStr">
        <is>
          <t>mlb-elo-trend-lr-v4</t>
        </is>
      </c>
      <c r="BD83" s="24" t="inlineStr">
        <is>
          <t>5224fb6ffbc9ddf8fa517627b830ac851192da94d241963d556945393a42bb9d</t>
        </is>
      </c>
      <c r="BE83" s="24" t="inlineStr">
        <is>
          <t>legacy-1</t>
        </is>
      </c>
      <c r="BF83" s="24" t="inlineStr">
        <is>
          <t>legacy-unresolved</t>
        </is>
      </c>
      <c r="BG83" s="24" t="inlineStr">
        <is>
          <t>legacy</t>
        </is>
      </c>
      <c r="BH83" s="24" t="inlineStr">
        <is>
          <t>2026-07-17T17:12:44.967723Z</t>
        </is>
      </c>
      <c r="BI83" s="24" t="n"/>
      <c r="BJ83" s="25" t="n"/>
      <c r="BK83" s="26" t="n">
        <v>-133</v>
      </c>
      <c r="BL83" s="27" t="n">
        <v>1.75188</v>
      </c>
      <c r="BM83" s="28" t="n">
        <v>0.570815</v>
      </c>
      <c r="BN83" s="28" t="n">
        <v>0.567164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</row>
    <row r="84" ht="36" customHeight="1">
      <c r="A84" s="24" t="inlineStr">
        <is>
          <t>673ea47c54654f7f</t>
        </is>
      </c>
      <c r="B84" s="24" t="inlineStr">
        <is>
          <t>2026-07-19T10:49:38.448695+00:00</t>
        </is>
      </c>
      <c r="C84" s="24" t="inlineStr">
        <is>
          <t>2026-07-17T21:40:00-0400</t>
        </is>
      </c>
      <c r="D84" s="24" t="inlineStr">
        <is>
          <t>Wash-Athl-2026-07-17</t>
        </is>
      </c>
      <c r="E84" s="24" t="inlineStr">
        <is>
          <t>MLB</t>
        </is>
      </c>
      <c r="F84" s="24" t="inlineStr">
        <is>
          <t>Washington Nationals</t>
        </is>
      </c>
      <c r="G84" s="24" t="inlineStr">
        <is>
          <t>Athletics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</t>
        </is>
      </c>
      <c r="L84" s="26" t="n">
        <v>120</v>
      </c>
      <c r="M84" s="27" t="n">
        <v>2.2</v>
      </c>
      <c r="N84" s="28" t="n">
        <v>0.454545</v>
      </c>
      <c r="O84" s="28" t="n">
        <v>0.530299</v>
      </c>
      <c r="P84" s="28" t="n">
        <v>0.05</v>
      </c>
      <c r="Q84" s="28" t="n">
        <v>0.075754</v>
      </c>
      <c r="R84" s="26" t="n">
        <v>75</v>
      </c>
      <c r="S84" s="29" t="n">
        <v>0.75</v>
      </c>
      <c r="T84" s="24" t="inlineStr">
        <is>
          <t>mlb-elo-trend-lr-v5</t>
        </is>
      </c>
      <c r="U84" s="24" t="inlineStr">
        <is>
          <t>settled</t>
        </is>
      </c>
      <c r="V84" s="24" t="inlineStr">
        <is>
          <t>loss</t>
        </is>
      </c>
      <c r="W84" s="26" t="n">
        <v>23</v>
      </c>
      <c r="X84" s="26" t="n">
        <v>4</v>
      </c>
      <c r="Y84" s="25" t="n"/>
      <c r="Z84" s="26" t="n"/>
      <c r="AA84" s="28" t="n"/>
      <c r="AB84" s="28" t="n"/>
      <c r="AC84" s="30" t="n">
        <v>-0.75</v>
      </c>
      <c r="AD84" s="24" t="inlineStr">
        <is>
          <t>2026-07-19T12:18:56.425781+00:00</t>
        </is>
      </c>
      <c r="AE84" s="31" t="inlineStr">
        <is>
          <t>backtest</t>
        </is>
      </c>
      <c r="AF84" s="31" t="n"/>
      <c r="AG84" s="24" t="n"/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n"/>
      <c r="AQ84" s="24" t="n"/>
      <c r="AR84" s="24" t="inlineStr">
        <is>
          <t>Washington Nationals</t>
        </is>
      </c>
      <c r="AS84" s="24" t="n"/>
      <c r="AT84" s="24" t="n"/>
      <c r="AU84" s="24" t="inlineStr">
        <is>
          <t>Athletics</t>
        </is>
      </c>
      <c r="AV84" s="24" t="n"/>
      <c r="AW84" s="24" t="n"/>
      <c r="AX84" s="24" t="inlineStr">
        <is>
          <t>research_observation</t>
        </is>
      </c>
      <c r="AY84" s="24" t="n"/>
      <c r="AZ84" s="24" t="inlineStr">
        <is>
          <t>shadow_qualified</t>
        </is>
      </c>
      <c r="BA84" s="24" t="inlineStr">
        <is>
          <t>5224fb6ffbc9ddf8fa517627b830ac851192da94d241963d556945393a42bb9d</t>
        </is>
      </c>
      <c r="BB84" s="24" t="inlineStr">
        <is>
          <t>identity</t>
        </is>
      </c>
      <c r="BC84" s="24" t="inlineStr">
        <is>
          <t>mlb-elo-trend-lr-v4</t>
        </is>
      </c>
      <c r="BD84" s="24" t="inlineStr">
        <is>
          <t>5224fb6ffbc9ddf8fa517627b830ac851192da94d241963d556945393a42bb9d</t>
        </is>
      </c>
      <c r="BE84" s="24" t="inlineStr">
        <is>
          <t>legacy-1</t>
        </is>
      </c>
      <c r="BF84" s="24" t="inlineStr">
        <is>
          <t>legacy-unresolved</t>
        </is>
      </c>
      <c r="BG84" s="24" t="inlineStr">
        <is>
          <t>legacy</t>
        </is>
      </c>
      <c r="BH84" s="24" t="inlineStr">
        <is>
          <t>2026-07-17T16:26:14.658660Z</t>
        </is>
      </c>
      <c r="BI84" s="24" t="n"/>
      <c r="BJ84" s="25" t="n"/>
      <c r="BK84" s="26" t="n">
        <v>120</v>
      </c>
      <c r="BL84" s="27" t="n">
        <v>2.2</v>
      </c>
      <c r="BM84" s="28" t="n">
        <v>0.454545</v>
      </c>
      <c r="BN84" s="28" t="n">
        <v>0.452736</v>
      </c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</row>
    <row r="85" ht="36" customHeight="1">
      <c r="A85" s="24" t="inlineStr">
        <is>
          <t>baee116aa2834b53</t>
        </is>
      </c>
      <c r="B85" s="24" t="inlineStr">
        <is>
          <t>2026-07-19T10:49:38.448695+00:00</t>
        </is>
      </c>
      <c r="C85" s="24" t="inlineStr">
        <is>
          <t>2026-07-17T19:40:00-0400</t>
        </is>
      </c>
      <c r="D85" s="24" t="inlineStr">
        <is>
          <t>Miam-Milw-2026-07-17</t>
        </is>
      </c>
      <c r="E85" s="24" t="inlineStr">
        <is>
          <t>MLB</t>
        </is>
      </c>
      <c r="F85" s="24" t="inlineStr">
        <is>
          <t>Miami Marlins</t>
        </is>
      </c>
      <c r="G85" s="24" t="inlineStr">
        <is>
          <t>Milwaukee Brewers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</t>
        </is>
      </c>
      <c r="L85" s="26" t="n">
        <v>-141</v>
      </c>
      <c r="M85" s="27" t="n">
        <v>1.70922</v>
      </c>
      <c r="N85" s="28" t="n">
        <v>0.585062</v>
      </c>
      <c r="O85" s="28" t="n">
        <v>0.616198</v>
      </c>
      <c r="P85" s="28" t="n">
        <v>0.05</v>
      </c>
      <c r="Q85" s="28" t="n">
        <v>0.031136</v>
      </c>
      <c r="R85" s="26" t="n">
        <v>31</v>
      </c>
      <c r="S85" s="29" t="n">
        <v>1.75</v>
      </c>
      <c r="T85" s="24" t="inlineStr">
        <is>
          <t>mlb-elo-trend-lr-v5</t>
        </is>
      </c>
      <c r="U85" s="24" t="inlineStr">
        <is>
          <t>settled</t>
        </is>
      </c>
      <c r="V85" s="24" t="inlineStr">
        <is>
          <t>win</t>
        </is>
      </c>
      <c r="W85" s="26" t="n">
        <v>1</v>
      </c>
      <c r="X85" s="26" t="n">
        <v>2</v>
      </c>
      <c r="Y85" s="25" t="n"/>
      <c r="Z85" s="26" t="n"/>
      <c r="AA85" s="28" t="n"/>
      <c r="AB85" s="28" t="n"/>
      <c r="AC85" s="30" t="n">
        <v>1.2411</v>
      </c>
      <c r="AD85" s="24" t="inlineStr">
        <is>
          <t>2026-07-19T12:18:56.424573+00:00</t>
        </is>
      </c>
      <c r="AE85" s="31" t="inlineStr">
        <is>
          <t>backtest</t>
        </is>
      </c>
      <c r="AF85" s="31" t="n"/>
      <c r="AG85" s="24" t="n"/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n"/>
      <c r="AQ85" s="24" t="n"/>
      <c r="AR85" s="24" t="inlineStr">
        <is>
          <t>Miami Marlins</t>
        </is>
      </c>
      <c r="AS85" s="24" t="n"/>
      <c r="AT85" s="24" t="n"/>
      <c r="AU85" s="24" t="inlineStr">
        <is>
          <t>Milwaukee Brewers</t>
        </is>
      </c>
      <c r="AV85" s="24" t="n"/>
      <c r="AW85" s="24" t="n"/>
      <c r="AX85" s="24" t="inlineStr">
        <is>
          <t>research_observation</t>
        </is>
      </c>
      <c r="AY85" s="24" t="n"/>
      <c r="AZ85" s="24" t="inlineStr">
        <is>
          <t>shadow_qualified</t>
        </is>
      </c>
      <c r="BA85" s="24" t="inlineStr">
        <is>
          <t>5224fb6ffbc9ddf8fa517627b830ac851192da94d241963d556945393a42bb9d</t>
        </is>
      </c>
      <c r="BB85" s="24" t="inlineStr">
        <is>
          <t>identity</t>
        </is>
      </c>
      <c r="BC85" s="24" t="inlineStr">
        <is>
          <t>mlb-elo-trend-lr-v4</t>
        </is>
      </c>
      <c r="BD85" s="24" t="inlineStr">
        <is>
          <t>5224fb6ffbc9ddf8fa517627b830ac851192da94d241963d556945393a42bb9d</t>
        </is>
      </c>
      <c r="BE85" s="24" t="inlineStr">
        <is>
          <t>legacy-1</t>
        </is>
      </c>
      <c r="BF85" s="24" t="inlineStr">
        <is>
          <t>legacy-unresolved</t>
        </is>
      </c>
      <c r="BG85" s="24" t="inlineStr">
        <is>
          <t>legacy</t>
        </is>
      </c>
      <c r="BH85" s="24" t="inlineStr">
        <is>
          <t>2026-07-17T17:12:44.293402Z</t>
        </is>
      </c>
      <c r="BI85" s="24" t="n"/>
      <c r="BJ85" s="25" t="n"/>
      <c r="BK85" s="26" t="n">
        <v>-141</v>
      </c>
      <c r="BL85" s="27" t="n">
        <v>1.70922</v>
      </c>
      <c r="BM85" s="28" t="n">
        <v>0.585062</v>
      </c>
      <c r="BN85" s="28" t="n">
        <v>0.58209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</row>
    <row r="86" ht="36" customHeight="1">
      <c r="A86" s="24" t="inlineStr">
        <is>
          <t>47dbb1641a0a4833</t>
        </is>
      </c>
      <c r="B86" s="24" t="inlineStr">
        <is>
          <t>2026-07-19T10:49:38.448695+00:00</t>
        </is>
      </c>
      <c r="C86" s="24" t="inlineStr">
        <is>
          <t>2026-07-17T19:10:00-0400</t>
        </is>
      </c>
      <c r="D86" s="24" t="inlineStr">
        <is>
          <t>Tamp-Bost-2026-07-17-G2</t>
        </is>
      </c>
      <c r="E86" s="24" t="inlineStr">
        <is>
          <t>MLB</t>
        </is>
      </c>
      <c r="F86" s="24" t="inlineStr">
        <is>
          <t>Tampa Bay Rays</t>
        </is>
      </c>
      <c r="G86" s="24" t="inlineStr">
        <is>
          <t>Boston Red Sox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</t>
        </is>
      </c>
      <c r="L86" s="26" t="n">
        <v>-106</v>
      </c>
      <c r="M86" s="27" t="n">
        <v>1.943396</v>
      </c>
      <c r="N86" s="28" t="n">
        <v>0.514563</v>
      </c>
      <c r="O86" s="28" t="n">
        <v>0.550333</v>
      </c>
      <c r="P86" s="28" t="n">
        <v>0.05</v>
      </c>
      <c r="Q86" s="28" t="n">
        <v>0.03577</v>
      </c>
      <c r="R86" s="26" t="n">
        <v>35</v>
      </c>
      <c r="S86" s="29" t="n">
        <v>1</v>
      </c>
      <c r="T86" s="24" t="inlineStr">
        <is>
          <t>mlb-elo-trend-lr-v5</t>
        </is>
      </c>
      <c r="U86" s="24" t="inlineStr">
        <is>
          <t>settled</t>
        </is>
      </c>
      <c r="V86" s="24" t="inlineStr">
        <is>
          <t>win</t>
        </is>
      </c>
      <c r="W86" s="26" t="n">
        <v>3</v>
      </c>
      <c r="X86" s="26" t="n">
        <v>5</v>
      </c>
      <c r="Y86" s="25" t="n"/>
      <c r="Z86" s="26" t="n"/>
      <c r="AA86" s="28" t="n"/>
      <c r="AB86" s="28" t="n"/>
      <c r="AC86" s="30" t="n">
        <v>0.9434</v>
      </c>
      <c r="AD86" s="24" t="inlineStr">
        <is>
          <t>2026-07-19T12:18:56.423961+00:00</t>
        </is>
      </c>
      <c r="AE86" s="31" t="inlineStr">
        <is>
          <t>backtest</t>
        </is>
      </c>
      <c r="AF86" s="31" t="n"/>
      <c r="AG86" s="24" t="n"/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n"/>
      <c r="AQ86" s="24" t="n"/>
      <c r="AR86" s="24" t="inlineStr">
        <is>
          <t>Tampa Bay Rays</t>
        </is>
      </c>
      <c r="AS86" s="24" t="n"/>
      <c r="AT86" s="24" t="n"/>
      <c r="AU86" s="24" t="inlineStr">
        <is>
          <t>Boston Red Sox</t>
        </is>
      </c>
      <c r="AV86" s="24" t="n"/>
      <c r="AW86" s="24" t="n"/>
      <c r="AX86" s="24" t="inlineStr">
        <is>
          <t>research_observation</t>
        </is>
      </c>
      <c r="AY86" s="24" t="n"/>
      <c r="AZ86" s="24" t="inlineStr">
        <is>
          <t>shadow_qualified</t>
        </is>
      </c>
      <c r="BA86" s="24" t="inlineStr">
        <is>
          <t>5224fb6ffbc9ddf8fa517627b830ac851192da94d241963d556945393a42bb9d</t>
        </is>
      </c>
      <c r="BB86" s="24" t="inlineStr">
        <is>
          <t>identity</t>
        </is>
      </c>
      <c r="BC86" s="24" t="inlineStr">
        <is>
          <t>mlb-elo-trend-lr-v4</t>
        </is>
      </c>
      <c r="BD86" s="24" t="inlineStr">
        <is>
          <t>5224fb6ffbc9ddf8fa517627b830ac851192da94d241963d556945393a42bb9d</t>
        </is>
      </c>
      <c r="BE86" s="24" t="inlineStr">
        <is>
          <t>legacy-1</t>
        </is>
      </c>
      <c r="BF86" s="24" t="inlineStr">
        <is>
          <t>legacy-unresolved</t>
        </is>
      </c>
      <c r="BG86" s="24" t="inlineStr">
        <is>
          <t>legacy</t>
        </is>
      </c>
      <c r="BH86" s="24" t="inlineStr">
        <is>
          <t>2026-07-17T16:26:03.970000Z</t>
        </is>
      </c>
      <c r="BI86" s="24" t="n"/>
      <c r="BJ86" s="25" t="n"/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</row>
    <row r="87" ht="36" customHeight="1">
      <c r="A87" s="24" t="inlineStr">
        <is>
          <t>f7bfb70dfae84f8f</t>
        </is>
      </c>
      <c r="B87" s="24" t="inlineStr">
        <is>
          <t>2026-07-19T10:49:38.448695+00:00</t>
        </is>
      </c>
      <c r="C87" s="24" t="inlineStr">
        <is>
          <t>2026-07-17T21:40:00-0400</t>
        </is>
      </c>
      <c r="D87" s="24" t="inlineStr">
        <is>
          <t>St.L-Ariz-2026-07-17</t>
        </is>
      </c>
      <c r="E87" s="24" t="inlineStr">
        <is>
          <t>MLB</t>
        </is>
      </c>
      <c r="F87" s="24" t="inlineStr">
        <is>
          <t>St. Louis Cardinals</t>
        </is>
      </c>
      <c r="G87" s="24" t="inlineStr">
        <is>
          <t>Arizona Diamondbacks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</t>
        </is>
      </c>
      <c r="L87" s="26" t="n">
        <v>100</v>
      </c>
      <c r="M87" s="27" t="n">
        <v>2</v>
      </c>
      <c r="N87" s="28" t="n">
        <v>0.5</v>
      </c>
      <c r="O87" s="28" t="n">
        <v>0.525388</v>
      </c>
      <c r="P87" s="28" t="n">
        <v>0.05</v>
      </c>
      <c r="Q87" s="28" t="n">
        <v>0.025388</v>
      </c>
      <c r="R87" s="26" t="n">
        <v>25</v>
      </c>
      <c r="S87" s="29" t="n">
        <v>0.75</v>
      </c>
      <c r="T87" s="24" t="inlineStr">
        <is>
          <t>mlb-elo-trend-lr-v5</t>
        </is>
      </c>
      <c r="U87" s="24" t="inlineStr">
        <is>
          <t>settled</t>
        </is>
      </c>
      <c r="V87" s="24" t="inlineStr">
        <is>
          <t>loss</t>
        </is>
      </c>
      <c r="W87" s="26" t="n">
        <v>5</v>
      </c>
      <c r="X87" s="26" t="n">
        <v>4</v>
      </c>
      <c r="Y87" s="25" t="n"/>
      <c r="Z87" s="26" t="n"/>
      <c r="AA87" s="28" t="n"/>
      <c r="AB87" s="28" t="n"/>
      <c r="AC87" s="30" t="n">
        <v>-0.75</v>
      </c>
      <c r="AD87" s="24" t="inlineStr">
        <is>
          <t>2026-07-19T12:18:56.425985+00:00</t>
        </is>
      </c>
      <c r="AE87" s="31" t="inlineStr">
        <is>
          <t>backtest</t>
        </is>
      </c>
      <c r="AF87" s="31" t="n"/>
      <c r="AG87" s="24" t="n"/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n"/>
      <c r="AQ87" s="24" t="n"/>
      <c r="AR87" s="24" t="inlineStr">
        <is>
          <t>St. Louis Cardinals</t>
        </is>
      </c>
      <c r="AS87" s="24" t="n"/>
      <c r="AT87" s="24" t="n"/>
      <c r="AU87" s="24" t="inlineStr">
        <is>
          <t>Arizona Diamondbacks</t>
        </is>
      </c>
      <c r="AV87" s="24" t="n"/>
      <c r="AW87" s="24" t="n"/>
      <c r="AX87" s="24" t="inlineStr">
        <is>
          <t>research_observation</t>
        </is>
      </c>
      <c r="AY87" s="24" t="n"/>
      <c r="AZ87" s="24" t="inlineStr">
        <is>
          <t>shadow_qualified</t>
        </is>
      </c>
      <c r="BA87" s="24" t="inlineStr">
        <is>
          <t>5224fb6ffbc9ddf8fa517627b830ac851192da94d241963d556945393a42bb9d</t>
        </is>
      </c>
      <c r="BB87" s="24" t="inlineStr">
        <is>
          <t>identity</t>
        </is>
      </c>
      <c r="BC87" s="24" t="inlineStr">
        <is>
          <t>mlb-elo-trend-lr-v4</t>
        </is>
      </c>
      <c r="BD87" s="24" t="inlineStr">
        <is>
          <t>5224fb6ffbc9ddf8fa517627b830ac851192da94d241963d556945393a42bb9d</t>
        </is>
      </c>
      <c r="BE87" s="24" t="inlineStr">
        <is>
          <t>legacy-1</t>
        </is>
      </c>
      <c r="BF87" s="24" t="inlineStr">
        <is>
          <t>legacy-unresolved</t>
        </is>
      </c>
      <c r="BG87" s="24" t="inlineStr">
        <is>
          <t>legacy</t>
        </is>
      </c>
      <c r="BH87" s="24" t="inlineStr">
        <is>
          <t>2026-07-17T16:26:13.837104Z</t>
        </is>
      </c>
      <c r="BI87" s="24" t="n"/>
      <c r="BJ87" s="25" t="n"/>
      <c r="BK87" s="26" t="n">
        <v>100</v>
      </c>
      <c r="BL87" s="27" t="n">
        <v>2</v>
      </c>
      <c r="BM87" s="28" t="n">
        <v>0.5</v>
      </c>
      <c r="BN87" s="28" t="n">
        <v>0.497512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</row>
    <row r="88" ht="36" customHeight="1">
      <c r="A88" s="24" t="inlineStr">
        <is>
          <t>48c8669ffc2149cc</t>
        </is>
      </c>
      <c r="B88" s="24" t="inlineStr">
        <is>
          <t>2026-07-18T17:37:17.255201Z</t>
        </is>
      </c>
      <c r="C88" s="24" t="inlineStr">
        <is>
          <t>2026-07-19T12:15:00-0400</t>
        </is>
      </c>
      <c r="D88" s="24" t="inlineStr">
        <is>
          <t>401816171</t>
        </is>
      </c>
      <c r="E88" s="24" t="inlineStr">
        <is>
          <t>MLB</t>
        </is>
      </c>
      <c r="F88" s="24" t="inlineStr">
        <is>
          <t>Chicago White Sox</t>
        </is>
      </c>
      <c r="G88" s="24" t="inlineStr">
        <is>
          <t>Toronto Blue Jays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-104</v>
      </c>
      <c r="M88" s="27" t="n">
        <v>1.961538</v>
      </c>
      <c r="N88" s="28" t="n">
        <v>0.509804</v>
      </c>
      <c r="O88" s="28" t="n">
        <v>0.549576</v>
      </c>
      <c r="P88" s="28" t="n"/>
      <c r="Q88" s="28" t="n">
        <v>0.039772</v>
      </c>
      <c r="R88" s="26" t="n">
        <v>39</v>
      </c>
      <c r="S88" s="29" t="n">
        <v>1</v>
      </c>
      <c r="T88" s="24" t="inlineStr">
        <is>
          <t>mlb-elo-trend-lr-v5</t>
        </is>
      </c>
      <c r="U88" s="24" t="inlineStr">
        <is>
          <t>settled</t>
        </is>
      </c>
      <c r="V88" s="24" t="inlineStr">
        <is>
          <t>loss</t>
        </is>
      </c>
      <c r="W88" s="26" t="n">
        <v>3</v>
      </c>
      <c r="X88" s="26" t="n">
        <v>0</v>
      </c>
      <c r="Y88" s="25" t="n"/>
      <c r="Z88" s="26" t="n"/>
      <c r="AA88" s="28" t="n"/>
      <c r="AB88" s="28" t="n"/>
      <c r="AC88" s="30" t="n">
        <v>-1</v>
      </c>
      <c r="AD88" s="24" t="inlineStr">
        <is>
          <t>2026-07-19T21:31:34.426330Z</t>
        </is>
      </c>
      <c r="AE88" s="31" t="inlineStr">
        <is>
          <t>Learned LR call at threshold 0.5100; executable ask 0.5100 (aec-mlb-cws-tor-2026-07-19).</t>
        </is>
      </c>
      <c r="AF88" s="31" t="inlineStr">
        <is>
          <t>Learned model; promotion gate not yet open; zero-unit research until review.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mlb-cws</t>
        </is>
      </c>
      <c r="AQ88" s="24" t="inlineStr">
        <is>
          <t>Chicago White Sox</t>
        </is>
      </c>
      <c r="AR88" s="24" t="inlineStr">
        <is>
          <t>Chicago White Sox</t>
        </is>
      </c>
      <c r="AS88" s="24" t="inlineStr">
        <is>
          <t>mlb-tor</t>
        </is>
      </c>
      <c r="AT88" s="24" t="inlineStr">
        <is>
          <t>Toronto Blue Jays</t>
        </is>
      </c>
      <c r="AU88" s="24" t="inlineStr">
        <is>
          <t>Toronto Blue Jays</t>
        </is>
      </c>
      <c r="AV88" s="24" t="n"/>
      <c r="AW88" s="24" t="n"/>
      <c r="AX88" s="24" t="inlineStr">
        <is>
          <t>research_observation</t>
        </is>
      </c>
      <c r="AY88" s="24" t="n"/>
      <c r="AZ88" s="24" t="inlineStr">
        <is>
          <t>research</t>
        </is>
      </c>
      <c r="BA88" s="24" t="inlineStr">
        <is>
          <t>5224fb6ffbc9ddf8fa517627b830ac851192da94d241963d556945393a42bb9d</t>
        </is>
      </c>
      <c r="BB88" s="24" t="inlineStr">
        <is>
          <t>learned_lr</t>
        </is>
      </c>
      <c r="BC88" s="24" t="inlineStr">
        <is>
          <t>mlb-elo-trend-lr-v4</t>
        </is>
      </c>
      <c r="BD88" s="24" t="inlineStr">
        <is>
          <t>5224fb6ffbc9ddf8fa517627b830ac851192da94d241963d556945393a42bb9d</t>
        </is>
      </c>
      <c r="BE88" s="24" t="inlineStr">
        <is>
          <t>50f6dab0538e7f4a</t>
        </is>
      </c>
      <c r="BF88" s="24" t="inlineStr">
        <is>
          <t>1</t>
        </is>
      </c>
      <c r="BG88" s="24" t="inlineStr">
        <is>
          <t>mlb-elo-trend-lr-v3</t>
        </is>
      </c>
      <c r="BH88" s="24" t="inlineStr">
        <is>
          <t>2026-07-18T17:36:34.425604Z</t>
        </is>
      </c>
      <c r="BI88" s="24" t="inlineStr">
        <is>
          <t>["same_event","same_team_same_day","same_league_same_day"]</t>
        </is>
      </c>
      <c r="BJ88" s="25" t="n"/>
      <c r="BK88" s="26" t="n">
        <v>-104</v>
      </c>
      <c r="BL88" s="27" t="n">
        <v>1.961538</v>
      </c>
      <c r="BM88" s="28" t="n">
        <v>0.509804</v>
      </c>
      <c r="BN88" s="28" t="n">
        <v>0.507463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>
        <v>1</v>
      </c>
      <c r="BY88" s="27" t="n">
        <v>-1</v>
      </c>
      <c r="BZ88" s="24" t="inlineStr">
        <is>
          <t>2026-07-19T21:31:34.426330Z</t>
        </is>
      </c>
      <c r="CA88" s="31" t="inlineStr">
        <is>
          <t>fixed one-unit hypothetical scoring; no real exposure or execution</t>
        </is>
      </c>
      <c r="CB88" s="24" t="n"/>
    </row>
    <row r="89" ht="36" customHeight="1">
      <c r="A89" s="24" t="inlineStr">
        <is>
          <t>a96ea6dd6b144441</t>
        </is>
      </c>
      <c r="B89" s="24" t="inlineStr">
        <is>
          <t>2026-07-18T17:37:17.255201Z</t>
        </is>
      </c>
      <c r="C89" s="24" t="inlineStr">
        <is>
          <t>2026-07-19T14:10:00-0400</t>
        </is>
      </c>
      <c r="D89" s="24" t="inlineStr">
        <is>
          <t>401816178</t>
        </is>
      </c>
      <c r="E89" s="24" t="inlineStr">
        <is>
          <t>MLB</t>
        </is>
      </c>
      <c r="F89" s="24" t="inlineStr">
        <is>
          <t>Miami Marlins</t>
        </is>
      </c>
      <c r="G89" s="24" t="inlineStr">
        <is>
          <t>Milwaukee Brewers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-125</v>
      </c>
      <c r="M89" s="27" t="n">
        <v>1.8</v>
      </c>
      <c r="N89" s="28" t="n">
        <v>0.555556</v>
      </c>
      <c r="O89" s="28" t="n">
        <v>0.607169</v>
      </c>
      <c r="P89" s="28" t="n"/>
      <c r="Q89" s="28" t="n">
        <v>0.051613</v>
      </c>
      <c r="R89" s="26" t="n">
        <v>51</v>
      </c>
      <c r="S89" s="29" t="n">
        <v>1.5</v>
      </c>
      <c r="T89" s="24" t="inlineStr">
        <is>
          <t>mlb-elo-trend-lr-v5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3</v>
      </c>
      <c r="Y89" s="25" t="n"/>
      <c r="Z89" s="26" t="n"/>
      <c r="AA89" s="28" t="n"/>
      <c r="AB89" s="28" t="n"/>
      <c r="AC89" s="30" t="n">
        <v>1.2</v>
      </c>
      <c r="AD89" s="24" t="inlineStr">
        <is>
          <t>2026-07-19T21:31:35.195059Z</t>
        </is>
      </c>
      <c r="AE89" s="31" t="inlineStr">
        <is>
          <t>Learned LR call at threshold 0.5100; executable ask 0.5550 (aec-mlb-mia-mil-2026-07-19).</t>
        </is>
      </c>
      <c r="AF89" s="31" t="inlineStr">
        <is>
          <t>Learned model; promotion gate not yet open; zero-unit research until review.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mlb-mia</t>
        </is>
      </c>
      <c r="AQ89" s="24" t="inlineStr">
        <is>
          <t>Miami Marlins</t>
        </is>
      </c>
      <c r="AR89" s="24" t="inlineStr">
        <is>
          <t>Miami Marlins</t>
        </is>
      </c>
      <c r="AS89" s="24" t="inlineStr">
        <is>
          <t>mlb-mil</t>
        </is>
      </c>
      <c r="AT89" s="24" t="inlineStr">
        <is>
          <t>Milwaukee Brewers</t>
        </is>
      </c>
      <c r="AU89" s="24" t="inlineStr">
        <is>
          <t>Milwaukee Brewers</t>
        </is>
      </c>
      <c r="AV89" s="24" t="n"/>
      <c r="AW89" s="24" t="n"/>
      <c r="AX89" s="24" t="inlineStr">
        <is>
          <t>research_observation</t>
        </is>
      </c>
      <c r="AY89" s="24" t="n"/>
      <c r="AZ89" s="24" t="inlineStr">
        <is>
          <t>research</t>
        </is>
      </c>
      <c r="BA89" s="24" t="inlineStr">
        <is>
          <t>5224fb6ffbc9ddf8fa517627b830ac851192da94d241963d556945393a42bb9d</t>
        </is>
      </c>
      <c r="BB89" s="24" t="inlineStr">
        <is>
          <t>learned_lr</t>
        </is>
      </c>
      <c r="BC89" s="24" t="inlineStr">
        <is>
          <t>mlb-elo-trend-lr-v4</t>
        </is>
      </c>
      <c r="BD89" s="24" t="inlineStr">
        <is>
          <t>5224fb6ffbc9ddf8fa517627b830ac851192da94d241963d556945393a42bb9d</t>
        </is>
      </c>
      <c r="BE89" s="24" t="inlineStr">
        <is>
          <t>a0d9b1134dce1744</t>
        </is>
      </c>
      <c r="BF89" s="24" t="inlineStr">
        <is>
          <t>1</t>
        </is>
      </c>
      <c r="BG89" s="24" t="inlineStr">
        <is>
          <t>mlb-elo-trend-lr-v3</t>
        </is>
      </c>
      <c r="BH89" s="24" t="inlineStr">
        <is>
          <t>2026-07-18T17:36:41.204729Z</t>
        </is>
      </c>
      <c r="BI89" s="24" t="inlineStr">
        <is>
          <t>["same_event","same_team_same_day","same_league_same_day"]</t>
        </is>
      </c>
      <c r="BJ89" s="25" t="n"/>
      <c r="BK89" s="26" t="n">
        <v>-125</v>
      </c>
      <c r="BL89" s="27" t="n">
        <v>1.8</v>
      </c>
      <c r="BM89" s="28" t="n">
        <v>0.555556</v>
      </c>
      <c r="BN89" s="28" t="n">
        <v>0.552239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>
        <v>1</v>
      </c>
      <c r="BY89" s="27" t="n">
        <v>0.8</v>
      </c>
      <c r="BZ89" s="24" t="inlineStr">
        <is>
          <t>2026-07-19T21:31:35.195059Z</t>
        </is>
      </c>
      <c r="CA89" s="31" t="inlineStr">
        <is>
          <t>fixed one-unit hypothetical scoring; no real exposure or execution</t>
        </is>
      </c>
      <c r="CB89" s="24" t="n"/>
    </row>
    <row r="90" ht="36" customHeight="1">
      <c r="A90" s="24" t="inlineStr">
        <is>
          <t>04b8c864fb464dd7</t>
        </is>
      </c>
      <c r="B90" s="24" t="inlineStr">
        <is>
          <t>2026-07-18T17:37:17.255201Z</t>
        </is>
      </c>
      <c r="C90" s="24" t="inlineStr">
        <is>
          <t>2026-07-19T14:10:00-0400</t>
        </is>
      </c>
      <c r="D90" s="24" t="inlineStr">
        <is>
          <t>401816180</t>
        </is>
      </c>
      <c r="E90" s="24" t="inlineStr">
        <is>
          <t>MLB</t>
        </is>
      </c>
      <c r="F90" s="24" t="inlineStr">
        <is>
          <t>San Diego Padres</t>
        </is>
      </c>
      <c r="G90" s="24" t="inlineStr">
        <is>
          <t>Kansas City Royals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106</v>
      </c>
      <c r="M90" s="27" t="n">
        <v>2.06</v>
      </c>
      <c r="N90" s="28" t="n">
        <v>0.485437</v>
      </c>
      <c r="O90" s="28" t="n">
        <v>0.520865</v>
      </c>
      <c r="P90" s="28" t="n"/>
      <c r="Q90" s="28" t="n">
        <v>0.035428</v>
      </c>
      <c r="R90" s="26" t="n">
        <v>35</v>
      </c>
      <c r="S90" s="29" t="n">
        <v>0.75</v>
      </c>
      <c r="T90" s="24" t="inlineStr">
        <is>
          <t>mlb-elo-trend-lr-v5</t>
        </is>
      </c>
      <c r="U90" s="24" t="inlineStr">
        <is>
          <t>settled</t>
        </is>
      </c>
      <c r="V90" s="24" t="inlineStr">
        <is>
          <t>win</t>
        </is>
      </c>
      <c r="W90" s="26" t="n">
        <v>19</v>
      </c>
      <c r="X90" s="26" t="n">
        <v>2</v>
      </c>
      <c r="Y90" s="25" t="n"/>
      <c r="Z90" s="26" t="n"/>
      <c r="AA90" s="28" t="n"/>
      <c r="AB90" s="28" t="n"/>
      <c r="AC90" s="30" t="n">
        <v>0.795</v>
      </c>
      <c r="AD90" s="24" t="inlineStr">
        <is>
          <t>2026-07-19T21:31:35.380420Z</t>
        </is>
      </c>
      <c r="AE90" s="31" t="inlineStr">
        <is>
          <t>Learned LR call at threshold 0.5100; executable ask 0.4850 (aec-mlb-sd-kc-2026-07-19).</t>
        </is>
      </c>
      <c r="AF90" s="31" t="inlineStr">
        <is>
          <t>Learned model; promotion gate not yet open; zero-unit research until review.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mlb-sd</t>
        </is>
      </c>
      <c r="AQ90" s="24" t="inlineStr">
        <is>
          <t>San Diego Padres</t>
        </is>
      </c>
      <c r="AR90" s="24" t="inlineStr">
        <is>
          <t>San Diego Padres</t>
        </is>
      </c>
      <c r="AS90" s="24" t="inlineStr">
        <is>
          <t>mlb-kc</t>
        </is>
      </c>
      <c r="AT90" s="24" t="inlineStr">
        <is>
          <t>Kansas City Royals</t>
        </is>
      </c>
      <c r="AU90" s="24" t="inlineStr">
        <is>
          <t>Kansas City Royals</t>
        </is>
      </c>
      <c r="AV90" s="24" t="n"/>
      <c r="AW90" s="24" t="n"/>
      <c r="AX90" s="24" t="inlineStr">
        <is>
          <t>research_observation</t>
        </is>
      </c>
      <c r="AY90" s="24" t="n"/>
      <c r="AZ90" s="24" t="inlineStr">
        <is>
          <t>research</t>
        </is>
      </c>
      <c r="BA90" s="24" t="inlineStr">
        <is>
          <t>5224fb6ffbc9ddf8fa517627b830ac851192da94d241963d556945393a42bb9d</t>
        </is>
      </c>
      <c r="BB90" s="24" t="inlineStr">
        <is>
          <t>learned_lr</t>
        </is>
      </c>
      <c r="BC90" s="24" t="inlineStr">
        <is>
          <t>mlb-elo-trend-lr-v4</t>
        </is>
      </c>
      <c r="BD90" s="24" t="inlineStr">
        <is>
          <t>5224fb6ffbc9ddf8fa517627b830ac851192da94d241963d556945393a42bb9d</t>
        </is>
      </c>
      <c r="BE90" s="24" t="inlineStr">
        <is>
          <t>b9e5139f50e614b7</t>
        </is>
      </c>
      <c r="BF90" s="24" t="inlineStr">
        <is>
          <t>1</t>
        </is>
      </c>
      <c r="BG90" s="24" t="inlineStr">
        <is>
          <t>mlb-elo-trend-lr-v3</t>
        </is>
      </c>
      <c r="BH90" s="24" t="inlineStr">
        <is>
          <t>2026-07-18T17:36:40.632965Z</t>
        </is>
      </c>
      <c r="BI90" s="24" t="inlineStr">
        <is>
          <t>["same_event","same_team_same_day","same_league_same_day"]</t>
        </is>
      </c>
      <c r="BJ90" s="25" t="n"/>
      <c r="BK90" s="26" t="n">
        <v>106</v>
      </c>
      <c r="BL90" s="27" t="n">
        <v>2.06</v>
      </c>
      <c r="BM90" s="28" t="n">
        <v>0.485437</v>
      </c>
      <c r="BN90" s="28" t="n">
        <v>0.482587</v>
      </c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>
        <v>1</v>
      </c>
      <c r="BY90" s="27" t="n">
        <v>1.06</v>
      </c>
      <c r="BZ90" s="24" t="inlineStr">
        <is>
          <t>2026-07-19T21:31:35.380420Z</t>
        </is>
      </c>
      <c r="CA90" s="31" t="inlineStr">
        <is>
          <t>fixed one-unit hypothetical scoring; no real exposure or execution</t>
        </is>
      </c>
      <c r="CB90" s="24" t="n"/>
    </row>
    <row r="91" ht="36" customHeight="1">
      <c r="A91" s="24" t="inlineStr">
        <is>
          <t>5290104d16c8463b</t>
        </is>
      </c>
      <c r="B91" s="24" t="inlineStr">
        <is>
          <t>2026-07-18T17:37:17.255201Z</t>
        </is>
      </c>
      <c r="C91" s="24" t="inlineStr">
        <is>
          <t>2026-07-19T13:35:00-0400</t>
        </is>
      </c>
      <c r="D91" s="24" t="inlineStr">
        <is>
          <t>401816173</t>
        </is>
      </c>
      <c r="E91" s="24" t="inlineStr">
        <is>
          <t>MLB</t>
        </is>
      </c>
      <c r="F91" s="24" t="inlineStr">
        <is>
          <t>New York Mets</t>
        </is>
      </c>
      <c r="G91" s="24" t="inlineStr">
        <is>
          <t>Philadelphia Phillies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-111</v>
      </c>
      <c r="M91" s="27" t="n">
        <v>1.900901</v>
      </c>
      <c r="N91" s="28" t="n">
        <v>0.526066</v>
      </c>
      <c r="O91" s="28" t="n">
        <v>0.606009</v>
      </c>
      <c r="P91" s="28" t="n"/>
      <c r="Q91" s="28" t="n">
        <v>0.079943</v>
      </c>
      <c r="R91" s="26" t="n">
        <v>79</v>
      </c>
      <c r="S91" s="29" t="n">
        <v>1.5</v>
      </c>
      <c r="T91" s="24" t="inlineStr">
        <is>
          <t>mlb-elo-trend-lr-v5</t>
        </is>
      </c>
      <c r="U91" s="24" t="inlineStr">
        <is>
          <t>settled</t>
        </is>
      </c>
      <c r="V91" s="24" t="inlineStr">
        <is>
          <t>loss</t>
        </is>
      </c>
      <c r="W91" s="26" t="n">
        <v>6</v>
      </c>
      <c r="X91" s="26" t="n">
        <v>1</v>
      </c>
      <c r="Y91" s="25" t="n"/>
      <c r="Z91" s="26" t="n"/>
      <c r="AA91" s="28" t="n"/>
      <c r="AB91" s="28" t="n"/>
      <c r="AC91" s="30" t="n">
        <v>-1.5</v>
      </c>
      <c r="AD91" s="24" t="inlineStr">
        <is>
          <t>2026-07-19T21:31:34.633018Z</t>
        </is>
      </c>
      <c r="AE91" s="31" t="inlineStr">
        <is>
          <t>Learned LR call at threshold 0.5100; executable ask 0.5250 (aec-mlb-nym-phi-2026-07-19).</t>
        </is>
      </c>
      <c r="AF91" s="31" t="inlineStr">
        <is>
          <t>Learned model; promotion gate not yet open; zero-unit research until review.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mlb-nym</t>
        </is>
      </c>
      <c r="AQ91" s="24" t="inlineStr">
        <is>
          <t>New York Mets</t>
        </is>
      </c>
      <c r="AR91" s="24" t="inlineStr">
        <is>
          <t>New York Mets</t>
        </is>
      </c>
      <c r="AS91" s="24" t="inlineStr">
        <is>
          <t>mlb-phi</t>
        </is>
      </c>
      <c r="AT91" s="24" t="inlineStr">
        <is>
          <t>Philadelphia Phillies</t>
        </is>
      </c>
      <c r="AU91" s="24" t="inlineStr">
        <is>
          <t>Philadelphia Phillies</t>
        </is>
      </c>
      <c r="AV91" s="24" t="n"/>
      <c r="AW91" s="24" t="n"/>
      <c r="AX91" s="24" t="inlineStr">
        <is>
          <t>research_observation</t>
        </is>
      </c>
      <c r="AY91" s="24" t="n"/>
      <c r="AZ91" s="24" t="inlineStr">
        <is>
          <t>research</t>
        </is>
      </c>
      <c r="BA91" s="24" t="inlineStr">
        <is>
          <t>5224fb6ffbc9ddf8fa517627b830ac851192da94d241963d556945393a42bb9d</t>
        </is>
      </c>
      <c r="BB91" s="24" t="inlineStr">
        <is>
          <t>learned_lr</t>
        </is>
      </c>
      <c r="BC91" s="24" t="inlineStr">
        <is>
          <t>mlb-elo-trend-lr-v4</t>
        </is>
      </c>
      <c r="BD91" s="24" t="inlineStr">
        <is>
          <t>5224fb6ffbc9ddf8fa517627b830ac851192da94d241963d556945393a42bb9d</t>
        </is>
      </c>
      <c r="BE91" s="24" t="inlineStr">
        <is>
          <t>ce93768fc5c8be02</t>
        </is>
      </c>
      <c r="BF91" s="24" t="inlineStr">
        <is>
          <t>1</t>
        </is>
      </c>
      <c r="BG91" s="24" t="inlineStr">
        <is>
          <t>mlb-elo-trend-lr-v3</t>
        </is>
      </c>
      <c r="BH91" s="24" t="inlineStr">
        <is>
          <t>2026-07-18T17:36:34.787099Z</t>
        </is>
      </c>
      <c r="BI91" s="24" t="inlineStr">
        <is>
          <t>["same_event","same_team_same_day","same_league_same_day"]</t>
        </is>
      </c>
      <c r="BJ91" s="25" t="n"/>
      <c r="BK91" s="26" t="n">
        <v>-111</v>
      </c>
      <c r="BL91" s="27" t="n">
        <v>1.900901</v>
      </c>
      <c r="BM91" s="28" t="n">
        <v>0.526066</v>
      </c>
      <c r="BN91" s="28" t="n">
        <v>0.522388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>
        <v>1</v>
      </c>
      <c r="BY91" s="27" t="n">
        <v>-1</v>
      </c>
      <c r="BZ91" s="24" t="inlineStr">
        <is>
          <t>2026-07-19T21:31:34.633018Z</t>
        </is>
      </c>
      <c r="CA91" s="31" t="inlineStr">
        <is>
          <t>fixed one-unit hypothetical scoring; no real exposure or execution</t>
        </is>
      </c>
      <c r="CB91" s="24" t="n"/>
    </row>
    <row r="92" ht="36" customHeight="1">
      <c r="A92" s="24" t="inlineStr">
        <is>
          <t>7a4271bd40494914</t>
        </is>
      </c>
      <c r="B92" s="24" t="inlineStr">
        <is>
          <t>2026-07-18T17:37:17.255201Z</t>
        </is>
      </c>
      <c r="C92" s="24" t="inlineStr">
        <is>
          <t>2026-07-19T13:35:00-0400</t>
        </is>
      </c>
      <c r="D92" s="24" t="inlineStr">
        <is>
          <t>401816175</t>
        </is>
      </c>
      <c r="E92" s="24" t="inlineStr">
        <is>
          <t>MLB</t>
        </is>
      </c>
      <c r="F92" s="24" t="inlineStr">
        <is>
          <t>Tampa Bay Rays</t>
        </is>
      </c>
      <c r="G92" s="24" t="inlineStr">
        <is>
          <t>Boston Red Sox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-108</v>
      </c>
      <c r="M92" s="27" t="n">
        <v>1.925926</v>
      </c>
      <c r="N92" s="28" t="n">
        <v>0.519231</v>
      </c>
      <c r="O92" s="28" t="n">
        <v>0.550576</v>
      </c>
      <c r="P92" s="28" t="n"/>
      <c r="Q92" s="28" t="n">
        <v>0.031345</v>
      </c>
      <c r="R92" s="26" t="n">
        <v>31</v>
      </c>
      <c r="S92" s="29" t="n">
        <v>1</v>
      </c>
      <c r="T92" s="24" t="inlineStr">
        <is>
          <t>mlb-elo-trend-lr-v5</t>
        </is>
      </c>
      <c r="U92" s="24" t="inlineStr">
        <is>
          <t>settled</t>
        </is>
      </c>
      <c r="V92" s="24" t="inlineStr">
        <is>
          <t>win</t>
        </is>
      </c>
      <c r="W92" s="26" t="n">
        <v>1</v>
      </c>
      <c r="X92" s="26" t="n">
        <v>6</v>
      </c>
      <c r="Y92" s="25" t="n"/>
      <c r="Z92" s="26" t="n"/>
      <c r="AA92" s="28" t="n"/>
      <c r="AB92" s="28" t="n"/>
      <c r="AC92" s="30" t="n">
        <v>0.9258999999999999</v>
      </c>
      <c r="AD92" s="24" t="inlineStr">
        <is>
          <t>2026-07-19T21:31:34.820097Z</t>
        </is>
      </c>
      <c r="AE92" s="31" t="inlineStr">
        <is>
          <t>Learned LR call at threshold 0.5100; executable ask 0.5200 (aec-mlb-tb-bos-2026-07-19).</t>
        </is>
      </c>
      <c r="AF92" s="31" t="inlineStr">
        <is>
          <t>Learned model; promotion gate not yet open; zero-unit research until review.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mlb-tb</t>
        </is>
      </c>
      <c r="AQ92" s="24" t="inlineStr">
        <is>
          <t>Tampa Bay Rays</t>
        </is>
      </c>
      <c r="AR92" s="24" t="inlineStr">
        <is>
          <t>Tampa Bay Rays</t>
        </is>
      </c>
      <c r="AS92" s="24" t="inlineStr">
        <is>
          <t>mlb-bos</t>
        </is>
      </c>
      <c r="AT92" s="24" t="inlineStr">
        <is>
          <t>Boston Red Sox</t>
        </is>
      </c>
      <c r="AU92" s="24" t="inlineStr">
        <is>
          <t>Boston Red Sox</t>
        </is>
      </c>
      <c r="AV92" s="24" t="n"/>
      <c r="AW92" s="24" t="n"/>
      <c r="AX92" s="24" t="inlineStr">
        <is>
          <t>research_observation</t>
        </is>
      </c>
      <c r="AY92" s="24" t="n"/>
      <c r="AZ92" s="24" t="inlineStr">
        <is>
          <t>research</t>
        </is>
      </c>
      <c r="BA92" s="24" t="inlineStr">
        <is>
          <t>5224fb6ffbc9ddf8fa517627b830ac851192da94d241963d556945393a42bb9d</t>
        </is>
      </c>
      <c r="BB92" s="24" t="inlineStr">
        <is>
          <t>learned_lr</t>
        </is>
      </c>
      <c r="BC92" s="24" t="inlineStr">
        <is>
          <t>mlb-elo-trend-lr-v4</t>
        </is>
      </c>
      <c r="BD92" s="24" t="inlineStr">
        <is>
          <t>5224fb6ffbc9ddf8fa517627b830ac851192da94d241963d556945393a42bb9d</t>
        </is>
      </c>
      <c r="BE92" s="24" t="inlineStr">
        <is>
          <t>1e50d689e0ba0748</t>
        </is>
      </c>
      <c r="BF92" s="24" t="inlineStr">
        <is>
          <t>1</t>
        </is>
      </c>
      <c r="BG92" s="24" t="inlineStr">
        <is>
          <t>mlb-elo-trend-lr-v3</t>
        </is>
      </c>
      <c r="BH92" s="24" t="inlineStr">
        <is>
          <t>2026-07-18T17:36:36.879504Z</t>
        </is>
      </c>
      <c r="BI92" s="24" t="inlineStr">
        <is>
          <t>["same_event","same_team_same_day","same_league_same_day"]</t>
        </is>
      </c>
      <c r="BJ92" s="25" t="n"/>
      <c r="BK92" s="26" t="n">
        <v>-108</v>
      </c>
      <c r="BL92" s="27" t="n">
        <v>1.925926</v>
      </c>
      <c r="BM92" s="28" t="n">
        <v>0.519231</v>
      </c>
      <c r="BN92" s="28" t="n">
        <v>0.5148509999999999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>
        <v>1</v>
      </c>
      <c r="BY92" s="27" t="n">
        <v>0.925926</v>
      </c>
      <c r="BZ92" s="24" t="inlineStr">
        <is>
          <t>2026-07-19T21:31:34.820097Z</t>
        </is>
      </c>
      <c r="CA92" s="31" t="inlineStr">
        <is>
          <t>fixed one-unit hypothetical scoring; no real exposure or execution</t>
        </is>
      </c>
      <c r="CB92" s="24" t="n"/>
    </row>
    <row r="93" ht="36" customHeight="1">
      <c r="A93" s="24" t="inlineStr">
        <is>
          <t>6c30433f6943459a</t>
        </is>
      </c>
      <c r="B93" s="24" t="inlineStr">
        <is>
          <t>2026-07-18T17:37:17.255201Z</t>
        </is>
      </c>
      <c r="C93" s="24" t="inlineStr">
        <is>
          <t>2026-07-19T13:40:00-0400</t>
        </is>
      </c>
      <c r="D93" s="24" t="inlineStr">
        <is>
          <t>401816174</t>
        </is>
      </c>
      <c r="E93" s="24" t="inlineStr">
        <is>
          <t>MLB</t>
        </is>
      </c>
      <c r="F93" s="24" t="inlineStr">
        <is>
          <t>Pittsburgh Pirates</t>
        </is>
      </c>
      <c r="G93" s="24" t="inlineStr">
        <is>
          <t>Cleveland Guardians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111</v>
      </c>
      <c r="M93" s="27" t="n">
        <v>2.11</v>
      </c>
      <c r="N93" s="28" t="n">
        <v>0.473934</v>
      </c>
      <c r="O93" s="28" t="n">
        <v>0.564072</v>
      </c>
      <c r="P93" s="28" t="n"/>
      <c r="Q93" s="28" t="n">
        <v>0.090138</v>
      </c>
      <c r="R93" s="26" t="n">
        <v>90</v>
      </c>
      <c r="S93" s="29" t="n">
        <v>1.25</v>
      </c>
      <c r="T93" s="24" t="inlineStr">
        <is>
          <t>mlb-elo-trend-lr-v5</t>
        </is>
      </c>
      <c r="U93" s="24" t="inlineStr">
        <is>
          <t>settled</t>
        </is>
      </c>
      <c r="V93" s="24" t="inlineStr">
        <is>
          <t>loss</t>
        </is>
      </c>
      <c r="W93" s="26" t="n">
        <v>7</v>
      </c>
      <c r="X93" s="26" t="n">
        <v>1</v>
      </c>
      <c r="Y93" s="25" t="n"/>
      <c r="Z93" s="26" t="n"/>
      <c r="AA93" s="28" t="n"/>
      <c r="AB93" s="28" t="n"/>
      <c r="AC93" s="30" t="n">
        <v>-1.25</v>
      </c>
      <c r="AD93" s="24" t="inlineStr">
        <is>
          <t>2026-07-19T21:31:35.008100Z</t>
        </is>
      </c>
      <c r="AE93" s="31" t="inlineStr">
        <is>
          <t>Learned LR call at threshold 0.5100; executable ask 0.4750 (aec-mlb-pit-cle-2026-07-19).</t>
        </is>
      </c>
      <c r="AF93" s="31" t="inlineStr">
        <is>
          <t>Learned model; promotion gate not yet open; zero-unit research until review.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mlb-pit</t>
        </is>
      </c>
      <c r="AQ93" s="24" t="inlineStr">
        <is>
          <t>Pittsburgh Pirates</t>
        </is>
      </c>
      <c r="AR93" s="24" t="inlineStr">
        <is>
          <t>Pittsburgh Pirates</t>
        </is>
      </c>
      <c r="AS93" s="24" t="inlineStr">
        <is>
          <t>mlb-cle</t>
        </is>
      </c>
      <c r="AT93" s="24" t="inlineStr">
        <is>
          <t>Cleveland Guardians</t>
        </is>
      </c>
      <c r="AU93" s="24" t="inlineStr">
        <is>
          <t>Cleveland Guardians</t>
        </is>
      </c>
      <c r="AV93" s="24" t="n"/>
      <c r="AW93" s="24" t="n"/>
      <c r="AX93" s="24" t="inlineStr">
        <is>
          <t>research_observation</t>
        </is>
      </c>
      <c r="AY93" s="24" t="n"/>
      <c r="AZ93" s="24" t="inlineStr">
        <is>
          <t>research</t>
        </is>
      </c>
      <c r="BA93" s="24" t="inlineStr">
        <is>
          <t>5224fb6ffbc9ddf8fa517627b830ac851192da94d241963d556945393a42bb9d</t>
        </is>
      </c>
      <c r="BB93" s="24" t="inlineStr">
        <is>
          <t>learned_lr</t>
        </is>
      </c>
      <c r="BC93" s="24" t="inlineStr">
        <is>
          <t>mlb-elo-trend-lr-v4</t>
        </is>
      </c>
      <c r="BD93" s="24" t="inlineStr">
        <is>
          <t>5224fb6ffbc9ddf8fa517627b830ac851192da94d241963d556945393a42bb9d</t>
        </is>
      </c>
      <c r="BE93" s="24" t="inlineStr">
        <is>
          <t>5e36475e8b7bf75d</t>
        </is>
      </c>
      <c r="BF93" s="24" t="inlineStr">
        <is>
          <t>1</t>
        </is>
      </c>
      <c r="BG93" s="24" t="inlineStr">
        <is>
          <t>mlb-elo-trend-lr-v3</t>
        </is>
      </c>
      <c r="BH93" s="24" t="inlineStr">
        <is>
          <t>2026-07-18T17:36:37.946655Z</t>
        </is>
      </c>
      <c r="BI93" s="24" t="inlineStr">
        <is>
          <t>["same_event","same_team_same_day","same_league_same_day"]</t>
        </is>
      </c>
      <c r="BJ93" s="25" t="n"/>
      <c r="BK93" s="26" t="n">
        <v>111</v>
      </c>
      <c r="BL93" s="27" t="n">
        <v>2.11</v>
      </c>
      <c r="BM93" s="28" t="n">
        <v>0.473934</v>
      </c>
      <c r="BN93" s="28" t="n">
        <v>0.472637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>
        <v>1</v>
      </c>
      <c r="BY93" s="27" t="n">
        <v>-1</v>
      </c>
      <c r="BZ93" s="24" t="inlineStr">
        <is>
          <t>2026-07-19T21:31:35.008100Z</t>
        </is>
      </c>
      <c r="CA93" s="31" t="inlineStr">
        <is>
          <t>fixed one-unit hypothetical scoring; no real exposure or execution</t>
        </is>
      </c>
      <c r="CB93" s="24" t="n"/>
    </row>
    <row r="94" ht="36" customHeight="1">
      <c r="A94" s="24" t="inlineStr">
        <is>
          <t>924907abbb534b0a</t>
        </is>
      </c>
      <c r="B94" s="24" t="inlineStr">
        <is>
          <t>2026-07-18T17:28:36.828868Z</t>
        </is>
      </c>
      <c r="C94" s="24" t="inlineStr">
        <is>
          <t>2026-07-18T16:10:00-0400</t>
        </is>
      </c>
      <c r="D94" s="24" t="inlineStr">
        <is>
          <t>401816165</t>
        </is>
      </c>
      <c r="E94" s="24" t="inlineStr">
        <is>
          <t>MLB</t>
        </is>
      </c>
      <c r="F94" s="24" t="inlineStr">
        <is>
          <t>San Diego Padres</t>
        </is>
      </c>
      <c r="G94" s="24" t="inlineStr">
        <is>
          <t>Kansas City Royals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-104</v>
      </c>
      <c r="M94" s="27" t="n">
        <v>1.961538</v>
      </c>
      <c r="N94" s="28" t="n">
        <v>0.509804</v>
      </c>
      <c r="O94" s="28" t="n">
        <v>0.5306149999999999</v>
      </c>
      <c r="P94" s="28" t="n"/>
      <c r="Q94" s="28" t="n">
        <v>0.020811</v>
      </c>
      <c r="R94" s="26" t="n">
        <v>20</v>
      </c>
      <c r="S94" s="29" t="n">
        <v>0.75</v>
      </c>
      <c r="T94" s="24" t="inlineStr">
        <is>
          <t>mlb-elo-trend-lr-v5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6</v>
      </c>
      <c r="Y94" s="25" t="n"/>
      <c r="Z94" s="26" t="n"/>
      <c r="AA94" s="28" t="n"/>
      <c r="AB94" s="28" t="n"/>
      <c r="AC94" s="30" t="n">
        <v>-0.75</v>
      </c>
      <c r="AD94" s="24" t="inlineStr">
        <is>
          <t>2026-07-18T23:59:20.891397Z</t>
        </is>
      </c>
      <c r="AE94" s="31" t="inlineStr">
        <is>
          <t>Learned LR call at threshold 0.5100; executable ask 0.5100 (aec-mlb-sd-kc-2026-07-18).</t>
        </is>
      </c>
      <c r="AF94" s="31" t="inlineStr">
        <is>
          <t>Learned model; promotion gate not yet open; zero-unit research until review.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mlb-sd</t>
        </is>
      </c>
      <c r="AQ94" s="24" t="inlineStr">
        <is>
          <t>San Diego Padres</t>
        </is>
      </c>
      <c r="AR94" s="24" t="inlineStr">
        <is>
          <t>San Diego Padres</t>
        </is>
      </c>
      <c r="AS94" s="24" t="inlineStr">
        <is>
          <t>mlb-kc</t>
        </is>
      </c>
      <c r="AT94" s="24" t="inlineStr">
        <is>
          <t>Kansas City Royals</t>
        </is>
      </c>
      <c r="AU94" s="24" t="inlineStr">
        <is>
          <t>Kansas City Royals</t>
        </is>
      </c>
      <c r="AV94" s="24" t="n"/>
      <c r="AW94" s="24" t="n"/>
      <c r="AX94" s="24" t="inlineStr">
        <is>
          <t>research_observation</t>
        </is>
      </c>
      <c r="AY94" s="24" t="n"/>
      <c r="AZ94" s="24" t="inlineStr">
        <is>
          <t>research</t>
        </is>
      </c>
      <c r="BA94" s="24" t="inlineStr">
        <is>
          <t>5224fb6ffbc9ddf8fa517627b830ac851192da94d241963d556945393a42bb9d</t>
        </is>
      </c>
      <c r="BB94" s="24" t="inlineStr">
        <is>
          <t>learned_lr</t>
        </is>
      </c>
      <c r="BC94" s="24" t="inlineStr">
        <is>
          <t>mlb-elo-trend-lr-v4</t>
        </is>
      </c>
      <c r="BD94" s="24" t="inlineStr">
        <is>
          <t>5224fb6ffbc9ddf8fa517627b830ac851192da94d241963d556945393a42bb9d</t>
        </is>
      </c>
      <c r="BE94" s="24" t="inlineStr">
        <is>
          <t>ed4675d45b8d4ffe</t>
        </is>
      </c>
      <c r="BF94" s="24" t="inlineStr">
        <is>
          <t>1</t>
        </is>
      </c>
      <c r="BG94" s="24" t="inlineStr">
        <is>
          <t>mlb-elo-trend-lr-v3</t>
        </is>
      </c>
      <c r="BH94" s="24" t="inlineStr">
        <is>
          <t>2026-07-18T17:27:46.135351Z</t>
        </is>
      </c>
      <c r="BI94" s="24" t="inlineStr">
        <is>
          <t>["same_event","same_team_same_day","same_league_same_day"]</t>
        </is>
      </c>
      <c r="BJ94" s="25" t="n"/>
      <c r="BK94" s="26" t="n">
        <v>-104</v>
      </c>
      <c r="BL94" s="27" t="n">
        <v>1.961538</v>
      </c>
      <c r="BM94" s="28" t="n">
        <v>0.509804</v>
      </c>
      <c r="BN94" s="28" t="n">
        <v>0.507463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>
        <v>1</v>
      </c>
      <c r="BY94" s="27" t="n">
        <v>-1</v>
      </c>
      <c r="BZ94" s="24" t="inlineStr">
        <is>
          <t>2026-07-18T23:59:20.891397Z</t>
        </is>
      </c>
      <c r="CA94" s="31" t="inlineStr">
        <is>
          <t>fixed one-unit hypothetical scoring; no real exposure or execution</t>
        </is>
      </c>
      <c r="CB94" s="24" t="n"/>
    </row>
    <row r="95" ht="36" customHeight="1">
      <c r="A95" s="24" t="inlineStr">
        <is>
          <t>6768ed78d65e4f03</t>
        </is>
      </c>
      <c r="B95" s="24" t="inlineStr">
        <is>
          <t>2026-07-18T17:28:36.828868Z</t>
        </is>
      </c>
      <c r="C95" s="24" t="inlineStr">
        <is>
          <t>2026-07-18T16:10:00-0400</t>
        </is>
      </c>
      <c r="D95" s="24" t="inlineStr">
        <is>
          <t>401816160</t>
        </is>
      </c>
      <c r="E95" s="24" t="inlineStr">
        <is>
          <t>MLB</t>
        </is>
      </c>
      <c r="F95" s="24" t="inlineStr">
        <is>
          <t>Tampa Bay Rays</t>
        </is>
      </c>
      <c r="G95" s="24" t="inlineStr">
        <is>
          <t>Boston Red Sox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-102</v>
      </c>
      <c r="M95" s="27" t="n">
        <v>1.980392</v>
      </c>
      <c r="N95" s="28" t="n">
        <v>0.50495</v>
      </c>
      <c r="O95" s="28" t="n">
        <v>0.5727179999999999</v>
      </c>
      <c r="P95" s="28" t="n"/>
      <c r="Q95" s="28" t="n">
        <v>0.06776799999999999</v>
      </c>
      <c r="R95" s="26" t="n">
        <v>67</v>
      </c>
      <c r="S95" s="29" t="n">
        <v>1.25</v>
      </c>
      <c r="T95" s="24" t="inlineStr">
        <is>
          <t>mlb-elo-trend-lr-v5</t>
        </is>
      </c>
      <c r="U95" s="24" t="inlineStr">
        <is>
          <t>settled</t>
        </is>
      </c>
      <c r="V95" s="24" t="inlineStr">
        <is>
          <t>win</t>
        </is>
      </c>
      <c r="W95" s="26" t="n">
        <v>6</v>
      </c>
      <c r="X95" s="26" t="n">
        <v>7</v>
      </c>
      <c r="Y95" s="25" t="n"/>
      <c r="Z95" s="26" t="n"/>
      <c r="AA95" s="28" t="n"/>
      <c r="AB95" s="28" t="n"/>
      <c r="AC95" s="30" t="n">
        <v>1.2255</v>
      </c>
      <c r="AD95" s="24" t="inlineStr">
        <is>
          <t>2026-07-18T23:59:20.822768Z</t>
        </is>
      </c>
      <c r="AE95" s="31" t="inlineStr">
        <is>
          <t>Learned LR call at threshold 0.5100; executable ask 0.5050 (aec-mlb-tb-bos-2026-07-18).</t>
        </is>
      </c>
      <c r="AF95" s="31" t="inlineStr">
        <is>
          <t>Learned model; promotion gate not yet open; zero-unit research until review.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mlb-tb</t>
        </is>
      </c>
      <c r="AQ95" s="24" t="inlineStr">
        <is>
          <t>Tampa Bay Rays</t>
        </is>
      </c>
      <c r="AR95" s="24" t="inlineStr">
        <is>
          <t>Tampa Bay Rays</t>
        </is>
      </c>
      <c r="AS95" s="24" t="inlineStr">
        <is>
          <t>mlb-bos</t>
        </is>
      </c>
      <c r="AT95" s="24" t="inlineStr">
        <is>
          <t>Boston Red Sox</t>
        </is>
      </c>
      <c r="AU95" s="24" t="inlineStr">
        <is>
          <t>Boston Red Sox</t>
        </is>
      </c>
      <c r="AV95" s="24" t="n"/>
      <c r="AW95" s="24" t="n"/>
      <c r="AX95" s="24" t="inlineStr">
        <is>
          <t>research_observation</t>
        </is>
      </c>
      <c r="AY95" s="24" t="n"/>
      <c r="AZ95" s="24" t="inlineStr">
        <is>
          <t>research</t>
        </is>
      </c>
      <c r="BA95" s="24" t="inlineStr">
        <is>
          <t>5224fb6ffbc9ddf8fa517627b830ac851192da94d241963d556945393a42bb9d</t>
        </is>
      </c>
      <c r="BB95" s="24" t="inlineStr">
        <is>
          <t>learned_lr</t>
        </is>
      </c>
      <c r="BC95" s="24" t="inlineStr">
        <is>
          <t>mlb-elo-trend-lr-v4</t>
        </is>
      </c>
      <c r="BD95" s="24" t="inlineStr">
        <is>
          <t>5224fb6ffbc9ddf8fa517627b830ac851192da94d241963d556945393a42bb9d</t>
        </is>
      </c>
      <c r="BE95" s="24" t="inlineStr">
        <is>
          <t>db0a002aa4e19b4b</t>
        </is>
      </c>
      <c r="BF95" s="24" t="inlineStr">
        <is>
          <t>1</t>
        </is>
      </c>
      <c r="BG95" s="24" t="inlineStr">
        <is>
          <t>mlb-elo-trend-lr-v3</t>
        </is>
      </c>
      <c r="BH95" s="24" t="inlineStr">
        <is>
          <t>2026-07-18T17:27:47.084596Z</t>
        </is>
      </c>
      <c r="BI95" s="24" t="inlineStr">
        <is>
          <t>["same_event","same_team_same_day","same_league_same_day"]</t>
        </is>
      </c>
      <c r="BJ95" s="25" t="n"/>
      <c r="BK95" s="26" t="n">
        <v>-102</v>
      </c>
      <c r="BL95" s="27" t="n">
        <v>1.980392</v>
      </c>
      <c r="BM95" s="28" t="n">
        <v>0.50495</v>
      </c>
      <c r="BN95" s="28" t="n">
        <v>0.502488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>
        <v>1</v>
      </c>
      <c r="BY95" s="27" t="n">
        <v>0.980392</v>
      </c>
      <c r="BZ95" s="24" t="inlineStr">
        <is>
          <t>2026-07-18T23:59:20.822768Z</t>
        </is>
      </c>
      <c r="CA95" s="31" t="inlineStr">
        <is>
          <t>fixed one-unit hypothetical scoring; no real exposure or execution</t>
        </is>
      </c>
      <c r="CB95" s="24" t="n"/>
    </row>
    <row r="96" ht="36" customHeight="1">
      <c r="A96" s="24" t="inlineStr">
        <is>
          <t>5ab4cdd6444d4f9b</t>
        </is>
      </c>
      <c r="B96" s="24" t="inlineStr">
        <is>
          <t>2026-07-18T16:50:38.270483Z</t>
        </is>
      </c>
      <c r="C96" s="24" t="inlineStr">
        <is>
          <t>2026-07-18T16:10:00-0400</t>
        </is>
      </c>
      <c r="D96" s="24" t="inlineStr">
        <is>
          <t>401816162</t>
        </is>
      </c>
      <c r="E96" s="24" t="inlineStr">
        <is>
          <t>MLB</t>
        </is>
      </c>
      <c r="F96" s="24" t="inlineStr">
        <is>
          <t>Baltimore Orioles</t>
        </is>
      </c>
      <c r="G96" s="24" t="inlineStr">
        <is>
          <t>Houston Astros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-102</v>
      </c>
      <c r="M96" s="27" t="n">
        <v>1.980392</v>
      </c>
      <c r="N96" s="28" t="n">
        <v>0.50495</v>
      </c>
      <c r="O96" s="28" t="n">
        <v>0.545167</v>
      </c>
      <c r="P96" s="28" t="n"/>
      <c r="Q96" s="28" t="n">
        <v>0.040217</v>
      </c>
      <c r="R96" s="26" t="n">
        <v>40</v>
      </c>
      <c r="S96" s="29" t="n">
        <v>1</v>
      </c>
      <c r="T96" s="24" t="inlineStr">
        <is>
          <t>mlb-elo-trend-lr-v5</t>
        </is>
      </c>
      <c r="U96" s="24" t="inlineStr">
        <is>
          <t>settled</t>
        </is>
      </c>
      <c r="V96" s="24" t="inlineStr">
        <is>
          <t>loss</t>
        </is>
      </c>
      <c r="W96" s="26" t="n">
        <v>4</v>
      </c>
      <c r="X96" s="26" t="n">
        <v>2</v>
      </c>
      <c r="Y96" s="25" t="n"/>
      <c r="Z96" s="26" t="n"/>
      <c r="AA96" s="28" t="n"/>
      <c r="AB96" s="28" t="n"/>
      <c r="AC96" s="30" t="n">
        <v>-1</v>
      </c>
      <c r="AD96" s="24" t="inlineStr">
        <is>
          <t>2026-07-18T23:59:20.760772Z</t>
        </is>
      </c>
      <c r="AE96" s="31" t="inlineStr">
        <is>
          <t>Learned LR call at threshold 0.5100; executable ask 0.5050 (aec-mlb-bal-hou-2026-07-18).</t>
        </is>
      </c>
      <c r="AF96" s="31" t="inlineStr">
        <is>
          <t>Learned model; promotion gate not yet open; zero-unit research until review.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mlb-bal</t>
        </is>
      </c>
      <c r="AQ96" s="24" t="inlineStr">
        <is>
          <t>Baltimore Orioles</t>
        </is>
      </c>
      <c r="AR96" s="24" t="inlineStr">
        <is>
          <t>Baltimore Orioles</t>
        </is>
      </c>
      <c r="AS96" s="24" t="inlineStr">
        <is>
          <t>mlb-hou</t>
        </is>
      </c>
      <c r="AT96" s="24" t="inlineStr">
        <is>
          <t>Houston Astros</t>
        </is>
      </c>
      <c r="AU96" s="24" t="inlineStr">
        <is>
          <t>Houston Astros</t>
        </is>
      </c>
      <c r="AV96" s="24" t="n"/>
      <c r="AW96" s="24" t="n"/>
      <c r="AX96" s="24" t="inlineStr">
        <is>
          <t>research_observation</t>
        </is>
      </c>
      <c r="AY96" s="24" t="n"/>
      <c r="AZ96" s="24" t="inlineStr">
        <is>
          <t>research</t>
        </is>
      </c>
      <c r="BA96" s="24" t="inlineStr">
        <is>
          <t>5224fb6ffbc9ddf8fa517627b830ac851192da94d241963d556945393a42bb9d</t>
        </is>
      </c>
      <c r="BB96" s="24" t="inlineStr">
        <is>
          <t>learned_lr</t>
        </is>
      </c>
      <c r="BC96" s="24" t="inlineStr">
        <is>
          <t>mlb-elo-trend-lr-v4</t>
        </is>
      </c>
      <c r="BD96" s="24" t="inlineStr">
        <is>
          <t>5224fb6ffbc9ddf8fa517627b830ac851192da94d241963d556945393a42bb9d</t>
        </is>
      </c>
      <c r="BE96" s="24" t="inlineStr">
        <is>
          <t>f6cae9c590f4ed48</t>
        </is>
      </c>
      <c r="BF96" s="24" t="inlineStr">
        <is>
          <t>1</t>
        </is>
      </c>
      <c r="BG96" s="24" t="inlineStr">
        <is>
          <t>mlb-elo-trend-lr-v3</t>
        </is>
      </c>
      <c r="BH96" s="24" t="inlineStr">
        <is>
          <t>2026-07-18T16:49:31.642864Z</t>
        </is>
      </c>
      <c r="BI96" s="24" t="inlineStr">
        <is>
          <t>["same_event","same_team_same_day","same_league_same_day"]</t>
        </is>
      </c>
      <c r="BJ96" s="25" t="n"/>
      <c r="BK96" s="26" t="n">
        <v>-102</v>
      </c>
      <c r="BL96" s="27" t="n">
        <v>1.980392</v>
      </c>
      <c r="BM96" s="28" t="n">
        <v>0.50495</v>
      </c>
      <c r="BN96" s="28" t="n">
        <v>0.502488</v>
      </c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>
        <v>1</v>
      </c>
      <c r="BY96" s="27" t="n">
        <v>-1</v>
      </c>
      <c r="BZ96" s="24" t="inlineStr">
        <is>
          <t>2026-07-18T23:59:20.760772Z</t>
        </is>
      </c>
      <c r="CA96" s="31" t="inlineStr">
        <is>
          <t>fixed one-unit hypothetical scoring; no real exposure or execution</t>
        </is>
      </c>
      <c r="CB96" s="24" t="n"/>
    </row>
    <row r="97" ht="36" customHeight="1">
      <c r="A97" s="24" t="inlineStr">
        <is>
          <t>8789a71883f94701</t>
        </is>
      </c>
      <c r="B97" s="24" t="inlineStr">
        <is>
          <t>2026-07-18T16:44:20.099051Z</t>
        </is>
      </c>
      <c r="C97" s="24" t="inlineStr">
        <is>
          <t>2026-07-18T13:10:00-0400</t>
        </is>
      </c>
      <c r="D97" s="24" t="inlineStr">
        <is>
          <t>401896568</t>
        </is>
      </c>
      <c r="E97" s="24" t="inlineStr">
        <is>
          <t>MLB</t>
        </is>
      </c>
      <c r="F97" s="24" t="inlineStr">
        <is>
          <t>Pittsburgh Pirates</t>
        </is>
      </c>
      <c r="G97" s="24" t="inlineStr">
        <is>
          <t>Cleveland Guardians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-102</v>
      </c>
      <c r="M97" s="27" t="n">
        <v>1.980392</v>
      </c>
      <c r="N97" s="28" t="n">
        <v>0.50495</v>
      </c>
      <c r="O97" s="28" t="n">
        <v>0.554084</v>
      </c>
      <c r="P97" s="28" t="n"/>
      <c r="Q97" s="28" t="n">
        <v>0.049134</v>
      </c>
      <c r="R97" s="26" t="n">
        <v>49</v>
      </c>
      <c r="S97" s="29" t="n">
        <v>1</v>
      </c>
      <c r="T97" s="24" t="inlineStr">
        <is>
          <t>mlb-elo-trend-lr-v5</t>
        </is>
      </c>
      <c r="U97" s="24" t="inlineStr">
        <is>
          <t>settled</t>
        </is>
      </c>
      <c r="V97" s="24" t="inlineStr">
        <is>
          <t>loss</t>
        </is>
      </c>
      <c r="W97" s="26" t="n">
        <v>7</v>
      </c>
      <c r="X97" s="26" t="n">
        <v>1</v>
      </c>
      <c r="Y97" s="25" t="n"/>
      <c r="Z97" s="26" t="n"/>
      <c r="AA97" s="28" t="n"/>
      <c r="AB97" s="28" t="n"/>
      <c r="AC97" s="30" t="n">
        <v>-1</v>
      </c>
      <c r="AD97" s="24" t="inlineStr">
        <is>
          <t>2026-07-18T21:05:56.909771Z</t>
        </is>
      </c>
      <c r="AE97" s="31" t="inlineStr">
        <is>
          <t>Learned LR call at threshold 0.5500; executable ask 0.5050 (aec-mlb-pit-cle-2026-07-18).</t>
        </is>
      </c>
      <c r="AF97" s="31" t="inlineStr">
        <is>
          <t>Learned model; promotion gate not yet open; zero-unit research until review.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mlb-pit</t>
        </is>
      </c>
      <c r="AQ97" s="24" t="inlineStr">
        <is>
          <t>Pittsburgh Pirates</t>
        </is>
      </c>
      <c r="AR97" s="24" t="inlineStr">
        <is>
          <t>Pittsburgh Pirates</t>
        </is>
      </c>
      <c r="AS97" s="24" t="inlineStr">
        <is>
          <t>mlb-cle</t>
        </is>
      </c>
      <c r="AT97" s="24" t="inlineStr">
        <is>
          <t>Cleveland Guardians</t>
        </is>
      </c>
      <c r="AU97" s="24" t="inlineStr">
        <is>
          <t>Cleveland Guardians</t>
        </is>
      </c>
      <c r="AV97" s="24" t="n"/>
      <c r="AW97" s="24" t="n"/>
      <c r="AX97" s="24" t="inlineStr">
        <is>
          <t>research_observation</t>
        </is>
      </c>
      <c r="AY97" s="24" t="n"/>
      <c r="AZ97" s="24" t="inlineStr">
        <is>
          <t>research</t>
        </is>
      </c>
      <c r="BA97" s="24" t="inlineStr">
        <is>
          <t>5224fb6ffbc9ddf8fa517627b830ac851192da94d241963d556945393a42bb9d</t>
        </is>
      </c>
      <c r="BB97" s="24" t="inlineStr">
        <is>
          <t>learned_lr</t>
        </is>
      </c>
      <c r="BC97" s="24" t="inlineStr">
        <is>
          <t>mlb-elo-trend-lr-v4</t>
        </is>
      </c>
      <c r="BD97" s="24" t="inlineStr">
        <is>
          <t>5224fb6ffbc9ddf8fa517627b830ac851192da94d241963d556945393a42bb9d</t>
        </is>
      </c>
      <c r="BE97" s="24" t="inlineStr">
        <is>
          <t>6df496ff8b2da9c6</t>
        </is>
      </c>
      <c r="BF97" s="24" t="inlineStr">
        <is>
          <t>1</t>
        </is>
      </c>
      <c r="BG97" s="24" t="inlineStr">
        <is>
          <t>mlb-elo-trend-lr-v3</t>
        </is>
      </c>
      <c r="BH97" s="24" t="inlineStr">
        <is>
          <t>2026-07-18T16:42:59.880808Z</t>
        </is>
      </c>
      <c r="BI97" s="24" t="inlineStr">
        <is>
          <t>["same_event","same_team_same_day","same_league_same_day"]</t>
        </is>
      </c>
      <c r="BJ97" s="25" t="n"/>
      <c r="BK97" s="26" t="n">
        <v>-102</v>
      </c>
      <c r="BL97" s="27" t="n">
        <v>1.980392</v>
      </c>
      <c r="BM97" s="28" t="n">
        <v>0.50495</v>
      </c>
      <c r="BN97" s="28" t="n">
        <v>0.502488</v>
      </c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>
        <v>1</v>
      </c>
      <c r="BY97" s="27" t="n">
        <v>-1</v>
      </c>
      <c r="BZ97" s="24" t="inlineStr">
        <is>
          <t>2026-07-18T21:05:56.909771Z</t>
        </is>
      </c>
      <c r="CA97" s="31" t="inlineStr">
        <is>
          <t>fixed one-unit hypothetical scoring; no real exposure or execution</t>
        </is>
      </c>
      <c r="CB97" s="24" t="n"/>
    </row>
    <row r="98" ht="36" customHeight="1">
      <c r="A98" s="24" t="inlineStr">
        <is>
          <t>512e4ebfdf1a456e</t>
        </is>
      </c>
      <c r="B98" s="24" t="inlineStr">
        <is>
          <t>2026-07-18T16:44:20.099051Z</t>
        </is>
      </c>
      <c r="C98" s="24" t="inlineStr">
        <is>
          <t>2026-07-18T14:20:00-0400</t>
        </is>
      </c>
      <c r="D98" s="24" t="inlineStr">
        <is>
          <t>401816164</t>
        </is>
      </c>
      <c r="E98" s="24" t="inlineStr">
        <is>
          <t>MLB</t>
        </is>
      </c>
      <c r="F98" s="24" t="inlineStr">
        <is>
          <t>Minnesota Twins</t>
        </is>
      </c>
      <c r="G98" s="24" t="inlineStr">
        <is>
          <t>Chicago Cubs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-133</v>
      </c>
      <c r="M98" s="27" t="n">
        <v>1.75188</v>
      </c>
      <c r="N98" s="28" t="n">
        <v>0.570815</v>
      </c>
      <c r="O98" s="28" t="n">
        <v>0.608363</v>
      </c>
      <c r="P98" s="28" t="n"/>
      <c r="Q98" s="28" t="n">
        <v>0.037548</v>
      </c>
      <c r="R98" s="26" t="n">
        <v>37</v>
      </c>
      <c r="S98" s="29" t="n">
        <v>1.5</v>
      </c>
      <c r="T98" s="24" t="inlineStr">
        <is>
          <t>mlb-elo-trend-lr-v5</t>
        </is>
      </c>
      <c r="U98" s="24" t="inlineStr">
        <is>
          <t>settled</t>
        </is>
      </c>
      <c r="V98" s="24" t="inlineStr">
        <is>
          <t>win</t>
        </is>
      </c>
      <c r="W98" s="26" t="n">
        <v>2</v>
      </c>
      <c r="X98" s="26" t="n">
        <v>6</v>
      </c>
      <c r="Y98" s="25" t="n"/>
      <c r="Z98" s="26" t="n"/>
      <c r="AA98" s="28" t="n"/>
      <c r="AB98" s="28" t="n"/>
      <c r="AC98" s="30" t="n">
        <v>1.1278</v>
      </c>
      <c r="AD98" s="24" t="inlineStr">
        <is>
          <t>2026-07-18T21:05:56.984438Z</t>
        </is>
      </c>
      <c r="AE98" s="31" t="inlineStr">
        <is>
          <t>Learned LR call at threshold 0.5500; executable ask 0.5700 (aec-mlb-min-chc-2026-07-18).</t>
        </is>
      </c>
      <c r="AF98" s="31" t="inlineStr">
        <is>
          <t>Learned model; promotion gate not yet open; zero-unit research until review.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mlb-min</t>
        </is>
      </c>
      <c r="AQ98" s="24" t="inlineStr">
        <is>
          <t>Minnesota Twins</t>
        </is>
      </c>
      <c r="AR98" s="24" t="inlineStr">
        <is>
          <t>Minnesota Twins</t>
        </is>
      </c>
      <c r="AS98" s="24" t="inlineStr">
        <is>
          <t>mlb-chc</t>
        </is>
      </c>
      <c r="AT98" s="24" t="inlineStr">
        <is>
          <t>Chicago Cubs</t>
        </is>
      </c>
      <c r="AU98" s="24" t="inlineStr">
        <is>
          <t>Chicago Cubs</t>
        </is>
      </c>
      <c r="AV98" s="24" t="n"/>
      <c r="AW98" s="24" t="n"/>
      <c r="AX98" s="24" t="inlineStr">
        <is>
          <t>research_observation</t>
        </is>
      </c>
      <c r="AY98" s="24" t="n"/>
      <c r="AZ98" s="24" t="inlineStr">
        <is>
          <t>research</t>
        </is>
      </c>
      <c r="BA98" s="24" t="inlineStr">
        <is>
          <t>5224fb6ffbc9ddf8fa517627b830ac851192da94d241963d556945393a42bb9d</t>
        </is>
      </c>
      <c r="BB98" s="24" t="inlineStr">
        <is>
          <t>learned_lr</t>
        </is>
      </c>
      <c r="BC98" s="24" t="inlineStr">
        <is>
          <t>mlb-elo-trend-lr-v4</t>
        </is>
      </c>
      <c r="BD98" s="24" t="inlineStr">
        <is>
          <t>5224fb6ffbc9ddf8fa517627b830ac851192da94d241963d556945393a42bb9d</t>
        </is>
      </c>
      <c r="BE98" s="24" t="inlineStr">
        <is>
          <t>7166685f6e68e237</t>
        </is>
      </c>
      <c r="BF98" s="24" t="inlineStr">
        <is>
          <t>1</t>
        </is>
      </c>
      <c r="BG98" s="24" t="inlineStr">
        <is>
          <t>mlb-elo-trend-lr-v3</t>
        </is>
      </c>
      <c r="BH98" s="24" t="inlineStr">
        <is>
          <t>2026-07-18T16:42:49.506840Z</t>
        </is>
      </c>
      <c r="BI98" s="24" t="inlineStr">
        <is>
          <t>["same_event","same_team_same_day","same_league_same_day"]</t>
        </is>
      </c>
      <c r="BJ98" s="25" t="n"/>
      <c r="BK98" s="26" t="n">
        <v>-133</v>
      </c>
      <c r="BL98" s="27" t="n">
        <v>1.75188</v>
      </c>
      <c r="BM98" s="28" t="n">
        <v>0.570815</v>
      </c>
      <c r="BN98" s="28" t="n">
        <v>0.567164</v>
      </c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>
        <v>1</v>
      </c>
      <c r="BY98" s="27" t="n">
        <v>0.75188</v>
      </c>
      <c r="BZ98" s="24" t="inlineStr">
        <is>
          <t>2026-07-18T21:05:56.984438Z</t>
        </is>
      </c>
      <c r="CA98" s="31" t="inlineStr">
        <is>
          <t>fixed one-unit hypothetical scoring; no real exposure or execution</t>
        </is>
      </c>
      <c r="CB98" s="24" t="n"/>
    </row>
    <row r="99" ht="36" customHeight="1">
      <c r="A99" s="24" t="inlineStr">
        <is>
          <t>0a1abd6e59a84720</t>
        </is>
      </c>
      <c r="B99" s="24" t="inlineStr">
        <is>
          <t>2026-07-18T16:44:20.099051Z</t>
        </is>
      </c>
      <c r="C99" s="24" t="inlineStr">
        <is>
          <t>2026-07-18T20:08:00-0400</t>
        </is>
      </c>
      <c r="D99" s="24" t="inlineStr">
        <is>
          <t>401816168</t>
        </is>
      </c>
      <c r="E99" s="24" t="inlineStr">
        <is>
          <t>MLB</t>
        </is>
      </c>
      <c r="F99" s="24" t="inlineStr">
        <is>
          <t>San Francisco Giants</t>
        </is>
      </c>
      <c r="G99" s="24" t="inlineStr">
        <is>
          <t>Seattle Mariners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0.627758</v>
      </c>
      <c r="P99" s="28" t="n"/>
      <c r="Q99" s="28" t="n">
        <v>0.047926</v>
      </c>
      <c r="R99" s="26" t="n">
        <v>47</v>
      </c>
      <c r="S99" s="29" t="n">
        <v>1.75</v>
      </c>
      <c r="T99" s="24" t="inlineStr">
        <is>
          <t>mlb-elo-trend-lr-v5</t>
        </is>
      </c>
      <c r="U99" s="24" t="inlineStr">
        <is>
          <t>settled</t>
        </is>
      </c>
      <c r="V99" s="24" t="inlineStr">
        <is>
          <t>win</t>
        </is>
      </c>
      <c r="W99" s="26" t="n">
        <v>3</v>
      </c>
      <c r="X99" s="26" t="n">
        <v>4</v>
      </c>
      <c r="Y99" s="25" t="n"/>
      <c r="Z99" s="26" t="n"/>
      <c r="AA99" s="28" t="n"/>
      <c r="AB99" s="28" t="n"/>
      <c r="AC99" s="30" t="n">
        <v>1.2681</v>
      </c>
      <c r="AD99" s="24" t="inlineStr">
        <is>
          <t>2026-07-19T06:08:38.177875Z</t>
        </is>
      </c>
      <c r="AE99" s="31" t="inlineStr">
        <is>
          <t>Learned LR call at threshold 0.5500; executable ask 0.5800 (aec-mlb-sf-sea-2026-07-18).</t>
        </is>
      </c>
      <c r="AF99" s="31" t="inlineStr">
        <is>
          <t>Learned model; promotion gate not yet open; zero-unit research until review.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mlb-sf</t>
        </is>
      </c>
      <c r="AQ99" s="24" t="inlineStr">
        <is>
          <t>San Francisco Giants</t>
        </is>
      </c>
      <c r="AR99" s="24" t="inlineStr">
        <is>
          <t>San Francisco Giants</t>
        </is>
      </c>
      <c r="AS99" s="24" t="inlineStr">
        <is>
          <t>mlb-sea</t>
        </is>
      </c>
      <c r="AT99" s="24" t="inlineStr">
        <is>
          <t>Seattle Mariners</t>
        </is>
      </c>
      <c r="AU99" s="24" t="inlineStr">
        <is>
          <t>Seattle Mariners</t>
        </is>
      </c>
      <c r="AV99" s="24" t="n"/>
      <c r="AW99" s="24" t="n"/>
      <c r="AX99" s="24" t="inlineStr">
        <is>
          <t>research_observation</t>
        </is>
      </c>
      <c r="AY99" s="24" t="n"/>
      <c r="AZ99" s="24" t="inlineStr">
        <is>
          <t>research</t>
        </is>
      </c>
      <c r="BA99" s="24" t="inlineStr">
        <is>
          <t>5224fb6ffbc9ddf8fa517627b830ac851192da94d241963d556945393a42bb9d</t>
        </is>
      </c>
      <c r="BB99" s="24" t="inlineStr">
        <is>
          <t>learned_lr</t>
        </is>
      </c>
      <c r="BC99" s="24" t="inlineStr">
        <is>
          <t>mlb-elo-trend-lr-v4</t>
        </is>
      </c>
      <c r="BD99" s="24" t="inlineStr">
        <is>
          <t>5224fb6ffbc9ddf8fa517627b830ac851192da94d241963d556945393a42bb9d</t>
        </is>
      </c>
      <c r="BE99" s="24" t="inlineStr">
        <is>
          <t>29d502a7704e228f</t>
        </is>
      </c>
      <c r="BF99" s="24" t="inlineStr">
        <is>
          <t>1</t>
        </is>
      </c>
      <c r="BG99" s="24" t="inlineStr">
        <is>
          <t>mlb-elo-trend-lr-v3</t>
        </is>
      </c>
      <c r="BH99" s="24" t="inlineStr">
        <is>
          <t>2026-07-18T16:43:04.779295Z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>
        <v>0.577114</v>
      </c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>
        <v>1</v>
      </c>
      <c r="BY99" s="27" t="n">
        <v>0.724638</v>
      </c>
      <c r="BZ99" s="24" t="inlineStr">
        <is>
          <t>2026-07-19T06:08:38.177875Z</t>
        </is>
      </c>
      <c r="CA99" s="31" t="inlineStr">
        <is>
          <t>fixed one-unit hypothetical scoring; no real exposure or execution</t>
        </is>
      </c>
      <c r="CB99" s="24" t="n"/>
    </row>
    <row r="100" ht="36" customHeight="1">
      <c r="A100" s="24" t="inlineStr">
        <is>
          <t>634e9b9c56164f59</t>
        </is>
      </c>
      <c r="B100" s="24" t="inlineStr">
        <is>
          <t>2026-07-18T16:44:20.099051Z</t>
        </is>
      </c>
      <c r="C100" s="24" t="inlineStr">
        <is>
          <t>2026-07-18T19:10:00-0400</t>
        </is>
      </c>
      <c r="D100" s="24" t="inlineStr">
        <is>
          <t>401816159</t>
        </is>
      </c>
      <c r="E100" s="24" t="inlineStr">
        <is>
          <t>MLB</t>
        </is>
      </c>
      <c r="F100" s="24" t="inlineStr">
        <is>
          <t>Pittsburgh Pirates</t>
        </is>
      </c>
      <c r="G100" s="24" t="inlineStr">
        <is>
          <t>Cleveland Guardians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-102</v>
      </c>
      <c r="M100" s="27" t="n">
        <v>1.980392</v>
      </c>
      <c r="N100" s="28" t="n">
        <v>0.50495</v>
      </c>
      <c r="O100" s="28" t="n">
        <v>0.554084</v>
      </c>
      <c r="P100" s="28" t="n"/>
      <c r="Q100" s="28" t="n">
        <v>0.049134</v>
      </c>
      <c r="R100" s="26" t="n">
        <v>49</v>
      </c>
      <c r="S100" s="29" t="n">
        <v>1</v>
      </c>
      <c r="T100" s="24" t="inlineStr">
        <is>
          <t>mlb-elo-trend-lr-v5</t>
        </is>
      </c>
      <c r="U100" s="24" t="inlineStr">
        <is>
          <t>settled</t>
        </is>
      </c>
      <c r="V100" s="24" t="inlineStr">
        <is>
          <t>win</t>
        </is>
      </c>
      <c r="W100" s="26" t="n">
        <v>3</v>
      </c>
      <c r="X100" s="26" t="n">
        <v>5</v>
      </c>
      <c r="Y100" s="25" t="n"/>
      <c r="Z100" s="26" t="n"/>
      <c r="AA100" s="28" t="n"/>
      <c r="AB100" s="28" t="n"/>
      <c r="AC100" s="30" t="n">
        <v>0.9804</v>
      </c>
      <c r="AD100" s="24" t="inlineStr">
        <is>
          <t>2026-07-18T23:59:20.697637Z</t>
        </is>
      </c>
      <c r="AE100" s="31" t="inlineStr">
        <is>
          <t>Learned LR call at threshold 0.5500; executable ask 0.5050 (aec-mlb-pit-cle-2026-07-18).</t>
        </is>
      </c>
      <c r="AF100" s="31" t="inlineStr">
        <is>
          <t>Learned model; promotion gate not yet open; zero-unit research until review.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mlb-pit</t>
        </is>
      </c>
      <c r="AQ100" s="24" t="inlineStr">
        <is>
          <t>Pittsburgh Pirates</t>
        </is>
      </c>
      <c r="AR100" s="24" t="inlineStr">
        <is>
          <t>Pittsburgh Pirates</t>
        </is>
      </c>
      <c r="AS100" s="24" t="inlineStr">
        <is>
          <t>mlb-cle</t>
        </is>
      </c>
      <c r="AT100" s="24" t="inlineStr">
        <is>
          <t>Cleveland Guardians</t>
        </is>
      </c>
      <c r="AU100" s="24" t="inlineStr">
        <is>
          <t>Cleveland Guardians</t>
        </is>
      </c>
      <c r="AV100" s="24" t="n"/>
      <c r="AW100" s="24" t="n"/>
      <c r="AX100" s="24" t="inlineStr">
        <is>
          <t>research_observation</t>
        </is>
      </c>
      <c r="AY100" s="24" t="n"/>
      <c r="AZ100" s="24" t="inlineStr">
        <is>
          <t>research</t>
        </is>
      </c>
      <c r="BA100" s="24" t="inlineStr">
        <is>
          <t>5224fb6ffbc9ddf8fa517627b830ac851192da94d241963d556945393a42bb9d</t>
        </is>
      </c>
      <c r="BB100" s="24" t="inlineStr">
        <is>
          <t>learned_lr</t>
        </is>
      </c>
      <c r="BC100" s="24" t="inlineStr">
        <is>
          <t>mlb-elo-trend-lr-v4</t>
        </is>
      </c>
      <c r="BD100" s="24" t="inlineStr">
        <is>
          <t>5224fb6ffbc9ddf8fa517627b830ac851192da94d241963d556945393a42bb9d</t>
        </is>
      </c>
      <c r="BE100" s="24" t="inlineStr">
        <is>
          <t>3c0f9e9f1d0333c4</t>
        </is>
      </c>
      <c r="BF100" s="24" t="inlineStr">
        <is>
          <t>1</t>
        </is>
      </c>
      <c r="BG100" s="24" t="inlineStr">
        <is>
          <t>mlb-elo-trend-lr-v3</t>
        </is>
      </c>
      <c r="BH100" s="24" t="inlineStr">
        <is>
          <t>2026-07-18T16:42:59.880808Z</t>
        </is>
      </c>
      <c r="BI100" s="24" t="inlineStr">
        <is>
          <t>["same_event","same_team_same_day","same_league_same_day"]</t>
        </is>
      </c>
      <c r="BJ100" s="25" t="n"/>
      <c r="BK100" s="26" t="n">
        <v>-102</v>
      </c>
      <c r="BL100" s="27" t="n">
        <v>1.980392</v>
      </c>
      <c r="BM100" s="28" t="n">
        <v>0.50495</v>
      </c>
      <c r="BN100" s="28" t="n">
        <v>0.502488</v>
      </c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>
        <v>1</v>
      </c>
      <c r="BY100" s="27" t="n">
        <v>0.980392</v>
      </c>
      <c r="BZ100" s="24" t="inlineStr">
        <is>
          <t>2026-07-18T23:59:20.697637Z</t>
        </is>
      </c>
      <c r="CA100" s="31" t="inlineStr">
        <is>
          <t>fixed one-unit hypothetical scoring; no real exposure or execution</t>
        </is>
      </c>
      <c r="CB100" s="24" t="n"/>
    </row>
    <row r="101" ht="36" customHeight="1">
      <c r="A101" s="24" t="inlineStr">
        <is>
          <t>2ec6744dbfd84ecf</t>
        </is>
      </c>
      <c r="B101" s="24" t="inlineStr">
        <is>
          <t>2026-07-18T16:44:20.099051Z</t>
        </is>
      </c>
      <c r="C101" s="24" t="inlineStr">
        <is>
          <t>2026-07-18T16:10:00-0400</t>
        </is>
      </c>
      <c r="D101" s="24" t="inlineStr">
        <is>
          <t>401816161</t>
        </is>
      </c>
      <c r="E101" s="24" t="inlineStr">
        <is>
          <t>MLB</t>
        </is>
      </c>
      <c r="F101" s="24" t="inlineStr">
        <is>
          <t>Texas Rangers</t>
        </is>
      </c>
      <c r="G101" s="24" t="inlineStr">
        <is>
          <t>Atlanta Braves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-106</v>
      </c>
      <c r="M101" s="27" t="n">
        <v>1.943396</v>
      </c>
      <c r="N101" s="28" t="n">
        <v>0.514563</v>
      </c>
      <c r="O101" s="28" t="n">
        <v>0.550297</v>
      </c>
      <c r="P101" s="28" t="n"/>
      <c r="Q101" s="28" t="n">
        <v>0.035734</v>
      </c>
      <c r="R101" s="26" t="n">
        <v>35</v>
      </c>
      <c r="S101" s="29" t="n">
        <v>1</v>
      </c>
      <c r="T101" s="24" t="inlineStr">
        <is>
          <t>mlb-elo-trend-lr-v5</t>
        </is>
      </c>
      <c r="U101" s="24" t="inlineStr">
        <is>
          <t>settled</t>
        </is>
      </c>
      <c r="V101" s="24" t="inlineStr">
        <is>
          <t>loss</t>
        </is>
      </c>
      <c r="W101" s="26" t="n">
        <v>7</v>
      </c>
      <c r="X101" s="26" t="n">
        <v>6</v>
      </c>
      <c r="Y101" s="25" t="n"/>
      <c r="Z101" s="26" t="n"/>
      <c r="AA101" s="28" t="n"/>
      <c r="AB101" s="28" t="n"/>
      <c r="AC101" s="30" t="n">
        <v>-1</v>
      </c>
      <c r="AD101" s="24" t="inlineStr">
        <is>
          <t>2026-07-18T23:59:20.634092Z</t>
        </is>
      </c>
      <c r="AE101" s="31" t="inlineStr">
        <is>
          <t>Learned LR call at threshold 0.5500; executable ask 0.5150 (aec-mlb-tex-atl-2026-07-18).</t>
        </is>
      </c>
      <c r="AF101" s="31" t="inlineStr">
        <is>
          <t>Learned model; promotion gate not yet open; zero-unit research until review.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mlb-tex</t>
        </is>
      </c>
      <c r="AQ101" s="24" t="inlineStr">
        <is>
          <t>Texas Rangers</t>
        </is>
      </c>
      <c r="AR101" s="24" t="inlineStr">
        <is>
          <t>Texas Rangers</t>
        </is>
      </c>
      <c r="AS101" s="24" t="inlineStr">
        <is>
          <t>mlb-atl</t>
        </is>
      </c>
      <c r="AT101" s="24" t="inlineStr">
        <is>
          <t>Atlanta Braves</t>
        </is>
      </c>
      <c r="AU101" s="24" t="inlineStr">
        <is>
          <t>Atlanta Braves</t>
        </is>
      </c>
      <c r="AV101" s="24" t="n"/>
      <c r="AW101" s="24" t="n"/>
      <c r="AX101" s="24" t="inlineStr">
        <is>
          <t>research_observation</t>
        </is>
      </c>
      <c r="AY101" s="24" t="n"/>
      <c r="AZ101" s="24" t="inlineStr">
        <is>
          <t>research</t>
        </is>
      </c>
      <c r="BA101" s="24" t="inlineStr">
        <is>
          <t>5224fb6ffbc9ddf8fa517627b830ac851192da94d241963d556945393a42bb9d</t>
        </is>
      </c>
      <c r="BB101" s="24" t="inlineStr">
        <is>
          <t>learned_lr</t>
        </is>
      </c>
      <c r="BC101" s="24" t="inlineStr">
        <is>
          <t>mlb-elo-trend-lr-v4</t>
        </is>
      </c>
      <c r="BD101" s="24" t="inlineStr">
        <is>
          <t>5224fb6ffbc9ddf8fa517627b830ac851192da94d241963d556945393a42bb9d</t>
        </is>
      </c>
      <c r="BE101" s="24" t="inlineStr">
        <is>
          <t>a999da31a6f5af28</t>
        </is>
      </c>
      <c r="BF101" s="24" t="inlineStr">
        <is>
          <t>1</t>
        </is>
      </c>
      <c r="BG101" s="24" t="inlineStr">
        <is>
          <t>mlb-elo-trend-lr-v3</t>
        </is>
      </c>
      <c r="BH101" s="24" t="inlineStr">
        <is>
          <t>2026-07-18T16:42:57.199270Z</t>
        </is>
      </c>
      <c r="BI101" s="24" t="inlineStr">
        <is>
          <t>["same_event","same_team_same_day","same_league_same_day"]</t>
        </is>
      </c>
      <c r="BJ101" s="25" t="n"/>
      <c r="BK101" s="26" t="n">
        <v>-106</v>
      </c>
      <c r="BL101" s="27" t="n">
        <v>1.943396</v>
      </c>
      <c r="BM101" s="28" t="n">
        <v>0.514563</v>
      </c>
      <c r="BN101" s="28" t="n">
        <v>0.5124379999999999</v>
      </c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>
        <v>1</v>
      </c>
      <c r="BY101" s="27" t="n">
        <v>-1</v>
      </c>
      <c r="BZ101" s="24" t="inlineStr">
        <is>
          <t>2026-07-18T23:59:20.634092Z</t>
        </is>
      </c>
      <c r="CA101" s="31" t="inlineStr">
        <is>
          <t>fixed one-unit hypothetical scoring; no real exposure or execution</t>
        </is>
      </c>
      <c r="CB101" s="24" t="n"/>
    </row>
    <row r="102" ht="36" customHeight="1">
      <c r="A102" s="24" t="inlineStr">
        <is>
          <t>c7e4de168a8f4e3d</t>
        </is>
      </c>
      <c r="B102" s="24" t="inlineStr">
        <is>
          <t>2026-07-18T16:44:20.099051Z</t>
        </is>
      </c>
      <c r="C102" s="24" t="inlineStr">
        <is>
          <t>2026-07-18T15:10:00-0400</t>
        </is>
      </c>
      <c r="D102" s="24" t="inlineStr">
        <is>
          <t>401816166</t>
        </is>
      </c>
      <c r="E102" s="24" t="inlineStr">
        <is>
          <t>MLB</t>
        </is>
      </c>
      <c r="F102" s="24" t="inlineStr">
        <is>
          <t>Cincinnati Reds</t>
        </is>
      </c>
      <c r="G102" s="24" t="inlineStr">
        <is>
          <t>Colorado Rockies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-104</v>
      </c>
      <c r="M102" s="27" t="n">
        <v>1.961538</v>
      </c>
      <c r="N102" s="28" t="n">
        <v>0.509804</v>
      </c>
      <c r="O102" s="28" t="n">
        <v>0.582367</v>
      </c>
      <c r="P102" s="28" t="n"/>
      <c r="Q102" s="28" t="n">
        <v>0.072563</v>
      </c>
      <c r="R102" s="26" t="n">
        <v>72</v>
      </c>
      <c r="S102" s="29" t="n">
        <v>1.25</v>
      </c>
      <c r="T102" s="24" t="inlineStr">
        <is>
          <t>mlb-elo-trend-lr-v5</t>
        </is>
      </c>
      <c r="U102" s="24" t="inlineStr">
        <is>
          <t>settled</t>
        </is>
      </c>
      <c r="V102" s="24" t="inlineStr">
        <is>
          <t>loss</t>
        </is>
      </c>
      <c r="W102" s="26" t="n">
        <v>3</v>
      </c>
      <c r="X102" s="26" t="n">
        <v>10</v>
      </c>
      <c r="Y102" s="25" t="n"/>
      <c r="Z102" s="26" t="n"/>
      <c r="AA102" s="28" t="n"/>
      <c r="AB102" s="28" t="n"/>
      <c r="AC102" s="30" t="n">
        <v>-1.25</v>
      </c>
      <c r="AD102" s="24" t="inlineStr">
        <is>
          <t>2026-07-18T23:59:20.572146Z</t>
        </is>
      </c>
      <c r="AE102" s="31" t="inlineStr">
        <is>
          <t>Learned LR call at threshold 0.5500; executable ask 0.5100 (aec-mlb-cin-col-2026-07-18).</t>
        </is>
      </c>
      <c r="AF102" s="31" t="inlineStr">
        <is>
          <t>Learned model; promotion gate not yet open; zero-unit research until review.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mlb-cin</t>
        </is>
      </c>
      <c r="AQ102" s="24" t="inlineStr">
        <is>
          <t>Cincinnati Reds</t>
        </is>
      </c>
      <c r="AR102" s="24" t="inlineStr">
        <is>
          <t>Cincinnati Reds</t>
        </is>
      </c>
      <c r="AS102" s="24" t="inlineStr">
        <is>
          <t>mlb-col</t>
        </is>
      </c>
      <c r="AT102" s="24" t="inlineStr">
        <is>
          <t>Colorado Rockies</t>
        </is>
      </c>
      <c r="AU102" s="24" t="inlineStr">
        <is>
          <t>Colorado Rockies</t>
        </is>
      </c>
      <c r="AV102" s="24" t="n"/>
      <c r="AW102" s="24" t="n"/>
      <c r="AX102" s="24" t="inlineStr">
        <is>
          <t>research_observation</t>
        </is>
      </c>
      <c r="AY102" s="24" t="n"/>
      <c r="AZ102" s="24" t="inlineStr">
        <is>
          <t>research</t>
        </is>
      </c>
      <c r="BA102" s="24" t="inlineStr">
        <is>
          <t>5224fb6ffbc9ddf8fa517627b830ac851192da94d241963d556945393a42bb9d</t>
        </is>
      </c>
      <c r="BB102" s="24" t="inlineStr">
        <is>
          <t>learned_lr</t>
        </is>
      </c>
      <c r="BC102" s="24" t="inlineStr">
        <is>
          <t>mlb-elo-trend-lr-v4</t>
        </is>
      </c>
      <c r="BD102" s="24" t="inlineStr">
        <is>
          <t>5224fb6ffbc9ddf8fa517627b830ac851192da94d241963d556945393a42bb9d</t>
        </is>
      </c>
      <c r="BE102" s="24" t="inlineStr">
        <is>
          <t>4215d10b9bfb4b91</t>
        </is>
      </c>
      <c r="BF102" s="24" t="inlineStr">
        <is>
          <t>1</t>
        </is>
      </c>
      <c r="BG102" s="24" t="inlineStr">
        <is>
          <t>mlb-elo-trend-lr-v3</t>
        </is>
      </c>
      <c r="BH102" s="24" t="inlineStr">
        <is>
          <t>2026-07-18T16:42:52.313468Z</t>
        </is>
      </c>
      <c r="BI102" s="24" t="inlineStr">
        <is>
          <t>["same_event","same_team_same_day","same_league_same_day"]</t>
        </is>
      </c>
      <c r="BJ102" s="25" t="n"/>
      <c r="BK102" s="26" t="n">
        <v>-104</v>
      </c>
      <c r="BL102" s="27" t="n">
        <v>1.961538</v>
      </c>
      <c r="BM102" s="28" t="n">
        <v>0.509804</v>
      </c>
      <c r="BN102" s="28" t="n">
        <v>0.507463</v>
      </c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>
        <v>1</v>
      </c>
      <c r="BY102" s="27" t="n">
        <v>-1</v>
      </c>
      <c r="BZ102" s="24" t="inlineStr">
        <is>
          <t>2026-07-18T23:59:20.572146Z</t>
        </is>
      </c>
      <c r="CA102" s="31" t="inlineStr">
        <is>
          <t>fixed one-unit hypothetical scoring; no real exposure or execution</t>
        </is>
      </c>
      <c r="CB102" s="24" t="n"/>
    </row>
    <row r="103" ht="36" customHeight="1">
      <c r="A103" s="24" t="inlineStr">
        <is>
          <t>80b7c78aaffb4905</t>
        </is>
      </c>
      <c r="B103" s="24" t="inlineStr">
        <is>
          <t>2026-07-18T16:44:20.099051Z</t>
        </is>
      </c>
      <c r="C103" s="24" t="inlineStr">
        <is>
          <t>2026-07-18T15:07:00-0400</t>
        </is>
      </c>
      <c r="D103" s="24" t="inlineStr">
        <is>
          <t>401816156</t>
        </is>
      </c>
      <c r="E103" s="24" t="inlineStr">
        <is>
          <t>MLB</t>
        </is>
      </c>
      <c r="F103" s="24" t="inlineStr">
        <is>
          <t>Chicago White Sox</t>
        </is>
      </c>
      <c r="G103" s="24" t="inlineStr">
        <is>
          <t>Toronto Blue Jays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-104</v>
      </c>
      <c r="M103" s="27" t="n">
        <v>1.961538</v>
      </c>
      <c r="N103" s="28" t="n">
        <v>0.509804</v>
      </c>
      <c r="O103" s="28" t="n">
        <v>0.5767679999999999</v>
      </c>
      <c r="P103" s="28" t="n"/>
      <c r="Q103" s="28" t="n">
        <v>0.066964</v>
      </c>
      <c r="R103" s="26" t="n">
        <v>66</v>
      </c>
      <c r="S103" s="29" t="n">
        <v>1.25</v>
      </c>
      <c r="T103" s="24" t="inlineStr">
        <is>
          <t>mlb-elo-trend-lr-v5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/>
      <c r="AA103" s="28" t="n"/>
      <c r="AB103" s="28" t="n"/>
      <c r="AC103" s="30" t="n">
        <v>1.2019</v>
      </c>
      <c r="AD103" s="24" t="inlineStr">
        <is>
          <t>2026-07-18T23:59:20.512474Z</t>
        </is>
      </c>
      <c r="AE103" s="31" t="inlineStr">
        <is>
          <t>Learned LR call at threshold 0.5500; executable ask 0.5100 (aec-mlb-cws-tor-2026-07-18).</t>
        </is>
      </c>
      <c r="AF103" s="31" t="inlineStr">
        <is>
          <t>Learned model; promotion gate not yet open; zero-unit research until review.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mlb-cws</t>
        </is>
      </c>
      <c r="AQ103" s="24" t="inlineStr">
        <is>
          <t>Chicago White Sox</t>
        </is>
      </c>
      <c r="AR103" s="24" t="inlineStr">
        <is>
          <t>Chicago White Sox</t>
        </is>
      </c>
      <c r="AS103" s="24" t="inlineStr">
        <is>
          <t>mlb-tor</t>
        </is>
      </c>
      <c r="AT103" s="24" t="inlineStr">
        <is>
          <t>Toronto Blue Jays</t>
        </is>
      </c>
      <c r="AU103" s="24" t="inlineStr">
        <is>
          <t>Toronto Blue Jays</t>
        </is>
      </c>
      <c r="AV103" s="24" t="n"/>
      <c r="AW103" s="24" t="n"/>
      <c r="AX103" s="24" t="inlineStr">
        <is>
          <t>research_observation</t>
        </is>
      </c>
      <c r="AY103" s="24" t="n"/>
      <c r="AZ103" s="24" t="inlineStr">
        <is>
          <t>research</t>
        </is>
      </c>
      <c r="BA103" s="24" t="inlineStr">
        <is>
          <t>5224fb6ffbc9ddf8fa517627b830ac851192da94d241963d556945393a42bb9d</t>
        </is>
      </c>
      <c r="BB103" s="24" t="inlineStr">
        <is>
          <t>learned_lr</t>
        </is>
      </c>
      <c r="BC103" s="24" t="inlineStr">
        <is>
          <t>mlb-elo-trend-lr-v4</t>
        </is>
      </c>
      <c r="BD103" s="24" t="inlineStr">
        <is>
          <t>5224fb6ffbc9ddf8fa517627b830ac851192da94d241963d556945393a42bb9d</t>
        </is>
      </c>
      <c r="BE103" s="24" t="inlineStr">
        <is>
          <t>990421d336b67011</t>
        </is>
      </c>
      <c r="BF103" s="24" t="inlineStr">
        <is>
          <t>1</t>
        </is>
      </c>
      <c r="BG103" s="24" t="inlineStr">
        <is>
          <t>mlb-elo-trend-lr-v3</t>
        </is>
      </c>
      <c r="BH103" s="24" t="inlineStr">
        <is>
          <t>2026-07-18T16:42:50.404282Z</t>
        </is>
      </c>
      <c r="BI103" s="24" t="inlineStr">
        <is>
          <t>["same_event","same_team_same_day","same_league_same_day"]</t>
        </is>
      </c>
      <c r="BJ103" s="25" t="n"/>
      <c r="BK103" s="26" t="n">
        <v>-104</v>
      </c>
      <c r="BL103" s="27" t="n">
        <v>1.961538</v>
      </c>
      <c r="BM103" s="28" t="n">
        <v>0.509804</v>
      </c>
      <c r="BN103" s="28" t="n">
        <v>0.507463</v>
      </c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>
        <v>1</v>
      </c>
      <c r="BY103" s="27" t="n">
        <v>0.961538</v>
      </c>
      <c r="BZ103" s="24" t="inlineStr">
        <is>
          <t>2026-07-18T23:59:20.512474Z</t>
        </is>
      </c>
      <c r="CA103" s="31" t="inlineStr">
        <is>
          <t>fixed one-unit hypothetical scoring; no real exposure or execution</t>
        </is>
      </c>
      <c r="CB103" s="24" t="n"/>
    </row>
    <row r="104" ht="36" customHeight="1">
      <c r="A104" s="24" t="inlineStr">
        <is>
          <t>534daa3057c4428f</t>
        </is>
      </c>
      <c r="B104" s="24" t="inlineStr">
        <is>
          <t>2026-07-18T16:44:20.099051Z</t>
        </is>
      </c>
      <c r="C104" s="24" t="inlineStr">
        <is>
          <t>2026-07-18T22:05:00-0400</t>
        </is>
      </c>
      <c r="D104" s="24" t="inlineStr">
        <is>
          <t>401816170</t>
        </is>
      </c>
      <c r="E104" s="24" t="inlineStr">
        <is>
          <t>MLB</t>
        </is>
      </c>
      <c r="F104" s="24" t="inlineStr">
        <is>
          <t>Washington Nationals</t>
        </is>
      </c>
      <c r="G104" s="24" t="inlineStr">
        <is>
          <t>Athletics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102</v>
      </c>
      <c r="M104" s="27" t="n">
        <v>2.02</v>
      </c>
      <c r="N104" s="28" t="n">
        <v>0.49505</v>
      </c>
      <c r="O104" s="28" t="n">
        <v>0.569735</v>
      </c>
      <c r="P104" s="28" t="n"/>
      <c r="Q104" s="28" t="n">
        <v>0.074685</v>
      </c>
      <c r="R104" s="26" t="n">
        <v>74</v>
      </c>
      <c r="S104" s="29" t="n">
        <v>1.25</v>
      </c>
      <c r="T104" s="24" t="inlineStr">
        <is>
          <t>mlb-elo-trend-lr-v5</t>
        </is>
      </c>
      <c r="U104" s="24" t="inlineStr">
        <is>
          <t>settled</t>
        </is>
      </c>
      <c r="V104" s="24" t="inlineStr">
        <is>
          <t>win</t>
        </is>
      </c>
      <c r="W104" s="26" t="n">
        <v>1</v>
      </c>
      <c r="X104" s="26" t="n">
        <v>15</v>
      </c>
      <c r="Y104" s="25" t="n"/>
      <c r="Z104" s="26" t="n"/>
      <c r="AA104" s="28" t="n"/>
      <c r="AB104" s="28" t="n"/>
      <c r="AC104" s="30" t="n">
        <v>1.275</v>
      </c>
      <c r="AD104" s="24" t="inlineStr">
        <is>
          <t>2026-07-19T06:08:38.355137Z</t>
        </is>
      </c>
      <c r="AE104" s="31" t="inlineStr">
        <is>
          <t>Learned LR call at threshold 0.5500; executable ask 0.4950 (aec-mlb-wsh-ath-2026-07-18).</t>
        </is>
      </c>
      <c r="AF104" s="31" t="inlineStr">
        <is>
          <t>Learned model; promotion gate not yet open; zero-unit research until review.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mlb-wsh</t>
        </is>
      </c>
      <c r="AQ104" s="24" t="inlineStr">
        <is>
          <t>Washington Nationals</t>
        </is>
      </c>
      <c r="AR104" s="24" t="inlineStr">
        <is>
          <t>Washington Nationals</t>
        </is>
      </c>
      <c r="AS104" s="24" t="inlineStr">
        <is>
          <t>mlb-ath</t>
        </is>
      </c>
      <c r="AT104" s="24" t="inlineStr">
        <is>
          <t>Athletics</t>
        </is>
      </c>
      <c r="AU104" s="24" t="inlineStr">
        <is>
          <t>Athletics</t>
        </is>
      </c>
      <c r="AV104" s="24" t="n"/>
      <c r="AW104" s="24" t="n"/>
      <c r="AX104" s="24" t="inlineStr">
        <is>
          <t>research_observation</t>
        </is>
      </c>
      <c r="AY104" s="24" t="n"/>
      <c r="AZ104" s="24" t="inlineStr">
        <is>
          <t>research</t>
        </is>
      </c>
      <c r="BA104" s="24" t="inlineStr">
        <is>
          <t>5224fb6ffbc9ddf8fa517627b830ac851192da94d241963d556945393a42bb9d</t>
        </is>
      </c>
      <c r="BB104" s="24" t="inlineStr">
        <is>
          <t>learned_lr</t>
        </is>
      </c>
      <c r="BC104" s="24" t="inlineStr">
        <is>
          <t>mlb-elo-trend-lr-v4</t>
        </is>
      </c>
      <c r="BD104" s="24" t="inlineStr">
        <is>
          <t>5224fb6ffbc9ddf8fa517627b830ac851192da94d241963d556945393a42bb9d</t>
        </is>
      </c>
      <c r="BE104" s="24" t="inlineStr">
        <is>
          <t>d2faed7be6c04691</t>
        </is>
      </c>
      <c r="BF104" s="24" t="inlineStr">
        <is>
          <t>1</t>
        </is>
      </c>
      <c r="BG104" s="24" t="inlineStr">
        <is>
          <t>mlb-elo-trend-lr-v3</t>
        </is>
      </c>
      <c r="BH104" s="24" t="inlineStr">
        <is>
          <t>2026-07-18T16:43:06.321641Z</t>
        </is>
      </c>
      <c r="BI104" s="24" t="inlineStr">
        <is>
          <t>["same_event","same_team_same_day","same_league_same_day"]</t>
        </is>
      </c>
      <c r="BJ104" s="25" t="n"/>
      <c r="BK104" s="26" t="n">
        <v>102</v>
      </c>
      <c r="BL104" s="27" t="n">
        <v>2.02</v>
      </c>
      <c r="BM104" s="28" t="n">
        <v>0.49505</v>
      </c>
      <c r="BN104" s="28" t="n">
        <v>0.492537</v>
      </c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>
        <v>1</v>
      </c>
      <c r="BY104" s="27" t="n">
        <v>1.02</v>
      </c>
      <c r="BZ104" s="24" t="inlineStr">
        <is>
          <t>2026-07-19T06:08:38.355137Z</t>
        </is>
      </c>
      <c r="CA104" s="31" t="inlineStr">
        <is>
          <t>fixed one-unit hypothetical scoring; no real exposure or execution</t>
        </is>
      </c>
      <c r="CB104" s="24" t="n"/>
    </row>
    <row r="105" ht="36" customHeight="1">
      <c r="A105" s="24" t="inlineStr">
        <is>
          <t>931feaf381a247bc</t>
        </is>
      </c>
      <c r="B105" s="24" t="inlineStr">
        <is>
          <t>2026-07-18T16:16:11.093520Z</t>
        </is>
      </c>
      <c r="C105" s="24" t="inlineStr">
        <is>
          <t>2026-07-18T16:10:00-0400</t>
        </is>
      </c>
      <c r="D105" s="24" t="inlineStr">
        <is>
          <t>401816163</t>
        </is>
      </c>
      <c r="E105" s="24" t="inlineStr">
        <is>
          <t>MLB</t>
        </is>
      </c>
      <c r="F105" s="24" t="inlineStr">
        <is>
          <t>Miami Marlins</t>
        </is>
      </c>
      <c r="G105" s="24" t="inlineStr">
        <is>
          <t>Milwaukee Brewers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-133</v>
      </c>
      <c r="M105" s="27" t="n">
        <v>1.75188</v>
      </c>
      <c r="N105" s="28" t="n">
        <v>0.570815</v>
      </c>
      <c r="O105" s="28" t="n">
        <v>0.608753</v>
      </c>
      <c r="P105" s="28" t="n"/>
      <c r="Q105" s="28" t="n">
        <v>0.037938</v>
      </c>
      <c r="R105" s="26" t="n">
        <v>37</v>
      </c>
      <c r="S105" s="29" t="n">
        <v>1.5</v>
      </c>
      <c r="T105" s="24" t="inlineStr">
        <is>
          <t>mlb-elo-trend-lr-v5</t>
        </is>
      </c>
      <c r="U105" s="24" t="inlineStr">
        <is>
          <t>settled</t>
        </is>
      </c>
      <c r="V105" s="24" t="inlineStr">
        <is>
          <t>win</t>
        </is>
      </c>
      <c r="W105" s="26" t="n">
        <v>6</v>
      </c>
      <c r="X105" s="26" t="n">
        <v>8</v>
      </c>
      <c r="Y105" s="25" t="n"/>
      <c r="Z105" s="26" t="n"/>
      <c r="AA105" s="28" t="n"/>
      <c r="AB105" s="28" t="n"/>
      <c r="AC105" s="30" t="n">
        <v>1.1278</v>
      </c>
      <c r="AD105" s="24" t="inlineStr">
        <is>
          <t>2026-07-18T23:59:20.431552Z</t>
        </is>
      </c>
      <c r="AE105" s="31" t="inlineStr">
        <is>
          <t>Learned LR call at threshold 0.6000; executable ask 0.5700 (aec-mlb-mia-mil-2026-07-18).</t>
        </is>
      </c>
      <c r="AF105" s="31" t="inlineStr">
        <is>
          <t>Learned model; promotion gate not yet open; zero-unit research until review.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mlb-mia</t>
        </is>
      </c>
      <c r="AQ105" s="24" t="inlineStr">
        <is>
          <t>Miami Marlins</t>
        </is>
      </c>
      <c r="AR105" s="24" t="inlineStr">
        <is>
          <t>Miami Marlins</t>
        </is>
      </c>
      <c r="AS105" s="24" t="inlineStr">
        <is>
          <t>mlb-mil</t>
        </is>
      </c>
      <c r="AT105" s="24" t="inlineStr">
        <is>
          <t>Milwaukee Brewers</t>
        </is>
      </c>
      <c r="AU105" s="24" t="inlineStr">
        <is>
          <t>Milwaukee Brewers</t>
        </is>
      </c>
      <c r="AV105" s="24" t="n"/>
      <c r="AW105" s="24" t="n"/>
      <c r="AX105" s="24" t="inlineStr">
        <is>
          <t>research_observation</t>
        </is>
      </c>
      <c r="AY105" s="24" t="n"/>
      <c r="AZ105" s="24" t="inlineStr">
        <is>
          <t>research</t>
        </is>
      </c>
      <c r="BA105" s="24" t="inlineStr">
        <is>
          <t>5224fb6ffbc9ddf8fa517627b830ac851192da94d241963d556945393a42bb9d</t>
        </is>
      </c>
      <c r="BB105" s="24" t="inlineStr">
        <is>
          <t>learned_lr</t>
        </is>
      </c>
      <c r="BC105" s="24" t="inlineStr">
        <is>
          <t>mlb-elo-trend-lr-v4</t>
        </is>
      </c>
      <c r="BD105" s="24" t="inlineStr">
        <is>
          <t>5224fb6ffbc9ddf8fa517627b830ac851192da94d241963d556945393a42bb9d</t>
        </is>
      </c>
      <c r="BE105" s="24" t="inlineStr">
        <is>
          <t>0f54459b91a18ff1</t>
        </is>
      </c>
      <c r="BF105" s="24" t="inlineStr">
        <is>
          <t>1</t>
        </is>
      </c>
      <c r="BG105" s="24" t="inlineStr">
        <is>
          <t>mlb-elo-trend-lr-v3</t>
        </is>
      </c>
      <c r="BH105" s="24" t="inlineStr">
        <is>
          <t>2026-07-18T16:15:15.200995Z</t>
        </is>
      </c>
      <c r="BI105" s="24" t="inlineStr">
        <is>
          <t>["same_event","same_team_same_day","same_league_same_day"]</t>
        </is>
      </c>
      <c r="BJ105" s="25" t="n"/>
      <c r="BK105" s="26" t="n">
        <v>-133</v>
      </c>
      <c r="BL105" s="27" t="n">
        <v>1.75188</v>
      </c>
      <c r="BM105" s="28" t="n">
        <v>0.570815</v>
      </c>
      <c r="BN105" s="28" t="n">
        <v>0.567164</v>
      </c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>
        <v>1</v>
      </c>
      <c r="BY105" s="27" t="n">
        <v>0.75188</v>
      </c>
      <c r="BZ105" s="24" t="inlineStr">
        <is>
          <t>2026-07-18T23:59:20.431552Z</t>
        </is>
      </c>
      <c r="CA105" s="31" t="inlineStr">
        <is>
          <t>fixed one-unit hypothetical scoring; no real exposure or execution</t>
        </is>
      </c>
      <c r="CB105" s="24" t="n"/>
    </row>
    <row r="106" ht="36" customHeight="1">
      <c r="A106" s="24" t="inlineStr">
        <is>
          <t>ef7830f025d54963</t>
        </is>
      </c>
      <c r="B106" s="24" t="inlineStr">
        <is>
          <t>2026-07-18T07:12:56.298602Z</t>
        </is>
      </c>
      <c r="C106" s="24" t="inlineStr">
        <is>
          <t>2026-07-18T20:00:00-0400</t>
        </is>
      </c>
      <c r="D106" s="24" t="inlineStr">
        <is>
          <t>401857077</t>
        </is>
      </c>
      <c r="E106" s="24" t="inlineStr">
        <is>
          <t>WNBA</t>
        </is>
      </c>
      <c r="F106" s="24" t="inlineStr">
        <is>
          <t>New York Liberty</t>
        </is>
      </c>
      <c r="G106" s="24" t="inlineStr">
        <is>
          <t>Indiana Fever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117</v>
      </c>
      <c r="M106" s="27" t="n">
        <v>2.17</v>
      </c>
      <c r="N106" s="28" t="n">
        <v>0.460829</v>
      </c>
      <c r="O106" s="28" t="n">
        <v>0.593309</v>
      </c>
      <c r="P106" s="28" t="n"/>
      <c r="Q106" s="28" t="n">
        <v>0.13248</v>
      </c>
      <c r="R106" s="26" t="n">
        <v>100</v>
      </c>
      <c r="S106" s="29" t="n">
        <v>1.5</v>
      </c>
      <c r="T106" s="24" t="inlineStr">
        <is>
          <t>wnba-elo-trend-lr-v4</t>
        </is>
      </c>
      <c r="U106" s="24" t="inlineStr">
        <is>
          <t>settled</t>
        </is>
      </c>
      <c r="V106" s="24" t="inlineStr">
        <is>
          <t>win</t>
        </is>
      </c>
      <c r="W106" s="26" t="n">
        <v>88</v>
      </c>
      <c r="X106" s="26" t="n">
        <v>108</v>
      </c>
      <c r="Y106" s="25" t="n"/>
      <c r="Z106" s="26" t="n"/>
      <c r="AA106" s="28" t="n"/>
      <c r="AB106" s="28" t="n"/>
      <c r="AC106" s="30" t="n">
        <v>1.755</v>
      </c>
      <c r="AD106" s="24" t="inlineStr">
        <is>
          <t>2026-07-19T03:07:19.656208Z</t>
        </is>
      </c>
      <c r="AE106" s="31" t="inlineStr">
        <is>
          <t>Learned LR call at threshold 0.5413; executable ask 0.4600 (aec-wnba-ny-ind-2026-07-18).</t>
        </is>
      </c>
      <c r="AF106" s="31" t="inlineStr">
        <is>
          <t>Learned model; promotion gate not yet open; zero-unit research until review.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inlineStr">
        <is>
          <t>wnba-nyl</t>
        </is>
      </c>
      <c r="AQ106" s="24" t="inlineStr">
        <is>
          <t>New York Liberty</t>
        </is>
      </c>
      <c r="AR106" s="24" t="inlineStr">
        <is>
          <t>New York Liberty</t>
        </is>
      </c>
      <c r="AS106" s="24" t="inlineStr">
        <is>
          <t>wnba-ind</t>
        </is>
      </c>
      <c r="AT106" s="24" t="inlineStr">
        <is>
          <t>Indiana Fever</t>
        </is>
      </c>
      <c r="AU106" s="24" t="inlineStr">
        <is>
          <t>Indiana Fever</t>
        </is>
      </c>
      <c r="AV106" s="24" t="n"/>
      <c r="AW106" s="24" t="n"/>
      <c r="AX106" s="24" t="inlineStr">
        <is>
          <t>research_observation</t>
        </is>
      </c>
      <c r="AY106" s="24" t="n"/>
      <c r="AZ106" s="24" t="inlineStr">
        <is>
          <t>research</t>
        </is>
      </c>
      <c r="BA106" s="24" t="inlineStr">
        <is>
          <t>6b38a269117f4c6c1ae1e324273c2f9b9d11b2c15d99242f39aa89882d15db32</t>
        </is>
      </c>
      <c r="BB106" s="24" t="inlineStr">
        <is>
          <t>learned_lr</t>
        </is>
      </c>
      <c r="BC106" s="24" t="inlineStr">
        <is>
          <t>wnba-elo-trend-lr-v3</t>
        </is>
      </c>
      <c r="BD106" s="24" t="inlineStr">
        <is>
          <t>6b38a269117f4c6c1ae1e324273c2f9b9d11b2c15d99242f39aa89882d15db32</t>
        </is>
      </c>
      <c r="BE106" s="24" t="inlineStr">
        <is>
          <t>3a7dae2b4e6e8f88</t>
        </is>
      </c>
      <c r="BF106" s="24" t="inlineStr">
        <is>
          <t>1</t>
        </is>
      </c>
      <c r="BG106" s="24" t="inlineStr">
        <is>
          <t>wnba-elo-trend-lr-v3</t>
        </is>
      </c>
      <c r="BH106" s="24" t="inlineStr">
        <is>
          <t>2026-07-18T07:12:40.468242Z</t>
        </is>
      </c>
      <c r="BI106" s="24" t="inlineStr">
        <is>
          <t>["same_event","same_team_same_day","same_league_same_day"]</t>
        </is>
      </c>
      <c r="BJ106" s="25" t="n"/>
      <c r="BK106" s="26" t="n">
        <v>117</v>
      </c>
      <c r="BL106" s="27" t="n">
        <v>2.17</v>
      </c>
      <c r="BM106" s="28" t="n">
        <v>0.460829</v>
      </c>
      <c r="BN106" s="28" t="n">
        <v>0.455446</v>
      </c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>
        <v>1</v>
      </c>
      <c r="BY106" s="27" t="n">
        <v>1.17</v>
      </c>
      <c r="BZ106" s="24" t="inlineStr">
        <is>
          <t>2026-07-19T03:07:19.656208Z</t>
        </is>
      </c>
      <c r="CA106" s="31" t="inlineStr">
        <is>
          <t>fixed one-unit hypothetical scoring; no real exposure or execution</t>
        </is>
      </c>
      <c r="CB106" s="24" t="n"/>
    </row>
    <row r="107" ht="18" customHeight="1">
      <c r="A107" s="24" t="inlineStr">
        <is>
          <t>607e61329ed3424c</t>
        </is>
      </c>
      <c r="B107" s="24" t="inlineStr">
        <is>
          <t>2026-07-17T14:02:17Z</t>
        </is>
      </c>
      <c r="C107" s="24" t="inlineStr">
        <is>
          <t>2026-07-18T19:30:00-0400</t>
        </is>
      </c>
      <c r="D107" s="24" t="inlineStr">
        <is>
          <t>401857073</t>
        </is>
      </c>
      <c r="E107" s="24" t="inlineStr">
        <is>
          <t>WNBA</t>
        </is>
      </c>
      <c r="F107" s="24" t="inlineStr">
        <is>
          <t>Seattle Storm</t>
        </is>
      </c>
      <c r="G107" s="24" t="inlineStr">
        <is>
          <t>Indiana Fever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-354</v>
      </c>
      <c r="M107" s="27" t="n">
        <v>1.282486</v>
      </c>
      <c r="N107" s="28" t="n">
        <v>0.779736</v>
      </c>
      <c r="O107" s="28" t="n">
        <v>0.6207</v>
      </c>
      <c r="P107" s="28" t="n"/>
      <c r="Q107" s="28" t="n">
        <v>-0.159036</v>
      </c>
      <c r="R107" s="26" t="n"/>
      <c r="S107" s="29" t="n">
        <v>1.75</v>
      </c>
      <c r="T107" s="24" t="inlineStr">
        <is>
          <t>wnba-elo-trend-lr-v4</t>
        </is>
      </c>
      <c r="U107" s="24" t="inlineStr">
        <is>
          <t>settled</t>
        </is>
      </c>
      <c r="V107" s="24" t="inlineStr">
        <is>
          <t>win</t>
        </is>
      </c>
      <c r="W107" s="26" t="n">
        <v>107</v>
      </c>
      <c r="X107" s="26" t="n">
        <v>110</v>
      </c>
      <c r="Y107" s="25" t="n"/>
      <c r="Z107" s="26" t="n"/>
      <c r="AA107" s="28" t="n"/>
      <c r="AB107" s="28" t="n"/>
      <c r="AC107" s="30" t="n">
        <v>0.4944</v>
      </c>
      <c r="AD107" s="24" t="inlineStr">
        <is>
          <t>2026-07-18T14:36:00Z</t>
        </is>
      </c>
      <c r="AE107" s="31" t="n"/>
      <c r="AF107" s="31" t="n"/>
      <c r="AG107" s="24" t="n"/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CALL_LEARNED_CONFIDENCE</t>
        </is>
      </c>
      <c r="AP107" s="24" t="n"/>
      <c r="AQ107" s="24" t="n"/>
      <c r="AR107" s="24" t="inlineStr">
        <is>
          <t>Seattle Storm</t>
        </is>
      </c>
      <c r="AS107" s="24" t="n"/>
      <c r="AT107" s="24" t="n"/>
      <c r="AU107" s="24" t="inlineStr">
        <is>
          <t>Indiana Fever</t>
        </is>
      </c>
      <c r="AV107" s="24" t="n"/>
      <c r="AW107" s="24" t="n"/>
      <c r="AX107" s="24" t="inlineStr">
        <is>
          <t>research_observation</t>
        </is>
      </c>
      <c r="AY107" s="24" t="n"/>
      <c r="AZ107" s="24" t="inlineStr">
        <is>
          <t>shadow_qualified</t>
        </is>
      </c>
      <c r="BA107" s="24" t="n"/>
      <c r="BB107" s="24" t="inlineStr">
        <is>
          <t>identity</t>
        </is>
      </c>
      <c r="BC107" s="24" t="inlineStr">
        <is>
          <t>identity-v1</t>
        </is>
      </c>
      <c r="BD107" s="24" t="n"/>
      <c r="BE107" s="24" t="inlineStr">
        <is>
          <t>legacy-1</t>
        </is>
      </c>
      <c r="BF107" s="24" t="inlineStr">
        <is>
          <t>legacy-unresolved</t>
        </is>
      </c>
      <c r="BG107" s="24" t="inlineStr">
        <is>
          <t>legacy</t>
        </is>
      </c>
      <c r="BH107" s="24" t="n"/>
      <c r="BI107" s="24" t="n"/>
      <c r="BJ107" s="25" t="n"/>
      <c r="BK107" s="26" t="n">
        <v>-354</v>
      </c>
      <c r="BL107" s="27" t="n">
        <v>1.282486</v>
      </c>
      <c r="BM107" s="28" t="n">
        <v>0.779736</v>
      </c>
      <c r="BN107" s="28" t="n">
        <v>0.779736</v>
      </c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</row>
    <row r="108" ht="36" customHeight="1">
      <c r="A108" s="24" t="inlineStr">
        <is>
          <t>1abb899dd64e4da4</t>
        </is>
      </c>
      <c r="B108" s="24" t="inlineStr">
        <is>
          <t>2026-07-22T05:16:38.961882Z</t>
        </is>
      </c>
      <c r="C108" s="24" t="inlineStr">
        <is>
          <t>2026-07-22T15:00:00-0400</t>
        </is>
      </c>
      <c r="D108" s="24" t="inlineStr">
        <is>
          <t>401857086</t>
        </is>
      </c>
      <c r="E108" s="24" t="inlineStr">
        <is>
          <t>WNBA</t>
        </is>
      </c>
      <c r="F108" s="24" t="inlineStr">
        <is>
          <t>Phoenix Mercury</t>
        </is>
      </c>
      <c r="G108" s="24" t="inlineStr">
        <is>
          <t>Los Angeles Sparks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-127</v>
      </c>
      <c r="M108" s="27" t="n">
        <v>1.787402</v>
      </c>
      <c r="N108" s="28" t="n">
        <v>0.5594710000000001</v>
      </c>
      <c r="O108" s="28" t="n">
        <v>0.506317</v>
      </c>
      <c r="P108" s="28" t="n"/>
      <c r="Q108" s="28" t="n">
        <v>-0.053154</v>
      </c>
      <c r="R108" s="26" t="n">
        <v>0</v>
      </c>
      <c r="S108" s="29" t="n">
        <v>0.5</v>
      </c>
      <c r="T108" s="24" t="inlineStr">
        <is>
          <t>wnba-elo-trend-lr-v4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Learned LR call at threshold 0.5001; executable ask 0.5600 (aec-wnba-phx-la-2026-07-22).</t>
        </is>
      </c>
      <c r="AF108" s="31" t="inlineStr">
        <is>
          <t>Learned model; promotion gate not yet open; zero-unit research until review.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NO_CALL_LOW_EDGE</t>
        </is>
      </c>
      <c r="AP108" s="24" t="inlineStr">
        <is>
          <t>wnba-phx</t>
        </is>
      </c>
      <c r="AQ108" s="24" t="inlineStr">
        <is>
          <t>Phoenix Mercury</t>
        </is>
      </c>
      <c r="AR108" s="24" t="inlineStr">
        <is>
          <t>Phoenix Mercury</t>
        </is>
      </c>
      <c r="AS108" s="24" t="inlineStr">
        <is>
          <t>wnba-las</t>
        </is>
      </c>
      <c r="AT108" s="24" t="inlineStr">
        <is>
          <t>Los Angeles Sparks</t>
        </is>
      </c>
      <c r="AU108" s="24" t="inlineStr">
        <is>
          <t>Los Angeles Sparks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7afd5274214b58b7efd7f7febc7be3ab33b92351cda5cc6403c0a39faea0cc8c</t>
        </is>
      </c>
      <c r="BB108" s="24" t="inlineStr">
        <is>
          <t>learned_lr</t>
        </is>
      </c>
      <c r="BC108" s="24" t="inlineStr">
        <is>
          <t>wnba-elo-trend-lr-v4</t>
        </is>
      </c>
      <c r="BD108" s="24" t="inlineStr">
        <is>
          <t>7afd5274214b58b7efd7f7febc7be3ab33b92351cda5cc6403c0a39faea0cc8c</t>
        </is>
      </c>
      <c r="BE108" s="24" t="inlineStr">
        <is>
          <t>8dc26f367dd0a935</t>
        </is>
      </c>
      <c r="BF108" s="24" t="inlineStr">
        <is>
          <t>1</t>
        </is>
      </c>
      <c r="BG108" s="24" t="inlineStr">
        <is>
          <t>wnba-elo-trend-lr-v4</t>
        </is>
      </c>
      <c r="BH108" s="24" t="inlineStr">
        <is>
          <t>2026-07-22T05:15:39.568650Z</t>
        </is>
      </c>
      <c r="BI108" s="24" t="inlineStr">
        <is>
          <t>["same_event","same_team_same_day","same_league_same_day"]</t>
        </is>
      </c>
      <c r="BJ108" s="25" t="n"/>
      <c r="BK108" s="26" t="n">
        <v>-127</v>
      </c>
      <c r="BL108" s="27" t="n">
        <v>1.787402</v>
      </c>
      <c r="BM108" s="28" t="n">
        <v>0.5594710000000001</v>
      </c>
      <c r="BN108" s="28" t="n">
        <v>0.554455</v>
      </c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</row>
    <row r="109" ht="36" customHeight="1">
      <c r="A109" s="24" t="inlineStr">
        <is>
          <t>ff31c4ff2f6c42db</t>
        </is>
      </c>
      <c r="B109" s="24" t="inlineStr">
        <is>
          <t>2026-07-22T05:16:38.961882Z</t>
        </is>
      </c>
      <c r="C109" s="24" t="inlineStr">
        <is>
          <t>2026-07-22T15:00:00-0400</t>
        </is>
      </c>
      <c r="D109" s="24" t="inlineStr">
        <is>
          <t>401857087</t>
        </is>
      </c>
      <c r="E109" s="24" t="inlineStr">
        <is>
          <t>WNBA</t>
        </is>
      </c>
      <c r="F109" s="24" t="inlineStr">
        <is>
          <t>Minnesota Lynx</t>
        </is>
      </c>
      <c r="G109" s="24" t="inlineStr">
        <is>
          <t>Seattle Storm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-426</v>
      </c>
      <c r="M109" s="27" t="n">
        <v>1.234742</v>
      </c>
      <c r="N109" s="28" t="n">
        <v>0.809886</v>
      </c>
      <c r="O109" s="28" t="n">
        <v>0.741409</v>
      </c>
      <c r="P109" s="28" t="n"/>
      <c r="Q109" s="28" t="n">
        <v>-0.068477</v>
      </c>
      <c r="R109" s="26" t="n">
        <v>0</v>
      </c>
      <c r="S109" s="29" t="n">
        <v>2</v>
      </c>
      <c r="T109" s="24" t="inlineStr">
        <is>
          <t>wnba-elo-trend-lr-v4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Learned LR call at threshold 0.5001; executable ask 0.8100 (aec-wnba-min-sea-2026-07-22).</t>
        </is>
      </c>
      <c r="AF109" s="31" t="inlineStr">
        <is>
          <t>Learned model; promotion gate not yet open; zero-unit research until review.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NO_CALL_LOW_EDGE</t>
        </is>
      </c>
      <c r="AP109" s="24" t="inlineStr">
        <is>
          <t>wnba-min</t>
        </is>
      </c>
      <c r="AQ109" s="24" t="inlineStr">
        <is>
          <t>Minnesota Lynx</t>
        </is>
      </c>
      <c r="AR109" s="24" t="inlineStr">
        <is>
          <t>Minnesota Lynx</t>
        </is>
      </c>
      <c r="AS109" s="24" t="inlineStr">
        <is>
          <t>wnba-sea</t>
        </is>
      </c>
      <c r="AT109" s="24" t="inlineStr">
        <is>
          <t>Seattle Storm</t>
        </is>
      </c>
      <c r="AU109" s="24" t="inlineStr">
        <is>
          <t>Seattle Storm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7afd5274214b58b7efd7f7febc7be3ab33b92351cda5cc6403c0a39faea0cc8c</t>
        </is>
      </c>
      <c r="BB109" s="24" t="inlineStr">
        <is>
          <t>learned_lr</t>
        </is>
      </c>
      <c r="BC109" s="24" t="inlineStr">
        <is>
          <t>wnba-elo-trend-lr-v4</t>
        </is>
      </c>
      <c r="BD109" s="24" t="inlineStr">
        <is>
          <t>7afd5274214b58b7efd7f7febc7be3ab33b92351cda5cc6403c0a39faea0cc8c</t>
        </is>
      </c>
      <c r="BE109" s="24" t="inlineStr">
        <is>
          <t>e8704025c4f6d663</t>
        </is>
      </c>
      <c r="BF109" s="24" t="inlineStr">
        <is>
          <t>1</t>
        </is>
      </c>
      <c r="BG109" s="24" t="inlineStr">
        <is>
          <t>wnba-elo-trend-lr-v4</t>
        </is>
      </c>
      <c r="BH109" s="24" t="inlineStr">
        <is>
          <t>2026-07-22T05:15:40.405611Z</t>
        </is>
      </c>
      <c r="BI109" s="24" t="inlineStr">
        <is>
          <t>["same_event","same_team_same_day","same_league_same_day"]</t>
        </is>
      </c>
      <c r="BJ109" s="25" t="n"/>
      <c r="BK109" s="26" t="n">
        <v>-426</v>
      </c>
      <c r="BL109" s="27" t="n">
        <v>1.234742</v>
      </c>
      <c r="BM109" s="28" t="n">
        <v>0.809886</v>
      </c>
      <c r="BN109" s="28" t="n">
        <v>0.80198</v>
      </c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</row>
    <row r="110" ht="36" customHeight="1">
      <c r="A110" s="24" t="inlineStr">
        <is>
          <t>faec2a24ca8841ee</t>
        </is>
      </c>
      <c r="B110" s="24" t="inlineStr">
        <is>
          <t>2026-07-22T05:16:38.961882Z</t>
        </is>
      </c>
      <c r="C110" s="24" t="inlineStr">
        <is>
          <t>2026-07-22T19:00:00-0400</t>
        </is>
      </c>
      <c r="D110" s="24" t="inlineStr">
        <is>
          <t>401857088</t>
        </is>
      </c>
      <c r="E110" s="24" t="inlineStr">
        <is>
          <t>WNBA</t>
        </is>
      </c>
      <c r="F110" s="24" t="inlineStr">
        <is>
          <t>Chicago Sky</t>
        </is>
      </c>
      <c r="G110" s="24" t="inlineStr">
        <is>
          <t>New York Liberty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-317</v>
      </c>
      <c r="M110" s="27" t="n">
        <v>1.315457</v>
      </c>
      <c r="N110" s="28" t="n">
        <v>0.760192</v>
      </c>
      <c r="O110" s="28" t="n">
        <v>0.61455</v>
      </c>
      <c r="P110" s="28" t="n"/>
      <c r="Q110" s="28" t="n">
        <v>-0.145642</v>
      </c>
      <c r="R110" s="26" t="n">
        <v>0</v>
      </c>
      <c r="S110" s="29" t="n">
        <v>1.75</v>
      </c>
      <c r="T110" s="24" t="inlineStr">
        <is>
          <t>wnba-elo-trend-lr-v4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Learned LR call at threshold 0.5001; executable ask 0.7600 (aec-wnba-chi-ny-2026-07-22).</t>
        </is>
      </c>
      <c r="AF110" s="31" t="inlineStr">
        <is>
          <t>Learned model; promotion gate not yet open; zero-unit research until review.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NO_CALL_LARGE_DISAGREEMENT_REVIEW</t>
        </is>
      </c>
      <c r="AP110" s="24" t="inlineStr">
        <is>
          <t>wnba-chi</t>
        </is>
      </c>
      <c r="AQ110" s="24" t="inlineStr">
        <is>
          <t>Chicago Sky</t>
        </is>
      </c>
      <c r="AR110" s="24" t="inlineStr">
        <is>
          <t>Chicago Sky</t>
        </is>
      </c>
      <c r="AS110" s="24" t="inlineStr">
        <is>
          <t>wnba-nyl</t>
        </is>
      </c>
      <c r="AT110" s="24" t="inlineStr">
        <is>
          <t>New York Liberty</t>
        </is>
      </c>
      <c r="AU110" s="24" t="inlineStr">
        <is>
          <t>New York Liberty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7afd5274214b58b7efd7f7febc7be3ab33b92351cda5cc6403c0a39faea0cc8c</t>
        </is>
      </c>
      <c r="BB110" s="24" t="inlineStr">
        <is>
          <t>learned_lr</t>
        </is>
      </c>
      <c r="BC110" s="24" t="inlineStr">
        <is>
          <t>wnba-elo-trend-lr-v4</t>
        </is>
      </c>
      <c r="BD110" s="24" t="inlineStr">
        <is>
          <t>7afd5274214b58b7efd7f7febc7be3ab33b92351cda5cc6403c0a39faea0cc8c</t>
        </is>
      </c>
      <c r="BE110" s="24" t="inlineStr">
        <is>
          <t>b13fc19a9d17bb09</t>
        </is>
      </c>
      <c r="BF110" s="24" t="inlineStr">
        <is>
          <t>1</t>
        </is>
      </c>
      <c r="BG110" s="24" t="inlineStr">
        <is>
          <t>wnba-elo-trend-lr-v4</t>
        </is>
      </c>
      <c r="BH110" s="24" t="inlineStr">
        <is>
          <t>2026-07-22T05:15:43.323657Z</t>
        </is>
      </c>
      <c r="BI110" s="24" t="inlineStr">
        <is>
          <t>["same_event","same_team_same_day","same_league_same_day"]</t>
        </is>
      </c>
      <c r="BJ110" s="25" t="n"/>
      <c r="BK110" s="26" t="n">
        <v>-317</v>
      </c>
      <c r="BL110" s="27" t="n">
        <v>1.315457</v>
      </c>
      <c r="BM110" s="28" t="n">
        <v>0.760192</v>
      </c>
      <c r="BN110" s="28" t="n">
        <v>0.752475</v>
      </c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</row>
    <row r="111" ht="36" customHeight="1">
      <c r="A111" s="24" t="inlineStr">
        <is>
          <t>f19789e645ed42fe</t>
        </is>
      </c>
      <c r="B111" s="24" t="inlineStr">
        <is>
          <t>2026-07-22T05:16:38.961882Z</t>
        </is>
      </c>
      <c r="C111" s="24" t="inlineStr">
        <is>
          <t>2026-07-22T19:30:00-0400</t>
        </is>
      </c>
      <c r="D111" s="24" t="inlineStr">
        <is>
          <t>401857089</t>
        </is>
      </c>
      <c r="E111" s="24" t="inlineStr">
        <is>
          <t>WNBA</t>
        </is>
      </c>
      <c r="F111" s="24" t="inlineStr">
        <is>
          <t>Las Vegas Aces</t>
        </is>
      </c>
      <c r="G111" s="24" t="inlineStr">
        <is>
          <t>Washington Mystics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-233</v>
      </c>
      <c r="M111" s="27" t="n">
        <v>1.429185</v>
      </c>
      <c r="N111" s="28" t="n">
        <v>0.6997</v>
      </c>
      <c r="O111" s="28" t="n">
        <v>0.577804</v>
      </c>
      <c r="P111" s="28" t="n"/>
      <c r="Q111" s="28" t="n">
        <v>-0.121896</v>
      </c>
      <c r="R111" s="26" t="n">
        <v>0</v>
      </c>
      <c r="S111" s="29" t="n">
        <v>1.25</v>
      </c>
      <c r="T111" s="24" t="inlineStr">
        <is>
          <t>wnba-elo-trend-lr-v4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Learned LR call at threshold 0.5001; executable ask 0.7000 (aec-wnba-lv-wsh-2026-07-22).</t>
        </is>
      </c>
      <c r="AF111" s="31" t="inlineStr">
        <is>
          <t>Learned model; promotion gate not yet open; zero-unit research until review.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NO_CALL_LARGE_DISAGREEMENT_REVIEW</t>
        </is>
      </c>
      <c r="AP111" s="24" t="inlineStr">
        <is>
          <t>wnba-lva</t>
        </is>
      </c>
      <c r="AQ111" s="24" t="inlineStr">
        <is>
          <t>Las Vegas Aces</t>
        </is>
      </c>
      <c r="AR111" s="24" t="inlineStr">
        <is>
          <t>Las Vegas Aces</t>
        </is>
      </c>
      <c r="AS111" s="24" t="inlineStr">
        <is>
          <t>wnba-was</t>
        </is>
      </c>
      <c r="AT111" s="24" t="inlineStr">
        <is>
          <t>Washington Mystics</t>
        </is>
      </c>
      <c r="AU111" s="24" t="inlineStr">
        <is>
          <t>Washington Mystics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7afd5274214b58b7efd7f7febc7be3ab33b92351cda5cc6403c0a39faea0cc8c</t>
        </is>
      </c>
      <c r="BB111" s="24" t="inlineStr">
        <is>
          <t>learned_lr</t>
        </is>
      </c>
      <c r="BC111" s="24" t="inlineStr">
        <is>
          <t>wnba-elo-trend-lr-v4</t>
        </is>
      </c>
      <c r="BD111" s="24" t="inlineStr">
        <is>
          <t>7afd5274214b58b7efd7f7febc7be3ab33b92351cda5cc6403c0a39faea0cc8c</t>
        </is>
      </c>
      <c r="BE111" s="24" t="inlineStr">
        <is>
          <t>6a72fbb8276e803a</t>
        </is>
      </c>
      <c r="BF111" s="24" t="inlineStr">
        <is>
          <t>1</t>
        </is>
      </c>
      <c r="BG111" s="24" t="inlineStr">
        <is>
          <t>wnba-elo-trend-lr-v4</t>
        </is>
      </c>
      <c r="BH111" s="24" t="inlineStr">
        <is>
          <t>2026-07-22T05:15:44.349117Z</t>
        </is>
      </c>
      <c r="BI111" s="24" t="inlineStr">
        <is>
          <t>["same_event","same_team_same_day","same_league_same_day"]</t>
        </is>
      </c>
      <c r="BJ111" s="25" t="n"/>
      <c r="BK111" s="26" t="n">
        <v>-233</v>
      </c>
      <c r="BL111" s="27" t="n">
        <v>1.429185</v>
      </c>
      <c r="BM111" s="28" t="n">
        <v>0.6997</v>
      </c>
      <c r="BN111" s="28" t="n">
        <v>0.693069</v>
      </c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</row>
    <row r="112" ht="36" customHeight="1">
      <c r="A112" s="24" t="inlineStr">
        <is>
          <t>6bb1f243f9d441f7</t>
        </is>
      </c>
      <c r="B112" s="24" t="inlineStr">
        <is>
          <t>2026-07-22T05:16:38.961882Z</t>
        </is>
      </c>
      <c r="C112" s="24" t="inlineStr">
        <is>
          <t>2026-07-22T20:00:00-0400</t>
        </is>
      </c>
      <c r="D112" s="24" t="inlineStr">
        <is>
          <t>401857090</t>
        </is>
      </c>
      <c r="E112" s="24" t="inlineStr">
        <is>
          <t>WNBA</t>
        </is>
      </c>
      <c r="F112" s="24" t="inlineStr">
        <is>
          <t>Connecticut Sun</t>
        </is>
      </c>
      <c r="G112" s="24" t="inlineStr">
        <is>
          <t>Indiana Fever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-400</v>
      </c>
      <c r="M112" s="27" t="n">
        <v>1.25</v>
      </c>
      <c r="N112" s="28" t="n">
        <v>0.8</v>
      </c>
      <c r="O112" s="28" t="n">
        <v>0.74864</v>
      </c>
      <c r="P112" s="28" t="n"/>
      <c r="Q112" s="28" t="n">
        <v>-0.05136</v>
      </c>
      <c r="R112" s="26" t="n">
        <v>0</v>
      </c>
      <c r="S112" s="29" t="n">
        <v>2</v>
      </c>
      <c r="T112" s="24" t="inlineStr">
        <is>
          <t>wnba-elo-trend-lr-v4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Learned LR call at threshold 0.5001; executable ask 0.8000 (aec-wnba-conn-ind-2026-07-22).</t>
        </is>
      </c>
      <c r="AF112" s="31" t="inlineStr">
        <is>
          <t>Learned model; promotion gate not yet open; zero-unit research until review.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wnba-con</t>
        </is>
      </c>
      <c r="AQ112" s="24" t="inlineStr">
        <is>
          <t>Connecticut Sun</t>
        </is>
      </c>
      <c r="AR112" s="24" t="inlineStr">
        <is>
          <t>Connecticut Sun</t>
        </is>
      </c>
      <c r="AS112" s="24" t="inlineStr">
        <is>
          <t>wnba-ind</t>
        </is>
      </c>
      <c r="AT112" s="24" t="inlineStr">
        <is>
          <t>Indiana Fever</t>
        </is>
      </c>
      <c r="AU112" s="24" t="inlineStr">
        <is>
          <t>Indiana Fever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7afd5274214b58b7efd7f7febc7be3ab33b92351cda5cc6403c0a39faea0cc8c</t>
        </is>
      </c>
      <c r="BB112" s="24" t="inlineStr">
        <is>
          <t>learned_lr</t>
        </is>
      </c>
      <c r="BC112" s="24" t="inlineStr">
        <is>
          <t>wnba-elo-trend-lr-v4</t>
        </is>
      </c>
      <c r="BD112" s="24" t="inlineStr">
        <is>
          <t>7afd5274214b58b7efd7f7febc7be3ab33b92351cda5cc6403c0a39faea0cc8c</t>
        </is>
      </c>
      <c r="BE112" s="24" t="inlineStr">
        <is>
          <t>8c0d6eee02b48cfb</t>
        </is>
      </c>
      <c r="BF112" s="24" t="inlineStr">
        <is>
          <t>1</t>
        </is>
      </c>
      <c r="BG112" s="24" t="inlineStr">
        <is>
          <t>wnba-elo-trend-lr-v4</t>
        </is>
      </c>
      <c r="BH112" s="24" t="inlineStr">
        <is>
          <t>2026-07-22T05:15:46.578897Z</t>
        </is>
      </c>
      <c r="BI112" s="24" t="inlineStr">
        <is>
          <t>["same_event","same_team_same_day","same_league_same_day"]</t>
        </is>
      </c>
      <c r="BJ112" s="25" t="n"/>
      <c r="BK112" s="26" t="n">
        <v>-400</v>
      </c>
      <c r="BL112" s="27" t="n">
        <v>1.25</v>
      </c>
      <c r="BM112" s="28" t="n">
        <v>0.8</v>
      </c>
      <c r="BN112" s="28" t="n">
        <v>0.792079</v>
      </c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</row>
    <row r="113" ht="36" customHeight="1">
      <c r="A113" s="24" t="inlineStr">
        <is>
          <t>d5eff2e71a884fac</t>
        </is>
      </c>
      <c r="B113" s="24" t="inlineStr">
        <is>
          <t>2026-07-22T05:16:38.961882Z</t>
        </is>
      </c>
      <c r="C113" s="24" t="inlineStr">
        <is>
          <t>2026-07-22T22:00:00-0400</t>
        </is>
      </c>
      <c r="D113" s="24" t="inlineStr">
        <is>
          <t>401857091</t>
        </is>
      </c>
      <c r="E113" s="24" t="inlineStr">
        <is>
          <t>WNBA</t>
        </is>
      </c>
      <c r="F113" s="24" t="inlineStr">
        <is>
          <t>Dallas Wings</t>
        </is>
      </c>
      <c r="G113" s="24" t="inlineStr">
        <is>
          <t>Portland Fire</t>
        </is>
      </c>
      <c r="H113" s="24" t="inlineStr">
        <is>
          <t>moneyline</t>
        </is>
      </c>
      <c r="I113" s="24" t="inlineStr">
        <is>
          <t>away</t>
        </is>
      </c>
      <c r="J113" s="25" t="n"/>
      <c r="K113" s="24" t="inlineStr">
        <is>
          <t>polymarket_us</t>
        </is>
      </c>
      <c r="L113" s="26" t="n">
        <v>-213</v>
      </c>
      <c r="M113" s="27" t="n">
        <v>1.469484</v>
      </c>
      <c r="N113" s="28" t="n">
        <v>0.680511</v>
      </c>
      <c r="O113" s="28" t="n">
        <v>0.614249</v>
      </c>
      <c r="P113" s="28" t="n"/>
      <c r="Q113" s="28" t="n">
        <v>-0.066262</v>
      </c>
      <c r="R113" s="26" t="n">
        <v>0</v>
      </c>
      <c r="S113" s="29" t="n">
        <v>1.75</v>
      </c>
      <c r="T113" s="24" t="inlineStr">
        <is>
          <t>wnba-elo-trend-lr-v4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Learned LR call at threshold 0.5001; executable ask 0.6800 (aec-wnba-dal-por-2026-07-22).</t>
        </is>
      </c>
      <c r="AF113" s="31" t="inlineStr">
        <is>
          <t>Learned model; promotion gate not yet open; zero-unit research until review.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wnba-dal</t>
        </is>
      </c>
      <c r="AQ113" s="24" t="inlineStr">
        <is>
          <t>Dallas Wings</t>
        </is>
      </c>
      <c r="AR113" s="24" t="inlineStr">
        <is>
          <t>Dallas Wings</t>
        </is>
      </c>
      <c r="AS113" s="24" t="inlineStr">
        <is>
          <t>wnba-por</t>
        </is>
      </c>
      <c r="AT113" s="24" t="inlineStr">
        <is>
          <t>Portland Fire</t>
        </is>
      </c>
      <c r="AU113" s="24" t="inlineStr">
        <is>
          <t>Portland Fire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7afd5274214b58b7efd7f7febc7be3ab33b92351cda5cc6403c0a39faea0cc8c</t>
        </is>
      </c>
      <c r="BB113" s="24" t="inlineStr">
        <is>
          <t>learned_lr</t>
        </is>
      </c>
      <c r="BC113" s="24" t="inlineStr">
        <is>
          <t>wnba-elo-trend-lr-v4</t>
        </is>
      </c>
      <c r="BD113" s="24" t="inlineStr">
        <is>
          <t>7afd5274214b58b7efd7f7febc7be3ab33b92351cda5cc6403c0a39faea0cc8c</t>
        </is>
      </c>
      <c r="BE113" s="24" t="inlineStr">
        <is>
          <t>f97350d4d81b330d</t>
        </is>
      </c>
      <c r="BF113" s="24" t="inlineStr">
        <is>
          <t>1</t>
        </is>
      </c>
      <c r="BG113" s="24" t="inlineStr">
        <is>
          <t>wnba-elo-trend-lr-v4</t>
        </is>
      </c>
      <c r="BH113" s="24" t="inlineStr">
        <is>
          <t>2026-07-22T05:15:47.716256Z</t>
        </is>
      </c>
      <c r="BI113" s="24" t="inlineStr">
        <is>
          <t>["same_event","same_team_same_day","same_league_same_day"]</t>
        </is>
      </c>
      <c r="BJ113" s="25" t="n"/>
      <c r="BK113" s="26" t="n">
        <v>-213</v>
      </c>
      <c r="BL113" s="27" t="n">
        <v>1.469484</v>
      </c>
      <c r="BM113" s="28" t="n">
        <v>0.680511</v>
      </c>
      <c r="BN113" s="28" t="n">
        <v>0.6732669999999999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</row>
    <row r="114" ht="36" customHeight="1">
      <c r="A114" s="24" t="inlineStr">
        <is>
          <t>4901d34aa34e4eec</t>
        </is>
      </c>
      <c r="B114" s="24" t="inlineStr">
        <is>
          <t>2026-07-22T05:16:51.311842Z</t>
        </is>
      </c>
      <c r="C114" s="24" t="inlineStr">
        <is>
          <t>2026-07-22T14:10:00-0400</t>
        </is>
      </c>
      <c r="D114" s="24" t="inlineStr">
        <is>
          <t>401816225</t>
        </is>
      </c>
      <c r="E114" s="24" t="inlineStr">
        <is>
          <t>MLB</t>
        </is>
      </c>
      <c r="F114" s="24" t="inlineStr">
        <is>
          <t>New York Mets</t>
        </is>
      </c>
      <c r="G114" s="24" t="inlineStr">
        <is>
          <t>Milwaukee Brewers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-138</v>
      </c>
      <c r="M114" s="27" t="n">
        <v>1.724638</v>
      </c>
      <c r="N114" s="28" t="n">
        <v>0.579832</v>
      </c>
      <c r="O114" s="28" t="n">
        <v>0.659782</v>
      </c>
      <c r="P114" s="28" t="n"/>
      <c r="Q114" s="28" t="n">
        <v>0.07994999999999999</v>
      </c>
      <c r="R114" s="26" t="n">
        <v>60</v>
      </c>
      <c r="S114" s="29" t="n">
        <v>2</v>
      </c>
      <c r="T114" s="24" t="inlineStr">
        <is>
          <t>mlb-elo-trend-lr-v5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Learned LR call at threshold 0.5998; executable ask 0.5800 (aec-mlb-nym-mil-2026-07-22).</t>
        </is>
      </c>
      <c r="AF114" s="31" t="inlineStr">
        <is>
          <t>Learned model; promotion gate not yet open; zero-unit research until review.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mlb-nym</t>
        </is>
      </c>
      <c r="AQ114" s="24" t="inlineStr">
        <is>
          <t>New York Mets</t>
        </is>
      </c>
      <c r="AR114" s="24" t="inlineStr">
        <is>
          <t>New York Mets</t>
        </is>
      </c>
      <c r="AS114" s="24" t="inlineStr">
        <is>
          <t>mlb-mil</t>
        </is>
      </c>
      <c r="AT114" s="24" t="inlineStr">
        <is>
          <t>Milwaukee Brewers</t>
        </is>
      </c>
      <c r="AU114" s="24" t="inlineStr">
        <is>
          <t>Milwaukee Brewers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bb6331f9ae39a7346e90a5f33f6b4e07168a5805b49be25c6e6134d413c081de</t>
        </is>
      </c>
      <c r="BB114" s="24" t="inlineStr">
        <is>
          <t>learned_lr</t>
        </is>
      </c>
      <c r="BC114" s="24" t="inlineStr">
        <is>
          <t>mlb-elo-trend-lr-v5</t>
        </is>
      </c>
      <c r="BD114" s="24" t="inlineStr">
        <is>
          <t>bb6331f9ae39a7346e90a5f33f6b4e07168a5805b49be25c6e6134d413c081de</t>
        </is>
      </c>
      <c r="BE114" s="24" t="inlineStr">
        <is>
          <t>040d74b8467fee0f</t>
        </is>
      </c>
      <c r="BF114" s="24" t="inlineStr">
        <is>
          <t>1</t>
        </is>
      </c>
      <c r="BG114" s="24" t="inlineStr">
        <is>
          <t>mlb-elo-trend-lr-v5</t>
        </is>
      </c>
      <c r="BH114" s="24" t="inlineStr">
        <is>
          <t>2026-07-22T05:15:16.419329Z</t>
        </is>
      </c>
      <c r="BI114" s="24" t="inlineStr">
        <is>
          <t>["same_event","same_team_same_day","same_league_same_day"]</t>
        </is>
      </c>
      <c r="BJ114" s="25" t="n"/>
      <c r="BK114" s="26" t="n">
        <v>-138</v>
      </c>
      <c r="BL114" s="27" t="n">
        <v>1.724638</v>
      </c>
      <c r="BM114" s="28" t="n">
        <v>0.579832</v>
      </c>
      <c r="BN114" s="28" t="n">
        <v>0.577114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</row>
    <row r="115" ht="36" customHeight="1">
      <c r="A115" s="24" t="inlineStr">
        <is>
          <t>e4e6e2bca0434be6</t>
        </is>
      </c>
      <c r="B115" s="24" t="inlineStr">
        <is>
          <t>2026-07-22T05:16:51.311842Z</t>
        </is>
      </c>
      <c r="C115" s="24" t="inlineStr">
        <is>
          <t>2026-07-22T14:10:00-0400</t>
        </is>
      </c>
      <c r="D115" s="24" t="inlineStr">
        <is>
          <t>401816226</t>
        </is>
      </c>
      <c r="E115" s="24" t="inlineStr">
        <is>
          <t>MLB</t>
        </is>
      </c>
      <c r="F115" s="24" t="inlineStr">
        <is>
          <t>San Francisco Giants</t>
        </is>
      </c>
      <c r="G115" s="24" t="inlineStr">
        <is>
          <t>Kansas City Royals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108</v>
      </c>
      <c r="M115" s="27" t="n">
        <v>2.08</v>
      </c>
      <c r="N115" s="28" t="n">
        <v>0.480769</v>
      </c>
      <c r="O115" s="28" t="n">
        <v>0.536487</v>
      </c>
      <c r="P115" s="28" t="n"/>
      <c r="Q115" s="28" t="n">
        <v>0.055718</v>
      </c>
      <c r="R115" s="26" t="n">
        <v>48</v>
      </c>
      <c r="S115" s="29" t="n">
        <v>0.75</v>
      </c>
      <c r="T115" s="24" t="inlineStr">
        <is>
          <t>mlb-elo-trend-lr-v5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Learned LR call at threshold 0.5998; executable ask 0.4800 (aec-mlb-sf-kc-2026-07-22).</t>
        </is>
      </c>
      <c r="AF115" s="31" t="inlineStr">
        <is>
          <t>Learned model; promotion gate not yet open; zero-unit research until review.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mlb-sf</t>
        </is>
      </c>
      <c r="AQ115" s="24" t="inlineStr">
        <is>
          <t>San Francisco Giants</t>
        </is>
      </c>
      <c r="AR115" s="24" t="inlineStr">
        <is>
          <t>San Francisco Giants</t>
        </is>
      </c>
      <c r="AS115" s="24" t="inlineStr">
        <is>
          <t>mlb-kc</t>
        </is>
      </c>
      <c r="AT115" s="24" t="inlineStr">
        <is>
          <t>Kansas City Royals</t>
        </is>
      </c>
      <c r="AU115" s="24" t="inlineStr">
        <is>
          <t>Kansas City Royals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bb6331f9ae39a7346e90a5f33f6b4e07168a5805b49be25c6e6134d413c081de</t>
        </is>
      </c>
      <c r="BB115" s="24" t="inlineStr">
        <is>
          <t>learned_lr</t>
        </is>
      </c>
      <c r="BC115" s="24" t="inlineStr">
        <is>
          <t>mlb-elo-trend-lr-v5</t>
        </is>
      </c>
      <c r="BD115" s="24" t="inlineStr">
        <is>
          <t>bb6331f9ae39a7346e90a5f33f6b4e07168a5805b49be25c6e6134d413c081de</t>
        </is>
      </c>
      <c r="BE115" s="24" t="inlineStr">
        <is>
          <t>43b8d3b9460e78bb</t>
        </is>
      </c>
      <c r="BF115" s="24" t="inlineStr">
        <is>
          <t>1</t>
        </is>
      </c>
      <c r="BG115" s="24" t="inlineStr">
        <is>
          <t>mlb-elo-trend-lr-v5</t>
        </is>
      </c>
      <c r="BH115" s="24" t="inlineStr">
        <is>
          <t>2026-07-22T05:15:17.992482Z</t>
        </is>
      </c>
      <c r="BI115" s="24" t="inlineStr">
        <is>
          <t>["same_event","same_team_same_day","same_league_same_day"]</t>
        </is>
      </c>
      <c r="BJ115" s="25" t="n"/>
      <c r="BK115" s="26" t="n">
        <v>108</v>
      </c>
      <c r="BL115" s="27" t="n">
        <v>2.08</v>
      </c>
      <c r="BM115" s="28" t="n">
        <v>0.480769</v>
      </c>
      <c r="BN115" s="28" t="n">
        <v>0.477612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</row>
    <row r="116" ht="36" customHeight="1">
      <c r="A116" s="24" t="inlineStr">
        <is>
          <t>88f96bd269024674</t>
        </is>
      </c>
      <c r="B116" s="24" t="inlineStr">
        <is>
          <t>2026-07-22T05:16:51.311842Z</t>
        </is>
      </c>
      <c r="C116" s="24" t="inlineStr">
        <is>
          <t>2026-07-22T15:10:00-0400</t>
        </is>
      </c>
      <c r="D116" s="24" t="inlineStr">
        <is>
          <t>401816227</t>
        </is>
      </c>
      <c r="E116" s="24" t="inlineStr">
        <is>
          <t>MLB</t>
        </is>
      </c>
      <c r="F116" s="24" t="inlineStr">
        <is>
          <t>Washington Nationals</t>
        </is>
      </c>
      <c r="G116" s="24" t="inlineStr">
        <is>
          <t>Colorado Rockies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-125</v>
      </c>
      <c r="M116" s="27" t="n">
        <v>1.8</v>
      </c>
      <c r="N116" s="28" t="n">
        <v>0.555556</v>
      </c>
      <c r="O116" s="28" t="n">
        <v>0.582201</v>
      </c>
      <c r="P116" s="28" t="n"/>
      <c r="Q116" s="28" t="n">
        <v>0.026645</v>
      </c>
      <c r="R116" s="26" t="n">
        <v>33</v>
      </c>
      <c r="S116" s="29" t="n">
        <v>1.25</v>
      </c>
      <c r="T116" s="24" t="inlineStr">
        <is>
          <t>mlb-elo-trend-lr-v5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Learned LR call at threshold 0.5998; executable ask 0.5550 (aec-mlb-wsh-col-2026-07-22).</t>
        </is>
      </c>
      <c r="AF116" s="31" t="inlineStr">
        <is>
          <t>Learned model; promotion gate not yet open; zero-unit research until review.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mlb-wsh</t>
        </is>
      </c>
      <c r="AQ116" s="24" t="inlineStr">
        <is>
          <t>Washington Nationals</t>
        </is>
      </c>
      <c r="AR116" s="24" t="inlineStr">
        <is>
          <t>Washington Nationals</t>
        </is>
      </c>
      <c r="AS116" s="24" t="inlineStr">
        <is>
          <t>mlb-col</t>
        </is>
      </c>
      <c r="AT116" s="24" t="inlineStr">
        <is>
          <t>Colorado Rockies</t>
        </is>
      </c>
      <c r="AU116" s="24" t="inlineStr">
        <is>
          <t>Colorado Rockies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bb6331f9ae39a7346e90a5f33f6b4e07168a5805b49be25c6e6134d413c081de</t>
        </is>
      </c>
      <c r="BB116" s="24" t="inlineStr">
        <is>
          <t>learned_lr</t>
        </is>
      </c>
      <c r="BC116" s="24" t="inlineStr">
        <is>
          <t>mlb-elo-trend-lr-v5</t>
        </is>
      </c>
      <c r="BD116" s="24" t="inlineStr">
        <is>
          <t>bb6331f9ae39a7346e90a5f33f6b4e07168a5805b49be25c6e6134d413c081de</t>
        </is>
      </c>
      <c r="BE116" s="24" t="inlineStr">
        <is>
          <t>960549af203ec676</t>
        </is>
      </c>
      <c r="BF116" s="24" t="inlineStr">
        <is>
          <t>1</t>
        </is>
      </c>
      <c r="BG116" s="24" t="inlineStr">
        <is>
          <t>mlb-elo-trend-lr-v5</t>
        </is>
      </c>
      <c r="BH116" s="24" t="inlineStr">
        <is>
          <t>2026-07-22T05:15:19.553900Z</t>
        </is>
      </c>
      <c r="BI116" s="24" t="inlineStr">
        <is>
          <t>["same_event","same_team_same_day","same_league_same_day"]</t>
        </is>
      </c>
      <c r="BJ116" s="25" t="n"/>
      <c r="BK116" s="26" t="n">
        <v>-125</v>
      </c>
      <c r="BL116" s="27" t="n">
        <v>1.8</v>
      </c>
      <c r="BM116" s="28" t="n">
        <v>0.555556</v>
      </c>
      <c r="BN116" s="28" t="n">
        <v>0.552239</v>
      </c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</row>
    <row r="117" ht="36" customHeight="1">
      <c r="A117" s="24" t="inlineStr">
        <is>
          <t>bc59f6161a554881</t>
        </is>
      </c>
      <c r="B117" s="24" t="inlineStr">
        <is>
          <t>2026-07-22T05:16:51.311842Z</t>
        </is>
      </c>
      <c r="C117" s="24" t="inlineStr">
        <is>
          <t>2026-07-22T15:40:00-0400</t>
        </is>
      </c>
      <c r="D117" s="24" t="inlineStr">
        <is>
          <t>401816228</t>
        </is>
      </c>
      <c r="E117" s="24" t="inlineStr">
        <is>
          <t>MLB</t>
        </is>
      </c>
      <c r="F117" s="24" t="inlineStr">
        <is>
          <t>Athletics</t>
        </is>
      </c>
      <c r="G117" s="24" t="inlineStr">
        <is>
          <t>Arizona Diamondbacks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-111</v>
      </c>
      <c r="M117" s="27" t="n">
        <v>1.900901</v>
      </c>
      <c r="N117" s="28" t="n">
        <v>0.526066</v>
      </c>
      <c r="O117" s="28" t="n">
        <v>0.567213</v>
      </c>
      <c r="P117" s="28" t="n"/>
      <c r="Q117" s="28" t="n">
        <v>0.041147</v>
      </c>
      <c r="R117" s="26" t="n">
        <v>41</v>
      </c>
      <c r="S117" s="29" t="n">
        <v>1.25</v>
      </c>
      <c r="T117" s="24" t="inlineStr">
        <is>
          <t>mlb-elo-trend-lr-v5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Learned LR call at threshold 0.5998; executable ask 0.5250 (aec-mlb-ath-az-2026-07-22).</t>
        </is>
      </c>
      <c r="AF117" s="31" t="inlineStr">
        <is>
          <t>Learned model; promotion gate not yet open; zero-unit research until review.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mlb-ath</t>
        </is>
      </c>
      <c r="AQ117" s="24" t="inlineStr">
        <is>
          <t>Athletics</t>
        </is>
      </c>
      <c r="AR117" s="24" t="inlineStr">
        <is>
          <t>Athletics</t>
        </is>
      </c>
      <c r="AS117" s="24" t="inlineStr">
        <is>
          <t>mlb-ari</t>
        </is>
      </c>
      <c r="AT117" s="24" t="inlineStr">
        <is>
          <t>Arizona Diamondbacks</t>
        </is>
      </c>
      <c r="AU117" s="24" t="inlineStr">
        <is>
          <t>Arizona Diamondbacks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bb6331f9ae39a7346e90a5f33f6b4e07168a5805b49be25c6e6134d413c081de</t>
        </is>
      </c>
      <c r="BB117" s="24" t="inlineStr">
        <is>
          <t>learned_lr</t>
        </is>
      </c>
      <c r="BC117" s="24" t="inlineStr">
        <is>
          <t>mlb-elo-trend-lr-v5</t>
        </is>
      </c>
      <c r="BD117" s="24" t="inlineStr">
        <is>
          <t>bb6331f9ae39a7346e90a5f33f6b4e07168a5805b49be25c6e6134d413c081de</t>
        </is>
      </c>
      <c r="BE117" s="24" t="inlineStr">
        <is>
          <t>242ff1fbdbcd8c5d</t>
        </is>
      </c>
      <c r="BF117" s="24" t="inlineStr">
        <is>
          <t>1</t>
        </is>
      </c>
      <c r="BG117" s="24" t="inlineStr">
        <is>
          <t>mlb-elo-trend-lr-v5</t>
        </is>
      </c>
      <c r="BH117" s="24" t="inlineStr">
        <is>
          <t>2026-07-22T05:15:21.160744Z</t>
        </is>
      </c>
      <c r="BI117" s="24" t="inlineStr">
        <is>
          <t>["same_event","same_team_same_day","same_league_same_day"]</t>
        </is>
      </c>
      <c r="BJ117" s="25" t="n"/>
      <c r="BK117" s="26" t="n">
        <v>-111</v>
      </c>
      <c r="BL117" s="27" t="n">
        <v>1.900901</v>
      </c>
      <c r="BM117" s="28" t="n">
        <v>0.526066</v>
      </c>
      <c r="BN117" s="28" t="n">
        <v>0.522388</v>
      </c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</row>
    <row r="118" ht="36" customHeight="1">
      <c r="A118" s="24" t="inlineStr">
        <is>
          <t>f540434db3a04178</t>
        </is>
      </c>
      <c r="B118" s="24" t="inlineStr">
        <is>
          <t>2026-07-22T05:16:51.311842Z</t>
        </is>
      </c>
      <c r="C118" s="24" t="inlineStr">
        <is>
          <t>2026-07-22T15:40:00-0400</t>
        </is>
      </c>
      <c r="D118" s="24" t="inlineStr">
        <is>
          <t>401816229</t>
        </is>
      </c>
      <c r="E118" s="24" t="inlineStr">
        <is>
          <t>MLB</t>
        </is>
      </c>
      <c r="F118" s="24" t="inlineStr">
        <is>
          <t>Cincinnati Reds</t>
        </is>
      </c>
      <c r="G118" s="24" t="inlineStr">
        <is>
          <t>Seattle Mariners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-141</v>
      </c>
      <c r="M118" s="27" t="n">
        <v>1.70922</v>
      </c>
      <c r="N118" s="28" t="n">
        <v>0.585062</v>
      </c>
      <c r="O118" s="28" t="n">
        <v>0.575998</v>
      </c>
      <c r="P118" s="28" t="n"/>
      <c r="Q118" s="28" t="n">
        <v>-0.009063999999999999</v>
      </c>
      <c r="R118" s="26" t="n">
        <v>15</v>
      </c>
      <c r="S118" s="29" t="n">
        <v>1.25</v>
      </c>
      <c r="T118" s="24" t="inlineStr">
        <is>
          <t>mlb-elo-trend-lr-v5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Learned LR call at threshold 0.5998; executable ask 0.5850 (aec-mlb-cin-sea-2026-07-22).</t>
        </is>
      </c>
      <c r="AF118" s="31" t="inlineStr">
        <is>
          <t>Learned model; promotion gate not yet open; zero-unit research until review.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mlb-cin</t>
        </is>
      </c>
      <c r="AQ118" s="24" t="inlineStr">
        <is>
          <t>Cincinnati Reds</t>
        </is>
      </c>
      <c r="AR118" s="24" t="inlineStr">
        <is>
          <t>Cincinnati Reds</t>
        </is>
      </c>
      <c r="AS118" s="24" t="inlineStr">
        <is>
          <t>mlb-sea</t>
        </is>
      </c>
      <c r="AT118" s="24" t="inlineStr">
        <is>
          <t>Seattle Mariners</t>
        </is>
      </c>
      <c r="AU118" s="24" t="inlineStr">
        <is>
          <t>Seattle Mariners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bb6331f9ae39a7346e90a5f33f6b4e07168a5805b49be25c6e6134d413c081de</t>
        </is>
      </c>
      <c r="BB118" s="24" t="inlineStr">
        <is>
          <t>learned_lr</t>
        </is>
      </c>
      <c r="BC118" s="24" t="inlineStr">
        <is>
          <t>mlb-elo-trend-lr-v5</t>
        </is>
      </c>
      <c r="BD118" s="24" t="inlineStr">
        <is>
          <t>bb6331f9ae39a7346e90a5f33f6b4e07168a5805b49be25c6e6134d413c081de</t>
        </is>
      </c>
      <c r="BE118" s="24" t="inlineStr">
        <is>
          <t>32921750b3e5ccf3</t>
        </is>
      </c>
      <c r="BF118" s="24" t="inlineStr">
        <is>
          <t>1</t>
        </is>
      </c>
      <c r="BG118" s="24" t="inlineStr">
        <is>
          <t>mlb-elo-trend-lr-v5</t>
        </is>
      </c>
      <c r="BH118" s="24" t="inlineStr">
        <is>
          <t>2026-07-22T05:15:22.757209Z</t>
        </is>
      </c>
      <c r="BI118" s="24" t="inlineStr">
        <is>
          <t>["same_event","same_team_same_day","same_league_same_day"]</t>
        </is>
      </c>
      <c r="BJ118" s="25" t="n"/>
      <c r="BK118" s="26" t="n">
        <v>-141</v>
      </c>
      <c r="BL118" s="27" t="n">
        <v>1.70922</v>
      </c>
      <c r="BM118" s="28" t="n">
        <v>0.585062</v>
      </c>
      <c r="BN118" s="28" t="n">
        <v>0.58209</v>
      </c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</row>
    <row r="119" ht="36" customHeight="1">
      <c r="A119" s="24" t="inlineStr">
        <is>
          <t>dca0731b48524fd1</t>
        </is>
      </c>
      <c r="B119" s="24" t="inlineStr">
        <is>
          <t>2026-07-22T05:16:51.311842Z</t>
        </is>
      </c>
      <c r="C119" s="24" t="inlineStr">
        <is>
          <t>2026-07-22T16:07:00-0400</t>
        </is>
      </c>
      <c r="D119" s="24" t="inlineStr">
        <is>
          <t>401816230</t>
        </is>
      </c>
      <c r="E119" s="24" t="inlineStr">
        <is>
          <t>MLB</t>
        </is>
      </c>
      <c r="F119" s="24" t="inlineStr">
        <is>
          <t>St. Louis Cardinals</t>
        </is>
      </c>
      <c r="G119" s="24" t="inlineStr">
        <is>
          <t>Los Angeles Angels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108</v>
      </c>
      <c r="M119" s="27" t="n">
        <v>2.08</v>
      </c>
      <c r="N119" s="28" t="n">
        <v>0.480769</v>
      </c>
      <c r="O119" s="28" t="n">
        <v>0.541133</v>
      </c>
      <c r="P119" s="28" t="n"/>
      <c r="Q119" s="28" t="n">
        <v>0.060364</v>
      </c>
      <c r="R119" s="26" t="n">
        <v>50</v>
      </c>
      <c r="S119" s="29" t="n">
        <v>1</v>
      </c>
      <c r="T119" s="24" t="inlineStr">
        <is>
          <t>mlb-elo-trend-lr-v5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Learned LR call at threshold 0.5998; executable ask 0.4800 (aec-mlb-stl-laa-2026-07-22).</t>
        </is>
      </c>
      <c r="AF119" s="31" t="inlineStr">
        <is>
          <t>Learned model; promotion gate not yet open; zero-unit research until review.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NO_CALL_LOW_EDGE</t>
        </is>
      </c>
      <c r="AP119" s="24" t="inlineStr">
        <is>
          <t>mlb-stl</t>
        </is>
      </c>
      <c r="AQ119" s="24" t="inlineStr">
        <is>
          <t>St. Louis Cardinals</t>
        </is>
      </c>
      <c r="AR119" s="24" t="inlineStr">
        <is>
          <t>St. Louis Cardinals</t>
        </is>
      </c>
      <c r="AS119" s="24" t="inlineStr">
        <is>
          <t>mlb-laa</t>
        </is>
      </c>
      <c r="AT119" s="24" t="inlineStr">
        <is>
          <t>Los Angeles Angels</t>
        </is>
      </c>
      <c r="AU119" s="24" t="inlineStr">
        <is>
          <t>Los Angeles Angels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bb6331f9ae39a7346e90a5f33f6b4e07168a5805b49be25c6e6134d413c081de</t>
        </is>
      </c>
      <c r="BB119" s="24" t="inlineStr">
        <is>
          <t>learned_lr</t>
        </is>
      </c>
      <c r="BC119" s="24" t="inlineStr">
        <is>
          <t>mlb-elo-trend-lr-v5</t>
        </is>
      </c>
      <c r="BD119" s="24" t="inlineStr">
        <is>
          <t>bb6331f9ae39a7346e90a5f33f6b4e07168a5805b49be25c6e6134d413c081de</t>
        </is>
      </c>
      <c r="BE119" s="24" t="inlineStr">
        <is>
          <t>93d479bfbaf74f9f</t>
        </is>
      </c>
      <c r="BF119" s="24" t="inlineStr">
        <is>
          <t>1</t>
        </is>
      </c>
      <c r="BG119" s="24" t="inlineStr">
        <is>
          <t>mlb-elo-trend-lr-v5</t>
        </is>
      </c>
      <c r="BH119" s="24" t="inlineStr">
        <is>
          <t>2026-07-22T05:15:24.036482Z</t>
        </is>
      </c>
      <c r="BI119" s="24" t="inlineStr">
        <is>
          <t>["same_event","same_team_same_day","same_league_same_day"]</t>
        </is>
      </c>
      <c r="BJ119" s="25" t="n"/>
      <c r="BK119" s="26" t="n">
        <v>108</v>
      </c>
      <c r="BL119" s="27" t="n">
        <v>2.08</v>
      </c>
      <c r="BM119" s="28" t="n">
        <v>0.480769</v>
      </c>
      <c r="BN119" s="28" t="n">
        <v>0.477612</v>
      </c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</row>
    <row r="120" ht="36" customHeight="1">
      <c r="A120" s="24" t="inlineStr">
        <is>
          <t>31056c3df290407d</t>
        </is>
      </c>
      <c r="B120" s="24" t="inlineStr">
        <is>
          <t>2026-07-22T05:16:51.311842Z</t>
        </is>
      </c>
      <c r="C120" s="24" t="inlineStr">
        <is>
          <t>2026-07-22T18:40:00-0400</t>
        </is>
      </c>
      <c r="D120" s="24" t="inlineStr">
        <is>
          <t>401816217</t>
        </is>
      </c>
      <c r="E120" s="24" t="inlineStr">
        <is>
          <t>MLB</t>
        </is>
      </c>
      <c r="F120" s="24" t="inlineStr">
        <is>
          <t>Los Angeles Dodgers</t>
        </is>
      </c>
      <c r="G120" s="24" t="inlineStr">
        <is>
          <t>Philadelphia Phillies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-106</v>
      </c>
      <c r="M120" s="27" t="n">
        <v>1.943396</v>
      </c>
      <c r="N120" s="28" t="n">
        <v>0.514563</v>
      </c>
      <c r="O120" s="28" t="n">
        <v>0.524041</v>
      </c>
      <c r="P120" s="28" t="n"/>
      <c r="Q120" s="28" t="n">
        <v>0.009478</v>
      </c>
      <c r="R120" s="26" t="n">
        <v>25</v>
      </c>
      <c r="S120" s="29" t="n">
        <v>0.75</v>
      </c>
      <c r="T120" s="24" t="inlineStr">
        <is>
          <t>mlb-elo-trend-lr-v5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Learned LR call at threshold 0.5998; executable ask 0.5150 (aec-mlb-lad-phi-2026-07-22).</t>
        </is>
      </c>
      <c r="AF120" s="31" t="inlineStr">
        <is>
          <t>Learned model; promotion gate not yet open; zero-unit research until review.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NO_CALL_LOW_EDGE</t>
        </is>
      </c>
      <c r="AP120" s="24" t="inlineStr">
        <is>
          <t>mlb-lad</t>
        </is>
      </c>
      <c r="AQ120" s="24" t="inlineStr">
        <is>
          <t>Los Angeles Dodgers</t>
        </is>
      </c>
      <c r="AR120" s="24" t="inlineStr">
        <is>
          <t>Los Angeles Dodgers</t>
        </is>
      </c>
      <c r="AS120" s="24" t="inlineStr">
        <is>
          <t>mlb-phi</t>
        </is>
      </c>
      <c r="AT120" s="24" t="inlineStr">
        <is>
          <t>Philadelphia Phillies</t>
        </is>
      </c>
      <c r="AU120" s="24" t="inlineStr">
        <is>
          <t>Philadelphia Phillies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bb6331f9ae39a7346e90a5f33f6b4e07168a5805b49be25c6e6134d413c081de</t>
        </is>
      </c>
      <c r="BB120" s="24" t="inlineStr">
        <is>
          <t>learned_lr</t>
        </is>
      </c>
      <c r="BC120" s="24" t="inlineStr">
        <is>
          <t>mlb-elo-trend-lr-v5</t>
        </is>
      </c>
      <c r="BD120" s="24" t="inlineStr">
        <is>
          <t>bb6331f9ae39a7346e90a5f33f6b4e07168a5805b49be25c6e6134d413c081de</t>
        </is>
      </c>
      <c r="BE120" s="24" t="inlineStr">
        <is>
          <t>eedb654608c6e00e</t>
        </is>
      </c>
      <c r="BF120" s="24" t="inlineStr">
        <is>
          <t>1</t>
        </is>
      </c>
      <c r="BG120" s="24" t="inlineStr">
        <is>
          <t>mlb-elo-trend-lr-v5</t>
        </is>
      </c>
      <c r="BH120" s="24" t="inlineStr">
        <is>
          <t>2026-07-22T05:15:26.832141Z</t>
        </is>
      </c>
      <c r="BI120" s="24" t="inlineStr">
        <is>
          <t>["same_event","same_team_same_day","same_league_same_day"]</t>
        </is>
      </c>
      <c r="BJ120" s="25" t="n"/>
      <c r="BK120" s="26" t="n">
        <v>-106</v>
      </c>
      <c r="BL120" s="27" t="n">
        <v>1.943396</v>
      </c>
      <c r="BM120" s="28" t="n">
        <v>0.514563</v>
      </c>
      <c r="BN120" s="28" t="n">
        <v>0.5124379999999999</v>
      </c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</row>
    <row r="121" ht="36" customHeight="1">
      <c r="A121" s="24" t="inlineStr">
        <is>
          <t>0ee2e597d4fc41ee</t>
        </is>
      </c>
      <c r="B121" s="24" t="inlineStr">
        <is>
          <t>2026-07-22T05:16:51.311842Z</t>
        </is>
      </c>
      <c r="C121" s="24" t="inlineStr">
        <is>
          <t>2026-07-22T18:40:00-0400</t>
        </is>
      </c>
      <c r="D121" s="24" t="inlineStr">
        <is>
          <t>401816218</t>
        </is>
      </c>
      <c r="E121" s="24" t="inlineStr">
        <is>
          <t>MLB</t>
        </is>
      </c>
      <c r="F121" s="24" t="inlineStr">
        <is>
          <t>Minnesota Twins</t>
        </is>
      </c>
      <c r="G121" s="24" t="inlineStr">
        <is>
          <t>Cleveland Guardians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-117</v>
      </c>
      <c r="M121" s="27" t="n">
        <v>1.854701</v>
      </c>
      <c r="N121" s="28" t="n">
        <v>0.539171</v>
      </c>
      <c r="O121" s="28" t="n">
        <v>0.562938</v>
      </c>
      <c r="P121" s="28" t="n"/>
      <c r="Q121" s="28" t="n">
        <v>0.023767</v>
      </c>
      <c r="R121" s="26" t="n">
        <v>32</v>
      </c>
      <c r="S121" s="29" t="n">
        <v>1.25</v>
      </c>
      <c r="T121" s="24" t="inlineStr">
        <is>
          <t>mlb-elo-trend-lr-v5</t>
        </is>
      </c>
      <c r="U121" s="24" t="inlineStr">
        <is>
          <t>open</t>
        </is>
      </c>
      <c r="V121" s="24" t="n"/>
      <c r="W121" s="26" t="n"/>
      <c r="X121" s="26" t="n"/>
      <c r="Y121" s="25" t="n"/>
      <c r="Z121" s="26" t="n"/>
      <c r="AA121" s="28" t="n"/>
      <c r="AB121" s="28" t="n"/>
      <c r="AC121" s="30" t="n"/>
      <c r="AD121" s="24" t="n"/>
      <c r="AE121" s="31" t="inlineStr">
        <is>
          <t>Learned LR call at threshold 0.5998; executable ask 0.5400 (aec-mlb-min-cle-2026-07-22).</t>
        </is>
      </c>
      <c r="AF121" s="31" t="inlineStr">
        <is>
          <t>Learned model; promotion gate not yet open; zero-unit research until review.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NO_CALL_LOW_EDGE</t>
        </is>
      </c>
      <c r="AP121" s="24" t="inlineStr">
        <is>
          <t>mlb-min</t>
        </is>
      </c>
      <c r="AQ121" s="24" t="inlineStr">
        <is>
          <t>Minnesota Twins</t>
        </is>
      </c>
      <c r="AR121" s="24" t="inlineStr">
        <is>
          <t>Minnesota Twins</t>
        </is>
      </c>
      <c r="AS121" s="24" t="inlineStr">
        <is>
          <t>mlb-cle</t>
        </is>
      </c>
      <c r="AT121" s="24" t="inlineStr">
        <is>
          <t>Cleveland Guardians</t>
        </is>
      </c>
      <c r="AU121" s="24" t="inlineStr">
        <is>
          <t>Cleveland Guardians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bb6331f9ae39a7346e90a5f33f6b4e07168a5805b49be25c6e6134d413c081de</t>
        </is>
      </c>
      <c r="BB121" s="24" t="inlineStr">
        <is>
          <t>learned_lr</t>
        </is>
      </c>
      <c r="BC121" s="24" t="inlineStr">
        <is>
          <t>mlb-elo-trend-lr-v5</t>
        </is>
      </c>
      <c r="BD121" s="24" t="inlineStr">
        <is>
          <t>bb6331f9ae39a7346e90a5f33f6b4e07168a5805b49be25c6e6134d413c081de</t>
        </is>
      </c>
      <c r="BE121" s="24" t="inlineStr">
        <is>
          <t>393dce007d73d9d7</t>
        </is>
      </c>
      <c r="BF121" s="24" t="inlineStr">
        <is>
          <t>1</t>
        </is>
      </c>
      <c r="BG121" s="24" t="inlineStr">
        <is>
          <t>mlb-elo-trend-lr-v5</t>
        </is>
      </c>
      <c r="BH121" s="24" t="inlineStr">
        <is>
          <t>2026-07-22T05:15:25.534232Z</t>
        </is>
      </c>
      <c r="BI121" s="24" t="inlineStr">
        <is>
          <t>["same_event","same_team_same_day","same_league_same_day"]</t>
        </is>
      </c>
      <c r="BJ121" s="25" t="n"/>
      <c r="BK121" s="26" t="n">
        <v>-117</v>
      </c>
      <c r="BL121" s="27" t="n">
        <v>1.854701</v>
      </c>
      <c r="BM121" s="28" t="n">
        <v>0.539171</v>
      </c>
      <c r="BN121" s="28" t="n">
        <v>0.537313</v>
      </c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</row>
    <row r="122" ht="36" customHeight="1">
      <c r="A122" s="24" t="inlineStr">
        <is>
          <t>34d5f305f56e41fa</t>
        </is>
      </c>
      <c r="B122" s="24" t="inlineStr">
        <is>
          <t>2026-07-22T05:16:51.311842Z</t>
        </is>
      </c>
      <c r="C122" s="24" t="inlineStr">
        <is>
          <t>2026-07-22T19:07:00-0400</t>
        </is>
      </c>
      <c r="D122" s="24" t="inlineStr">
        <is>
          <t>401816221</t>
        </is>
      </c>
      <c r="E122" s="24" t="inlineStr">
        <is>
          <t>MLB</t>
        </is>
      </c>
      <c r="F122" s="24" t="inlineStr">
        <is>
          <t>Tampa Bay Rays</t>
        </is>
      </c>
      <c r="G122" s="24" t="inlineStr">
        <is>
          <t>Toronto Blue Jays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-102</v>
      </c>
      <c r="M122" s="27" t="n">
        <v>1.980392</v>
      </c>
      <c r="N122" s="28" t="n">
        <v>0.50495</v>
      </c>
      <c r="O122" s="28" t="n">
        <v>0.525517</v>
      </c>
      <c r="P122" s="28" t="n"/>
      <c r="Q122" s="28" t="n">
        <v>0.020567</v>
      </c>
      <c r="R122" s="26" t="n">
        <v>30</v>
      </c>
      <c r="S122" s="29" t="n">
        <v>0.75</v>
      </c>
      <c r="T122" s="24" t="inlineStr">
        <is>
          <t>mlb-elo-trend-lr-v5</t>
        </is>
      </c>
      <c r="U122" s="24" t="inlineStr">
        <is>
          <t>open</t>
        </is>
      </c>
      <c r="V122" s="24" t="n"/>
      <c r="W122" s="26" t="n"/>
      <c r="X122" s="26" t="n"/>
      <c r="Y122" s="25" t="n"/>
      <c r="Z122" s="26" t="n"/>
      <c r="AA122" s="28" t="n"/>
      <c r="AB122" s="28" t="n"/>
      <c r="AC122" s="30" t="n"/>
      <c r="AD122" s="24" t="n"/>
      <c r="AE122" s="31" t="inlineStr">
        <is>
          <t>Learned LR call at threshold 0.5998; executable ask 0.5050 (aec-mlb-tb-tor-2026-07-22).</t>
        </is>
      </c>
      <c r="AF122" s="31" t="inlineStr">
        <is>
          <t>Learned model; promotion gate not yet open; zero-unit research until review.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NO_CALL_LOW_EDGE</t>
        </is>
      </c>
      <c r="AP122" s="24" t="inlineStr">
        <is>
          <t>mlb-tb</t>
        </is>
      </c>
      <c r="AQ122" s="24" t="inlineStr">
        <is>
          <t>Tampa Bay Rays</t>
        </is>
      </c>
      <c r="AR122" s="24" t="inlineStr">
        <is>
          <t>Tampa Bay Rays</t>
        </is>
      </c>
      <c r="AS122" s="24" t="inlineStr">
        <is>
          <t>mlb-tor</t>
        </is>
      </c>
      <c r="AT122" s="24" t="inlineStr">
        <is>
          <t>Toronto Blue Jays</t>
        </is>
      </c>
      <c r="AU122" s="24" t="inlineStr">
        <is>
          <t>Toronto Blue Jays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bb6331f9ae39a7346e90a5f33f6b4e07168a5805b49be25c6e6134d413c081de</t>
        </is>
      </c>
      <c r="BB122" s="24" t="inlineStr">
        <is>
          <t>learned_lr</t>
        </is>
      </c>
      <c r="BC122" s="24" t="inlineStr">
        <is>
          <t>mlb-elo-trend-lr-v5</t>
        </is>
      </c>
      <c r="BD122" s="24" t="inlineStr">
        <is>
          <t>bb6331f9ae39a7346e90a5f33f6b4e07168a5805b49be25c6e6134d413c081de</t>
        </is>
      </c>
      <c r="BE122" s="24" t="inlineStr">
        <is>
          <t>f56f42ed87469618</t>
        </is>
      </c>
      <c r="BF122" s="24" t="inlineStr">
        <is>
          <t>1</t>
        </is>
      </c>
      <c r="BG122" s="24" t="inlineStr">
        <is>
          <t>mlb-elo-trend-lr-v5</t>
        </is>
      </c>
      <c r="BH122" s="24" t="inlineStr">
        <is>
          <t>2026-07-22T05:15:30.289706Z</t>
        </is>
      </c>
      <c r="BI122" s="24" t="inlineStr">
        <is>
          <t>["same_event","same_team_same_day","same_league_same_day"]</t>
        </is>
      </c>
      <c r="BJ122" s="25" t="n"/>
      <c r="BK122" s="26" t="n">
        <v>-102</v>
      </c>
      <c r="BL122" s="27" t="n">
        <v>1.980392</v>
      </c>
      <c r="BM122" s="28" t="n">
        <v>0.50495</v>
      </c>
      <c r="BN122" s="28" t="n">
        <v>0.502488</v>
      </c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</row>
    <row r="123" ht="36" customHeight="1">
      <c r="A123" s="24" t="inlineStr">
        <is>
          <t>b4fcab58b8344f72</t>
        </is>
      </c>
      <c r="B123" s="24" t="inlineStr">
        <is>
          <t>2026-07-22T05:16:51.311842Z</t>
        </is>
      </c>
      <c r="C123" s="24" t="inlineStr">
        <is>
          <t>2026-07-22T19:15:00-0400</t>
        </is>
      </c>
      <c r="D123" s="24" t="inlineStr">
        <is>
          <t>401816220</t>
        </is>
      </c>
      <c r="E123" s="24" t="inlineStr">
        <is>
          <t>MLB</t>
        </is>
      </c>
      <c r="F123" s="24" t="inlineStr">
        <is>
          <t>San Diego Padres</t>
        </is>
      </c>
      <c r="G123" s="24" t="inlineStr">
        <is>
          <t>Atlanta Braves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-115</v>
      </c>
      <c r="M123" s="27" t="n">
        <v>1.869565</v>
      </c>
      <c r="N123" s="28" t="n">
        <v>0.534884</v>
      </c>
      <c r="O123" s="28" t="n">
        <v>0.56238</v>
      </c>
      <c r="P123" s="28" t="n"/>
      <c r="Q123" s="28" t="n">
        <v>0.027496</v>
      </c>
      <c r="R123" s="26" t="n">
        <v>34</v>
      </c>
      <c r="S123" s="29" t="n">
        <v>1</v>
      </c>
      <c r="T123" s="24" t="inlineStr">
        <is>
          <t>mlb-elo-trend-lr-v5</t>
        </is>
      </c>
      <c r="U123" s="24" t="inlineStr">
        <is>
          <t>open</t>
        </is>
      </c>
      <c r="V123" s="24" t="n"/>
      <c r="W123" s="26" t="n"/>
      <c r="X123" s="26" t="n"/>
      <c r="Y123" s="25" t="n"/>
      <c r="Z123" s="26" t="n"/>
      <c r="AA123" s="28" t="n"/>
      <c r="AB123" s="28" t="n"/>
      <c r="AC123" s="30" t="n"/>
      <c r="AD123" s="24" t="n"/>
      <c r="AE123" s="31" t="inlineStr">
        <is>
          <t>Learned LR call at threshold 0.5998; executable ask 0.5350 (aec-mlb-sd-atl-2026-07-22).</t>
        </is>
      </c>
      <c r="AF123" s="31" t="inlineStr">
        <is>
          <t>Learned model; promotion gate not yet open; zero-unit research until review.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NO_CALL_LOW_EDGE</t>
        </is>
      </c>
      <c r="AP123" s="24" t="inlineStr">
        <is>
          <t>mlb-sd</t>
        </is>
      </c>
      <c r="AQ123" s="24" t="inlineStr">
        <is>
          <t>San Diego Padres</t>
        </is>
      </c>
      <c r="AR123" s="24" t="inlineStr">
        <is>
          <t>San Diego Padres</t>
        </is>
      </c>
      <c r="AS123" s="24" t="inlineStr">
        <is>
          <t>mlb-atl</t>
        </is>
      </c>
      <c r="AT123" s="24" t="inlineStr">
        <is>
          <t>Atlanta Braves</t>
        </is>
      </c>
      <c r="AU123" s="24" t="inlineStr">
        <is>
          <t>Atlanta Braves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bb6331f9ae39a7346e90a5f33f6b4e07168a5805b49be25c6e6134d413c081de</t>
        </is>
      </c>
      <c r="BB123" s="24" t="inlineStr">
        <is>
          <t>learned_lr</t>
        </is>
      </c>
      <c r="BC123" s="24" t="inlineStr">
        <is>
          <t>mlb-elo-trend-lr-v5</t>
        </is>
      </c>
      <c r="BD123" s="24" t="inlineStr">
        <is>
          <t>bb6331f9ae39a7346e90a5f33f6b4e07168a5805b49be25c6e6134d413c081de</t>
        </is>
      </c>
      <c r="BE123" s="24" t="inlineStr">
        <is>
          <t>627c014be49ce2cc</t>
        </is>
      </c>
      <c r="BF123" s="24" t="inlineStr">
        <is>
          <t>1</t>
        </is>
      </c>
      <c r="BG123" s="24" t="inlineStr">
        <is>
          <t>mlb-elo-trend-lr-v5</t>
        </is>
      </c>
      <c r="BH123" s="24" t="inlineStr">
        <is>
          <t>2026-07-22T05:15:33.341547Z</t>
        </is>
      </c>
      <c r="BI123" s="24" t="inlineStr">
        <is>
          <t>["same_event","same_team_same_day","same_league_same_day"]</t>
        </is>
      </c>
      <c r="BJ123" s="25" t="n"/>
      <c r="BK123" s="26" t="n">
        <v>-115</v>
      </c>
      <c r="BL123" s="27" t="n">
        <v>1.869565</v>
      </c>
      <c r="BM123" s="28" t="n">
        <v>0.534884</v>
      </c>
      <c r="BN123" s="28" t="n">
        <v>0.532338</v>
      </c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</row>
    <row r="124" ht="36" customHeight="1">
      <c r="A124" s="24" t="inlineStr">
        <is>
          <t>4e16d18e1de148f9</t>
        </is>
      </c>
      <c r="B124" s="24" t="inlineStr">
        <is>
          <t>2026-07-22T05:16:51.311842Z</t>
        </is>
      </c>
      <c r="C124" s="24" t="inlineStr">
        <is>
          <t>2026-07-22T20:00:00-0400</t>
        </is>
      </c>
      <c r="D124" s="24" t="inlineStr">
        <is>
          <t>401816223</t>
        </is>
      </c>
      <c r="E124" s="24" t="inlineStr">
        <is>
          <t>MLB</t>
        </is>
      </c>
      <c r="F124" s="24" t="inlineStr">
        <is>
          <t>Detroit Tigers</t>
        </is>
      </c>
      <c r="G124" s="24" t="inlineStr">
        <is>
          <t>Chicago Cubs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-108</v>
      </c>
      <c r="M124" s="27" t="n">
        <v>1.925926</v>
      </c>
      <c r="N124" s="28" t="n">
        <v>0.519231</v>
      </c>
      <c r="O124" s="28" t="n">
        <v>0.572578</v>
      </c>
      <c r="P124" s="28" t="n"/>
      <c r="Q124" s="28" t="n">
        <v>0.053347</v>
      </c>
      <c r="R124" s="26" t="n">
        <v>47</v>
      </c>
      <c r="S124" s="29" t="n">
        <v>1.25</v>
      </c>
      <c r="T124" s="24" t="inlineStr">
        <is>
          <t>mlb-elo-trend-lr-v5</t>
        </is>
      </c>
      <c r="U124" s="24" t="inlineStr">
        <is>
          <t>open</t>
        </is>
      </c>
      <c r="V124" s="24" t="n"/>
      <c r="W124" s="26" t="n"/>
      <c r="X124" s="26" t="n"/>
      <c r="Y124" s="25" t="n"/>
      <c r="Z124" s="26" t="n"/>
      <c r="AA124" s="28" t="n"/>
      <c r="AB124" s="28" t="n"/>
      <c r="AC124" s="30" t="n"/>
      <c r="AD124" s="24" t="n"/>
      <c r="AE124" s="31" t="inlineStr">
        <is>
          <t>Learned LR call at threshold 0.5998; executable ask 0.5200 (aec-mlb-det-chc-2026-07-22).</t>
        </is>
      </c>
      <c r="AF124" s="31" t="inlineStr">
        <is>
          <t>Learned model; promotion gate not yet open; zero-unit research until review.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mlb-det</t>
        </is>
      </c>
      <c r="AQ124" s="24" t="inlineStr">
        <is>
          <t>Detroit Tigers</t>
        </is>
      </c>
      <c r="AR124" s="24" t="inlineStr">
        <is>
          <t>Detroit Tigers</t>
        </is>
      </c>
      <c r="AS124" s="24" t="inlineStr">
        <is>
          <t>mlb-chc</t>
        </is>
      </c>
      <c r="AT124" s="24" t="inlineStr">
        <is>
          <t>Chicago Cubs</t>
        </is>
      </c>
      <c r="AU124" s="24" t="inlineStr">
        <is>
          <t>Chicago Cubs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bb6331f9ae39a7346e90a5f33f6b4e07168a5805b49be25c6e6134d413c081de</t>
        </is>
      </c>
      <c r="BB124" s="24" t="inlineStr">
        <is>
          <t>learned_lr</t>
        </is>
      </c>
      <c r="BC124" s="24" t="inlineStr">
        <is>
          <t>mlb-elo-trend-lr-v5</t>
        </is>
      </c>
      <c r="BD124" s="24" t="inlineStr">
        <is>
          <t>bb6331f9ae39a7346e90a5f33f6b4e07168a5805b49be25c6e6134d413c081de</t>
        </is>
      </c>
      <c r="BE124" s="24" t="inlineStr">
        <is>
          <t>0f9d81396238e01e</t>
        </is>
      </c>
      <c r="BF124" s="24" t="inlineStr">
        <is>
          <t>1</t>
        </is>
      </c>
      <c r="BG124" s="24" t="inlineStr">
        <is>
          <t>mlb-elo-trend-lr-v5</t>
        </is>
      </c>
      <c r="BH124" s="24" t="inlineStr">
        <is>
          <t>2026-07-22T05:15:35.802323Z</t>
        </is>
      </c>
      <c r="BI124" s="24" t="inlineStr">
        <is>
          <t>["same_event","same_team_same_day","same_league_same_day"]</t>
        </is>
      </c>
      <c r="BJ124" s="25" t="n"/>
      <c r="BK124" s="26" t="n">
        <v>-108</v>
      </c>
      <c r="BL124" s="27" t="n">
        <v>1.925926</v>
      </c>
      <c r="BM124" s="28" t="n">
        <v>0.519231</v>
      </c>
      <c r="BN124" s="28" t="n">
        <v>0.517413</v>
      </c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</row>
    <row r="125" ht="36" customHeight="1">
      <c r="A125" s="24" t="inlineStr">
        <is>
          <t>4b55624768bd41b5</t>
        </is>
      </c>
      <c r="B125" s="24" t="inlineStr">
        <is>
          <t>2026-07-22T05:16:51.311842Z</t>
        </is>
      </c>
      <c r="C125" s="24" t="inlineStr">
        <is>
          <t>2026-07-22T20:05:00-0400</t>
        </is>
      </c>
      <c r="D125" s="24" t="inlineStr">
        <is>
          <t>401816222</t>
        </is>
      </c>
      <c r="E125" s="24" t="inlineStr">
        <is>
          <t>MLB</t>
        </is>
      </c>
      <c r="F125" s="24" t="inlineStr">
        <is>
          <t>Chicago White Sox</t>
        </is>
      </c>
      <c r="G125" s="24" t="inlineStr">
        <is>
          <t>Texas Rangers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-104</v>
      </c>
      <c r="M125" s="27" t="n">
        <v>1.961538</v>
      </c>
      <c r="N125" s="28" t="n">
        <v>0.509804</v>
      </c>
      <c r="O125" s="28" t="n">
        <v>0.551837</v>
      </c>
      <c r="P125" s="28" t="n"/>
      <c r="Q125" s="28" t="n">
        <v>0.042033</v>
      </c>
      <c r="R125" s="26" t="n">
        <v>41</v>
      </c>
      <c r="S125" s="29" t="n">
        <v>1</v>
      </c>
      <c r="T125" s="24" t="inlineStr">
        <is>
          <t>mlb-elo-trend-lr-v5</t>
        </is>
      </c>
      <c r="U125" s="24" t="inlineStr">
        <is>
          <t>open</t>
        </is>
      </c>
      <c r="V125" s="24" t="n"/>
      <c r="W125" s="26" t="n"/>
      <c r="X125" s="26" t="n"/>
      <c r="Y125" s="25" t="n"/>
      <c r="Z125" s="26" t="n"/>
      <c r="AA125" s="28" t="n"/>
      <c r="AB125" s="28" t="n"/>
      <c r="AC125" s="30" t="n"/>
      <c r="AD125" s="24" t="n"/>
      <c r="AE125" s="31" t="inlineStr">
        <is>
          <t>Learned LR call at threshold 0.5998; executable ask 0.5100 (aec-mlb-cws-tex-2026-07-22).</t>
        </is>
      </c>
      <c r="AF125" s="31" t="inlineStr">
        <is>
          <t>Learned model; promotion gate not yet open; zero-unit research until review.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NO_CALL_LOW_EDGE</t>
        </is>
      </c>
      <c r="AP125" s="24" t="inlineStr">
        <is>
          <t>mlb-cws</t>
        </is>
      </c>
      <c r="AQ125" s="24" t="inlineStr">
        <is>
          <t>Chicago White Sox</t>
        </is>
      </c>
      <c r="AR125" s="24" t="inlineStr">
        <is>
          <t>Chicago White Sox</t>
        </is>
      </c>
      <c r="AS125" s="24" t="inlineStr">
        <is>
          <t>mlb-tex</t>
        </is>
      </c>
      <c r="AT125" s="24" t="inlineStr">
        <is>
          <t>Texas Rangers</t>
        </is>
      </c>
      <c r="AU125" s="24" t="inlineStr">
        <is>
          <t>Texas Rangers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bb6331f9ae39a7346e90a5f33f6b4e07168a5805b49be25c6e6134d413c081de</t>
        </is>
      </c>
      <c r="BB125" s="24" t="inlineStr">
        <is>
          <t>learned_lr</t>
        </is>
      </c>
      <c r="BC125" s="24" t="inlineStr">
        <is>
          <t>mlb-elo-trend-lr-v5</t>
        </is>
      </c>
      <c r="BD125" s="24" t="inlineStr">
        <is>
          <t>bb6331f9ae39a7346e90a5f33f6b4e07168a5805b49be25c6e6134d413c081de</t>
        </is>
      </c>
      <c r="BE125" s="24" t="inlineStr">
        <is>
          <t>02d53785b23e99bb</t>
        </is>
      </c>
      <c r="BF125" s="24" t="inlineStr">
        <is>
          <t>1</t>
        </is>
      </c>
      <c r="BG125" s="24" t="inlineStr">
        <is>
          <t>mlb-elo-trend-lr-v5</t>
        </is>
      </c>
      <c r="BH125" s="24" t="inlineStr">
        <is>
          <t>2026-07-22T05:15:34.794476Z</t>
        </is>
      </c>
      <c r="BI125" s="24" t="inlineStr">
        <is>
          <t>["same_event","same_team_same_day","same_league_same_day"]</t>
        </is>
      </c>
      <c r="BJ125" s="25" t="n"/>
      <c r="BK125" s="26" t="n">
        <v>-104</v>
      </c>
      <c r="BL125" s="27" t="n">
        <v>1.961538</v>
      </c>
      <c r="BM125" s="28" t="n">
        <v>0.509804</v>
      </c>
      <c r="BN125" s="28" t="n">
        <v>0.507463</v>
      </c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</row>
    <row r="126" ht="36" customHeight="1">
      <c r="A126" s="24" t="inlineStr">
        <is>
          <t>3314e96647d04bfc</t>
        </is>
      </c>
      <c r="B126" s="24" t="inlineStr">
        <is>
          <t>2026-07-22T05:16:51.311842Z</t>
        </is>
      </c>
      <c r="C126" s="24" t="inlineStr">
        <is>
          <t>2026-07-22T20:10:00-0400</t>
        </is>
      </c>
      <c r="D126" s="24" t="inlineStr">
        <is>
          <t>401816224</t>
        </is>
      </c>
      <c r="E126" s="24" t="inlineStr">
        <is>
          <t>MLB</t>
        </is>
      </c>
      <c r="F126" s="24" t="inlineStr">
        <is>
          <t>Miami Marlins</t>
        </is>
      </c>
      <c r="G126" s="24" t="inlineStr">
        <is>
          <t>Houston Astros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-108</v>
      </c>
      <c r="M126" s="27" t="n">
        <v>1.925926</v>
      </c>
      <c r="N126" s="28" t="n">
        <v>0.519231</v>
      </c>
      <c r="O126" s="28" t="n">
        <v>0.506759</v>
      </c>
      <c r="P126" s="28" t="n"/>
      <c r="Q126" s="28" t="n">
        <v>-0.012472</v>
      </c>
      <c r="R126" s="26" t="n">
        <v>14</v>
      </c>
      <c r="S126" s="29" t="n">
        <v>0.5</v>
      </c>
      <c r="T126" s="24" t="inlineStr">
        <is>
          <t>mlb-elo-trend-lr-v5</t>
        </is>
      </c>
      <c r="U126" s="24" t="inlineStr">
        <is>
          <t>open</t>
        </is>
      </c>
      <c r="V126" s="24" t="n"/>
      <c r="W126" s="26" t="n"/>
      <c r="X126" s="26" t="n"/>
      <c r="Y126" s="25" t="n"/>
      <c r="Z126" s="26" t="n"/>
      <c r="AA126" s="28" t="n"/>
      <c r="AB126" s="28" t="n"/>
      <c r="AC126" s="30" t="n"/>
      <c r="AD126" s="24" t="n"/>
      <c r="AE126" s="31" t="inlineStr">
        <is>
          <t>Learned LR call at threshold 0.5998; executable ask 0.5200 (aec-mlb-mia-hou-2026-07-22).</t>
        </is>
      </c>
      <c r="AF126" s="31" t="inlineStr">
        <is>
          <t>Learned model; promotion gate not yet open; zero-unit research until review.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NO_CALL_LOW_EDGE</t>
        </is>
      </c>
      <c r="AP126" s="24" t="inlineStr">
        <is>
          <t>mlb-mia</t>
        </is>
      </c>
      <c r="AQ126" s="24" t="inlineStr">
        <is>
          <t>Miami Marlins</t>
        </is>
      </c>
      <c r="AR126" s="24" t="inlineStr">
        <is>
          <t>Miami Marlins</t>
        </is>
      </c>
      <c r="AS126" s="24" t="inlineStr">
        <is>
          <t>mlb-hou</t>
        </is>
      </c>
      <c r="AT126" s="24" t="inlineStr">
        <is>
          <t>Houston Astros</t>
        </is>
      </c>
      <c r="AU126" s="24" t="inlineStr">
        <is>
          <t>Houston Astros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bb6331f9ae39a7346e90a5f33f6b4e07168a5805b49be25c6e6134d413c081de</t>
        </is>
      </c>
      <c r="BB126" s="24" t="inlineStr">
        <is>
          <t>learned_lr</t>
        </is>
      </c>
      <c r="BC126" s="24" t="inlineStr">
        <is>
          <t>mlb-elo-trend-lr-v5</t>
        </is>
      </c>
      <c r="BD126" s="24" t="inlineStr">
        <is>
          <t>bb6331f9ae39a7346e90a5f33f6b4e07168a5805b49be25c6e6134d413c081de</t>
        </is>
      </c>
      <c r="BE126" s="24" t="inlineStr">
        <is>
          <t>9f873ead80ec222a</t>
        </is>
      </c>
      <c r="BF126" s="24" t="inlineStr">
        <is>
          <t>1</t>
        </is>
      </c>
      <c r="BG126" s="24" t="inlineStr">
        <is>
          <t>mlb-elo-trend-lr-v5</t>
        </is>
      </c>
      <c r="BH126" s="24" t="inlineStr">
        <is>
          <t>2026-07-22T05:15:37.308149Z</t>
        </is>
      </c>
      <c r="BI126" s="24" t="inlineStr">
        <is>
          <t>["same_event","same_team_same_day","same_league_same_day"]</t>
        </is>
      </c>
      <c r="BJ126" s="25" t="n"/>
      <c r="BK126" s="26" t="n">
        <v>-108</v>
      </c>
      <c r="BL126" s="27" t="n">
        <v>1.925926</v>
      </c>
      <c r="BM126" s="28" t="n">
        <v>0.519231</v>
      </c>
      <c r="BN126" s="28" t="n">
        <v>0.517413</v>
      </c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</row>
    <row r="127" ht="36" customHeight="1">
      <c r="A127" s="24" t="inlineStr">
        <is>
          <t>d487a54363744159</t>
        </is>
      </c>
      <c r="B127" s="24" t="inlineStr">
        <is>
          <t>2026-07-22T05:19:52.182978Z</t>
        </is>
      </c>
      <c r="C127" s="24" t="inlineStr">
        <is>
          <t>2026-07-22T09:00:00Z</t>
        </is>
      </c>
      <c r="D127" s="24" t="inlineStr">
        <is>
          <t>55954</t>
        </is>
      </c>
      <c r="E127" s="24" t="inlineStr">
        <is>
          <t>LOL</t>
        </is>
      </c>
      <c r="F127" s="24" t="inlineStr">
        <is>
          <t>EDward Gaming</t>
        </is>
      </c>
      <c r="G127" s="24" t="inlineStr">
        <is>
          <t>LGD Gaming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-122</v>
      </c>
      <c r="M127" s="27" t="n">
        <v>1.819672</v>
      </c>
      <c r="N127" s="28" t="n">
        <v>0.54955</v>
      </c>
      <c r="O127" s="28" t="n">
        <v>0.528201</v>
      </c>
      <c r="P127" s="28" t="n"/>
      <c r="Q127" s="28" t="n">
        <v>-0.021349</v>
      </c>
      <c r="R127" s="26" t="n">
        <v>9</v>
      </c>
      <c r="S127" s="29" t="n">
        <v>0.75</v>
      </c>
      <c r="T127" s="24" t="inlineStr">
        <is>
          <t>lol-tiered-elo-v3</t>
        </is>
      </c>
      <c r="U127" s="24" t="inlineStr">
        <is>
          <t>open</t>
        </is>
      </c>
      <c r="V127" s="24" t="n"/>
      <c r="W127" s="26" t="n"/>
      <c r="X127" s="26" t="n"/>
      <c r="Y127" s="25" t="n"/>
      <c r="Z127" s="26" t="n"/>
      <c r="AA127" s="28" t="n"/>
      <c r="AB127" s="28" t="n"/>
      <c r="AC127" s="30" t="n"/>
      <c r="AD127" s="24" t="n"/>
      <c r="AE127" s="31" t="inlineStr">
        <is>
          <t>Neutral Elo baseline; executable ask 0.5500 (market_slug=aec-lol-lgd-edg-2026-07-22).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NO_CALL_LOW_EDGE</t>
        </is>
      </c>
      <c r="AP127" s="24" t="inlineStr">
        <is>
          <t>EDward Gaming</t>
        </is>
      </c>
      <c r="AQ127" s="24" t="inlineStr">
        <is>
          <t>EDward Gaming</t>
        </is>
      </c>
      <c r="AR127" s="24" t="inlineStr">
        <is>
          <t>EDward Gaming</t>
        </is>
      </c>
      <c r="AS127" s="24" t="inlineStr">
        <is>
          <t>LGD Gaming</t>
        </is>
      </c>
      <c r="AT127" s="24" t="inlineStr">
        <is>
          <t>LGD Gaming</t>
        </is>
      </c>
      <c r="AU127" s="24" t="inlineStr">
        <is>
          <t>LGD Gaming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e0cd9cffa8d11f894fd13b69be474bf2e4371b29db5e62888aec7b8f44f78946</t>
        </is>
      </c>
      <c r="BB127" s="24" t="inlineStr">
        <is>
          <t>neutral_elo</t>
        </is>
      </c>
      <c r="BC127" s="24" t="inlineStr">
        <is>
          <t>lol-tiered-elo-v3</t>
        </is>
      </c>
      <c r="BD127" s="24" t="inlineStr">
        <is>
          <t>e0cd9cffa8d11f894fd13b69be474bf2e4371b29db5e62888aec7b8f44f78946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lol-tiered-elo-v3</t>
        </is>
      </c>
      <c r="BH127" s="24" t="inlineStr">
        <is>
          <t>2026-07-22T05:17:02.737464Z</t>
        </is>
      </c>
      <c r="BI127" s="24" t="inlineStr">
        <is>
          <t>["same_event","same_team_same_day","same_league_same_day"]</t>
        </is>
      </c>
      <c r="BJ127" s="25" t="n"/>
      <c r="BK127" s="26" t="n">
        <v>-122</v>
      </c>
      <c r="BL127" s="27" t="n">
        <v>1.819672</v>
      </c>
      <c r="BM127" s="28" t="n">
        <v>0.54955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</row>
    <row r="128" ht="36" customHeight="1">
      <c r="A128" s="24" t="inlineStr">
        <is>
          <t>53088914289f4187</t>
        </is>
      </c>
      <c r="B128" s="24" t="inlineStr">
        <is>
          <t>2026-07-22T05:19:52.182978Z</t>
        </is>
      </c>
      <c r="C128" s="24" t="inlineStr">
        <is>
          <t>2026-07-22T11:00:00Z</t>
        </is>
      </c>
      <c r="D128" s="24" t="inlineStr">
        <is>
          <t>55996</t>
        </is>
      </c>
      <c r="E128" s="24" t="inlineStr">
        <is>
          <t>LOL</t>
        </is>
      </c>
      <c r="F128" s="24" t="inlineStr">
        <is>
          <t>Team WE</t>
        </is>
      </c>
      <c r="G128" s="24" t="inlineStr">
        <is>
          <t>Top Esports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-223</v>
      </c>
      <c r="M128" s="27" t="n">
        <v>1.44843</v>
      </c>
      <c r="N128" s="28" t="n">
        <v>0.690402</v>
      </c>
      <c r="O128" s="28" t="n">
        <v>0.636655</v>
      </c>
      <c r="P128" s="28" t="n"/>
      <c r="Q128" s="28" t="n">
        <v>-0.053747</v>
      </c>
      <c r="R128" s="26" t="n">
        <v>0</v>
      </c>
      <c r="S128" s="29" t="n">
        <v>1.75</v>
      </c>
      <c r="T128" s="24" t="inlineStr">
        <is>
          <t>lol-tiered-elo-v3</t>
        </is>
      </c>
      <c r="U128" s="24" t="inlineStr">
        <is>
          <t>open</t>
        </is>
      </c>
      <c r="V128" s="24" t="n"/>
      <c r="W128" s="26" t="n"/>
      <c r="X128" s="26" t="n"/>
      <c r="Y128" s="25" t="n"/>
      <c r="Z128" s="26" t="n"/>
      <c r="AA128" s="28" t="n"/>
      <c r="AB128" s="28" t="n"/>
      <c r="AC128" s="30" t="n"/>
      <c r="AD128" s="24" t="n"/>
      <c r="AE128" s="31" t="inlineStr">
        <is>
          <t>Neutral Elo baseline; executable ask 0.6900 (market_slug=aec-lol-tes-we-2026-07-22).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NO_CALL_LOW_EDGE</t>
        </is>
      </c>
      <c r="AP128" s="24" t="inlineStr">
        <is>
          <t>Team WE</t>
        </is>
      </c>
      <c r="AQ128" s="24" t="inlineStr">
        <is>
          <t>Team WE</t>
        </is>
      </c>
      <c r="AR128" s="24" t="inlineStr">
        <is>
          <t>Team WE</t>
        </is>
      </c>
      <c r="AS128" s="24" t="inlineStr">
        <is>
          <t>Top Esports</t>
        </is>
      </c>
      <c r="AT128" s="24" t="inlineStr">
        <is>
          <t>Top Esports</t>
        </is>
      </c>
      <c r="AU128" s="24" t="inlineStr">
        <is>
          <t>Top Esports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e0cd9cffa8d11f894fd13b69be474bf2e4371b29db5e62888aec7b8f44f78946</t>
        </is>
      </c>
      <c r="BB128" s="24" t="inlineStr">
        <is>
          <t>neutral_elo</t>
        </is>
      </c>
      <c r="BC128" s="24" t="inlineStr">
        <is>
          <t>lol-tiered-elo-v3</t>
        </is>
      </c>
      <c r="BD128" s="24" t="inlineStr">
        <is>
          <t>e0cd9cffa8d11f894fd13b69be474bf2e4371b29db5e62888aec7b8f44f78946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lol-tiered-elo-v3</t>
        </is>
      </c>
      <c r="BH128" s="24" t="inlineStr">
        <is>
          <t>2026-07-22T05:17:03.510789Z</t>
        </is>
      </c>
      <c r="BI128" s="24" t="inlineStr">
        <is>
          <t>["same_event","same_team_same_day","same_league_same_day"]</t>
        </is>
      </c>
      <c r="BJ128" s="25" t="n"/>
      <c r="BK128" s="26" t="n">
        <v>-223</v>
      </c>
      <c r="BL128" s="27" t="n">
        <v>1.44843</v>
      </c>
      <c r="BM128" s="28" t="n">
        <v>0.690402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</row>
    <row r="129" ht="36" customHeight="1">
      <c r="A129" s="24" t="inlineStr">
        <is>
          <t>71faf50807664dea</t>
        </is>
      </c>
      <c r="B129" s="24" t="inlineStr">
        <is>
          <t>2026-07-22T05:19:52.182978Z</t>
        </is>
      </c>
      <c r="C129" s="24" t="inlineStr">
        <is>
          <t>2026-07-22T17:00:00Z</t>
        </is>
      </c>
      <c r="D129" s="24" t="inlineStr">
        <is>
          <t>56126</t>
        </is>
      </c>
      <c r="E129" s="24" t="inlineStr">
        <is>
          <t>LOL</t>
        </is>
      </c>
      <c r="F129" s="24" t="inlineStr">
        <is>
          <t>GMBLERS ESPORTS</t>
        </is>
      </c>
      <c r="G129" s="24" t="inlineStr">
        <is>
          <t>HMBLE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-233</v>
      </c>
      <c r="M129" s="27" t="n">
        <v>1.429185</v>
      </c>
      <c r="N129" s="28" t="n">
        <v>0.6997</v>
      </c>
      <c r="O129" s="28" t="n">
        <v>0.575556</v>
      </c>
      <c r="P129" s="28" t="n"/>
      <c r="Q129" s="28" t="n">
        <v>-0.124144</v>
      </c>
      <c r="R129" s="26" t="n">
        <v>0</v>
      </c>
      <c r="S129" s="29" t="n">
        <v>1.25</v>
      </c>
      <c r="T129" s="24" t="inlineStr">
        <is>
          <t>lol-tiered-elo-v3</t>
        </is>
      </c>
      <c r="U129" s="24" t="inlineStr">
        <is>
          <t>open</t>
        </is>
      </c>
      <c r="V129" s="24" t="n"/>
      <c r="W129" s="26" t="n"/>
      <c r="X129" s="26" t="n"/>
      <c r="Y129" s="25" t="n"/>
      <c r="Z129" s="26" t="n"/>
      <c r="AA129" s="28" t="n"/>
      <c r="AB129" s="28" t="n"/>
      <c r="AC129" s="30" t="n"/>
      <c r="AD129" s="24" t="n"/>
      <c r="AE129" s="31" t="inlineStr">
        <is>
          <t>Neutral Elo baseline; executable ask 0.7000 (market_slug=aec-lol-hmble-gmb-2026-07-22).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NO_CALL_LARGE_DISAGREEMENT_REVIEW</t>
        </is>
      </c>
      <c r="AP129" s="24" t="inlineStr">
        <is>
          <t>GMBLERS ESPORTS</t>
        </is>
      </c>
      <c r="AQ129" s="24" t="inlineStr">
        <is>
          <t>GMBLERS ESPORTS</t>
        </is>
      </c>
      <c r="AR129" s="24" t="inlineStr">
        <is>
          <t>GMBLERS ESPORTS</t>
        </is>
      </c>
      <c r="AS129" s="24" t="inlineStr">
        <is>
          <t>HMBLE</t>
        </is>
      </c>
      <c r="AT129" s="24" t="inlineStr">
        <is>
          <t>HMBLE</t>
        </is>
      </c>
      <c r="AU129" s="24" t="inlineStr">
        <is>
          <t>HMBLE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e0cd9cffa8d11f894fd13b69be474bf2e4371b29db5e62888aec7b8f44f78946</t>
        </is>
      </c>
      <c r="BB129" s="24" t="inlineStr">
        <is>
          <t>neutral_elo</t>
        </is>
      </c>
      <c r="BC129" s="24" t="inlineStr">
        <is>
          <t>lol-tiered-elo-v3</t>
        </is>
      </c>
      <c r="BD129" s="24" t="inlineStr">
        <is>
          <t>e0cd9cffa8d11f894fd13b69be474bf2e4371b29db5e62888aec7b8f44f78946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lol-tiered-elo-v3</t>
        </is>
      </c>
      <c r="BH129" s="24" t="inlineStr">
        <is>
          <t>2026-07-22T05:17:10.295865Z</t>
        </is>
      </c>
      <c r="BI129" s="24" t="inlineStr">
        <is>
          <t>["same_event","same_team_same_day","same_league_same_day"]</t>
        </is>
      </c>
      <c r="BJ129" s="25" t="n"/>
      <c r="BK129" s="26" t="n">
        <v>-233</v>
      </c>
      <c r="BL129" s="27" t="n">
        <v>1.429185</v>
      </c>
      <c r="BM129" s="28" t="n">
        <v>0.6997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</row>
    <row r="130" ht="36" customHeight="1">
      <c r="A130" s="24" t="inlineStr">
        <is>
          <t>f003875538a34221</t>
        </is>
      </c>
      <c r="B130" s="24" t="inlineStr">
        <is>
          <t>2026-07-22T05:19:52.182978Z</t>
        </is>
      </c>
      <c r="C130" s="24" t="inlineStr">
        <is>
          <t>2026-07-22T17:00:00Z</t>
        </is>
      </c>
      <c r="D130" s="24" t="inlineStr">
        <is>
          <t>58172</t>
        </is>
      </c>
      <c r="E130" s="24" t="inlineStr">
        <is>
          <t>LOL</t>
        </is>
      </c>
      <c r="F130" s="24" t="inlineStr">
        <is>
          <t>Unicorns Of Love Sexy Edition</t>
        </is>
      </c>
      <c r="G130" s="24" t="inlineStr">
        <is>
          <t>Kaufland Hangry Knights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-163</v>
      </c>
      <c r="M130" s="27" t="n">
        <v>1.613497</v>
      </c>
      <c r="N130" s="28" t="n">
        <v>0.619772</v>
      </c>
      <c r="O130" s="28" t="n">
        <v>0.634815</v>
      </c>
      <c r="P130" s="28" t="n"/>
      <c r="Q130" s="28" t="n">
        <v>0.015043</v>
      </c>
      <c r="R130" s="26" t="n">
        <v>28</v>
      </c>
      <c r="S130" s="29" t="n">
        <v>1.75</v>
      </c>
      <c r="T130" s="24" t="inlineStr">
        <is>
          <t>lol-tiered-elo-v3</t>
        </is>
      </c>
      <c r="U130" s="24" t="inlineStr">
        <is>
          <t>open</t>
        </is>
      </c>
      <c r="V130" s="24" t="n"/>
      <c r="W130" s="26" t="n"/>
      <c r="X130" s="26" t="n"/>
      <c r="Y130" s="25" t="n"/>
      <c r="Z130" s="26" t="n"/>
      <c r="AA130" s="28" t="n"/>
      <c r="AB130" s="28" t="n"/>
      <c r="AC130" s="30" t="n"/>
      <c r="AD130" s="24" t="n"/>
      <c r="AE130" s="31" t="inlineStr">
        <is>
          <t>Neutral Elo baseline; executable ask 0.6200 (market_slug=aec-lol-khk-use-2026-07-22).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Unicorns Of Love Sexy Edition</t>
        </is>
      </c>
      <c r="AQ130" s="24" t="inlineStr">
        <is>
          <t>Unicorns Of Love Sexy Edition</t>
        </is>
      </c>
      <c r="AR130" s="24" t="inlineStr">
        <is>
          <t>Unicorns Of Love Sexy Edition</t>
        </is>
      </c>
      <c r="AS130" s="24" t="inlineStr">
        <is>
          <t>Kaufland Hangry Knights</t>
        </is>
      </c>
      <c r="AT130" s="24" t="inlineStr">
        <is>
          <t>Kaufland Hangry Knights</t>
        </is>
      </c>
      <c r="AU130" s="24" t="inlineStr">
        <is>
          <t>Kaufland Hangry Knights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e0cd9cffa8d11f894fd13b69be474bf2e4371b29db5e62888aec7b8f44f78946</t>
        </is>
      </c>
      <c r="BB130" s="24" t="inlineStr">
        <is>
          <t>neutral_elo</t>
        </is>
      </c>
      <c r="BC130" s="24" t="inlineStr">
        <is>
          <t>lol-tiered-elo-v3</t>
        </is>
      </c>
      <c r="BD130" s="24" t="inlineStr">
        <is>
          <t>e0cd9cffa8d11f894fd13b69be474bf2e4371b29db5e62888aec7b8f44f78946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lol-tiered-elo-v3</t>
        </is>
      </c>
      <c r="BH130" s="24" t="inlineStr">
        <is>
          <t>2026-07-22T05:17:11.065754Z</t>
        </is>
      </c>
      <c r="BI130" s="24" t="inlineStr">
        <is>
          <t>["same_event","same_team_same_day","same_league_same_day"]</t>
        </is>
      </c>
      <c r="BJ130" s="25" t="n"/>
      <c r="BK130" s="26" t="n">
        <v>-163</v>
      </c>
      <c r="BL130" s="27" t="n">
        <v>1.613497</v>
      </c>
      <c r="BM130" s="28" t="n">
        <v>0.619772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</row>
    <row r="131" ht="36" customHeight="1">
      <c r="A131" s="24" t="inlineStr">
        <is>
          <t>b3933a7255314a9c</t>
        </is>
      </c>
      <c r="B131" s="24" t="inlineStr">
        <is>
          <t>2026-07-22T05:19:52.182978Z</t>
        </is>
      </c>
      <c r="C131" s="24" t="inlineStr">
        <is>
          <t>2026-07-22T17:30:00Z</t>
        </is>
      </c>
      <c r="D131" s="24" t="inlineStr">
        <is>
          <t>56127</t>
        </is>
      </c>
      <c r="E131" s="24" t="inlineStr">
        <is>
          <t>LOL</t>
        </is>
      </c>
      <c r="F131" s="24" t="inlineStr">
        <is>
          <t>UCAM Esports Club</t>
        </is>
      </c>
      <c r="G131" s="24" t="inlineStr">
        <is>
          <t>Barça eSports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-150</v>
      </c>
      <c r="M131" s="27" t="n">
        <v>1.666667</v>
      </c>
      <c r="N131" s="28" t="n">
        <v>0.6</v>
      </c>
      <c r="O131" s="28" t="n">
        <v>0.581485</v>
      </c>
      <c r="P131" s="28" t="n"/>
      <c r="Q131" s="28" t="n">
        <v>-0.018515</v>
      </c>
      <c r="R131" s="26" t="n">
        <v>11</v>
      </c>
      <c r="S131" s="29" t="n">
        <v>1.25</v>
      </c>
      <c r="T131" s="24" t="inlineStr">
        <is>
          <t>lol-tiered-elo-v3</t>
        </is>
      </c>
      <c r="U131" s="24" t="inlineStr">
        <is>
          <t>open</t>
        </is>
      </c>
      <c r="V131" s="24" t="n"/>
      <c r="W131" s="26" t="n"/>
      <c r="X131" s="26" t="n"/>
      <c r="Y131" s="25" t="n"/>
      <c r="Z131" s="26" t="n"/>
      <c r="AA131" s="28" t="n"/>
      <c r="AB131" s="28" t="n"/>
      <c r="AC131" s="30" t="n"/>
      <c r="AD131" s="24" t="n"/>
      <c r="AE131" s="31" t="inlineStr">
        <is>
          <t>Neutral Elo baseline; executable ask 0.6000 (market_slug=aec-lol-bar-ucam-2026-07-22).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NO_CALL_LOW_EDGE</t>
        </is>
      </c>
      <c r="AP131" s="24" t="inlineStr">
        <is>
          <t>UCAM Esports Club</t>
        </is>
      </c>
      <c r="AQ131" s="24" t="inlineStr">
        <is>
          <t>UCAM Esports Club</t>
        </is>
      </c>
      <c r="AR131" s="24" t="inlineStr">
        <is>
          <t>UCAM Esports Club</t>
        </is>
      </c>
      <c r="AS131" s="24" t="inlineStr">
        <is>
          <t>Barça eSports</t>
        </is>
      </c>
      <c r="AT131" s="24" t="inlineStr">
        <is>
          <t>Barça eSports</t>
        </is>
      </c>
      <c r="AU131" s="24" t="inlineStr">
        <is>
          <t>Barça eSports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e0cd9cffa8d11f894fd13b69be474bf2e4371b29db5e62888aec7b8f44f78946</t>
        </is>
      </c>
      <c r="BB131" s="24" t="inlineStr">
        <is>
          <t>neutral_elo</t>
        </is>
      </c>
      <c r="BC131" s="24" t="inlineStr">
        <is>
          <t>lol-tiered-elo-v3</t>
        </is>
      </c>
      <c r="BD131" s="24" t="inlineStr">
        <is>
          <t>e0cd9cffa8d11f894fd13b69be474bf2e4371b29db5e62888aec7b8f44f78946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lol-tiered-elo-v3</t>
        </is>
      </c>
      <c r="BH131" s="24" t="inlineStr">
        <is>
          <t>2026-07-22T05:17:11.800383Z</t>
        </is>
      </c>
      <c r="BI131" s="24" t="inlineStr">
        <is>
          <t>["same_event","same_team_same_day","same_league_same_day"]</t>
        </is>
      </c>
      <c r="BJ131" s="25" t="n"/>
      <c r="BK131" s="26" t="n">
        <v>-150</v>
      </c>
      <c r="BL131" s="27" t="n">
        <v>1.666667</v>
      </c>
      <c r="BM131" s="28" t="n">
        <v>0.6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</row>
    <row r="132" ht="36" customHeight="1">
      <c r="A132" s="24" t="inlineStr">
        <is>
          <t>69fb3791da444f92</t>
        </is>
      </c>
      <c r="B132" s="24" t="inlineStr">
        <is>
          <t>2026-07-22T05:19:52.182978Z</t>
        </is>
      </c>
      <c r="C132" s="24" t="inlineStr">
        <is>
          <t>2026-07-22T18:00:00Z</t>
        </is>
      </c>
      <c r="D132" s="24" t="inlineStr">
        <is>
          <t>56129</t>
        </is>
      </c>
      <c r="E132" s="24" t="inlineStr">
        <is>
          <t>LOL</t>
        </is>
      </c>
      <c r="F132" s="24" t="inlineStr">
        <is>
          <t>EKO Esports</t>
        </is>
      </c>
      <c r="G132" s="24" t="inlineStr">
        <is>
          <t>TITANS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133</v>
      </c>
      <c r="M132" s="27" t="n">
        <v>2.33</v>
      </c>
      <c r="N132" s="28" t="n">
        <v>0.429185</v>
      </c>
      <c r="O132" s="28" t="n">
        <v>0.514184</v>
      </c>
      <c r="P132" s="28" t="n"/>
      <c r="Q132" s="28" t="n">
        <v>0.08499900000000001</v>
      </c>
      <c r="R132" s="26" t="n">
        <v>62</v>
      </c>
      <c r="S132" s="29" t="n">
        <v>0.75</v>
      </c>
      <c r="T132" s="24" t="inlineStr">
        <is>
          <t>lol-tiered-elo-v3</t>
        </is>
      </c>
      <c r="U132" s="24" t="inlineStr">
        <is>
          <t>open</t>
        </is>
      </c>
      <c r="V132" s="24" t="n"/>
      <c r="W132" s="26" t="n"/>
      <c r="X132" s="26" t="n"/>
      <c r="Y132" s="25" t="n"/>
      <c r="Z132" s="26" t="n"/>
      <c r="AA132" s="28" t="n"/>
      <c r="AB132" s="28" t="n"/>
      <c r="AC132" s="30" t="n"/>
      <c r="AD132" s="24" t="n"/>
      <c r="AE132" s="31" t="inlineStr">
        <is>
          <t>Neutral Elo baseline; executable ask 0.4300 (market_slug=aec-lol-tts-eko-2026-07-22).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EKO Esports</t>
        </is>
      </c>
      <c r="AQ132" s="24" t="inlineStr">
        <is>
          <t>EKO Esports</t>
        </is>
      </c>
      <c r="AR132" s="24" t="inlineStr">
        <is>
          <t>EKO Esports</t>
        </is>
      </c>
      <c r="AS132" s="24" t="inlineStr">
        <is>
          <t>TITANS</t>
        </is>
      </c>
      <c r="AT132" s="24" t="inlineStr">
        <is>
          <t>TITANS</t>
        </is>
      </c>
      <c r="AU132" s="24" t="inlineStr">
        <is>
          <t>TITANS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e0cd9cffa8d11f894fd13b69be474bf2e4371b29db5e62888aec7b8f44f78946</t>
        </is>
      </c>
      <c r="BB132" s="24" t="inlineStr">
        <is>
          <t>neutral_elo</t>
        </is>
      </c>
      <c r="BC132" s="24" t="inlineStr">
        <is>
          <t>lol-tiered-elo-v3</t>
        </is>
      </c>
      <c r="BD132" s="24" t="inlineStr">
        <is>
          <t>e0cd9cffa8d11f894fd13b69be474bf2e4371b29db5e62888aec7b8f44f78946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lol-tiered-elo-v3</t>
        </is>
      </c>
      <c r="BH132" s="24" t="inlineStr">
        <is>
          <t>2026-07-22T05:17:13.396220Z</t>
        </is>
      </c>
      <c r="BI132" s="24" t="inlineStr">
        <is>
          <t>["same_event","same_team_same_day","same_league_same_day"]</t>
        </is>
      </c>
      <c r="BJ132" s="25" t="n"/>
      <c r="BK132" s="26" t="n">
        <v>133</v>
      </c>
      <c r="BL132" s="27" t="n">
        <v>2.33</v>
      </c>
      <c r="BM132" s="28" t="n">
        <v>0.429185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</row>
    <row r="133" ht="36" customHeight="1">
      <c r="A133" s="24" t="inlineStr">
        <is>
          <t>acbde024ef4d41db</t>
        </is>
      </c>
      <c r="B133" s="24" t="inlineStr">
        <is>
          <t>2026-07-22T05:19:52.182978Z</t>
        </is>
      </c>
      <c r="C133" s="24" t="inlineStr">
        <is>
          <t>2026-07-22T19:00:00Z</t>
        </is>
      </c>
      <c r="D133" s="24" t="inlineStr">
        <is>
          <t>56130</t>
        </is>
      </c>
      <c r="E133" s="24" t="inlineStr">
        <is>
          <t>LOL</t>
        </is>
      </c>
      <c r="F133" s="24" t="inlineStr">
        <is>
          <t>Aeterna Esports</t>
        </is>
      </c>
      <c r="G133" s="24" t="inlineStr">
        <is>
          <t>P11 Esports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-163</v>
      </c>
      <c r="M133" s="27" t="n">
        <v>1.613497</v>
      </c>
      <c r="N133" s="28" t="n">
        <v>0.619772</v>
      </c>
      <c r="O133" s="28" t="n">
        <v>0.518543</v>
      </c>
      <c r="P133" s="28" t="n"/>
      <c r="Q133" s="28" t="n">
        <v>-0.101229</v>
      </c>
      <c r="R133" s="26" t="n">
        <v>0</v>
      </c>
      <c r="S133" s="29" t="n">
        <v>0.75</v>
      </c>
      <c r="T133" s="24" t="inlineStr">
        <is>
          <t>lol-tiered-elo-v3</t>
        </is>
      </c>
      <c r="U133" s="24" t="inlineStr">
        <is>
          <t>open</t>
        </is>
      </c>
      <c r="V133" s="24" t="n"/>
      <c r="W133" s="26" t="n"/>
      <c r="X133" s="26" t="n"/>
      <c r="Y133" s="25" t="n"/>
      <c r="Z133" s="26" t="n"/>
      <c r="AA133" s="28" t="n"/>
      <c r="AB133" s="28" t="n"/>
      <c r="AC133" s="30" t="n"/>
      <c r="AD133" s="24" t="n"/>
      <c r="AE133" s="31" t="inlineStr">
        <is>
          <t>Neutral Elo baseline; executable ask 0.6200 (market_slug=aec-lol-p11-aee-2026-07-22).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NO_CALL_LARGE_DISAGREEMENT_REVIEW</t>
        </is>
      </c>
      <c r="AP133" s="24" t="inlineStr">
        <is>
          <t>Aeterna Esports</t>
        </is>
      </c>
      <c r="AQ133" s="24" t="inlineStr">
        <is>
          <t>Aeterna Esports</t>
        </is>
      </c>
      <c r="AR133" s="24" t="inlineStr">
        <is>
          <t>Aeterna Esports</t>
        </is>
      </c>
      <c r="AS133" s="24" t="inlineStr">
        <is>
          <t>P11 Esports</t>
        </is>
      </c>
      <c r="AT133" s="24" t="inlineStr">
        <is>
          <t>P11 Esports</t>
        </is>
      </c>
      <c r="AU133" s="24" t="inlineStr">
        <is>
          <t>P11 Esports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e0cd9cffa8d11f894fd13b69be474bf2e4371b29db5e62888aec7b8f44f78946</t>
        </is>
      </c>
      <c r="BB133" s="24" t="inlineStr">
        <is>
          <t>neutral_elo</t>
        </is>
      </c>
      <c r="BC133" s="24" t="inlineStr">
        <is>
          <t>lol-tiered-elo-v3</t>
        </is>
      </c>
      <c r="BD133" s="24" t="inlineStr">
        <is>
          <t>e0cd9cffa8d11f894fd13b69be474bf2e4371b29db5e62888aec7b8f44f78946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lol-tiered-elo-v3</t>
        </is>
      </c>
      <c r="BH133" s="24" t="inlineStr">
        <is>
          <t>2026-07-22T05:17:18.687465Z</t>
        </is>
      </c>
      <c r="BI133" s="24" t="inlineStr">
        <is>
          <t>["same_event","same_team_same_day","same_league_same_day"]</t>
        </is>
      </c>
      <c r="BJ133" s="25" t="n"/>
      <c r="BK133" s="26" t="n">
        <v>-163</v>
      </c>
      <c r="BL133" s="27" t="n">
        <v>1.613497</v>
      </c>
      <c r="BM133" s="28" t="n">
        <v>0.619772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</row>
    <row r="134" ht="36" customHeight="1">
      <c r="A134" s="24" t="inlineStr">
        <is>
          <t>af7e142ab3744a4a</t>
        </is>
      </c>
      <c r="B134" s="24" t="inlineStr">
        <is>
          <t>2026-07-22T05:19:52.182978Z</t>
        </is>
      </c>
      <c r="C134" s="24" t="inlineStr">
        <is>
          <t>2026-07-22T20:00:00Z</t>
        </is>
      </c>
      <c r="D134" s="24" t="inlineStr">
        <is>
          <t>56132</t>
        </is>
      </c>
      <c r="E134" s="24" t="inlineStr">
        <is>
          <t>LOL</t>
        </is>
      </c>
      <c r="F134" s="24" t="inlineStr">
        <is>
          <t>INTZ e-Sports</t>
        </is>
      </c>
      <c r="G134" s="24" t="inlineStr">
        <is>
          <t>KaBuM! Ilha das Lendas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-104</v>
      </c>
      <c r="M134" s="27" t="n">
        <v>1.961538</v>
      </c>
      <c r="N134" s="28" t="n">
        <v>0.509804</v>
      </c>
      <c r="O134" s="28" t="n">
        <v>0.600063</v>
      </c>
      <c r="P134" s="28" t="n"/>
      <c r="Q134" s="28" t="n">
        <v>0.09025900000000001</v>
      </c>
      <c r="R134" s="26" t="n">
        <v>65</v>
      </c>
      <c r="S134" s="29" t="n">
        <v>1.5</v>
      </c>
      <c r="T134" s="24" t="inlineStr">
        <is>
          <t>lol-tiered-elo-v3</t>
        </is>
      </c>
      <c r="U134" s="24" t="inlineStr">
        <is>
          <t>open</t>
        </is>
      </c>
      <c r="V134" s="24" t="n"/>
      <c r="W134" s="26" t="n"/>
      <c r="X134" s="26" t="n"/>
      <c r="Y134" s="25" t="n"/>
      <c r="Z134" s="26" t="n"/>
      <c r="AA134" s="28" t="n"/>
      <c r="AB134" s="28" t="n"/>
      <c r="AC134" s="30" t="n"/>
      <c r="AD134" s="24" t="n"/>
      <c r="AE134" s="31" t="inlineStr">
        <is>
          <t>Neutral Elo baseline; executable ask 0.5100 (market_slug=aec-lol-kbm-itz-2026-07-22).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INTZ e-Sports</t>
        </is>
      </c>
      <c r="AQ134" s="24" t="inlineStr">
        <is>
          <t>INTZ e-Sports</t>
        </is>
      </c>
      <c r="AR134" s="24" t="inlineStr">
        <is>
          <t>INTZ e-Sports</t>
        </is>
      </c>
      <c r="AS134" s="24" t="inlineStr">
        <is>
          <t>KaBuM! Ilha das Lendas</t>
        </is>
      </c>
      <c r="AT134" s="24" t="inlineStr">
        <is>
          <t>KaBuM! Ilha das Lendas</t>
        </is>
      </c>
      <c r="AU134" s="24" t="inlineStr">
        <is>
          <t>KaBuM! Ilha das Lendas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e0cd9cffa8d11f894fd13b69be474bf2e4371b29db5e62888aec7b8f44f78946</t>
        </is>
      </c>
      <c r="BB134" s="24" t="inlineStr">
        <is>
          <t>neutral_elo</t>
        </is>
      </c>
      <c r="BC134" s="24" t="inlineStr">
        <is>
          <t>lol-tiered-elo-v3</t>
        </is>
      </c>
      <c r="BD134" s="24" t="inlineStr">
        <is>
          <t>e0cd9cffa8d11f894fd13b69be474bf2e4371b29db5e62888aec7b8f44f78946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lol-tiered-elo-v3</t>
        </is>
      </c>
      <c r="BH134" s="24" t="inlineStr">
        <is>
          <t>2026-07-22T05:17:20.981406Z</t>
        </is>
      </c>
      <c r="BI134" s="24" t="inlineStr">
        <is>
          <t>["same_event","same_team_same_day","same_league_same_day"]</t>
        </is>
      </c>
      <c r="BJ134" s="25" t="n"/>
      <c r="BK134" s="26" t="n">
        <v>-104</v>
      </c>
      <c r="BL134" s="27" t="n">
        <v>1.961538</v>
      </c>
      <c r="BM134" s="28" t="n">
        <v>0.509804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</row>
    <row r="135" ht="36" customHeight="1">
      <c r="A135" s="24" t="inlineStr">
        <is>
          <t>cb95d785b47c4574</t>
        </is>
      </c>
      <c r="B135" s="24" t="inlineStr">
        <is>
          <t>2026-07-22T05:19:52.182978Z</t>
        </is>
      </c>
      <c r="C135" s="24" t="inlineStr">
        <is>
          <t>2026-07-22T23:00:00Z</t>
        </is>
      </c>
      <c r="D135" s="24" t="inlineStr">
        <is>
          <t>56138</t>
        </is>
      </c>
      <c r="E135" s="24" t="inlineStr">
        <is>
          <t>LOL</t>
        </is>
      </c>
      <c r="F135" s="24" t="inlineStr">
        <is>
          <t>7REX</t>
        </is>
      </c>
      <c r="G135" s="24" t="inlineStr">
        <is>
          <t>Ei Nerd Esports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138</v>
      </c>
      <c r="M135" s="27" t="n">
        <v>2.38</v>
      </c>
      <c r="N135" s="28" t="n">
        <v>0.420168</v>
      </c>
      <c r="O135" s="28" t="n">
        <v>0.5449850000000001</v>
      </c>
      <c r="P135" s="28" t="n"/>
      <c r="Q135" s="28" t="n">
        <v>0.124817</v>
      </c>
      <c r="R135" s="26" t="n">
        <v>100</v>
      </c>
      <c r="S135" s="29" t="n">
        <v>1</v>
      </c>
      <c r="T135" s="24" t="inlineStr">
        <is>
          <t>lol-tiered-elo-v3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Neutral Elo baseline; executable ask 0.4200 (market_slug=aec-lol-nerd-7rex-2026-07-22).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NO_CALL_LARGE_DISAGREEMENT_REVIEW</t>
        </is>
      </c>
      <c r="AP135" s="24" t="inlineStr">
        <is>
          <t>7REX</t>
        </is>
      </c>
      <c r="AQ135" s="24" t="inlineStr">
        <is>
          <t>7REX</t>
        </is>
      </c>
      <c r="AR135" s="24" t="inlineStr">
        <is>
          <t>7REX</t>
        </is>
      </c>
      <c r="AS135" s="24" t="inlineStr">
        <is>
          <t>Ei Nerd Esports</t>
        </is>
      </c>
      <c r="AT135" s="24" t="inlineStr">
        <is>
          <t>Ei Nerd Esports</t>
        </is>
      </c>
      <c r="AU135" s="24" t="inlineStr">
        <is>
          <t>Ei Nerd Esports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e0cd9cffa8d11f894fd13b69be474bf2e4371b29db5e62888aec7b8f44f78946</t>
        </is>
      </c>
      <c r="BB135" s="24" t="inlineStr">
        <is>
          <t>neutral_elo</t>
        </is>
      </c>
      <c r="BC135" s="24" t="inlineStr">
        <is>
          <t>lol-tiered-elo-v3</t>
        </is>
      </c>
      <c r="BD135" s="24" t="inlineStr">
        <is>
          <t>e0cd9cffa8d11f894fd13b69be474bf2e4371b29db5e62888aec7b8f44f78946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lol-tiered-elo-v3</t>
        </is>
      </c>
      <c r="BH135" s="24" t="inlineStr">
        <is>
          <t>2026-07-22T05:17:24.819172Z</t>
        </is>
      </c>
      <c r="BI135" s="24" t="inlineStr">
        <is>
          <t>["same_event","same_team_same_day","same_league_same_day"]</t>
        </is>
      </c>
      <c r="BJ135" s="25" t="n"/>
      <c r="BK135" s="26" t="n">
        <v>138</v>
      </c>
      <c r="BL135" s="27" t="n">
        <v>2.38</v>
      </c>
      <c r="BM135" s="28" t="n">
        <v>0.420168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</row>
    <row r="136" ht="36" customHeight="1">
      <c r="A136" s="24" t="inlineStr">
        <is>
          <t>8af698b4ee2c496c</t>
        </is>
      </c>
      <c r="B136" s="24" t="inlineStr">
        <is>
          <t>2026-07-22T05:19:52.182978Z</t>
        </is>
      </c>
      <c r="C136" s="24" t="inlineStr">
        <is>
          <t>2026-07-23T09:00:00Z</t>
        </is>
      </c>
      <c r="D136" s="24" t="inlineStr">
        <is>
          <t>56810</t>
        </is>
      </c>
      <c r="E136" s="24" t="inlineStr">
        <is>
          <t>LOL</t>
        </is>
      </c>
      <c r="F136" s="24" t="inlineStr">
        <is>
          <t>Anyone's Legend</t>
        </is>
      </c>
      <c r="G136" s="24" t="inlineStr">
        <is>
          <t>JD Gaming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-138</v>
      </c>
      <c r="M136" s="27" t="n">
        <v>1.724638</v>
      </c>
      <c r="N136" s="28" t="n">
        <v>0.579832</v>
      </c>
      <c r="O136" s="28" t="n">
        <v>0.529047</v>
      </c>
      <c r="P136" s="28" t="n"/>
      <c r="Q136" s="28" t="n">
        <v>-0.050785</v>
      </c>
      <c r="R136" s="26" t="n">
        <v>0</v>
      </c>
      <c r="S136" s="29" t="n">
        <v>0.75</v>
      </c>
      <c r="T136" s="24" t="inlineStr">
        <is>
          <t>lol-tiered-elo-v3</t>
        </is>
      </c>
      <c r="U136" s="24" t="inlineStr">
        <is>
          <t>open</t>
        </is>
      </c>
      <c r="V136" s="24" t="n"/>
      <c r="W136" s="26" t="n"/>
      <c r="X136" s="26" t="n"/>
      <c r="Y136" s="25" t="n"/>
      <c r="Z136" s="26" t="n"/>
      <c r="AA136" s="28" t="n"/>
      <c r="AB136" s="28" t="n"/>
      <c r="AC136" s="30" t="n"/>
      <c r="AD136" s="24" t="n"/>
      <c r="AE136" s="31" t="inlineStr">
        <is>
          <t>Neutral Elo baseline; executable ask 0.5800 (market_slug=aec-lol-jdg-al-2026-07-23).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NO_CALL_LOW_EDGE</t>
        </is>
      </c>
      <c r="AP136" s="24" t="inlineStr">
        <is>
          <t>Anyone's Legend</t>
        </is>
      </c>
      <c r="AQ136" s="24" t="inlineStr">
        <is>
          <t>Anyone's Legend</t>
        </is>
      </c>
      <c r="AR136" s="24" t="inlineStr">
        <is>
          <t>Anyone's Legend</t>
        </is>
      </c>
      <c r="AS136" s="24" t="inlineStr">
        <is>
          <t>JD Gaming</t>
        </is>
      </c>
      <c r="AT136" s="24" t="inlineStr">
        <is>
          <t>JD Gaming</t>
        </is>
      </c>
      <c r="AU136" s="24" t="inlineStr">
        <is>
          <t>JD Gaming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e0cd9cffa8d11f894fd13b69be474bf2e4371b29db5e62888aec7b8f44f78946</t>
        </is>
      </c>
      <c r="BB136" s="24" t="inlineStr">
        <is>
          <t>neutral_elo</t>
        </is>
      </c>
      <c r="BC136" s="24" t="inlineStr">
        <is>
          <t>lol-tiered-elo-v3</t>
        </is>
      </c>
      <c r="BD136" s="24" t="inlineStr">
        <is>
          <t>e0cd9cffa8d11f894fd13b69be474bf2e4371b29db5e62888aec7b8f44f78946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lol-tiered-elo-v3</t>
        </is>
      </c>
      <c r="BH136" s="24" t="inlineStr">
        <is>
          <t>2026-07-22T05:17:27.088741Z</t>
        </is>
      </c>
      <c r="BI136" s="24" t="inlineStr">
        <is>
          <t>["same_event","same_team_same_day","same_league_same_day"]</t>
        </is>
      </c>
      <c r="BJ136" s="25" t="n"/>
      <c r="BK136" s="26" t="n">
        <v>-138</v>
      </c>
      <c r="BL136" s="27" t="n">
        <v>1.724638</v>
      </c>
      <c r="BM136" s="28" t="n">
        <v>0.579832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</row>
    <row r="137" ht="36" customHeight="1">
      <c r="A137" s="24" t="inlineStr">
        <is>
          <t>2fc0c6b918364ae8</t>
        </is>
      </c>
      <c r="B137" s="24" t="inlineStr">
        <is>
          <t>2026-07-22T05:19:52.182978Z</t>
        </is>
      </c>
      <c r="C137" s="24" t="inlineStr">
        <is>
          <t>2026-07-23T17:00:00Z</t>
        </is>
      </c>
      <c r="D137" s="24" t="inlineStr">
        <is>
          <t>57088</t>
        </is>
      </c>
      <c r="E137" s="24" t="inlineStr">
        <is>
          <t>LOL</t>
        </is>
      </c>
      <c r="F137" s="24" t="inlineStr">
        <is>
          <t>Dynasty</t>
        </is>
      </c>
      <c r="G137" s="24" t="inlineStr">
        <is>
          <t>Myth Esports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138</v>
      </c>
      <c r="M137" s="27" t="n">
        <v>2.38</v>
      </c>
      <c r="N137" s="28" t="n">
        <v>0.420168</v>
      </c>
      <c r="O137" s="28" t="n">
        <v>0.501096</v>
      </c>
      <c r="P137" s="28" t="n"/>
      <c r="Q137" s="28" t="n">
        <v>0.080928</v>
      </c>
      <c r="R137" s="26" t="n">
        <v>60</v>
      </c>
      <c r="S137" s="29" t="n">
        <v>0.5</v>
      </c>
      <c r="T137" s="24" t="inlineStr">
        <is>
          <t>lol-tiered-elo-v3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Neutral Elo baseline; executable ask 0.4200 (market_slug=aec-lol-myth-dyn-2026-07-23).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Dynasty</t>
        </is>
      </c>
      <c r="AQ137" s="24" t="inlineStr">
        <is>
          <t>Dynasty</t>
        </is>
      </c>
      <c r="AR137" s="24" t="inlineStr">
        <is>
          <t>Dynasty</t>
        </is>
      </c>
      <c r="AS137" s="24" t="inlineStr">
        <is>
          <t>Myth Esports</t>
        </is>
      </c>
      <c r="AT137" s="24" t="inlineStr">
        <is>
          <t>Myth Esports</t>
        </is>
      </c>
      <c r="AU137" s="24" t="inlineStr">
        <is>
          <t>Myth Esports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e0cd9cffa8d11f894fd13b69be474bf2e4371b29db5e62888aec7b8f44f78946</t>
        </is>
      </c>
      <c r="BB137" s="24" t="inlineStr">
        <is>
          <t>neutral_elo</t>
        </is>
      </c>
      <c r="BC137" s="24" t="inlineStr">
        <is>
          <t>lol-tiered-elo-v3</t>
        </is>
      </c>
      <c r="BD137" s="24" t="inlineStr">
        <is>
          <t>e0cd9cffa8d11f894fd13b69be474bf2e4371b29db5e62888aec7b8f44f78946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lol-tiered-elo-v3</t>
        </is>
      </c>
      <c r="BH137" s="24" t="inlineStr">
        <is>
          <t>2026-07-22T05:17:33.061872Z</t>
        </is>
      </c>
      <c r="BI137" s="24" t="inlineStr">
        <is>
          <t>["same_event","same_team_same_day","same_league_same_day"]</t>
        </is>
      </c>
      <c r="BJ137" s="25" t="n"/>
      <c r="BK137" s="26" t="n">
        <v>138</v>
      </c>
      <c r="BL137" s="27" t="n">
        <v>2.38</v>
      </c>
      <c r="BM137" s="28" t="n">
        <v>0.420168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2026-07-22T05:20:00Z</dcterms:created>
  <dcterms:modified xsi:type="dcterms:W3CDTF">2026-07-22T05:20:00Z</dcterms:modified>
</cp:coreProperties>
</file>