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63" headerRowCount="1">
  <autoFilter ref="A1:CQ263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COUNTA('Picks'!$A$2:$A$263)</f>
        <v/>
      </c>
      <c r="C4" s="6">
        <f>COUNTIF('Picks'!$U$2:$U$263,"open")</f>
        <v/>
      </c>
      <c r="E4" s="6">
        <f>COUNTIF('Picks'!$U$2:$U$263,"settled")</f>
        <v/>
      </c>
      <c r="G4" s="6">
        <f>IF(COUNTIFS('Picks'!$U$2:$U$263,"settled",'Picks'!$V$2:$V$263,"win")+COUNTIFS('Picks'!$U$2:$U$263,"settled",'Picks'!$V$2:$V$263,"loss")&gt;=$L$2,"Ready","Insufficient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COUNTIF('Picks'!$BX$2:$BX$263,"&gt;0")</f>
        <v/>
      </c>
      <c r="C7" s="6">
        <f>COUNTIFS('Picks'!$BX$2:$BX$263,"&gt;0",'Picks'!$V$2:$V$263,"win")&amp;"-"&amp;COUNTIFS('Picks'!$BX$2:$BX$263,"&gt;0",'Picks'!$V$2:$V$263,"loss")</f>
        <v/>
      </c>
      <c r="E7" s="7">
        <f>IFERROR(COUNTIFS('Picks'!$BX$2:$BX$263,"&gt;0",'Picks'!$V$2:$V$263,"win")/(COUNTIFS('Picks'!$BX$2:$BX$263,"&gt;0",'Picks'!$V$2:$V$263,"win")+COUNTIFS('Picks'!$BX$2:$BX$263,"&gt;0",'Picks'!$V$2:$V$263,"loss")),0)</f>
        <v/>
      </c>
      <c r="G7" s="7">
        <f>IFERROR(SUM('Picks'!$BY$2:$BY$263)/SUM('Picks'!$BX$2:$BX$263),0)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SUM('Picks'!$BY$2:$BY$263)</f>
        <v/>
      </c>
      <c r="C10" s="9">
        <f>IFERROR(AVERAGEIF('Picks'!$AB$2:$AB$263,"&lt;&gt;",'Picks'!$AB$2:$AB$263),0)</f>
        <v/>
      </c>
      <c r="E10" s="6">
        <f>COUNTIFS('Picks'!$AM$2:$AM$263,"QUALIFIED_SHADOW_CALL",'Picks'!$U$2:$U$263,"settled")</f>
        <v/>
      </c>
      <c r="G10" s="8">
        <f>SUMIFS('Picks'!$AC$2:$AC$263,'Picks'!$AM$2:$AM$263,"QUALIFIED_SHADOW_CALL")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COUNTIFS('Picks'!$H$2:$H$263,$A14,'Picks'!$U$2:$U$263,"settled")</f>
        <v/>
      </c>
      <c r="C14" s="13">
        <f>COUNTIFS('Picks'!$H$2:$H$263,$A14,'Picks'!$U$2:$U$263,"settled",'Picks'!$V$2:$V$263,"win")</f>
        <v/>
      </c>
      <c r="D14" s="13">
        <f>COUNTIFS('Picks'!$H$2:$H$263,$A14,'Picks'!$U$2:$U$263,"settled",'Picks'!$V$2:$V$263,"loss")</f>
        <v/>
      </c>
      <c r="E14" s="14">
        <f>IFERROR(C14/(C14+D14),0)</f>
        <v/>
      </c>
      <c r="F14" s="15">
        <f>SUMIFS('Picks'!$BY$2:$BY$263,'Picks'!$H$2:$H$263,$A14)</f>
        <v/>
      </c>
      <c r="G14" s="16">
        <f>IFERROR(AVERAGEIFS('Picks'!$AB$2:$AB$263,'Picks'!$H$2:$H$263,$A14,'Picks'!$U$2:$U$263,"settled"),0)</f>
        <v/>
      </c>
    </row>
    <row r="15">
      <c r="A15" s="17" t="inlineStr">
        <is>
          <t>spread</t>
        </is>
      </c>
      <c r="B15" s="18">
        <f>COUNTIFS('Picks'!$H$2:$H$263,$A15,'Picks'!$U$2:$U$263,"settled")</f>
        <v/>
      </c>
      <c r="C15" s="18">
        <f>COUNTIFS('Picks'!$H$2:$H$263,$A15,'Picks'!$U$2:$U$263,"settled",'Picks'!$V$2:$V$263,"win")</f>
        <v/>
      </c>
      <c r="D15" s="18">
        <f>COUNTIFS('Picks'!$H$2:$H$263,$A15,'Picks'!$U$2:$U$263,"settled",'Picks'!$V$2:$V$263,"loss")</f>
        <v/>
      </c>
      <c r="E15" s="19">
        <f>IFERROR(C15/(C15+D15),0)</f>
        <v/>
      </c>
      <c r="F15" s="20">
        <f>SUMIFS('Picks'!$BY$2:$BY$263,'Picks'!$H$2:$H$263,$A15)</f>
        <v/>
      </c>
      <c r="G15" s="21">
        <f>IFERROR(AVERAGEIFS('Picks'!$AB$2:$AB$263,'Picks'!$H$2:$H$263,$A15,'Picks'!$U$2:$U$263,"settled"),0)</f>
        <v/>
      </c>
    </row>
    <row r="16">
      <c r="A16" s="12" t="inlineStr">
        <is>
          <t>total</t>
        </is>
      </c>
      <c r="B16" s="13">
        <f>COUNTIFS('Picks'!$H$2:$H$263,$A16,'Picks'!$U$2:$U$263,"settled")</f>
        <v/>
      </c>
      <c r="C16" s="13">
        <f>COUNTIFS('Picks'!$H$2:$H$263,$A16,'Picks'!$U$2:$U$263,"settled",'Picks'!$V$2:$V$263,"win")</f>
        <v/>
      </c>
      <c r="D16" s="13">
        <f>COUNTIFS('Picks'!$H$2:$H$263,$A16,'Picks'!$U$2:$U$263,"settled",'Picks'!$V$2:$V$263,"loss")</f>
        <v/>
      </c>
      <c r="E16" s="14">
        <f>IFERROR(C16/(C16+D16),0)</f>
        <v/>
      </c>
      <c r="F16" s="15">
        <f>SUMIFS('Picks'!$BY$2:$BY$263,'Picks'!$H$2:$H$263,$A16)</f>
        <v/>
      </c>
      <c r="G16" s="16">
        <f>IFERROR(AVERAGEIFS('Picks'!$AB$2:$AB$263,'Picks'!$H$2:$H$263,$A16,'Picks'!$U$2:$U$263,"settled"),0)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0.0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1.0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False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287a375726d34558</t>
        </is>
      </c>
      <c r="B201" s="24" t="inlineStr">
        <is>
          <t>2026-08-02T16:10:50.825521Z</t>
        </is>
      </c>
      <c r="C201" s="24" t="inlineStr">
        <is>
          <t>2026-08-02T13:35:00-0400</t>
        </is>
      </c>
      <c r="D201" s="24" t="inlineStr">
        <is>
          <t>401816365</t>
        </is>
      </c>
      <c r="E201" s="24" t="inlineStr">
        <is>
          <t>MLB</t>
        </is>
      </c>
      <c r="F201" s="24" t="inlineStr">
        <is>
          <t>Philadelphia Phillies</t>
        </is>
      </c>
      <c r="G201" s="24" t="inlineStr">
        <is>
          <t>Baltimore Orioles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-130</v>
      </c>
      <c r="M201" s="27" t="n">
        <v>1.769231</v>
      </c>
      <c r="N201" s="28" t="n">
        <v>0.565217</v>
      </c>
      <c r="O201" s="28" t="n">
        <v>0.510402</v>
      </c>
      <c r="P201" s="28" t="n"/>
      <c r="Q201" s="28" t="n">
        <v>-0.054815</v>
      </c>
      <c r="R201" s="26" t="n">
        <v>0</v>
      </c>
      <c r="S201" s="29" t="n">
        <v>1</v>
      </c>
      <c r="T201" s="24" t="inlineStr">
        <is>
          <t>mlb-elo-trend-lr-v7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0.6242; executable ask 0.5650 (aec-mlb-phi-bal-2026-08-02); model edge vs ask -0.0546.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mlb-phi</t>
        </is>
      </c>
      <c r="AQ201" s="24" t="inlineStr">
        <is>
          <t>Philadelphia Phillies</t>
        </is>
      </c>
      <c r="AR201" s="24" t="inlineStr">
        <is>
          <t>Philadelphia Phillies</t>
        </is>
      </c>
      <c r="AS201" s="24" t="inlineStr">
        <is>
          <t>mlb-bal</t>
        </is>
      </c>
      <c r="AT201" s="24" t="inlineStr">
        <is>
          <t>Baltimore Orioles</t>
        </is>
      </c>
      <c r="AU201" s="24" t="inlineStr">
        <is>
          <t>Baltimore Orioles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464eef695bfbbdaa819ec6f5e4c5bd1068ed20b92915fb2677220ae91e20d8b6</t>
        </is>
      </c>
      <c r="BB201" s="24" t="inlineStr">
        <is>
          <t>learned_lr</t>
        </is>
      </c>
      <c r="BC201" s="24" t="inlineStr">
        <is>
          <t>mlb-elo-trend-lr-v7</t>
        </is>
      </c>
      <c r="BD201" s="24" t="inlineStr">
        <is>
          <t>464eef695bfbbdaa819ec6f5e4c5bd1068ed20b92915fb2677220ae91e20d8b6</t>
        </is>
      </c>
      <c r="BE201" s="24" t="inlineStr">
        <is>
          <t>396e9b6ed64f1f86</t>
        </is>
      </c>
      <c r="BF201" s="24" t="inlineStr">
        <is>
          <t>1</t>
        </is>
      </c>
      <c r="BG201" s="24" t="inlineStr">
        <is>
          <t>mlb-elo-trend-lr-v7</t>
        </is>
      </c>
      <c r="BH201" s="24" t="inlineStr">
        <is>
          <t>2026-08-02T16:09:48.350528Z</t>
        </is>
      </c>
      <c r="BI201" s="24" t="inlineStr">
        <is>
          <t>["same_event","same_team_same_day","same_league_same_day"]</t>
        </is>
      </c>
      <c r="BJ201" s="25" t="n"/>
      <c r="BK201" s="26" t="n">
        <v>-130</v>
      </c>
      <c r="BL201" s="27" t="n">
        <v>1.769231</v>
      </c>
      <c r="BM201" s="28" t="n">
        <v>0.565217</v>
      </c>
      <c r="BN201" s="28" t="n">
        <v>0.562189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0.4831243511</t>
        </is>
      </c>
      <c r="CD201" s="24" t="inlineStr">
        <is>
          <t>-0.050102</t>
        </is>
      </c>
      <c r="CE201" s="24" t="inlineStr">
        <is>
          <t>1.03</t>
        </is>
      </c>
      <c r="CF201" s="24" t="inlineStr">
        <is>
          <t>1.0236</t>
        </is>
      </c>
      <c r="CG201" s="24" t="inlineStr">
        <is>
          <t>2.8</t>
        </is>
      </c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inlineStr">
        <is>
          <t>False</t>
        </is>
      </c>
    </row>
    <row r="202" ht="36" customHeight="1">
      <c r="A202" s="24" t="inlineStr">
        <is>
          <t>ffbae6f45ffe4ee0</t>
        </is>
      </c>
      <c r="B202" s="24" t="inlineStr">
        <is>
          <t>2026-08-02T16:10:50.825521Z</t>
        </is>
      </c>
      <c r="C202" s="24" t="inlineStr">
        <is>
          <t>2026-08-02T13:00:00-0400</t>
        </is>
      </c>
      <c r="D202" s="24" t="inlineStr">
        <is>
          <t>401857107</t>
        </is>
      </c>
      <c r="E202" s="24" t="inlineStr">
        <is>
          <t>WNBA</t>
        </is>
      </c>
      <c r="F202" s="24" t="inlineStr">
        <is>
          <t>Indiana Fever</t>
        </is>
      </c>
      <c r="G202" s="24" t="inlineStr">
        <is>
          <t>Minnesota Lynx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0.643489</v>
      </c>
      <c r="P202" s="28" t="n"/>
      <c r="Q202" s="28" t="n">
        <v>-0.016375</v>
      </c>
      <c r="R202" s="26" t="n">
        <v>15</v>
      </c>
      <c r="S202" s="29" t="n">
        <v>1.5</v>
      </c>
      <c r="T202" s="24" t="inlineStr">
        <is>
          <t>wnba-elo-trend-lr-v4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Learned LR call at threshold 0.5001; executable ask 0.6600 (aec-wnba-ind-min-2026-08-02); model edge vs ask -0.0165. NOTE: NO_CALL_AVAILABILITY_PLAYER_UNMAPPED unavailable for this game — defaulted to neutral, other features used normally.</t>
        </is>
      </c>
      <c r="AF202" s="31" t="inlineStr">
        <is>
          <t>Learned model; shadow-qualified via operator override.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wnba-ind</t>
        </is>
      </c>
      <c r="AQ202" s="24" t="inlineStr">
        <is>
          <t>Indiana Fever</t>
        </is>
      </c>
      <c r="AR202" s="24" t="inlineStr">
        <is>
          <t>Indiana Fever</t>
        </is>
      </c>
      <c r="AS202" s="24" t="inlineStr">
        <is>
          <t>wnba-min</t>
        </is>
      </c>
      <c r="AT202" s="24" t="inlineStr">
        <is>
          <t>Minnesota Lynx</t>
        </is>
      </c>
      <c r="AU202" s="24" t="inlineStr">
        <is>
          <t>Minnesota Lynx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7afd5274214b58b7efd7f7febc7be3ab33b92351cda5cc6403c0a39faea0cc8c</t>
        </is>
      </c>
      <c r="BB202" s="24" t="inlineStr">
        <is>
          <t>learned_lr</t>
        </is>
      </c>
      <c r="BC202" s="24" t="inlineStr">
        <is>
          <t>wnba-elo-trend-lr-v4</t>
        </is>
      </c>
      <c r="BD202" s="24" t="inlineStr">
        <is>
          <t>7afd5274214b58b7efd7f7febc7be3ab33b92351cda5cc6403c0a39faea0cc8c</t>
        </is>
      </c>
      <c r="BE202" s="24" t="inlineStr">
        <is>
          <t>cb6d856341c7efe7</t>
        </is>
      </c>
      <c r="BF202" s="24" t="inlineStr">
        <is>
          <t>1</t>
        </is>
      </c>
      <c r="BG202" s="24" t="inlineStr">
        <is>
          <t>wnba-elo-trend-lr-v4</t>
        </is>
      </c>
      <c r="BH202" s="24" t="inlineStr">
        <is>
          <t>2026-08-02T16:10:03.979270Z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>
        <v>0.653465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0.6810434571</t>
        </is>
      </c>
      <c r="CD202" s="24" t="inlineStr">
        <is>
          <t>-4.330577</t>
        </is>
      </c>
      <c r="CE202" s="24" t="n"/>
      <c r="CF202" s="24" t="n"/>
      <c r="CG202" s="24" t="n"/>
      <c r="CH202" s="24" t="n"/>
      <c r="CI202" s="24" t="inlineStr">
        <is>
          <t>NO_CALL_AVAILABILITY_PLAYER_UNMAPPED</t>
        </is>
      </c>
      <c r="CJ202" s="24" t="n"/>
      <c r="CK202" s="24" t="n"/>
      <c r="CL202" s="24" t="n"/>
      <c r="CM202" s="24" t="n"/>
      <c r="CN202" s="24" t="n"/>
      <c r="CO202" s="24" t="n"/>
      <c r="CP202" s="24" t="n"/>
      <c r="CQ202" s="24" t="inlineStr">
        <is>
          <t>False</t>
        </is>
      </c>
    </row>
    <row r="203" ht="36" customHeight="1">
      <c r="A203" s="24" t="inlineStr">
        <is>
          <t>fe36e9c5baff4a10</t>
        </is>
      </c>
      <c r="B203" s="24" t="inlineStr">
        <is>
          <t>2026-08-02T16:10:50.825521Z</t>
        </is>
      </c>
      <c r="C203" s="24" t="inlineStr">
        <is>
          <t>2026-08-02T13:35:00-0400</t>
        </is>
      </c>
      <c r="D203" s="24" t="inlineStr">
        <is>
          <t>401816368</t>
        </is>
      </c>
      <c r="E203" s="24" t="inlineStr">
        <is>
          <t>MLB</t>
        </is>
      </c>
      <c r="F203" s="24" t="inlineStr">
        <is>
          <t>Washington Nationals</t>
        </is>
      </c>
      <c r="G203" s="24" t="inlineStr">
        <is>
          <t>Atlanta Braves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-117</v>
      </c>
      <c r="M203" s="27" t="n">
        <v>1.854701</v>
      </c>
      <c r="N203" s="28" t="n">
        <v>0.539171</v>
      </c>
      <c r="O203" s="28" t="n">
        <v>0.600545</v>
      </c>
      <c r="P203" s="28" t="n"/>
      <c r="Q203" s="28" t="n">
        <v>0.061374</v>
      </c>
      <c r="R203" s="26" t="n">
        <v>52</v>
      </c>
      <c r="S203" s="29" t="n">
        <v>1.25</v>
      </c>
      <c r="T203" s="24" t="inlineStr">
        <is>
          <t>mlb-elo-trend-lr-v7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Learned LR call at threshold 0.6242; executable ask 0.5400 (aec-mlb-wsh-atl-2026-08-02); model edge vs ask +0.0605.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mlb-wsh</t>
        </is>
      </c>
      <c r="AQ203" s="24" t="inlineStr">
        <is>
          <t>Washington Nationals</t>
        </is>
      </c>
      <c r="AR203" s="24" t="inlineStr">
        <is>
          <t>Washington Nationals</t>
        </is>
      </c>
      <c r="AS203" s="24" t="inlineStr">
        <is>
          <t>mlb-atl</t>
        </is>
      </c>
      <c r="AT203" s="24" t="inlineStr">
        <is>
          <t>Atlanta Braves</t>
        </is>
      </c>
      <c r="AU203" s="24" t="inlineStr">
        <is>
          <t>Atlanta Braves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464eef695bfbbdaa819ec6f5e4c5bd1068ed20b92915fb2677220ae91e20d8b6</t>
        </is>
      </c>
      <c r="BB203" s="24" t="inlineStr">
        <is>
          <t>learned_lr</t>
        </is>
      </c>
      <c r="BC203" s="24" t="inlineStr">
        <is>
          <t>mlb-elo-trend-lr-v7</t>
        </is>
      </c>
      <c r="BD203" s="24" t="inlineStr">
        <is>
          <t>464eef695bfbbdaa819ec6f5e4c5bd1068ed20b92915fb2677220ae91e20d8b6</t>
        </is>
      </c>
      <c r="BE203" s="24" t="inlineStr">
        <is>
          <t>2ab775901513f2c3</t>
        </is>
      </c>
      <c r="BF203" s="24" t="inlineStr">
        <is>
          <t>1</t>
        </is>
      </c>
      <c r="BG203" s="24" t="inlineStr">
        <is>
          <t>mlb-elo-trend-lr-v7</t>
        </is>
      </c>
      <c r="BH203" s="24" t="inlineStr">
        <is>
          <t>2026-08-02T16:09:49.470727Z</t>
        </is>
      </c>
      <c r="BI203" s="24" t="inlineStr">
        <is>
          <t>["same_event","same_team_same_day","same_league_same_day"]</t>
        </is>
      </c>
      <c r="BJ203" s="25" t="n"/>
      <c r="BK203" s="26" t="n">
        <v>-117</v>
      </c>
      <c r="BL203" s="27" t="n">
        <v>1.854701</v>
      </c>
      <c r="BM203" s="28" t="n">
        <v>0.539171</v>
      </c>
      <c r="BN203" s="28" t="n">
        <v>0.537313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0.6335187094</t>
        </is>
      </c>
      <c r="CD203" s="24" t="inlineStr">
        <is>
          <t>1.061773</t>
        </is>
      </c>
      <c r="CE203" s="24" t="inlineStr">
        <is>
          <t>0.929</t>
        </is>
      </c>
      <c r="CF203" s="24" t="inlineStr">
        <is>
          <t>1.0167</t>
        </is>
      </c>
      <c r="CG203" s="24" t="inlineStr">
        <is>
          <t>-3.6</t>
        </is>
      </c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inlineStr">
        <is>
          <t>True</t>
        </is>
      </c>
    </row>
    <row r="204" ht="36" customHeight="1">
      <c r="A204" s="24" t="inlineStr">
        <is>
          <t>8a73f30d7f30494c</t>
        </is>
      </c>
      <c r="B204" s="24" t="inlineStr">
        <is>
          <t>2026-08-02T16:10:50.825521Z</t>
        </is>
      </c>
      <c r="C204" s="24" t="inlineStr">
        <is>
          <t>2026-08-02T15:30:00-0400</t>
        </is>
      </c>
      <c r="D204" s="24" t="inlineStr">
        <is>
          <t>401857108</t>
        </is>
      </c>
      <c r="E204" s="24" t="inlineStr">
        <is>
          <t>WNBA</t>
        </is>
      </c>
      <c r="F204" s="24" t="inlineStr">
        <is>
          <t>Los Angeles Sparks</t>
        </is>
      </c>
      <c r="G204" s="24" t="inlineStr">
        <is>
          <t>Portland Fire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100</v>
      </c>
      <c r="M204" s="27" t="n">
        <v>2</v>
      </c>
      <c r="N204" s="28" t="n">
        <v>0.5</v>
      </c>
      <c r="O204" s="28" t="n">
        <v>0.57112</v>
      </c>
      <c r="P204" s="28" t="n"/>
      <c r="Q204" s="28" t="n">
        <v>0.07112</v>
      </c>
      <c r="R204" s="26" t="n">
        <v>58</v>
      </c>
      <c r="S204" s="29" t="n">
        <v>1.25</v>
      </c>
      <c r="T204" s="24" t="inlineStr">
        <is>
          <t>wnba-elo-trend-lr-v4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wnba-las</t>
        </is>
      </c>
      <c r="AQ204" s="24" t="inlineStr">
        <is>
          <t>Los Angeles Sparks</t>
        </is>
      </c>
      <c r="AR204" s="24" t="inlineStr">
        <is>
          <t>Los Angeles Sparks</t>
        </is>
      </c>
      <c r="AS204" s="24" t="inlineStr">
        <is>
          <t>wnba-por</t>
        </is>
      </c>
      <c r="AT204" s="24" t="inlineStr">
        <is>
          <t>Portland Fire</t>
        </is>
      </c>
      <c r="AU204" s="24" t="inlineStr">
        <is>
          <t>Portland Fire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7afd5274214b58b7efd7f7febc7be3ab33b92351cda5cc6403c0a39faea0cc8c</t>
        </is>
      </c>
      <c r="BB204" s="24" t="inlineStr">
        <is>
          <t>learned_lr</t>
        </is>
      </c>
      <c r="BC204" s="24" t="inlineStr">
        <is>
          <t>wnba-elo-trend-lr-v4</t>
        </is>
      </c>
      <c r="BD204" s="24" t="inlineStr">
        <is>
          <t>7afd5274214b58b7efd7f7febc7be3ab33b92351cda5cc6403c0a39faea0cc8c</t>
        </is>
      </c>
      <c r="BE204" s="24" t="inlineStr">
        <is>
          <t>58d7c01d51192db8</t>
        </is>
      </c>
      <c r="BF204" s="24" t="inlineStr">
        <is>
          <t>1</t>
        </is>
      </c>
      <c r="BG204" s="24" t="inlineStr">
        <is>
          <t>wnba-elo-trend-lr-v4</t>
        </is>
      </c>
      <c r="BH204" s="24" t="inlineStr">
        <is>
          <t>2026-08-02T16:10:04.931516Z</t>
        </is>
      </c>
      <c r="BI204" s="24" t="inlineStr">
        <is>
          <t>["same_event","same_team_same_day","same_league_same_day"]</t>
        </is>
      </c>
      <c r="BJ204" s="25" t="n"/>
      <c r="BK204" s="26" t="n">
        <v>100</v>
      </c>
      <c r="BL204" s="27" t="n">
        <v>2</v>
      </c>
      <c r="BM204" s="28" t="n">
        <v>0.5</v>
      </c>
      <c r="BN204" s="28" t="n">
        <v>0.49505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0.5937045717</t>
        </is>
      </c>
      <c r="CD204" s="24" t="inlineStr">
        <is>
          <t>-1.420483</t>
        </is>
      </c>
      <c r="CE204" s="24" t="n"/>
      <c r="CF204" s="24" t="n"/>
      <c r="CG204" s="24" t="n"/>
      <c r="CH204" s="24" t="n"/>
      <c r="CI204" s="24" t="inlineStr">
        <is>
          <t>NO_CALL_AVAILABILITY_PLAYER_UNMAPPED</t>
        </is>
      </c>
      <c r="CJ204" s="24" t="n"/>
      <c r="CK204" s="24" t="n"/>
      <c r="CL204" s="24" t="n"/>
      <c r="CM204" s="24" t="n"/>
      <c r="CN204" s="24" t="n"/>
      <c r="CO204" s="24" t="n"/>
      <c r="CP204" s="24" t="n"/>
      <c r="CQ204" s="24" t="inlineStr">
        <is>
          <t>True</t>
        </is>
      </c>
    </row>
    <row r="205" ht="36" customHeight="1">
      <c r="A205" s="24" t="inlineStr">
        <is>
          <t>c85bd24051a64433</t>
        </is>
      </c>
      <c r="B205" s="24" t="inlineStr">
        <is>
          <t>2026-08-02T16:10:50.825521Z</t>
        </is>
      </c>
      <c r="C205" s="24" t="inlineStr">
        <is>
          <t>2026-08-02T13:37:00-0400</t>
        </is>
      </c>
      <c r="D205" s="24" t="inlineStr">
        <is>
          <t>401816367</t>
        </is>
      </c>
      <c r="E205" s="24" t="inlineStr">
        <is>
          <t>MLB</t>
        </is>
      </c>
      <c r="F205" s="24" t="inlineStr">
        <is>
          <t>St. Louis Cardinals</t>
        </is>
      </c>
      <c r="G205" s="24" t="inlineStr">
        <is>
          <t>Toronto Blue Jays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-120</v>
      </c>
      <c r="M205" s="27" t="n">
        <v>1.833333</v>
      </c>
      <c r="N205" s="28" t="n">
        <v>0.545455</v>
      </c>
      <c r="O205" s="28" t="n">
        <v>0.536276</v>
      </c>
      <c r="P205" s="28" t="n"/>
      <c r="Q205" s="28" t="n">
        <v>-0.009179</v>
      </c>
      <c r="R205" s="26" t="n">
        <v>17</v>
      </c>
      <c r="S205" s="29" t="n">
        <v>1</v>
      </c>
      <c r="T205" s="24" t="inlineStr">
        <is>
          <t>mlb-elo-trend-lr-v7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Learned LR call at threshold 0.6242; executable ask 0.5450 (aec-mlb-stl-tor-2026-08-02); model edge vs ask -0.0087.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mlb-stl</t>
        </is>
      </c>
      <c r="AQ205" s="24" t="inlineStr">
        <is>
          <t>St. Louis Cardinals</t>
        </is>
      </c>
      <c r="AR205" s="24" t="inlineStr">
        <is>
          <t>St. Louis Cardinals</t>
        </is>
      </c>
      <c r="AS205" s="24" t="inlineStr">
        <is>
          <t>mlb-tor</t>
        </is>
      </c>
      <c r="AT205" s="24" t="inlineStr">
        <is>
          <t>Toronto Blue Jays</t>
        </is>
      </c>
      <c r="AU205" s="24" t="inlineStr">
        <is>
          <t>Toronto Blue Jays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464eef695bfbbdaa819ec6f5e4c5bd1068ed20b92915fb2677220ae91e20d8b6</t>
        </is>
      </c>
      <c r="BB205" s="24" t="inlineStr">
        <is>
          <t>learned_lr</t>
        </is>
      </c>
      <c r="BC205" s="24" t="inlineStr">
        <is>
          <t>mlb-elo-trend-lr-v7</t>
        </is>
      </c>
      <c r="BD205" s="24" t="inlineStr">
        <is>
          <t>464eef695bfbbdaa819ec6f5e4c5bd1068ed20b92915fb2677220ae91e20d8b6</t>
        </is>
      </c>
      <c r="BE205" s="24" t="inlineStr">
        <is>
          <t>429c13d4c562f5e8</t>
        </is>
      </c>
      <c r="BF205" s="24" t="inlineStr">
        <is>
          <t>1</t>
        </is>
      </c>
      <c r="BG205" s="24" t="inlineStr">
        <is>
          <t>mlb-elo-trend-lr-v7</t>
        </is>
      </c>
      <c r="BH205" s="24" t="inlineStr">
        <is>
          <t>2026-08-02T16:09:50.474515Z</t>
        </is>
      </c>
      <c r="BI205" s="24" t="inlineStr">
        <is>
          <t>["same_event","same_team_same_day","same_league_same_day"]</t>
        </is>
      </c>
      <c r="BJ205" s="25" t="n"/>
      <c r="BK205" s="26" t="n">
        <v>-120</v>
      </c>
      <c r="BL205" s="27" t="n">
        <v>1.833333</v>
      </c>
      <c r="BM205" s="28" t="n">
        <v>0.545455</v>
      </c>
      <c r="BN205" s="28" t="n">
        <v>0.542289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0.5658417148</t>
        </is>
      </c>
      <c r="CD205" s="24" t="inlineStr">
        <is>
          <t>1.499161</t>
        </is>
      </c>
      <c r="CE205" s="24" t="inlineStr">
        <is>
          <t>1.019</t>
        </is>
      </c>
      <c r="CF205" s="24" t="inlineStr">
        <is>
          <t>1.0</t>
        </is>
      </c>
      <c r="CG205" s="24" t="inlineStr">
        <is>
          <t>-2.0</t>
        </is>
      </c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inlineStr">
        <is>
          <t>False</t>
        </is>
      </c>
    </row>
    <row r="206" ht="36" customHeight="1">
      <c r="A206" s="24" t="inlineStr">
        <is>
          <t>c8425e4fa3844232</t>
        </is>
      </c>
      <c r="B206" s="24" t="inlineStr">
        <is>
          <t>2026-08-02T16:10:50.825521Z</t>
        </is>
      </c>
      <c r="C206" s="24" t="inlineStr">
        <is>
          <t>2026-08-02T19:00:00-0400</t>
        </is>
      </c>
      <c r="D206" s="24" t="inlineStr">
        <is>
          <t>401857109</t>
        </is>
      </c>
      <c r="E206" s="24" t="inlineStr">
        <is>
          <t>WNBA</t>
        </is>
      </c>
      <c r="F206" s="24" t="inlineStr">
        <is>
          <t>Connecticut Sun</t>
        </is>
      </c>
      <c r="G206" s="24" t="inlineStr">
        <is>
          <t>Dallas Wings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-525</v>
      </c>
      <c r="M206" s="27" t="n">
        <v>1.190476</v>
      </c>
      <c r="N206" s="28" t="n">
        <v>0.84</v>
      </c>
      <c r="O206" s="28" t="n">
        <v>0.758559</v>
      </c>
      <c r="P206" s="28" t="n"/>
      <c r="Q206" s="28" t="n">
        <v>-0.081441</v>
      </c>
      <c r="R206" s="26" t="n">
        <v>0</v>
      </c>
      <c r="S206" s="29" t="n">
        <v>2</v>
      </c>
      <c r="T206" s="24" t="inlineStr">
        <is>
          <t>wnba-elo-trend-lr-v4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wnba-con</t>
        </is>
      </c>
      <c r="AQ206" s="24" t="inlineStr">
        <is>
          <t>Connecticut Sun</t>
        </is>
      </c>
      <c r="AR206" s="24" t="inlineStr">
        <is>
          <t>Connecticut Sun</t>
        </is>
      </c>
      <c r="AS206" s="24" t="inlineStr">
        <is>
          <t>wnba-dal</t>
        </is>
      </c>
      <c r="AT206" s="24" t="inlineStr">
        <is>
          <t>Dallas Wings</t>
        </is>
      </c>
      <c r="AU206" s="24" t="inlineStr">
        <is>
          <t>Dallas Wings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7afd5274214b58b7efd7f7febc7be3ab33b92351cda5cc6403c0a39faea0cc8c</t>
        </is>
      </c>
      <c r="BB206" s="24" t="inlineStr">
        <is>
          <t>learned_lr</t>
        </is>
      </c>
      <c r="BC206" s="24" t="inlineStr">
        <is>
          <t>wnba-elo-trend-lr-v4</t>
        </is>
      </c>
      <c r="BD206" s="24" t="inlineStr">
        <is>
          <t>7afd5274214b58b7efd7f7febc7be3ab33b92351cda5cc6403c0a39faea0cc8c</t>
        </is>
      </c>
      <c r="BE206" s="24" t="inlineStr">
        <is>
          <t>9c0c7cfe02317de7</t>
        </is>
      </c>
      <c r="BF206" s="24" t="inlineStr">
        <is>
          <t>1</t>
        </is>
      </c>
      <c r="BG206" s="24" t="inlineStr">
        <is>
          <t>wnba-elo-trend-lr-v4</t>
        </is>
      </c>
      <c r="BH206" s="24" t="inlineStr">
        <is>
          <t>2026-08-02T16:10:06.443376Z</t>
        </is>
      </c>
      <c r="BI206" s="24" t="inlineStr">
        <is>
          <t>["same_event","same_team_same_day","same_league_same_day"]</t>
        </is>
      </c>
      <c r="BJ206" s="25" t="n"/>
      <c r="BK206" s="26" t="n">
        <v>-525</v>
      </c>
      <c r="BL206" s="27" t="n">
        <v>1.190476</v>
      </c>
      <c r="BM206" s="28" t="n">
        <v>0.84</v>
      </c>
      <c r="BN206" s="28" t="n">
        <v>0.831683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0.8648169599</t>
        </is>
      </c>
      <c r="CD206" s="24" t="inlineStr">
        <is>
          <t>-2.14749</t>
        </is>
      </c>
      <c r="CE206" s="24" t="n"/>
      <c r="CF206" s="24" t="n"/>
      <c r="CG206" s="24" t="n"/>
      <c r="CH206" s="24" t="n"/>
      <c r="CI206" s="24" t="inlineStr">
        <is>
          <t>NO_CALL_AVAILABILITY_PLAYER_UNMAPPED</t>
        </is>
      </c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False</t>
        </is>
      </c>
    </row>
    <row r="207" ht="36" customHeight="1">
      <c r="A207" s="24" t="inlineStr">
        <is>
          <t>7bf2d4a1bc8141e0</t>
        </is>
      </c>
      <c r="B207" s="24" t="inlineStr">
        <is>
          <t>2026-08-02T16:10:50.825521Z</t>
        </is>
      </c>
      <c r="C207" s="24" t="inlineStr">
        <is>
          <t>2026-08-02T13:40:00-0400</t>
        </is>
      </c>
      <c r="D207" s="24" t="inlineStr">
        <is>
          <t>401816362</t>
        </is>
      </c>
      <c r="E207" s="24" t="inlineStr">
        <is>
          <t>MLB</t>
        </is>
      </c>
      <c r="F207" s="24" t="inlineStr">
        <is>
          <t>Arizona Diamondbacks</t>
        </is>
      </c>
      <c r="G207" s="24" t="inlineStr">
        <is>
          <t>Cleveland Guardians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-160</v>
      </c>
      <c r="M207" s="27" t="n">
        <v>1.625</v>
      </c>
      <c r="N207" s="28" t="n">
        <v>0.615385</v>
      </c>
      <c r="O207" s="28" t="n">
        <v>0.54198</v>
      </c>
      <c r="P207" s="28" t="n"/>
      <c r="Q207" s="28" t="n">
        <v>-0.073405</v>
      </c>
      <c r="R207" s="26" t="n">
        <v>0</v>
      </c>
      <c r="S207" s="29" t="n">
        <v>1</v>
      </c>
      <c r="T207" s="24" t="inlineStr">
        <is>
          <t>mlb-elo-trend-lr-v7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Learned LR call at threshold 0.6242; executable ask 0.6150 (aec-mlb-az-cle-2026-08-02); model edge vs ask -0.0730.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mlb-ari</t>
        </is>
      </c>
      <c r="AQ207" s="24" t="inlineStr">
        <is>
          <t>Arizona Diamondbacks</t>
        </is>
      </c>
      <c r="AR207" s="24" t="inlineStr">
        <is>
          <t>Arizona Diamondbacks</t>
        </is>
      </c>
      <c r="AS207" s="24" t="inlineStr">
        <is>
          <t>mlb-cle</t>
        </is>
      </c>
      <c r="AT207" s="24" t="inlineStr">
        <is>
          <t>Cleveland Guardians</t>
        </is>
      </c>
      <c r="AU207" s="24" t="inlineStr">
        <is>
          <t>Cleveland Guardians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464eef695bfbbdaa819ec6f5e4c5bd1068ed20b92915fb2677220ae91e20d8b6</t>
        </is>
      </c>
      <c r="BB207" s="24" t="inlineStr">
        <is>
          <t>learned_lr</t>
        </is>
      </c>
      <c r="BC207" s="24" t="inlineStr">
        <is>
          <t>mlb-elo-trend-lr-v7</t>
        </is>
      </c>
      <c r="BD207" s="24" t="inlineStr">
        <is>
          <t>464eef695bfbbdaa819ec6f5e4c5bd1068ed20b92915fb2677220ae91e20d8b6</t>
        </is>
      </c>
      <c r="BE207" s="24" t="inlineStr">
        <is>
          <t>78f97c83c3bab22d</t>
        </is>
      </c>
      <c r="BF207" s="24" t="inlineStr">
        <is>
          <t>1</t>
        </is>
      </c>
      <c r="BG207" s="24" t="inlineStr">
        <is>
          <t>mlb-elo-trend-lr-v7</t>
        </is>
      </c>
      <c r="BH207" s="24" t="inlineStr">
        <is>
          <t>2026-08-02T16:09:51.485779Z</t>
        </is>
      </c>
      <c r="BI207" s="24" t="inlineStr">
        <is>
          <t>["same_event","same_team_same_day","same_league_same_day"]</t>
        </is>
      </c>
      <c r="BJ207" s="25" t="n"/>
      <c r="BK207" s="26" t="n">
        <v>-160</v>
      </c>
      <c r="BL207" s="27" t="n">
        <v>1.625</v>
      </c>
      <c r="BM207" s="28" t="n">
        <v>0.615385</v>
      </c>
      <c r="BN207" s="28" t="n">
        <v>0.61194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0.5147263352</t>
        </is>
      </c>
      <c r="CD207" s="24" t="inlineStr">
        <is>
          <t>-1.620545</t>
        </is>
      </c>
      <c r="CE207" s="24" t="inlineStr">
        <is>
          <t>0.966</t>
        </is>
      </c>
      <c r="CF207" s="24" t="inlineStr">
        <is>
          <t>1.0119</t>
        </is>
      </c>
      <c r="CG207" s="24" t="inlineStr">
        <is>
          <t>1.0</t>
        </is>
      </c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inlineStr">
        <is>
          <t>False</t>
        </is>
      </c>
    </row>
    <row r="208" ht="36" customHeight="1">
      <c r="A208" s="24" t="inlineStr">
        <is>
          <t>ba5de839aa0d4b55</t>
        </is>
      </c>
      <c r="B208" s="24" t="inlineStr">
        <is>
          <t>2026-08-02T16:10:50.825521Z</t>
        </is>
      </c>
      <c r="C208" s="24" t="inlineStr">
        <is>
          <t>2026-08-02T20:30:00-0400</t>
        </is>
      </c>
      <c r="D208" s="24" t="inlineStr">
        <is>
          <t>401857110</t>
        </is>
      </c>
      <c r="E208" s="24" t="inlineStr">
        <is>
          <t>WNBA</t>
        </is>
      </c>
      <c r="F208" s="24" t="inlineStr">
        <is>
          <t>Toronto Tempo</t>
        </is>
      </c>
      <c r="G208" s="24" t="inlineStr">
        <is>
          <t>Golden State Valkyries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-669</v>
      </c>
      <c r="M208" s="27" t="n">
        <v>1.149477</v>
      </c>
      <c r="N208" s="28" t="n">
        <v>0.869961</v>
      </c>
      <c r="O208" s="28" t="n">
        <v>0.772803</v>
      </c>
      <c r="P208" s="28" t="n"/>
      <c r="Q208" s="28" t="n">
        <v>-0.09715799999999999</v>
      </c>
      <c r="R208" s="26" t="n">
        <v>0</v>
      </c>
      <c r="S208" s="29" t="n">
        <v>2</v>
      </c>
      <c r="T208" s="24" t="inlineStr">
        <is>
          <t>wnba-elo-trend-lr-v4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wnba-tor</t>
        </is>
      </c>
      <c r="AQ208" s="24" t="inlineStr">
        <is>
          <t>Toronto Tempo</t>
        </is>
      </c>
      <c r="AR208" s="24" t="inlineStr">
        <is>
          <t>Toronto Tempo</t>
        </is>
      </c>
      <c r="AS208" s="24" t="inlineStr">
        <is>
          <t>wnba-gsv</t>
        </is>
      </c>
      <c r="AT208" s="24" t="inlineStr">
        <is>
          <t>Golden State Valkyries</t>
        </is>
      </c>
      <c r="AU208" s="24" t="inlineStr">
        <is>
          <t>Golden State Valkyries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7afd5274214b58b7efd7f7febc7be3ab33b92351cda5cc6403c0a39faea0cc8c</t>
        </is>
      </c>
      <c r="BB208" s="24" t="inlineStr">
        <is>
          <t>learned_lr</t>
        </is>
      </c>
      <c r="BC208" s="24" t="inlineStr">
        <is>
          <t>wnba-elo-trend-lr-v4</t>
        </is>
      </c>
      <c r="BD208" s="24" t="inlineStr">
        <is>
          <t>7afd5274214b58b7efd7f7febc7be3ab33b92351cda5cc6403c0a39faea0cc8c</t>
        </is>
      </c>
      <c r="BE208" s="24" t="inlineStr">
        <is>
          <t>c1ef9fc1d2a3714a</t>
        </is>
      </c>
      <c r="BF208" s="24" t="inlineStr">
        <is>
          <t>1</t>
        </is>
      </c>
      <c r="BG208" s="24" t="inlineStr">
        <is>
          <t>wnba-elo-trend-lr-v4</t>
        </is>
      </c>
      <c r="BH208" s="24" t="inlineStr">
        <is>
          <t>2026-08-02T16:10:07.542163Z</t>
        </is>
      </c>
      <c r="BI208" s="24" t="inlineStr">
        <is>
          <t>["same_event","same_team_same_day","same_league_same_day"]</t>
        </is>
      </c>
      <c r="BJ208" s="25" t="n"/>
      <c r="BK208" s="26" t="n">
        <v>-669</v>
      </c>
      <c r="BL208" s="27" t="n">
        <v>1.149477</v>
      </c>
      <c r="BM208" s="28" t="n">
        <v>0.869961</v>
      </c>
      <c r="BN208" s="28" t="n">
        <v>0.861386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0.8973864278</t>
        </is>
      </c>
      <c r="CD208" s="24" t="inlineStr">
        <is>
          <t>2.248193</t>
        </is>
      </c>
      <c r="CE208" s="24" t="n"/>
      <c r="CF208" s="24" t="n"/>
      <c r="CG208" s="24" t="n"/>
      <c r="CH208" s="24" t="n"/>
      <c r="CI208" s="24" t="inlineStr">
        <is>
          <t>NO_CALL_AVAILABILITY_PLAYER_UNMAPPED</t>
        </is>
      </c>
      <c r="CJ208" s="24" t="n"/>
      <c r="CK208" s="24" t="n"/>
      <c r="CL208" s="24" t="n"/>
      <c r="CM208" s="24" t="n"/>
      <c r="CN208" s="24" t="n"/>
      <c r="CO208" s="24" t="n"/>
      <c r="CP208" s="24" t="n"/>
      <c r="CQ208" s="24" t="inlineStr">
        <is>
          <t>False</t>
        </is>
      </c>
    </row>
    <row r="209" ht="36" customHeight="1">
      <c r="A209" s="24" t="inlineStr">
        <is>
          <t>087bc54432384808</t>
        </is>
      </c>
      <c r="B209" s="24" t="inlineStr">
        <is>
          <t>2026-08-02T16:10:50.825521Z</t>
        </is>
      </c>
      <c r="C209" s="24" t="inlineStr">
        <is>
          <t>2026-08-02T13:40:00-0400</t>
        </is>
      </c>
      <c r="D209" s="24" t="inlineStr">
        <is>
          <t>401816363</t>
        </is>
      </c>
      <c r="E209" s="24" t="inlineStr">
        <is>
          <t>MLB</t>
        </is>
      </c>
      <c r="F209" s="24" t="inlineStr">
        <is>
          <t>Chicago White Sox</t>
        </is>
      </c>
      <c r="G209" s="24" t="inlineStr">
        <is>
          <t>Tampa Bay Rays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-138</v>
      </c>
      <c r="M209" s="27" t="n">
        <v>1.724638</v>
      </c>
      <c r="N209" s="28" t="n">
        <v>0.579832</v>
      </c>
      <c r="O209" s="28" t="n">
        <v>0.565508</v>
      </c>
      <c r="P209" s="28" t="n"/>
      <c r="Q209" s="28" t="n">
        <v>-0.014324</v>
      </c>
      <c r="R209" s="26" t="n">
        <v>14</v>
      </c>
      <c r="S209" s="29" t="n">
        <v>1</v>
      </c>
      <c r="T209" s="24" t="inlineStr">
        <is>
          <t>mlb-elo-trend-lr-v7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Learned LR call at threshold 0.6242; executable ask 0.5800 (aec-mlb-cws-tb-2026-08-02); model edge vs ask -0.0145.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mlb-cws</t>
        </is>
      </c>
      <c r="AQ209" s="24" t="inlineStr">
        <is>
          <t>Chicago White Sox</t>
        </is>
      </c>
      <c r="AR209" s="24" t="inlineStr">
        <is>
          <t>Chicago White Sox</t>
        </is>
      </c>
      <c r="AS209" s="24" t="inlineStr">
        <is>
          <t>mlb-tb</t>
        </is>
      </c>
      <c r="AT209" s="24" t="inlineStr">
        <is>
          <t>Tampa Bay Rays</t>
        </is>
      </c>
      <c r="AU209" s="24" t="inlineStr">
        <is>
          <t>Tampa Bay Rays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464eef695bfbbdaa819ec6f5e4c5bd1068ed20b92915fb2677220ae91e20d8b6</t>
        </is>
      </c>
      <c r="BB209" s="24" t="inlineStr">
        <is>
          <t>learned_lr</t>
        </is>
      </c>
      <c r="BC209" s="24" t="inlineStr">
        <is>
          <t>mlb-elo-trend-lr-v7</t>
        </is>
      </c>
      <c r="BD209" s="24" t="inlineStr">
        <is>
          <t>464eef695bfbbdaa819ec6f5e4c5bd1068ed20b92915fb2677220ae91e20d8b6</t>
        </is>
      </c>
      <c r="BE209" s="24" t="inlineStr">
        <is>
          <t>adafae297aed5d6c</t>
        </is>
      </c>
      <c r="BF209" s="24" t="inlineStr">
        <is>
          <t>1</t>
        </is>
      </c>
      <c r="BG209" s="24" t="inlineStr">
        <is>
          <t>mlb-elo-trend-lr-v7</t>
        </is>
      </c>
      <c r="BH209" s="24" t="inlineStr">
        <is>
          <t>2026-08-02T16:09:54.321676Z</t>
        </is>
      </c>
      <c r="BI209" s="24" t="inlineStr">
        <is>
          <t>["same_event","same_team_same_day","same_league_same_day"]</t>
        </is>
      </c>
      <c r="BJ209" s="25" t="n"/>
      <c r="BK209" s="26" t="n">
        <v>-138</v>
      </c>
      <c r="BL209" s="27" t="n">
        <v>1.724638</v>
      </c>
      <c r="BM209" s="28" t="n">
        <v>0.579832</v>
      </c>
      <c r="BN209" s="28" t="n">
        <v>0.577114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0.5503982216</t>
        </is>
      </c>
      <c r="CD209" s="24" t="inlineStr">
        <is>
          <t>-0.597101</t>
        </is>
      </c>
      <c r="CE209" s="24" t="inlineStr">
        <is>
          <t>0.965</t>
        </is>
      </c>
      <c r="CF209" s="24" t="inlineStr">
        <is>
          <t>1.0</t>
        </is>
      </c>
      <c r="CG209" s="24" t="inlineStr">
        <is>
          <t>0.2</t>
        </is>
      </c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inlineStr">
        <is>
          <t>False</t>
        </is>
      </c>
    </row>
    <row r="210" ht="36" customHeight="1">
      <c r="A210" s="24" t="inlineStr">
        <is>
          <t>bbfd09509f57486b</t>
        </is>
      </c>
      <c r="B210" s="24" t="inlineStr">
        <is>
          <t>2026-08-02T16:10:50.825521Z</t>
        </is>
      </c>
      <c r="C210" s="24" t="inlineStr">
        <is>
          <t>2026-08-02T13:40:00-0400</t>
        </is>
      </c>
      <c r="D210" s="24" t="inlineStr">
        <is>
          <t>401816364</t>
        </is>
      </c>
      <c r="E210" s="24" t="inlineStr">
        <is>
          <t>MLB</t>
        </is>
      </c>
      <c r="F210" s="24" t="inlineStr">
        <is>
          <t>Miami Marlins</t>
        </is>
      </c>
      <c r="G210" s="24" t="inlineStr">
        <is>
          <t>New York Mets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108</v>
      </c>
      <c r="M210" s="27" t="n">
        <v>2.08</v>
      </c>
      <c r="N210" s="28" t="n">
        <v>0.480769</v>
      </c>
      <c r="O210" s="28" t="n">
        <v>0.519099</v>
      </c>
      <c r="P210" s="28" t="n"/>
      <c r="Q210" s="28" t="n">
        <v>0.03833</v>
      </c>
      <c r="R210" s="26" t="n">
        <v>41</v>
      </c>
      <c r="S210" s="29" t="n">
        <v>1</v>
      </c>
      <c r="T210" s="24" t="inlineStr">
        <is>
          <t>mlb-elo-trend-lr-v7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Learned LR call at threshold 0.6242; executable ask 0.4800 (aec-mlb-mia-nym-2026-08-02); model edge vs ask +0.0391.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mlb-mia</t>
        </is>
      </c>
      <c r="AQ210" s="24" t="inlineStr">
        <is>
          <t>Miami Marlins</t>
        </is>
      </c>
      <c r="AR210" s="24" t="inlineStr">
        <is>
          <t>Miami Marlins</t>
        </is>
      </c>
      <c r="AS210" s="24" t="inlineStr">
        <is>
          <t>mlb-nym</t>
        </is>
      </c>
      <c r="AT210" s="24" t="inlineStr">
        <is>
          <t>New York Mets</t>
        </is>
      </c>
      <c r="AU210" s="24" t="inlineStr">
        <is>
          <t>New York Mets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464eef695bfbbdaa819ec6f5e4c5bd1068ed20b92915fb2677220ae91e20d8b6</t>
        </is>
      </c>
      <c r="BB210" s="24" t="inlineStr">
        <is>
          <t>learned_lr</t>
        </is>
      </c>
      <c r="BC210" s="24" t="inlineStr">
        <is>
          <t>mlb-elo-trend-lr-v7</t>
        </is>
      </c>
      <c r="BD210" s="24" t="inlineStr">
        <is>
          <t>464eef695bfbbdaa819ec6f5e4c5bd1068ed20b92915fb2677220ae91e20d8b6</t>
        </is>
      </c>
      <c r="BE210" s="24" t="inlineStr">
        <is>
          <t>013a86e9f49cbd87</t>
        </is>
      </c>
      <c r="BF210" s="24" t="inlineStr">
        <is>
          <t>1</t>
        </is>
      </c>
      <c r="BG210" s="24" t="inlineStr">
        <is>
          <t>mlb-elo-trend-lr-v7</t>
        </is>
      </c>
      <c r="BH210" s="24" t="inlineStr">
        <is>
          <t>2026-08-02T16:09:53.308066Z</t>
        </is>
      </c>
      <c r="BI210" s="24" t="inlineStr">
        <is>
          <t>["same_event","same_team_same_day","same_league_same_day"]</t>
        </is>
      </c>
      <c r="BJ210" s="25" t="n"/>
      <c r="BK210" s="26" t="n">
        <v>108</v>
      </c>
      <c r="BL210" s="27" t="n">
        <v>2.08</v>
      </c>
      <c r="BM210" s="28" t="n">
        <v>0.480769</v>
      </c>
      <c r="BN210" s="28" t="n">
        <v>0.477612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0.4938777222</t>
        </is>
      </c>
      <c r="CD210" s="24" t="inlineStr">
        <is>
          <t>-0.998113</t>
        </is>
      </c>
      <c r="CE210" s="24" t="inlineStr">
        <is>
          <t>0.978</t>
        </is>
      </c>
      <c r="CF210" s="24" t="inlineStr">
        <is>
          <t>1.0245</t>
        </is>
      </c>
      <c r="CG210" s="24" t="inlineStr">
        <is>
          <t>0.4</t>
        </is>
      </c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inlineStr">
        <is>
          <t>True</t>
        </is>
      </c>
    </row>
    <row r="211" ht="36" customHeight="1">
      <c r="A211" s="24" t="inlineStr">
        <is>
          <t>5b5f33cf65934893</t>
        </is>
      </c>
      <c r="B211" s="24" t="inlineStr">
        <is>
          <t>2026-08-02T16:10:50.825521Z</t>
        </is>
      </c>
      <c r="C211" s="24" t="inlineStr">
        <is>
          <t>2026-08-02T13:40:00-0400</t>
        </is>
      </c>
      <c r="D211" s="24" t="inlineStr">
        <is>
          <t>401816366</t>
        </is>
      </c>
      <c r="E211" s="24" t="inlineStr">
        <is>
          <t>MLB</t>
        </is>
      </c>
      <c r="F211" s="24" t="inlineStr">
        <is>
          <t>Pittsburgh Pirates</t>
        </is>
      </c>
      <c r="G211" s="24" t="inlineStr">
        <is>
          <t>Cincinnati Reds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127</v>
      </c>
      <c r="M211" s="27" t="n">
        <v>2.27</v>
      </c>
      <c r="N211" s="28" t="n">
        <v>0.440529</v>
      </c>
      <c r="O211" s="28" t="n">
        <v>0.518492</v>
      </c>
      <c r="P211" s="28" t="n"/>
      <c r="Q211" s="28" t="n">
        <v>0.077963</v>
      </c>
      <c r="R211" s="26" t="n">
        <v>60</v>
      </c>
      <c r="S211" s="29" t="n">
        <v>1</v>
      </c>
      <c r="T211" s="24" t="inlineStr">
        <is>
          <t>mlb-elo-trend-lr-v7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Learned LR call at threshold 0.6242; executable ask 0.4400 (aec-mlb-pit-cin-2026-08-02); model edge vs ask +0.0785.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mlb-pit</t>
        </is>
      </c>
      <c r="AQ211" s="24" t="inlineStr">
        <is>
          <t>Pittsburgh Pirates</t>
        </is>
      </c>
      <c r="AR211" s="24" t="inlineStr">
        <is>
          <t>Pittsburgh Pirates</t>
        </is>
      </c>
      <c r="AS211" s="24" t="inlineStr">
        <is>
          <t>mlb-cin</t>
        </is>
      </c>
      <c r="AT211" s="24" t="inlineStr">
        <is>
          <t>Cincinnati Reds</t>
        </is>
      </c>
      <c r="AU211" s="24" t="inlineStr">
        <is>
          <t>Cincinnati Reds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464eef695bfbbdaa819ec6f5e4c5bd1068ed20b92915fb2677220ae91e20d8b6</t>
        </is>
      </c>
      <c r="BB211" s="24" t="inlineStr">
        <is>
          <t>learned_lr</t>
        </is>
      </c>
      <c r="BC211" s="24" t="inlineStr">
        <is>
          <t>mlb-elo-trend-lr-v7</t>
        </is>
      </c>
      <c r="BD211" s="24" t="inlineStr">
        <is>
          <t>464eef695bfbbdaa819ec6f5e4c5bd1068ed20b92915fb2677220ae91e20d8b6</t>
        </is>
      </c>
      <c r="BE211" s="24" t="inlineStr">
        <is>
          <t>0929ee2ba98690ba</t>
        </is>
      </c>
      <c r="BF211" s="24" t="inlineStr">
        <is>
          <t>1</t>
        </is>
      </c>
      <c r="BG211" s="24" t="inlineStr">
        <is>
          <t>mlb-elo-trend-lr-v7</t>
        </is>
      </c>
      <c r="BH211" s="24" t="inlineStr">
        <is>
          <t>2026-08-02T16:09:52.432676Z</t>
        </is>
      </c>
      <c r="BI211" s="24" t="inlineStr">
        <is>
          <t>["same_event","same_team_same_day","same_league_same_day"]</t>
        </is>
      </c>
      <c r="BJ211" s="25" t="n"/>
      <c r="BK211" s="26" t="n">
        <v>127</v>
      </c>
      <c r="BL211" s="27" t="n">
        <v>2.27</v>
      </c>
      <c r="BM211" s="28" t="n">
        <v>0.440529</v>
      </c>
      <c r="BN211" s="28" t="n">
        <v>0.437811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0.4891381657</t>
        </is>
      </c>
      <c r="CD211" s="24" t="inlineStr">
        <is>
          <t>0.471311</t>
        </is>
      </c>
      <c r="CE211" s="24" t="inlineStr">
        <is>
          <t>1.036</t>
        </is>
      </c>
      <c r="CF211" s="24" t="inlineStr">
        <is>
          <t>1.0038</t>
        </is>
      </c>
      <c r="CG211" s="24" t="inlineStr">
        <is>
          <t>-0.8</t>
        </is>
      </c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inlineStr">
        <is>
          <t>True</t>
        </is>
      </c>
    </row>
    <row r="212" ht="36" customHeight="1">
      <c r="A212" s="24" t="inlineStr">
        <is>
          <t>c0abe30f737343c6</t>
        </is>
      </c>
      <c r="B212" s="24" t="inlineStr">
        <is>
          <t>2026-08-02T16:10:50.825521Z</t>
        </is>
      </c>
      <c r="C212" s="24" t="inlineStr">
        <is>
          <t>2026-08-02T14:10:00-0400</t>
        </is>
      </c>
      <c r="D212" s="24" t="inlineStr">
        <is>
          <t>401816370</t>
        </is>
      </c>
      <c r="E212" s="24" t="inlineStr">
        <is>
          <t>MLB</t>
        </is>
      </c>
      <c r="F212" s="24" t="inlineStr">
        <is>
          <t>Texas Rangers</t>
        </is>
      </c>
      <c r="G212" s="24" t="inlineStr">
        <is>
          <t>Houston Astros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-127</v>
      </c>
      <c r="M212" s="27" t="n">
        <v>1.787402</v>
      </c>
      <c r="N212" s="28" t="n">
        <v>0.5594710000000001</v>
      </c>
      <c r="O212" s="28" t="n">
        <v>0.538187</v>
      </c>
      <c r="P212" s="28" t="n"/>
      <c r="Q212" s="28" t="n">
        <v>-0.021284</v>
      </c>
      <c r="R212" s="26" t="n">
        <v>10</v>
      </c>
      <c r="S212" s="29" t="n">
        <v>1</v>
      </c>
      <c r="T212" s="24" t="inlineStr">
        <is>
          <t>mlb-elo-trend-lr-v7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Learned LR call at threshold 0.6242; executable ask 0.5600 (aec-mlb-tex-hou-2026-08-02); model edge vs ask -0.0218.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mlb-tex</t>
        </is>
      </c>
      <c r="AQ212" s="24" t="inlineStr">
        <is>
          <t>Texas Rangers</t>
        </is>
      </c>
      <c r="AR212" s="24" t="inlineStr">
        <is>
          <t>Texas Rangers</t>
        </is>
      </c>
      <c r="AS212" s="24" t="inlineStr">
        <is>
          <t>mlb-hou</t>
        </is>
      </c>
      <c r="AT212" s="24" t="inlineStr">
        <is>
          <t>Houston Astros</t>
        </is>
      </c>
      <c r="AU212" s="24" t="inlineStr">
        <is>
          <t>Houston Astros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464eef695bfbbdaa819ec6f5e4c5bd1068ed20b92915fb2677220ae91e20d8b6</t>
        </is>
      </c>
      <c r="BB212" s="24" t="inlineStr">
        <is>
          <t>learned_lr</t>
        </is>
      </c>
      <c r="BC212" s="24" t="inlineStr">
        <is>
          <t>mlb-elo-trend-lr-v7</t>
        </is>
      </c>
      <c r="BD212" s="24" t="inlineStr">
        <is>
          <t>464eef695bfbbdaa819ec6f5e4c5bd1068ed20b92915fb2677220ae91e20d8b6</t>
        </is>
      </c>
      <c r="BE212" s="24" t="inlineStr">
        <is>
          <t>2d42dfba300c1668</t>
        </is>
      </c>
      <c r="BF212" s="24" t="inlineStr">
        <is>
          <t>1</t>
        </is>
      </c>
      <c r="BG212" s="24" t="inlineStr">
        <is>
          <t>mlb-elo-trend-lr-v7</t>
        </is>
      </c>
      <c r="BH212" s="24" t="inlineStr">
        <is>
          <t>2026-08-02T16:09:55.354608Z</t>
        </is>
      </c>
      <c r="BI212" s="24" t="inlineStr">
        <is>
          <t>["same_event","same_team_same_day","same_league_same_day"]</t>
        </is>
      </c>
      <c r="BJ212" s="25" t="n"/>
      <c r="BK212" s="26" t="n">
        <v>-127</v>
      </c>
      <c r="BL212" s="27" t="n">
        <v>1.787402</v>
      </c>
      <c r="BM212" s="28" t="n">
        <v>0.5594710000000001</v>
      </c>
      <c r="BN212" s="28" t="n">
        <v>0.557214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0.5570987062</t>
        </is>
      </c>
      <c r="CD212" s="24" t="inlineStr">
        <is>
          <t>1.976345</t>
        </is>
      </c>
      <c r="CE212" s="24" t="inlineStr">
        <is>
          <t>0.956</t>
        </is>
      </c>
      <c r="CF212" s="24" t="inlineStr">
        <is>
          <t>1.0</t>
        </is>
      </c>
      <c r="CG212" s="24" t="inlineStr">
        <is>
          <t>-1.4</t>
        </is>
      </c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inlineStr">
        <is>
          <t>False</t>
        </is>
      </c>
    </row>
    <row r="213" ht="36" customHeight="1">
      <c r="A213" s="24" t="inlineStr">
        <is>
          <t>207ca430240544c0</t>
        </is>
      </c>
      <c r="B213" s="24" t="inlineStr">
        <is>
          <t>2026-08-02T16:10:50.825521Z</t>
        </is>
      </c>
      <c r="C213" s="24" t="inlineStr">
        <is>
          <t>2026-08-02T14:20:00-0400</t>
        </is>
      </c>
      <c r="D213" s="24" t="inlineStr">
        <is>
          <t>401816369</t>
        </is>
      </c>
      <c r="E213" s="24" t="inlineStr">
        <is>
          <t>MLB</t>
        </is>
      </c>
      <c r="F213" s="24" t="inlineStr">
        <is>
          <t>New York Yankees</t>
        </is>
      </c>
      <c r="G213" s="24" t="inlineStr">
        <is>
          <t>Chicago Cubs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111</v>
      </c>
      <c r="M213" s="27" t="n">
        <v>2.11</v>
      </c>
      <c r="N213" s="28" t="n">
        <v>0.473934</v>
      </c>
      <c r="O213" s="28" t="n">
        <v>0.549233</v>
      </c>
      <c r="P213" s="28" t="n"/>
      <c r="Q213" s="28" t="n">
        <v>0.075299</v>
      </c>
      <c r="R213" s="26" t="n">
        <v>58</v>
      </c>
      <c r="S213" s="29" t="n">
        <v>1</v>
      </c>
      <c r="T213" s="24" t="inlineStr">
        <is>
          <t>mlb-elo-trend-lr-v7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Learned LR call at threshold 0.6242; executable ask 0.4750 (aec-mlb-nyy-chc-2026-08-02); model edge vs ask +0.0742.</t>
        </is>
      </c>
      <c r="AF213" s="31" t="inlineStr">
        <is>
          <t>Learned model; shadow-qualified via operator override.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mlb-nyy</t>
        </is>
      </c>
      <c r="AQ213" s="24" t="inlineStr">
        <is>
          <t>New York Yankees</t>
        </is>
      </c>
      <c r="AR213" s="24" t="inlineStr">
        <is>
          <t>New York Yankees</t>
        </is>
      </c>
      <c r="AS213" s="24" t="inlineStr">
        <is>
          <t>mlb-chc</t>
        </is>
      </c>
      <c r="AT213" s="24" t="inlineStr">
        <is>
          <t>Chicago Cubs</t>
        </is>
      </c>
      <c r="AU213" s="24" t="inlineStr">
        <is>
          <t>Chicago Cubs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464eef695bfbbdaa819ec6f5e4c5bd1068ed20b92915fb2677220ae91e20d8b6</t>
        </is>
      </c>
      <c r="BB213" s="24" t="inlineStr">
        <is>
          <t>learned_lr</t>
        </is>
      </c>
      <c r="BC213" s="24" t="inlineStr">
        <is>
          <t>mlb-elo-trend-lr-v7</t>
        </is>
      </c>
      <c r="BD213" s="24" t="inlineStr">
        <is>
          <t>464eef695bfbbdaa819ec6f5e4c5bd1068ed20b92915fb2677220ae91e20d8b6</t>
        </is>
      </c>
      <c r="BE213" s="24" t="inlineStr">
        <is>
          <t>d88c9d9a1fbe820c</t>
        </is>
      </c>
      <c r="BF213" s="24" t="inlineStr">
        <is>
          <t>1</t>
        </is>
      </c>
      <c r="BG213" s="24" t="inlineStr">
        <is>
          <t>mlb-elo-trend-lr-v7</t>
        </is>
      </c>
      <c r="BH213" s="24" t="inlineStr">
        <is>
          <t>2026-08-02T16:09:56.265738Z</t>
        </is>
      </c>
      <c r="BI213" s="24" t="inlineStr">
        <is>
          <t>["same_event","same_team_same_day","same_league_same_day"]</t>
        </is>
      </c>
      <c r="BJ213" s="25" t="n"/>
      <c r="BK213" s="26" t="n">
        <v>111</v>
      </c>
      <c r="BL213" s="27" t="n">
        <v>2.11</v>
      </c>
      <c r="BM213" s="28" t="n">
        <v>0.473934</v>
      </c>
      <c r="BN213" s="28" t="n">
        <v>0.472637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0.5479631024</t>
        </is>
      </c>
      <c r="CD213" s="24" t="inlineStr">
        <is>
          <t>0.358864</t>
        </is>
      </c>
      <c r="CE213" s="24" t="inlineStr">
        <is>
          <t>0.986</t>
        </is>
      </c>
      <c r="CF213" s="24" t="inlineStr">
        <is>
          <t>1.0137</t>
        </is>
      </c>
      <c r="CG213" s="24" t="inlineStr">
        <is>
          <t>-0.8</t>
        </is>
      </c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inlineStr">
        <is>
          <t>True</t>
        </is>
      </c>
    </row>
    <row r="214" ht="36" customHeight="1">
      <c r="A214" s="24" t="inlineStr">
        <is>
          <t>eac732ded5b1428b</t>
        </is>
      </c>
      <c r="B214" s="24" t="inlineStr">
        <is>
          <t>2026-08-02T16:10:50.825521Z</t>
        </is>
      </c>
      <c r="C214" s="24" t="inlineStr">
        <is>
          <t>2026-08-02T15:10:00-0400</t>
        </is>
      </c>
      <c r="D214" s="24" t="inlineStr">
        <is>
          <t>401816371</t>
        </is>
      </c>
      <c r="E214" s="24" t="inlineStr">
        <is>
          <t>MLB</t>
        </is>
      </c>
      <c r="F214" s="24" t="inlineStr">
        <is>
          <t>Kansas City Royals</t>
        </is>
      </c>
      <c r="G214" s="24" t="inlineStr">
        <is>
          <t>Colorado Rockies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115</v>
      </c>
      <c r="M214" s="27" t="n">
        <v>2.15</v>
      </c>
      <c r="N214" s="28" t="n">
        <v>0.465116</v>
      </c>
      <c r="O214" s="28" t="n">
        <v>0.60006</v>
      </c>
      <c r="P214" s="28" t="n"/>
      <c r="Q214" s="28" t="n">
        <v>0.134944</v>
      </c>
      <c r="R214" s="26" t="n">
        <v>89</v>
      </c>
      <c r="S214" s="29" t="n">
        <v>1.25</v>
      </c>
      <c r="T214" s="24" t="inlineStr">
        <is>
          <t>mlb-elo-trend-lr-v7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Learned LR call at threshold 0.6242; executable ask 0.4650 (aec-mlb-kc-col-2026-08-02); model edge vs ask +0.1351.</t>
        </is>
      </c>
      <c r="AF214" s="31" t="inlineStr">
        <is>
          <t>Learned model; shadow-qualified via operator override.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mlb-kc</t>
        </is>
      </c>
      <c r="AQ214" s="24" t="inlineStr">
        <is>
          <t>Kansas City Royals</t>
        </is>
      </c>
      <c r="AR214" s="24" t="inlineStr">
        <is>
          <t>Kansas City Royals</t>
        </is>
      </c>
      <c r="AS214" s="24" t="inlineStr">
        <is>
          <t>mlb-col</t>
        </is>
      </c>
      <c r="AT214" s="24" t="inlineStr">
        <is>
          <t>Colorado Rockies</t>
        </is>
      </c>
      <c r="AU214" s="24" t="inlineStr">
        <is>
          <t>Colorado Rockies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464eef695bfbbdaa819ec6f5e4c5bd1068ed20b92915fb2677220ae91e20d8b6</t>
        </is>
      </c>
      <c r="BB214" s="24" t="inlineStr">
        <is>
          <t>learned_lr</t>
        </is>
      </c>
      <c r="BC214" s="24" t="inlineStr">
        <is>
          <t>mlb-elo-trend-lr-v7</t>
        </is>
      </c>
      <c r="BD214" s="24" t="inlineStr">
        <is>
          <t>464eef695bfbbdaa819ec6f5e4c5bd1068ed20b92915fb2677220ae91e20d8b6</t>
        </is>
      </c>
      <c r="BE214" s="24" t="inlineStr">
        <is>
          <t>62dbe7754fcae735</t>
        </is>
      </c>
      <c r="BF214" s="24" t="inlineStr">
        <is>
          <t>1</t>
        </is>
      </c>
      <c r="BG214" s="24" t="inlineStr">
        <is>
          <t>mlb-elo-trend-lr-v7</t>
        </is>
      </c>
      <c r="BH214" s="24" t="inlineStr">
        <is>
          <t>2026-08-02T16:09:57.526644Z</t>
        </is>
      </c>
      <c r="BI214" s="24" t="inlineStr">
        <is>
          <t>["same_event","same_team_same_day","same_league_same_day"]</t>
        </is>
      </c>
      <c r="BJ214" s="25" t="n"/>
      <c r="BK214" s="26" t="n">
        <v>115</v>
      </c>
      <c r="BL214" s="27" t="n">
        <v>2.15</v>
      </c>
      <c r="BM214" s="28" t="n">
        <v>0.465116</v>
      </c>
      <c r="BN214" s="28" t="n">
        <v>0.462687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0.4463973804</t>
        </is>
      </c>
      <c r="CD214" s="24" t="inlineStr">
        <is>
          <t>1.55286</t>
        </is>
      </c>
      <c r="CE214" s="24" t="inlineStr">
        <is>
          <t>1.193</t>
        </is>
      </c>
      <c r="CF214" s="24" t="inlineStr">
        <is>
          <t>1.0315</t>
        </is>
      </c>
      <c r="CG214" s="24" t="inlineStr">
        <is>
          <t>1.4</t>
        </is>
      </c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inlineStr">
        <is>
          <t>True</t>
        </is>
      </c>
    </row>
    <row r="215" ht="36" customHeight="1">
      <c r="A215" s="24" t="inlineStr">
        <is>
          <t>208c26c09b854d76</t>
        </is>
      </c>
      <c r="B215" s="24" t="inlineStr">
        <is>
          <t>2026-08-02T16:10:50.825521Z</t>
        </is>
      </c>
      <c r="C215" s="24" t="inlineStr">
        <is>
          <t>2026-08-02T15:15:00-0400</t>
        </is>
      </c>
      <c r="D215" s="24" t="inlineStr">
        <is>
          <t>401816374</t>
        </is>
      </c>
      <c r="E215" s="24" t="inlineStr">
        <is>
          <t>MLB</t>
        </is>
      </c>
      <c r="F215" s="24" t="inlineStr">
        <is>
          <t>Milwaukee Brewers</t>
        </is>
      </c>
      <c r="G215" s="24" t="inlineStr">
        <is>
          <t>Los Angeles Angels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-217</v>
      </c>
      <c r="M215" s="27" t="n">
        <v>1.460829</v>
      </c>
      <c r="N215" s="28" t="n">
        <v>0.684543</v>
      </c>
      <c r="O215" s="28" t="n">
        <v>0.625622</v>
      </c>
      <c r="P215" s="28" t="n"/>
      <c r="Q215" s="28" t="n">
        <v>-0.058921</v>
      </c>
      <c r="R215" s="26" t="n">
        <v>0</v>
      </c>
      <c r="S215" s="29" t="n">
        <v>1.5</v>
      </c>
      <c r="T215" s="24" t="inlineStr">
        <is>
          <t>mlb-elo-trend-lr-v7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Learned LR call at threshold 0.6242; executable ask 0.6850 (aec-mlb-mil-laa-2026-08-02); model edge vs ask -0.0594.</t>
        </is>
      </c>
      <c r="AF215" s="31" t="inlineStr">
        <is>
          <t>Learned model; shadow-qualified via operator override.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mlb-mil</t>
        </is>
      </c>
      <c r="AQ215" s="24" t="inlineStr">
        <is>
          <t>Milwaukee Brewers</t>
        </is>
      </c>
      <c r="AR215" s="24" t="inlineStr">
        <is>
          <t>Milwaukee Brewers</t>
        </is>
      </c>
      <c r="AS215" s="24" t="inlineStr">
        <is>
          <t>mlb-laa</t>
        </is>
      </c>
      <c r="AT215" s="24" t="inlineStr">
        <is>
          <t>Los Angeles Angels</t>
        </is>
      </c>
      <c r="AU215" s="24" t="inlineStr">
        <is>
          <t>Los Angeles Angels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464eef695bfbbdaa819ec6f5e4c5bd1068ed20b92915fb2677220ae91e20d8b6</t>
        </is>
      </c>
      <c r="BB215" s="24" t="inlineStr">
        <is>
          <t>learned_lr</t>
        </is>
      </c>
      <c r="BC215" s="24" t="inlineStr">
        <is>
          <t>mlb-elo-trend-lr-v7</t>
        </is>
      </c>
      <c r="BD215" s="24" t="inlineStr">
        <is>
          <t>464eef695bfbbdaa819ec6f5e4c5bd1068ed20b92915fb2677220ae91e20d8b6</t>
        </is>
      </c>
      <c r="BE215" s="24" t="inlineStr">
        <is>
          <t>82a9ab0f1e6ef134</t>
        </is>
      </c>
      <c r="BF215" s="24" t="inlineStr">
        <is>
          <t>1</t>
        </is>
      </c>
      <c r="BG215" s="24" t="inlineStr">
        <is>
          <t>mlb-elo-trend-lr-v7</t>
        </is>
      </c>
      <c r="BH215" s="24" t="inlineStr">
        <is>
          <t>2026-08-02T16:09:58.116554Z</t>
        </is>
      </c>
      <c r="BI215" s="24" t="inlineStr">
        <is>
          <t>["same_event","same_team_same_day","same_league_same_day"]</t>
        </is>
      </c>
      <c r="BJ215" s="25" t="n"/>
      <c r="BK215" s="26" t="n">
        <v>-217</v>
      </c>
      <c r="BL215" s="27" t="n">
        <v>1.460829</v>
      </c>
      <c r="BM215" s="28" t="n">
        <v>0.684543</v>
      </c>
      <c r="BN215" s="28" t="n">
        <v>0.681592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0.3268450055</t>
        </is>
      </c>
      <c r="CD215" s="24" t="inlineStr">
        <is>
          <t>-0.59379</t>
        </is>
      </c>
      <c r="CE215" s="24" t="inlineStr">
        <is>
          <t>1.01</t>
        </is>
      </c>
      <c r="CF215" s="24" t="inlineStr">
        <is>
          <t>1.0178</t>
        </is>
      </c>
      <c r="CG215" s="24" t="inlineStr">
        <is>
          <t>0.2</t>
        </is>
      </c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inlineStr">
        <is>
          <t>False</t>
        </is>
      </c>
    </row>
    <row r="216" ht="36" customHeight="1">
      <c r="A216" s="24" t="inlineStr">
        <is>
          <t>bb7ca4ae64094366</t>
        </is>
      </c>
      <c r="B216" s="24" t="inlineStr">
        <is>
          <t>2026-08-02T16:10:50.825521Z</t>
        </is>
      </c>
      <c r="C216" s="24" t="inlineStr">
        <is>
          <t>2026-08-02T16:05:00-0400</t>
        </is>
      </c>
      <c r="D216" s="24" t="inlineStr">
        <is>
          <t>401816373</t>
        </is>
      </c>
      <c r="E216" s="24" t="inlineStr">
        <is>
          <t>MLB</t>
        </is>
      </c>
      <c r="F216" s="24" t="inlineStr">
        <is>
          <t>Detroit Tigers</t>
        </is>
      </c>
      <c r="G216" s="24" t="inlineStr">
        <is>
          <t>Athletics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-108</v>
      </c>
      <c r="M216" s="27" t="n">
        <v>1.925926</v>
      </c>
      <c r="N216" s="28" t="n">
        <v>0.519231</v>
      </c>
      <c r="O216" s="28" t="n">
        <v>0.559409</v>
      </c>
      <c r="P216" s="28" t="n"/>
      <c r="Q216" s="28" t="n">
        <v>0.040178</v>
      </c>
      <c r="R216" s="26" t="n">
        <v>41</v>
      </c>
      <c r="S216" s="29" t="n">
        <v>1</v>
      </c>
      <c r="T216" s="24" t="inlineStr">
        <is>
          <t>mlb-elo-trend-lr-v7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Learned LR call at threshold 0.6242; executable ask 0.5200 (aec-mlb-det-ath-2026-08-02); model edge vs ask +0.0394.</t>
        </is>
      </c>
      <c r="AF216" s="31" t="inlineStr">
        <is>
          <t>Learned model; shadow-qualified via operator override.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mlb-det</t>
        </is>
      </c>
      <c r="AQ216" s="24" t="inlineStr">
        <is>
          <t>Detroit Tigers</t>
        </is>
      </c>
      <c r="AR216" s="24" t="inlineStr">
        <is>
          <t>Detroit Tigers</t>
        </is>
      </c>
      <c r="AS216" s="24" t="inlineStr">
        <is>
          <t>mlb-ath</t>
        </is>
      </c>
      <c r="AT216" s="24" t="inlineStr">
        <is>
          <t>Athletics</t>
        </is>
      </c>
      <c r="AU216" s="24" t="inlineStr">
        <is>
          <t>Athletics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464eef695bfbbdaa819ec6f5e4c5bd1068ed20b92915fb2677220ae91e20d8b6</t>
        </is>
      </c>
      <c r="BB216" s="24" t="inlineStr">
        <is>
          <t>learned_lr</t>
        </is>
      </c>
      <c r="BC216" s="24" t="inlineStr">
        <is>
          <t>mlb-elo-trend-lr-v7</t>
        </is>
      </c>
      <c r="BD216" s="24" t="inlineStr">
        <is>
          <t>464eef695bfbbdaa819ec6f5e4c5bd1068ed20b92915fb2677220ae91e20d8b6</t>
        </is>
      </c>
      <c r="BE216" s="24" t="inlineStr">
        <is>
          <t>4c763ac6e835dcdb</t>
        </is>
      </c>
      <c r="BF216" s="24" t="inlineStr">
        <is>
          <t>1</t>
        </is>
      </c>
      <c r="BG216" s="24" t="inlineStr">
        <is>
          <t>mlb-elo-trend-lr-v7</t>
        </is>
      </c>
      <c r="BH216" s="24" t="inlineStr">
        <is>
          <t>2026-08-02T16:09:59.431586Z</t>
        </is>
      </c>
      <c r="BI216" s="24" t="inlineStr">
        <is>
          <t>["same_event","same_team_same_day","same_league_same_day"]</t>
        </is>
      </c>
      <c r="BJ216" s="25" t="n"/>
      <c r="BK216" s="26" t="n">
        <v>-108</v>
      </c>
      <c r="BL216" s="27" t="n">
        <v>1.925926</v>
      </c>
      <c r="BM216" s="28" t="n">
        <v>0.519231</v>
      </c>
      <c r="BN216" s="28" t="n">
        <v>0.517413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0.4182489247</t>
        </is>
      </c>
      <c r="CD216" s="24" t="inlineStr">
        <is>
          <t>-3.449013</t>
        </is>
      </c>
      <c r="CE216" s="24" t="inlineStr">
        <is>
          <t>1.153</t>
        </is>
      </c>
      <c r="CF216" s="24" t="inlineStr">
        <is>
          <t>1.0282</t>
        </is>
      </c>
      <c r="CG216" s="24" t="inlineStr">
        <is>
          <t>1.0</t>
        </is>
      </c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inlineStr">
        <is>
          <t>True</t>
        </is>
      </c>
    </row>
    <row r="217" ht="36" customHeight="1">
      <c r="A217" s="24" t="inlineStr">
        <is>
          <t>fd1383d4be244083</t>
        </is>
      </c>
      <c r="B217" s="24" t="inlineStr">
        <is>
          <t>2026-08-02T16:10:50.825521Z</t>
        </is>
      </c>
      <c r="C217" s="24" t="inlineStr">
        <is>
          <t>2026-08-02T16:10:00-0400</t>
        </is>
      </c>
      <c r="D217" s="24" t="inlineStr">
        <is>
          <t>401816375</t>
        </is>
      </c>
      <c r="E217" s="24" t="inlineStr">
        <is>
          <t>MLB</t>
        </is>
      </c>
      <c r="F217" s="24" t="inlineStr">
        <is>
          <t>Minnesota Twins</t>
        </is>
      </c>
      <c r="G217" s="24" t="inlineStr">
        <is>
          <t>Seattle Mariners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-127</v>
      </c>
      <c r="M217" s="27" t="n">
        <v>1.787402</v>
      </c>
      <c r="N217" s="28" t="n">
        <v>0.5594710000000001</v>
      </c>
      <c r="O217" s="28" t="n">
        <v>0.596425</v>
      </c>
      <c r="P217" s="28" t="n"/>
      <c r="Q217" s="28" t="n">
        <v>0.036954</v>
      </c>
      <c r="R217" s="26" t="n">
        <v>40</v>
      </c>
      <c r="S217" s="29" t="n">
        <v>1.25</v>
      </c>
      <c r="T217" s="24" t="inlineStr">
        <is>
          <t>mlb-elo-trend-lr-v7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Learned LR call at threshold 0.6242; executable ask 0.5600 (aec-mlb-min-sea-2026-08-02); model edge vs ask +0.0364.</t>
        </is>
      </c>
      <c r="AF217" s="31" t="inlineStr">
        <is>
          <t>Learned model; shadow-qualified via operator override.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mlb-min</t>
        </is>
      </c>
      <c r="AQ217" s="24" t="inlineStr">
        <is>
          <t>Minnesota Twins</t>
        </is>
      </c>
      <c r="AR217" s="24" t="inlineStr">
        <is>
          <t>Minnesota Twins</t>
        </is>
      </c>
      <c r="AS217" s="24" t="inlineStr">
        <is>
          <t>mlb-sea</t>
        </is>
      </c>
      <c r="AT217" s="24" t="inlineStr">
        <is>
          <t>Seattle Mariners</t>
        </is>
      </c>
      <c r="AU217" s="24" t="inlineStr">
        <is>
          <t>Seattle Mariners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464eef695bfbbdaa819ec6f5e4c5bd1068ed20b92915fb2677220ae91e20d8b6</t>
        </is>
      </c>
      <c r="BB217" s="24" t="inlineStr">
        <is>
          <t>learned_lr</t>
        </is>
      </c>
      <c r="BC217" s="24" t="inlineStr">
        <is>
          <t>mlb-elo-trend-lr-v7</t>
        </is>
      </c>
      <c r="BD217" s="24" t="inlineStr">
        <is>
          <t>464eef695bfbbdaa819ec6f5e4c5bd1068ed20b92915fb2677220ae91e20d8b6</t>
        </is>
      </c>
      <c r="BE217" s="24" t="inlineStr">
        <is>
          <t>e58bfb84888a3f7a</t>
        </is>
      </c>
      <c r="BF217" s="24" t="inlineStr">
        <is>
          <t>1</t>
        </is>
      </c>
      <c r="BG217" s="24" t="inlineStr">
        <is>
          <t>mlb-elo-trend-lr-v7</t>
        </is>
      </c>
      <c r="BH217" s="24" t="inlineStr">
        <is>
          <t>2026-08-02T16:10:01.259522Z</t>
        </is>
      </c>
      <c r="BI217" s="24" t="inlineStr">
        <is>
          <t>["same_event","same_team_same_day","same_league_same_day"]</t>
        </is>
      </c>
      <c r="BJ217" s="25" t="n"/>
      <c r="BK217" s="26" t="n">
        <v>-127</v>
      </c>
      <c r="BL217" s="27" t="n">
        <v>1.787402</v>
      </c>
      <c r="BM217" s="28" t="n">
        <v>0.5594710000000001</v>
      </c>
      <c r="BN217" s="28" t="n">
        <v>0.557214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inlineStr">
        <is>
          <t>0.5819178739</t>
        </is>
      </c>
      <c r="CD217" s="24" t="inlineStr">
        <is>
          <t>0.703281</t>
        </is>
      </c>
      <c r="CE217" s="24" t="inlineStr">
        <is>
          <t>0.936</t>
        </is>
      </c>
      <c r="CF217" s="24" t="inlineStr">
        <is>
          <t>1.0</t>
        </is>
      </c>
      <c r="CG217" s="24" t="inlineStr">
        <is>
          <t>1.8</t>
        </is>
      </c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inlineStr">
        <is>
          <t>True</t>
        </is>
      </c>
    </row>
    <row r="218" ht="36" customHeight="1">
      <c r="A218" s="24" t="inlineStr">
        <is>
          <t>789dd53ebd6946ba</t>
        </is>
      </c>
      <c r="B218" s="24" t="inlineStr">
        <is>
          <t>2026-08-02T16:10:50.825521Z</t>
        </is>
      </c>
      <c r="C218" s="24" t="inlineStr">
        <is>
          <t>2026-08-02T16:10:00-0400</t>
        </is>
      </c>
      <c r="D218" s="24" t="inlineStr">
        <is>
          <t>401816376</t>
        </is>
      </c>
      <c r="E218" s="24" t="inlineStr">
        <is>
          <t>MLB</t>
        </is>
      </c>
      <c r="F218" s="24" t="inlineStr">
        <is>
          <t>San Francisco Giants</t>
        </is>
      </c>
      <c r="G218" s="24" t="inlineStr">
        <is>
          <t>San Diego Padres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-138</v>
      </c>
      <c r="M218" s="27" t="n">
        <v>1.724638</v>
      </c>
      <c r="N218" s="28" t="n">
        <v>0.579832</v>
      </c>
      <c r="O218" s="28" t="n">
        <v>0.589154</v>
      </c>
      <c r="P218" s="28" t="n"/>
      <c r="Q218" s="28" t="n">
        <v>0.009322</v>
      </c>
      <c r="R218" s="26" t="n">
        <v>26</v>
      </c>
      <c r="S218" s="29" t="n">
        <v>1.25</v>
      </c>
      <c r="T218" s="24" t="inlineStr">
        <is>
          <t>mlb-elo-trend-lr-v7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Learned LR call at threshold 0.6242; executable ask 0.5800 (aec-mlb-sf-sd-2026-08-02); model edge vs ask +0.0092.</t>
        </is>
      </c>
      <c r="AF218" s="31" t="inlineStr">
        <is>
          <t>Learned model; shadow-qualified via operator override.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mlb-sf</t>
        </is>
      </c>
      <c r="AQ218" s="24" t="inlineStr">
        <is>
          <t>San Francisco Giants</t>
        </is>
      </c>
      <c r="AR218" s="24" t="inlineStr">
        <is>
          <t>San Francisco Giants</t>
        </is>
      </c>
      <c r="AS218" s="24" t="inlineStr">
        <is>
          <t>mlb-sd</t>
        </is>
      </c>
      <c r="AT218" s="24" t="inlineStr">
        <is>
          <t>San Diego Padres</t>
        </is>
      </c>
      <c r="AU218" s="24" t="inlineStr">
        <is>
          <t>San Diego Padres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464eef695bfbbdaa819ec6f5e4c5bd1068ed20b92915fb2677220ae91e20d8b6</t>
        </is>
      </c>
      <c r="BB218" s="24" t="inlineStr">
        <is>
          <t>learned_lr</t>
        </is>
      </c>
      <c r="BC218" s="24" t="inlineStr">
        <is>
          <t>mlb-elo-trend-lr-v7</t>
        </is>
      </c>
      <c r="BD218" s="24" t="inlineStr">
        <is>
          <t>464eef695bfbbdaa819ec6f5e4c5bd1068ed20b92915fb2677220ae91e20d8b6</t>
        </is>
      </c>
      <c r="BE218" s="24" t="inlineStr">
        <is>
          <t>be3929e3cfe65fa0</t>
        </is>
      </c>
      <c r="BF218" s="24" t="inlineStr">
        <is>
          <t>1</t>
        </is>
      </c>
      <c r="BG218" s="24" t="inlineStr">
        <is>
          <t>mlb-elo-trend-lr-v7</t>
        </is>
      </c>
      <c r="BH218" s="24" t="inlineStr">
        <is>
          <t>2026-08-02T16:10:00.452065Z</t>
        </is>
      </c>
      <c r="BI218" s="24" t="inlineStr">
        <is>
          <t>["same_event","same_team_same_day","same_league_same_day"]</t>
        </is>
      </c>
      <c r="BJ218" s="25" t="n"/>
      <c r="BK218" s="26" t="n">
        <v>-138</v>
      </c>
      <c r="BL218" s="27" t="n">
        <v>1.724638</v>
      </c>
      <c r="BM218" s="28" t="n">
        <v>0.579832</v>
      </c>
      <c r="BN218" s="28" t="n">
        <v>0.577114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0.5952401601</t>
        </is>
      </c>
      <c r="CD218" s="24" t="inlineStr">
        <is>
          <t>0.046644</t>
        </is>
      </c>
      <c r="CE218" s="24" t="inlineStr">
        <is>
          <t>0.945</t>
        </is>
      </c>
      <c r="CF218" s="24" t="inlineStr">
        <is>
          <t>1.0095</t>
        </is>
      </c>
      <c r="CG218" s="24" t="inlineStr">
        <is>
          <t>-1.6</t>
        </is>
      </c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inlineStr">
        <is>
          <t>True</t>
        </is>
      </c>
    </row>
    <row r="219" ht="36" customHeight="1">
      <c r="A219" s="24" t="inlineStr">
        <is>
          <t>171c4b49570e4dd7</t>
        </is>
      </c>
      <c r="B219" s="24" t="inlineStr">
        <is>
          <t>2026-08-02T16:10:50.825521Z</t>
        </is>
      </c>
      <c r="C219" s="24" t="inlineStr">
        <is>
          <t>2026-08-02T19:20:00-0400</t>
        </is>
      </c>
      <c r="D219" s="24" t="inlineStr">
        <is>
          <t>401816372</t>
        </is>
      </c>
      <c r="E219" s="24" t="inlineStr">
        <is>
          <t>MLB</t>
        </is>
      </c>
      <c r="F219" s="24" t="inlineStr">
        <is>
          <t>Boston Red Sox</t>
        </is>
      </c>
      <c r="G219" s="24" t="inlineStr">
        <is>
          <t>Los Angeles Dodgers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-167</v>
      </c>
      <c r="M219" s="27" t="n">
        <v>1.598802</v>
      </c>
      <c r="N219" s="28" t="n">
        <v>0.625468</v>
      </c>
      <c r="O219" s="28" t="n">
        <v>0.559397</v>
      </c>
      <c r="P219" s="28" t="n"/>
      <c r="Q219" s="28" t="n">
        <v>-0.066071</v>
      </c>
      <c r="R219" s="26" t="n">
        <v>0</v>
      </c>
      <c r="S219" s="29" t="n">
        <v>1</v>
      </c>
      <c r="T219" s="24" t="inlineStr">
        <is>
          <t>mlb-elo-trend-lr-v7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Learned LR call at threshold 0.6242; executable ask 0.6250 (aec-mlb-bos-lad-2026-08-02); model edge vs ask -0.0656.</t>
        </is>
      </c>
      <c r="AF219" s="31" t="inlineStr">
        <is>
          <t>Learned model; shadow-qualified via operator override.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mlb-bos</t>
        </is>
      </c>
      <c r="AQ219" s="24" t="inlineStr">
        <is>
          <t>Boston Red Sox</t>
        </is>
      </c>
      <c r="AR219" s="24" t="inlineStr">
        <is>
          <t>Boston Red Sox</t>
        </is>
      </c>
      <c r="AS219" s="24" t="inlineStr">
        <is>
          <t>mlb-lad</t>
        </is>
      </c>
      <c r="AT219" s="24" t="inlineStr">
        <is>
          <t>Los Angeles Dodgers</t>
        </is>
      </c>
      <c r="AU219" s="24" t="inlineStr">
        <is>
          <t>Los Angeles Dodgers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464eef695bfbbdaa819ec6f5e4c5bd1068ed20b92915fb2677220ae91e20d8b6</t>
        </is>
      </c>
      <c r="BB219" s="24" t="inlineStr">
        <is>
          <t>learned_lr</t>
        </is>
      </c>
      <c r="BC219" s="24" t="inlineStr">
        <is>
          <t>mlb-elo-trend-lr-v7</t>
        </is>
      </c>
      <c r="BD219" s="24" t="inlineStr">
        <is>
          <t>464eef695bfbbdaa819ec6f5e4c5bd1068ed20b92915fb2677220ae91e20d8b6</t>
        </is>
      </c>
      <c r="BE219" s="24" t="inlineStr">
        <is>
          <t>8ffc7cccca1bf73e</t>
        </is>
      </c>
      <c r="BF219" s="24" t="inlineStr">
        <is>
          <t>1</t>
        </is>
      </c>
      <c r="BG219" s="24" t="inlineStr">
        <is>
          <t>mlb-elo-trend-lr-v7</t>
        </is>
      </c>
      <c r="BH219" s="24" t="inlineStr">
        <is>
          <t>2026-08-02T16:10:02.438012Z</t>
        </is>
      </c>
      <c r="BI219" s="24" t="inlineStr">
        <is>
          <t>["same_event","same_team_same_day","same_league_same_day"]</t>
        </is>
      </c>
      <c r="BJ219" s="25" t="n"/>
      <c r="BK219" s="26" t="n">
        <v>-167</v>
      </c>
      <c r="BL219" s="27" t="n">
        <v>1.598802</v>
      </c>
      <c r="BM219" s="28" t="n">
        <v>0.625468</v>
      </c>
      <c r="BN219" s="28" t="n">
        <v>0.621891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inlineStr">
        <is>
          <t>0.5465616607</t>
        </is>
      </c>
      <c r="CD219" s="24" t="inlineStr">
        <is>
          <t>-0.812713</t>
        </is>
      </c>
      <c r="CE219" s="24" t="inlineStr">
        <is>
          <t>1.026</t>
        </is>
      </c>
      <c r="CF219" s="24" t="inlineStr">
        <is>
          <t>1.0169</t>
        </is>
      </c>
      <c r="CG219" s="24" t="inlineStr">
        <is>
          <t>2.6</t>
        </is>
      </c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inlineStr">
        <is>
          <t>False</t>
        </is>
      </c>
    </row>
    <row r="220" ht="36" customHeight="1">
      <c r="A220" s="24" t="inlineStr">
        <is>
          <t>78b05eed87414c95</t>
        </is>
      </c>
      <c r="B220" s="24" t="inlineStr">
        <is>
          <t>2026-08-02T16:11:31.225588Z</t>
        </is>
      </c>
      <c r="C220" s="24" t="inlineStr">
        <is>
          <t>2026-08-02T17:35Z</t>
        </is>
      </c>
      <c r="D220" s="24" t="inlineStr">
        <is>
          <t>401816365</t>
        </is>
      </c>
      <c r="E220" s="24" t="inlineStr">
        <is>
          <t>MLB</t>
        </is>
      </c>
      <c r="F220" s="24" t="inlineStr">
        <is>
          <t>Philadelphia Phillies</t>
        </is>
      </c>
      <c r="G220" s="24" t="inlineStr">
        <is>
          <t>Baltimore Orioles</t>
        </is>
      </c>
      <c r="H220" s="24" t="inlineStr">
        <is>
          <t>spread</t>
        </is>
      </c>
      <c r="I220" s="24" t="inlineStr">
        <is>
          <t>home</t>
        </is>
      </c>
      <c r="J220" s="25" t="n">
        <v>1.5</v>
      </c>
      <c r="K220" s="24" t="inlineStr">
        <is>
          <t>polymarket_us</t>
        </is>
      </c>
      <c r="L220" s="26" t="n">
        <v>-135</v>
      </c>
      <c r="M220" s="27" t="n">
        <v>1.740741</v>
      </c>
      <c r="N220" s="28" t="n">
        <v>0.574468</v>
      </c>
      <c r="O220" s="28" t="n">
        <v>0.612768</v>
      </c>
      <c r="P220" s="28" t="n">
        <v>0.042131</v>
      </c>
      <c r="Q220" s="28" t="n">
        <v>0.0383</v>
      </c>
      <c r="R220" s="26" t="n">
        <v>45</v>
      </c>
      <c r="S220" s="29" t="n">
        <v>1.5</v>
      </c>
      <c r="T220" s="24" t="inlineStr">
        <is>
          <t>measured-edge-margin-v2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Margin: Trend Engine projected 4.52-4.52; raw selected-side p=0.6718, calibrated p=0.6128.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mlb-phi</t>
        </is>
      </c>
      <c r="AQ220" s="24" t="inlineStr">
        <is>
          <t>Philadelphia Phillies</t>
        </is>
      </c>
      <c r="AR220" s="24" t="inlineStr">
        <is>
          <t>Philadelphia Phillies</t>
        </is>
      </c>
      <c r="AS220" s="24" t="inlineStr">
        <is>
          <t>mlb-bal</t>
        </is>
      </c>
      <c r="AT220" s="24" t="inlineStr">
        <is>
          <t>Baltimore Orioles</t>
        </is>
      </c>
      <c r="AU220" s="24" t="inlineStr">
        <is>
          <t>Baltimore Orioles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8360b122264b796b0fb193095cfe4506c7e064e5f3f8c0a659aec41efd08dd25</t>
        </is>
      </c>
      <c r="BB220" s="24" t="inlineStr">
        <is>
          <t>flat_probability_shrinkage_toward_half</t>
        </is>
      </c>
      <c r="BC220" s="24" t="inlineStr">
        <is>
          <t>measured-edge-margin-v2</t>
        </is>
      </c>
      <c r="BD220" s="24" t="inlineStr">
        <is>
          <t>8360b122264b796b0fb193095cfe4506c7e064e5f3f8c0a659aec41efd08dd25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2026-08-02T16:11:31.225588Z</t>
        </is>
      </c>
      <c r="BI220" s="24" t="inlineStr">
        <is>
          <t>["same_event","same_team_same_day","same_league_same_day"]</t>
        </is>
      </c>
      <c r="BJ220" s="25" t="n">
        <v>1.5</v>
      </c>
      <c r="BK220" s="26" t="n">
        <v>-135</v>
      </c>
      <c r="BL220" s="27" t="n">
        <v>1.740741</v>
      </c>
      <c r="BM220" s="28" t="n">
        <v>0.574468</v>
      </c>
      <c r="BN220" s="28" t="n">
        <v>0.572139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inlineStr">
        <is>
          <t>True</t>
        </is>
      </c>
    </row>
    <row r="221" ht="36" customHeight="1">
      <c r="A221" s="24" t="inlineStr">
        <is>
          <t>1b0cd6d68a6e4362</t>
        </is>
      </c>
      <c r="B221" s="24" t="inlineStr">
        <is>
          <t>2026-08-02T16:11:31.225588Z</t>
        </is>
      </c>
      <c r="C221" s="24" t="inlineStr">
        <is>
          <t>2026-08-02T17:35Z</t>
        </is>
      </c>
      <c r="D221" s="24" t="inlineStr">
        <is>
          <t>401816365</t>
        </is>
      </c>
      <c r="E221" s="24" t="inlineStr">
        <is>
          <t>MLB</t>
        </is>
      </c>
      <c r="F221" s="24" t="inlineStr">
        <is>
          <t>Philadelphia Phillies</t>
        </is>
      </c>
      <c r="G221" s="24" t="inlineStr">
        <is>
          <t>Baltimore Orioles</t>
        </is>
      </c>
      <c r="H221" s="24" t="inlineStr">
        <is>
          <t>total</t>
        </is>
      </c>
      <c r="I221" s="24" t="inlineStr">
        <is>
          <t>over</t>
        </is>
      </c>
      <c r="J221" s="25" t="n">
        <v>7.5</v>
      </c>
      <c r="K221" s="24" t="inlineStr">
        <is>
          <t>polymarket_us</t>
        </is>
      </c>
      <c r="L221" s="26" t="n">
        <v>-115</v>
      </c>
      <c r="M221" s="27" t="n">
        <v>1.869565</v>
      </c>
      <c r="N221" s="28" t="n">
        <v>0.534884</v>
      </c>
      <c r="O221" s="28" t="n">
        <v>0.541232</v>
      </c>
      <c r="P221" s="28" t="n">
        <v>0.042131</v>
      </c>
      <c r="Q221" s="28" t="n">
        <v>0.006348</v>
      </c>
      <c r="R221" s="26" t="n">
        <v>29</v>
      </c>
      <c r="S221" s="29" t="n">
        <v>1</v>
      </c>
      <c r="T221" s="24" t="inlineStr">
        <is>
          <t>measured-edge-totals-v2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Totals: Trend Engine projected 4.52-4.52; raw selected-side p=0.5974, calibrated p=0.5412.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mlb-phi</t>
        </is>
      </c>
      <c r="AQ221" s="24" t="inlineStr">
        <is>
          <t>Philadelphia Phillies</t>
        </is>
      </c>
      <c r="AR221" s="24" t="inlineStr">
        <is>
          <t>Philadelphia Phillies</t>
        </is>
      </c>
      <c r="AS221" s="24" t="inlineStr">
        <is>
          <t>mlb-bal</t>
        </is>
      </c>
      <c r="AT221" s="24" t="inlineStr">
        <is>
          <t>Baltimore Orioles</t>
        </is>
      </c>
      <c r="AU221" s="24" t="inlineStr">
        <is>
          <t>Baltimore Orioles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433578016242b27f9c1c7132cc6b5a2bcc7dd1b0234590c12a944455a88e71bd</t>
        </is>
      </c>
      <c r="BB221" s="24" t="inlineStr">
        <is>
          <t>flat_probability_shrinkage_toward_half</t>
        </is>
      </c>
      <c r="BC221" s="24" t="inlineStr">
        <is>
          <t>measured-edge-totals-v2</t>
        </is>
      </c>
      <c r="BD221" s="24" t="inlineStr">
        <is>
          <t>433578016242b27f9c1c7132cc6b5a2bcc7dd1b0234590c12a944455a88e71bd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2026-08-02T16:11:31.225588Z</t>
        </is>
      </c>
      <c r="BI221" s="24" t="inlineStr">
        <is>
          <t>["same_event","same_team_same_day","same_league_same_day"]</t>
        </is>
      </c>
      <c r="BJ221" s="25" t="n">
        <v>7.5</v>
      </c>
      <c r="BK221" s="26" t="n">
        <v>-115</v>
      </c>
      <c r="BL221" s="27" t="n">
        <v>1.869565</v>
      </c>
      <c r="BM221" s="28" t="n">
        <v>0.534884</v>
      </c>
      <c r="BN221" s="28" t="n">
        <v>0.532338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inlineStr">
        <is>
          <t>True</t>
        </is>
      </c>
    </row>
    <row r="222" ht="36" customHeight="1">
      <c r="A222" s="24" t="inlineStr">
        <is>
          <t>1859908f7df646ef</t>
        </is>
      </c>
      <c r="B222" s="24" t="inlineStr">
        <is>
          <t>2026-08-02T16:11:31.225588Z</t>
        </is>
      </c>
      <c r="C222" s="24" t="inlineStr">
        <is>
          <t>2026-08-02T17:35Z</t>
        </is>
      </c>
      <c r="D222" s="24" t="inlineStr">
        <is>
          <t>401816368</t>
        </is>
      </c>
      <c r="E222" s="24" t="inlineStr">
        <is>
          <t>MLB</t>
        </is>
      </c>
      <c r="F222" s="24" t="inlineStr">
        <is>
          <t>Washington Nationals</t>
        </is>
      </c>
      <c r="G222" s="24" t="inlineStr">
        <is>
          <t>Atlanta Braves</t>
        </is>
      </c>
      <c r="H222" s="24" t="inlineStr">
        <is>
          <t>spread</t>
        </is>
      </c>
      <c r="I222" s="24" t="inlineStr">
        <is>
          <t>home</t>
        </is>
      </c>
      <c r="J222" s="25" t="n">
        <v>1.5</v>
      </c>
      <c r="K222" s="24" t="inlineStr">
        <is>
          <t>polymarket_us</t>
        </is>
      </c>
      <c r="L222" s="26" t="n">
        <v>-182</v>
      </c>
      <c r="M222" s="27" t="n">
        <v>1.549451</v>
      </c>
      <c r="N222" s="28" t="n">
        <v>0.64539</v>
      </c>
      <c r="O222" s="28" t="n">
        <v>0.613555</v>
      </c>
      <c r="P222" s="28" t="n">
        <v>0.042131</v>
      </c>
      <c r="Q222" s="28" t="n">
        <v>-0.031835</v>
      </c>
      <c r="R222" s="26" t="n">
        <v>11</v>
      </c>
      <c r="S222" s="29" t="n">
        <v>1.5</v>
      </c>
      <c r="T222" s="24" t="inlineStr">
        <is>
          <t>measured-edge-margin-v2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Margin: Trend Engine projected 4.45-4.46; raw selected-side p=0.6730, calibrated p=0.6136.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mlb-wsh</t>
        </is>
      </c>
      <c r="AQ222" s="24" t="inlineStr">
        <is>
          <t>Washington Nationals</t>
        </is>
      </c>
      <c r="AR222" s="24" t="inlineStr">
        <is>
          <t>Washington Nationals</t>
        </is>
      </c>
      <c r="AS222" s="24" t="inlineStr">
        <is>
          <t>mlb-atl</t>
        </is>
      </c>
      <c r="AT222" s="24" t="inlineStr">
        <is>
          <t>Atlanta Braves</t>
        </is>
      </c>
      <c r="AU222" s="24" t="inlineStr">
        <is>
          <t>Atlanta Braves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8360b122264b796b0fb193095cfe4506c7e064e5f3f8c0a659aec41efd08dd25</t>
        </is>
      </c>
      <c r="BB222" s="24" t="inlineStr">
        <is>
          <t>flat_probability_shrinkage_toward_half</t>
        </is>
      </c>
      <c r="BC222" s="24" t="inlineStr">
        <is>
          <t>measured-edge-margin-v2</t>
        </is>
      </c>
      <c r="BD222" s="24" t="inlineStr">
        <is>
          <t>8360b122264b796b0fb193095cfe4506c7e064e5f3f8c0a659aec41efd08dd25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2026-08-02T16:11:31.225588Z</t>
        </is>
      </c>
      <c r="BI222" s="24" t="inlineStr">
        <is>
          <t>["same_event","same_team_same_day","same_league_same_day"]</t>
        </is>
      </c>
      <c r="BJ222" s="25" t="n">
        <v>1.5</v>
      </c>
      <c r="BK222" s="26" t="n">
        <v>-182</v>
      </c>
      <c r="BL222" s="27" t="n">
        <v>1.549451</v>
      </c>
      <c r="BM222" s="28" t="n">
        <v>0.64539</v>
      </c>
      <c r="BN222" s="28" t="n">
        <v>0.641791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inlineStr">
        <is>
          <t>False</t>
        </is>
      </c>
    </row>
    <row r="223" ht="36" customHeight="1">
      <c r="A223" s="24" t="inlineStr">
        <is>
          <t>66eedbf3151c46c8</t>
        </is>
      </c>
      <c r="B223" s="24" t="inlineStr">
        <is>
          <t>2026-08-02T16:11:31.225588Z</t>
        </is>
      </c>
      <c r="C223" s="24" t="inlineStr">
        <is>
          <t>2026-08-02T17:35Z</t>
        </is>
      </c>
      <c r="D223" s="24" t="inlineStr">
        <is>
          <t>401816368</t>
        </is>
      </c>
      <c r="E223" s="24" t="inlineStr">
        <is>
          <t>MLB</t>
        </is>
      </c>
      <c r="F223" s="24" t="inlineStr">
        <is>
          <t>Washington Nationals</t>
        </is>
      </c>
      <c r="G223" s="24" t="inlineStr">
        <is>
          <t>Atlanta Braves</t>
        </is>
      </c>
      <c r="H223" s="24" t="inlineStr">
        <is>
          <t>total</t>
        </is>
      </c>
      <c r="I223" s="24" t="inlineStr">
        <is>
          <t>over</t>
        </is>
      </c>
      <c r="J223" s="25" t="n">
        <v>8.5</v>
      </c>
      <c r="K223" s="24" t="inlineStr">
        <is>
          <t>polymarket_us</t>
        </is>
      </c>
      <c r="L223" s="26" t="n">
        <v>-117</v>
      </c>
      <c r="M223" s="27" t="n">
        <v>1.854701</v>
      </c>
      <c r="N223" s="28" t="n">
        <v>0.539171</v>
      </c>
      <c r="O223" s="28" t="n">
        <v>0.5100170000000001</v>
      </c>
      <c r="P223" s="28" t="n">
        <v>0.042131</v>
      </c>
      <c r="Q223" s="28" t="n">
        <v>-0.029154</v>
      </c>
      <c r="R223" s="26" t="n">
        <v>11</v>
      </c>
      <c r="S223" s="29" t="n">
        <v>1</v>
      </c>
      <c r="T223" s="24" t="inlineStr">
        <is>
          <t>measured-edge-totals-v2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Totals: Trend Engine projected 4.45-4.46; raw selected-side p=0.5060, calibrated p=0.5100.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mlb-wsh</t>
        </is>
      </c>
      <c r="AQ223" s="24" t="inlineStr">
        <is>
          <t>Washington Nationals</t>
        </is>
      </c>
      <c r="AR223" s="24" t="inlineStr">
        <is>
          <t>Washington Nationals</t>
        </is>
      </c>
      <c r="AS223" s="24" t="inlineStr">
        <is>
          <t>mlb-atl</t>
        </is>
      </c>
      <c r="AT223" s="24" t="inlineStr">
        <is>
          <t>Atlanta Braves</t>
        </is>
      </c>
      <c r="AU223" s="24" t="inlineStr">
        <is>
          <t>Atlanta Braves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433578016242b27f9c1c7132cc6b5a2bcc7dd1b0234590c12a944455a88e71bd</t>
        </is>
      </c>
      <c r="BB223" s="24" t="inlineStr">
        <is>
          <t>flat_probability_shrinkage_toward_half</t>
        </is>
      </c>
      <c r="BC223" s="24" t="inlineStr">
        <is>
          <t>measured-edge-totals-v2</t>
        </is>
      </c>
      <c r="BD223" s="24" t="inlineStr">
        <is>
          <t>433578016242b27f9c1c7132cc6b5a2bcc7dd1b0234590c12a944455a88e71bd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2026-08-02T16:11:31.225588Z</t>
        </is>
      </c>
      <c r="BI223" s="24" t="inlineStr">
        <is>
          <t>["same_event","same_team_same_day","same_league_same_day"]</t>
        </is>
      </c>
      <c r="BJ223" s="25" t="n">
        <v>8.5</v>
      </c>
      <c r="BK223" s="26" t="n">
        <v>-117</v>
      </c>
      <c r="BL223" s="27" t="n">
        <v>1.854701</v>
      </c>
      <c r="BM223" s="28" t="n">
        <v>0.539171</v>
      </c>
      <c r="BN223" s="28" t="n">
        <v>0.537313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inlineStr">
        <is>
          <t>False</t>
        </is>
      </c>
    </row>
    <row r="224" ht="36" customHeight="1">
      <c r="A224" s="24" t="inlineStr">
        <is>
          <t>7b41958d7d3846d6</t>
        </is>
      </c>
      <c r="B224" s="24" t="inlineStr">
        <is>
          <t>2026-08-02T16:11:31.225588Z</t>
        </is>
      </c>
      <c r="C224" s="24" t="inlineStr">
        <is>
          <t>2026-08-02T17:37Z</t>
        </is>
      </c>
      <c r="D224" s="24" t="inlineStr">
        <is>
          <t>401816367</t>
        </is>
      </c>
      <c r="E224" s="24" t="inlineStr">
        <is>
          <t>MLB</t>
        </is>
      </c>
      <c r="F224" s="24" t="inlineStr">
        <is>
          <t>St. Louis Cardinals</t>
        </is>
      </c>
      <c r="G224" s="24" t="inlineStr">
        <is>
          <t>Toronto Blue Jays</t>
        </is>
      </c>
      <c r="H224" s="24" t="inlineStr">
        <is>
          <t>spread</t>
        </is>
      </c>
      <c r="I224" s="24" t="inlineStr">
        <is>
          <t>away</t>
        </is>
      </c>
      <c r="J224" s="25" t="n">
        <v>1.5</v>
      </c>
      <c r="K224" s="24" t="inlineStr">
        <is>
          <t>polymarket_us</t>
        </is>
      </c>
      <c r="L224" s="26" t="n">
        <v>-174</v>
      </c>
      <c r="M224" s="27" t="n">
        <v>1.574713</v>
      </c>
      <c r="N224" s="28" t="n">
        <v>0.635036</v>
      </c>
      <c r="O224" s="28" t="n">
        <v>0.624775</v>
      </c>
      <c r="P224" s="28" t="n">
        <v>0.05172</v>
      </c>
      <c r="Q224" s="28" t="n">
        <v>-0.010261</v>
      </c>
      <c r="R224" s="26" t="n">
        <v>15</v>
      </c>
      <c r="S224" s="29" t="n">
        <v>1.5</v>
      </c>
      <c r="T224" s="24" t="inlineStr">
        <is>
          <t>measured-edge-margin-v2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Margin: Trend Engine projected 5.24-4.85; raw selected-side p=0.6901, calibrated p=0.6248.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mlb-stl</t>
        </is>
      </c>
      <c r="AQ224" s="24" t="inlineStr">
        <is>
          <t>St. Louis Cardinals</t>
        </is>
      </c>
      <c r="AR224" s="24" t="inlineStr">
        <is>
          <t>St. Louis Cardinals</t>
        </is>
      </c>
      <c r="AS224" s="24" t="inlineStr">
        <is>
          <t>mlb-tor</t>
        </is>
      </c>
      <c r="AT224" s="24" t="inlineStr">
        <is>
          <t>Toronto Blue Jays</t>
        </is>
      </c>
      <c r="AU224" s="24" t="inlineStr">
        <is>
          <t>Toronto Blue Jays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8360b122264b796b0fb193095cfe4506c7e064e5f3f8c0a659aec41efd08dd25</t>
        </is>
      </c>
      <c r="BB224" s="24" t="inlineStr">
        <is>
          <t>flat_probability_shrinkage_toward_half</t>
        </is>
      </c>
      <c r="BC224" s="24" t="inlineStr">
        <is>
          <t>measured-edge-margin-v2</t>
        </is>
      </c>
      <c r="BD224" s="24" t="inlineStr">
        <is>
          <t>8360b122264b796b0fb193095cfe4506c7e064e5f3f8c0a659aec41efd08dd25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2026-08-02T16:11:31.225588Z</t>
        </is>
      </c>
      <c r="BI224" s="24" t="inlineStr">
        <is>
          <t>["same_event","same_team_same_day","same_league_same_day"]</t>
        </is>
      </c>
      <c r="BJ224" s="25" t="n">
        <v>1.5</v>
      </c>
      <c r="BK224" s="26" t="n">
        <v>-174</v>
      </c>
      <c r="BL224" s="27" t="n">
        <v>1.574713</v>
      </c>
      <c r="BM224" s="28" t="n">
        <v>0.635036</v>
      </c>
      <c r="BN224" s="28" t="n">
        <v>0.631841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inlineStr">
        <is>
          <t>False</t>
        </is>
      </c>
    </row>
    <row r="225" ht="36" customHeight="1">
      <c r="A225" s="24" t="inlineStr">
        <is>
          <t>12e81d1f82954f1d</t>
        </is>
      </c>
      <c r="B225" s="24" t="inlineStr">
        <is>
          <t>2026-08-02T16:11:31.225588Z</t>
        </is>
      </c>
      <c r="C225" s="24" t="inlineStr">
        <is>
          <t>2026-08-02T17:37Z</t>
        </is>
      </c>
      <c r="D225" s="24" t="inlineStr">
        <is>
          <t>401816367</t>
        </is>
      </c>
      <c r="E225" s="24" t="inlineStr">
        <is>
          <t>MLB</t>
        </is>
      </c>
      <c r="F225" s="24" t="inlineStr">
        <is>
          <t>St. Louis Cardinals</t>
        </is>
      </c>
      <c r="G225" s="24" t="inlineStr">
        <is>
          <t>Toronto Blue Jays</t>
        </is>
      </c>
      <c r="H225" s="24" t="inlineStr">
        <is>
          <t>total</t>
        </is>
      </c>
      <c r="I225" s="24" t="inlineStr">
        <is>
          <t>over</t>
        </is>
      </c>
      <c r="J225" s="25" t="n">
        <v>8.5</v>
      </c>
      <c r="K225" s="24" t="inlineStr">
        <is>
          <t>polymarket_us</t>
        </is>
      </c>
      <c r="L225" s="26" t="n">
        <v>-111</v>
      </c>
      <c r="M225" s="27" t="n">
        <v>1.900901</v>
      </c>
      <c r="N225" s="28" t="n">
        <v>0.526066</v>
      </c>
      <c r="O225" s="28" t="n">
        <v>0.542889</v>
      </c>
      <c r="P225" s="28" t="n">
        <v>0.05172</v>
      </c>
      <c r="Q225" s="28" t="n">
        <v>0.016823</v>
      </c>
      <c r="R225" s="26" t="n">
        <v>29</v>
      </c>
      <c r="S225" s="29" t="n">
        <v>1</v>
      </c>
      <c r="T225" s="24" t="inlineStr">
        <is>
          <t>measured-edge-totals-v2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Totals: Trend Engine projected 5.24-4.85; raw selected-side p=0.6022, calibrated p=0.5429.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mlb-stl</t>
        </is>
      </c>
      <c r="AQ225" s="24" t="inlineStr">
        <is>
          <t>St. Louis Cardinals</t>
        </is>
      </c>
      <c r="AR225" s="24" t="inlineStr">
        <is>
          <t>St. Louis Cardinals</t>
        </is>
      </c>
      <c r="AS225" s="24" t="inlineStr">
        <is>
          <t>mlb-tor</t>
        </is>
      </c>
      <c r="AT225" s="24" t="inlineStr">
        <is>
          <t>Toronto Blue Jays</t>
        </is>
      </c>
      <c r="AU225" s="24" t="inlineStr">
        <is>
          <t>Toronto Blue Jays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433578016242b27f9c1c7132cc6b5a2bcc7dd1b0234590c12a944455a88e71bd</t>
        </is>
      </c>
      <c r="BB225" s="24" t="inlineStr">
        <is>
          <t>flat_probability_shrinkage_toward_half</t>
        </is>
      </c>
      <c r="BC225" s="24" t="inlineStr">
        <is>
          <t>measured-edge-totals-v2</t>
        </is>
      </c>
      <c r="BD225" s="24" t="inlineStr">
        <is>
          <t>433578016242b27f9c1c7132cc6b5a2bcc7dd1b0234590c12a944455a88e71bd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2026-08-02T16:11:31.225588Z</t>
        </is>
      </c>
      <c r="BI225" s="24" t="inlineStr">
        <is>
          <t>["same_event","same_team_same_day","same_league_same_day"]</t>
        </is>
      </c>
      <c r="BJ225" s="25" t="n">
        <v>8.5</v>
      </c>
      <c r="BK225" s="26" t="n">
        <v>-111</v>
      </c>
      <c r="BL225" s="27" t="n">
        <v>1.900901</v>
      </c>
      <c r="BM225" s="28" t="n">
        <v>0.526066</v>
      </c>
      <c r="BN225" s="28" t="n">
        <v>0.522388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inlineStr">
        <is>
          <t>True</t>
        </is>
      </c>
    </row>
    <row r="226" ht="36" customHeight="1">
      <c r="A226" s="24" t="inlineStr">
        <is>
          <t>a140209681fc4ab4</t>
        </is>
      </c>
      <c r="B226" s="24" t="inlineStr">
        <is>
          <t>2026-08-02T16:11:31.225588Z</t>
        </is>
      </c>
      <c r="C226" s="24" t="inlineStr">
        <is>
          <t>2026-08-02T17:40Z</t>
        </is>
      </c>
      <c r="D226" s="24" t="inlineStr">
        <is>
          <t>401816362</t>
        </is>
      </c>
      <c r="E226" s="24" t="inlineStr">
        <is>
          <t>MLB</t>
        </is>
      </c>
      <c r="F226" s="24" t="inlineStr">
        <is>
          <t>Arizona Diamondbacks</t>
        </is>
      </c>
      <c r="G226" s="24" t="inlineStr">
        <is>
          <t>Cleveland Guardians</t>
        </is>
      </c>
      <c r="H226" s="24" t="inlineStr">
        <is>
          <t>spread</t>
        </is>
      </c>
      <c r="I226" s="24" t="inlineStr">
        <is>
          <t>away</t>
        </is>
      </c>
      <c r="J226" s="25" t="n">
        <v>1.5</v>
      </c>
      <c r="K226" s="24" t="inlineStr">
        <is>
          <t>polymarket_us</t>
        </is>
      </c>
      <c r="L226" s="26" t="n">
        <v>-138</v>
      </c>
      <c r="M226" s="27" t="n">
        <v>1.724638</v>
      </c>
      <c r="N226" s="28" t="n">
        <v>0.579832</v>
      </c>
      <c r="O226" s="28" t="n">
        <v>0.606371</v>
      </c>
      <c r="P226" s="28" t="n">
        <v>0.042131</v>
      </c>
      <c r="Q226" s="28" t="n">
        <v>0.026539</v>
      </c>
      <c r="R226" s="26" t="n">
        <v>39</v>
      </c>
      <c r="S226" s="29" t="n">
        <v>1.5</v>
      </c>
      <c r="T226" s="24" t="inlineStr">
        <is>
          <t>measured-edge-margin-v2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Margin: Trend Engine projected 4.39-4.52; raw selected-side p=0.6621, calibrated p=0.6064.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mlb-ari</t>
        </is>
      </c>
      <c r="AQ226" s="24" t="inlineStr">
        <is>
          <t>Arizona Diamondbacks</t>
        </is>
      </c>
      <c r="AR226" s="24" t="inlineStr">
        <is>
          <t>Arizona Diamondbacks</t>
        </is>
      </c>
      <c r="AS226" s="24" t="inlineStr">
        <is>
          <t>mlb-cle</t>
        </is>
      </c>
      <c r="AT226" s="24" t="inlineStr">
        <is>
          <t>Cleveland Guardians</t>
        </is>
      </c>
      <c r="AU226" s="24" t="inlineStr">
        <is>
          <t>Cleveland Guardians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8360b122264b796b0fb193095cfe4506c7e064e5f3f8c0a659aec41efd08dd25</t>
        </is>
      </c>
      <c r="BB226" s="24" t="inlineStr">
        <is>
          <t>flat_probability_shrinkage_toward_half</t>
        </is>
      </c>
      <c r="BC226" s="24" t="inlineStr">
        <is>
          <t>measured-edge-margin-v2</t>
        </is>
      </c>
      <c r="BD226" s="24" t="inlineStr">
        <is>
          <t>8360b122264b796b0fb193095cfe4506c7e064e5f3f8c0a659aec41efd08dd25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2026-08-02T16:11:31.225588Z</t>
        </is>
      </c>
      <c r="BI226" s="24" t="inlineStr">
        <is>
          <t>["same_event","same_team_same_day","same_league_same_day"]</t>
        </is>
      </c>
      <c r="BJ226" s="25" t="n">
        <v>1.5</v>
      </c>
      <c r="BK226" s="26" t="n">
        <v>-138</v>
      </c>
      <c r="BL226" s="27" t="n">
        <v>1.724638</v>
      </c>
      <c r="BM226" s="28" t="n">
        <v>0.579832</v>
      </c>
      <c r="BN226" s="28" t="n">
        <v>0.577114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inlineStr">
        <is>
          <t>True</t>
        </is>
      </c>
    </row>
    <row r="227" ht="36" customHeight="1">
      <c r="A227" s="24" t="inlineStr">
        <is>
          <t>f6ff213a2c644292</t>
        </is>
      </c>
      <c r="B227" s="24" t="inlineStr">
        <is>
          <t>2026-08-02T16:11:31.225588Z</t>
        </is>
      </c>
      <c r="C227" s="24" t="inlineStr">
        <is>
          <t>2026-08-02T17:40Z</t>
        </is>
      </c>
      <c r="D227" s="24" t="inlineStr">
        <is>
          <t>401816362</t>
        </is>
      </c>
      <c r="E227" s="24" t="inlineStr">
        <is>
          <t>MLB</t>
        </is>
      </c>
      <c r="F227" s="24" t="inlineStr">
        <is>
          <t>Arizona Diamondbacks</t>
        </is>
      </c>
      <c r="G227" s="24" t="inlineStr">
        <is>
          <t>Cleveland Guardians</t>
        </is>
      </c>
      <c r="H227" s="24" t="inlineStr">
        <is>
          <t>total</t>
        </is>
      </c>
      <c r="I227" s="24" t="inlineStr">
        <is>
          <t>over</t>
        </is>
      </c>
      <c r="J227" s="25" t="n">
        <v>7.5</v>
      </c>
      <c r="K227" s="24" t="inlineStr">
        <is>
          <t>polymarket_us</t>
        </is>
      </c>
      <c r="L227" s="26" t="n">
        <v>-108</v>
      </c>
      <c r="M227" s="27" t="n">
        <v>1.925926</v>
      </c>
      <c r="N227" s="28" t="n">
        <v>0.519231</v>
      </c>
      <c r="O227" s="28" t="n">
        <v>0.53544</v>
      </c>
      <c r="P227" s="28" t="n">
        <v>0.042131</v>
      </c>
      <c r="Q227" s="28" t="n">
        <v>0.016209</v>
      </c>
      <c r="R227" s="26" t="n">
        <v>34</v>
      </c>
      <c r="S227" s="29" t="n">
        <v>1</v>
      </c>
      <c r="T227" s="24" t="inlineStr">
        <is>
          <t>measured-edge-totals-v2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Totals: Trend Engine projected 4.39-4.52; raw selected-side p=0.5805, calibrated p=0.5354.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mlb-ari</t>
        </is>
      </c>
      <c r="AQ227" s="24" t="inlineStr">
        <is>
          <t>Arizona Diamondbacks</t>
        </is>
      </c>
      <c r="AR227" s="24" t="inlineStr">
        <is>
          <t>Arizona Diamondbacks</t>
        </is>
      </c>
      <c r="AS227" s="24" t="inlineStr">
        <is>
          <t>mlb-cle</t>
        </is>
      </c>
      <c r="AT227" s="24" t="inlineStr">
        <is>
          <t>Cleveland Guardians</t>
        </is>
      </c>
      <c r="AU227" s="24" t="inlineStr">
        <is>
          <t>Cleveland Guardians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433578016242b27f9c1c7132cc6b5a2bcc7dd1b0234590c12a944455a88e71bd</t>
        </is>
      </c>
      <c r="BB227" s="24" t="inlineStr">
        <is>
          <t>flat_probability_shrinkage_toward_half</t>
        </is>
      </c>
      <c r="BC227" s="24" t="inlineStr">
        <is>
          <t>measured-edge-totals-v2</t>
        </is>
      </c>
      <c r="BD227" s="24" t="inlineStr">
        <is>
          <t>433578016242b27f9c1c7132cc6b5a2bcc7dd1b0234590c12a944455a88e71bd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2026-08-02T16:11:31.225588Z</t>
        </is>
      </c>
      <c r="BI227" s="24" t="inlineStr">
        <is>
          <t>["same_event","same_team_same_day","same_league_same_day"]</t>
        </is>
      </c>
      <c r="BJ227" s="25" t="n">
        <v>7.5</v>
      </c>
      <c r="BK227" s="26" t="n">
        <v>-108</v>
      </c>
      <c r="BL227" s="27" t="n">
        <v>1.925926</v>
      </c>
      <c r="BM227" s="28" t="n">
        <v>0.519231</v>
      </c>
      <c r="BN227" s="28" t="n">
        <v>0.517413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inlineStr">
        <is>
          <t>True</t>
        </is>
      </c>
    </row>
    <row r="228" ht="36" customHeight="1">
      <c r="A228" s="24" t="inlineStr">
        <is>
          <t>c6018ec6d4a8421b</t>
        </is>
      </c>
      <c r="B228" s="24" t="inlineStr">
        <is>
          <t>2026-08-02T16:11:31.225588Z</t>
        </is>
      </c>
      <c r="C228" s="24" t="inlineStr">
        <is>
          <t>2026-08-02T17:40Z</t>
        </is>
      </c>
      <c r="D228" s="24" t="inlineStr">
        <is>
          <t>401816363</t>
        </is>
      </c>
      <c r="E228" s="24" t="inlineStr">
        <is>
          <t>MLB</t>
        </is>
      </c>
      <c r="F228" s="24" t="inlineStr">
        <is>
          <t>Chicago White Sox</t>
        </is>
      </c>
      <c r="G228" s="24" t="inlineStr">
        <is>
          <t>Tampa Bay Rays</t>
        </is>
      </c>
      <c r="H228" s="24" t="inlineStr">
        <is>
          <t>spread</t>
        </is>
      </c>
      <c r="I228" s="24" t="inlineStr">
        <is>
          <t>away</t>
        </is>
      </c>
      <c r="J228" s="25" t="n">
        <v>1.5</v>
      </c>
      <c r="K228" s="24" t="inlineStr">
        <is>
          <t>polymarket_us</t>
        </is>
      </c>
      <c r="L228" s="26" t="n">
        <v>-156</v>
      </c>
      <c r="M228" s="27" t="n">
        <v>1.641026</v>
      </c>
      <c r="N228" s="28" t="n">
        <v>0.609375</v>
      </c>
      <c r="O228" s="28" t="n">
        <v>0.6013849999999999</v>
      </c>
      <c r="P228" s="28" t="n">
        <v>0.042131</v>
      </c>
      <c r="Q228" s="28" t="n">
        <v>-0.007990000000000001</v>
      </c>
      <c r="R228" s="26" t="n">
        <v>22</v>
      </c>
      <c r="S228" s="29" t="n">
        <v>1.5</v>
      </c>
      <c r="T228" s="24" t="inlineStr">
        <is>
          <t>measured-edge-margin-v2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Margin: Trend Engine projected 4.47-4.63; raw selected-side p=0.6544, calibrated p=0.6014.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mlb-cws</t>
        </is>
      </c>
      <c r="AQ228" s="24" t="inlineStr">
        <is>
          <t>Chicago White Sox</t>
        </is>
      </c>
      <c r="AR228" s="24" t="inlineStr">
        <is>
          <t>Chicago White Sox</t>
        </is>
      </c>
      <c r="AS228" s="24" t="inlineStr">
        <is>
          <t>mlb-tb</t>
        </is>
      </c>
      <c r="AT228" s="24" t="inlineStr">
        <is>
          <t>Tampa Bay Rays</t>
        </is>
      </c>
      <c r="AU228" s="24" t="inlineStr">
        <is>
          <t>Tampa Bay Rays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8360b122264b796b0fb193095cfe4506c7e064e5f3f8c0a659aec41efd08dd25</t>
        </is>
      </c>
      <c r="BB228" s="24" t="inlineStr">
        <is>
          <t>flat_probability_shrinkage_toward_half</t>
        </is>
      </c>
      <c r="BC228" s="24" t="inlineStr">
        <is>
          <t>measured-edge-margin-v2</t>
        </is>
      </c>
      <c r="BD228" s="24" t="inlineStr">
        <is>
          <t>8360b122264b796b0fb193095cfe4506c7e064e5f3f8c0a659aec41efd08dd25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2026-08-02T16:11:31.225588Z</t>
        </is>
      </c>
      <c r="BI228" s="24" t="inlineStr">
        <is>
          <t>["same_event","same_team_same_day","same_league_same_day"]</t>
        </is>
      </c>
      <c r="BJ228" s="25" t="n">
        <v>1.5</v>
      </c>
      <c r="BK228" s="26" t="n">
        <v>-156</v>
      </c>
      <c r="BL228" s="27" t="n">
        <v>1.641026</v>
      </c>
      <c r="BM228" s="28" t="n">
        <v>0.609375</v>
      </c>
      <c r="BN228" s="28" t="n">
        <v>0.606965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inlineStr">
        <is>
          <t>False</t>
        </is>
      </c>
    </row>
    <row r="229" ht="36" customHeight="1">
      <c r="A229" s="24" t="inlineStr">
        <is>
          <t>f53bb99eae21426a</t>
        </is>
      </c>
      <c r="B229" s="24" t="inlineStr">
        <is>
          <t>2026-08-02T16:11:31.225588Z</t>
        </is>
      </c>
      <c r="C229" s="24" t="inlineStr">
        <is>
          <t>2026-08-02T17:40Z</t>
        </is>
      </c>
      <c r="D229" s="24" t="inlineStr">
        <is>
          <t>401816363</t>
        </is>
      </c>
      <c r="E229" s="24" t="inlineStr">
        <is>
          <t>MLB</t>
        </is>
      </c>
      <c r="F229" s="24" t="inlineStr">
        <is>
          <t>Chicago White Sox</t>
        </is>
      </c>
      <c r="G229" s="24" t="inlineStr">
        <is>
          <t>Tampa Bay Rays</t>
        </is>
      </c>
      <c r="H229" s="24" t="inlineStr">
        <is>
          <t>total</t>
        </is>
      </c>
      <c r="I229" s="24" t="inlineStr">
        <is>
          <t>over</t>
        </is>
      </c>
      <c r="J229" s="25" t="n">
        <v>7.5</v>
      </c>
      <c r="K229" s="24" t="inlineStr">
        <is>
          <t>polymarket_us</t>
        </is>
      </c>
      <c r="L229" s="26" t="n">
        <v>106</v>
      </c>
      <c r="M229" s="27" t="n">
        <v>2.06</v>
      </c>
      <c r="N229" s="28" t="n">
        <v>0.485437</v>
      </c>
      <c r="O229" s="28" t="n">
        <v>0.5431280000000001</v>
      </c>
      <c r="P229" s="28" t="n">
        <v>0.042131</v>
      </c>
      <c r="Q229" s="28" t="n">
        <v>0.057691</v>
      </c>
      <c r="R229" s="26" t="n">
        <v>55</v>
      </c>
      <c r="S229" s="29" t="n">
        <v>1</v>
      </c>
      <c r="T229" s="24" t="inlineStr">
        <is>
          <t>measured-edge-totals-v2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Totals: Trend Engine projected 4.47-4.63; raw selected-side p=0.6029, calibrated p=0.5431.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mlb-cws</t>
        </is>
      </c>
      <c r="AQ229" s="24" t="inlineStr">
        <is>
          <t>Chicago White Sox</t>
        </is>
      </c>
      <c r="AR229" s="24" t="inlineStr">
        <is>
          <t>Chicago White Sox</t>
        </is>
      </c>
      <c r="AS229" s="24" t="inlineStr">
        <is>
          <t>mlb-tb</t>
        </is>
      </c>
      <c r="AT229" s="24" t="inlineStr">
        <is>
          <t>Tampa Bay Rays</t>
        </is>
      </c>
      <c r="AU229" s="24" t="inlineStr">
        <is>
          <t>Tampa Bay Rays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433578016242b27f9c1c7132cc6b5a2bcc7dd1b0234590c12a944455a88e71bd</t>
        </is>
      </c>
      <c r="BB229" s="24" t="inlineStr">
        <is>
          <t>flat_probability_shrinkage_toward_half</t>
        </is>
      </c>
      <c r="BC229" s="24" t="inlineStr">
        <is>
          <t>measured-edge-totals-v2</t>
        </is>
      </c>
      <c r="BD229" s="24" t="inlineStr">
        <is>
          <t>433578016242b27f9c1c7132cc6b5a2bcc7dd1b0234590c12a944455a88e71bd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2026-08-02T16:11:31.225588Z</t>
        </is>
      </c>
      <c r="BI229" s="24" t="inlineStr">
        <is>
          <t>["same_event","same_team_same_day","same_league_same_day"]</t>
        </is>
      </c>
      <c r="BJ229" s="25" t="n">
        <v>7.5</v>
      </c>
      <c r="BK229" s="26" t="n">
        <v>106</v>
      </c>
      <c r="BL229" s="27" t="n">
        <v>2.06</v>
      </c>
      <c r="BM229" s="28" t="n">
        <v>0.485437</v>
      </c>
      <c r="BN229" s="28" t="n">
        <v>0.482587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inlineStr">
        <is>
          <t>True</t>
        </is>
      </c>
    </row>
    <row r="230" ht="36" customHeight="1">
      <c r="A230" s="24" t="inlineStr">
        <is>
          <t>ed68cdc31bbe4926</t>
        </is>
      </c>
      <c r="B230" s="24" t="inlineStr">
        <is>
          <t>2026-08-02T16:11:31.225588Z</t>
        </is>
      </c>
      <c r="C230" s="24" t="inlineStr">
        <is>
          <t>2026-08-02T17:40Z</t>
        </is>
      </c>
      <c r="D230" s="24" t="inlineStr">
        <is>
          <t>401816364</t>
        </is>
      </c>
      <c r="E230" s="24" t="inlineStr">
        <is>
          <t>MLB</t>
        </is>
      </c>
      <c r="F230" s="24" t="inlineStr">
        <is>
          <t>Miami Marlins</t>
        </is>
      </c>
      <c r="G230" s="24" t="inlineStr">
        <is>
          <t>New York Mets</t>
        </is>
      </c>
      <c r="H230" s="24" t="inlineStr">
        <is>
          <t>spread</t>
        </is>
      </c>
      <c r="I230" s="24" t="inlineStr">
        <is>
          <t>home</t>
        </is>
      </c>
      <c r="J230" s="25" t="n">
        <v>1.5</v>
      </c>
      <c r="K230" s="24" t="inlineStr">
        <is>
          <t>polymarket_us</t>
        </is>
      </c>
      <c r="L230" s="26" t="n">
        <v>-150</v>
      </c>
      <c r="M230" s="27" t="n">
        <v>1.666667</v>
      </c>
      <c r="N230" s="28" t="n">
        <v>0.6</v>
      </c>
      <c r="O230" s="28" t="n">
        <v>0.60624</v>
      </c>
      <c r="P230" s="28" t="n">
        <v>0.05172</v>
      </c>
      <c r="Q230" s="28" t="n">
        <v>0.00624</v>
      </c>
      <c r="R230" s="26" t="n">
        <v>24</v>
      </c>
      <c r="S230" s="29" t="n">
        <v>1.25</v>
      </c>
      <c r="T230" s="24" t="inlineStr">
        <is>
          <t>measured-edge-margin-v2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Margin: Trend Engine projected 4.52-4.47; raw selected-side p=0.6619, calibrated p=0.6062.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mlb-mia</t>
        </is>
      </c>
      <c r="AQ230" s="24" t="inlineStr">
        <is>
          <t>Miami Marlins</t>
        </is>
      </c>
      <c r="AR230" s="24" t="inlineStr">
        <is>
          <t>Miami Marlins</t>
        </is>
      </c>
      <c r="AS230" s="24" t="inlineStr">
        <is>
          <t>mlb-nym</t>
        </is>
      </c>
      <c r="AT230" s="24" t="inlineStr">
        <is>
          <t>New York Mets</t>
        </is>
      </c>
      <c r="AU230" s="24" t="inlineStr">
        <is>
          <t>New York Mets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8360b122264b796b0fb193095cfe4506c7e064e5f3f8c0a659aec41efd08dd25</t>
        </is>
      </c>
      <c r="BB230" s="24" t="inlineStr">
        <is>
          <t>flat_probability_shrinkage_toward_half</t>
        </is>
      </c>
      <c r="BC230" s="24" t="inlineStr">
        <is>
          <t>measured-edge-margin-v2</t>
        </is>
      </c>
      <c r="BD230" s="24" t="inlineStr">
        <is>
          <t>8360b122264b796b0fb193095cfe4506c7e064e5f3f8c0a659aec41efd08dd25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2026-08-02T16:11:31.225588Z</t>
        </is>
      </c>
      <c r="BI230" s="24" t="inlineStr">
        <is>
          <t>["same_event","same_team_same_day","same_league_same_day"]</t>
        </is>
      </c>
      <c r="BJ230" s="25" t="n">
        <v>1.5</v>
      </c>
      <c r="BK230" s="26" t="n">
        <v>-150</v>
      </c>
      <c r="BL230" s="27" t="n">
        <v>1.666667</v>
      </c>
      <c r="BM230" s="28" t="n">
        <v>0.6</v>
      </c>
      <c r="BN230" s="28" t="n">
        <v>0.597015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inlineStr">
        <is>
          <t>True</t>
        </is>
      </c>
    </row>
    <row r="231" ht="36" customHeight="1">
      <c r="A231" s="24" t="inlineStr">
        <is>
          <t>a99a595f1e214cfa</t>
        </is>
      </c>
      <c r="B231" s="24" t="inlineStr">
        <is>
          <t>2026-08-02T16:11:31.225588Z</t>
        </is>
      </c>
      <c r="C231" s="24" t="inlineStr">
        <is>
          <t>2026-08-02T17:40Z</t>
        </is>
      </c>
      <c r="D231" s="24" t="inlineStr">
        <is>
          <t>401816364</t>
        </is>
      </c>
      <c r="E231" s="24" t="inlineStr">
        <is>
          <t>MLB</t>
        </is>
      </c>
      <c r="F231" s="24" t="inlineStr">
        <is>
          <t>Miami Marlins</t>
        </is>
      </c>
      <c r="G231" s="24" t="inlineStr">
        <is>
          <t>New York Mets</t>
        </is>
      </c>
      <c r="H231" s="24" t="inlineStr">
        <is>
          <t>total</t>
        </is>
      </c>
      <c r="I231" s="24" t="inlineStr">
        <is>
          <t>over</t>
        </is>
      </c>
      <c r="J231" s="25" t="n">
        <v>8.5</v>
      </c>
      <c r="K231" s="24" t="inlineStr">
        <is>
          <t>polymarket_us</t>
        </is>
      </c>
      <c r="L231" s="26" t="n">
        <v>-113</v>
      </c>
      <c r="M231" s="27" t="n">
        <v>1.884956</v>
      </c>
      <c r="N231" s="28" t="n">
        <v>0.530516</v>
      </c>
      <c r="O231" s="28" t="n">
        <v>0.512307</v>
      </c>
      <c r="P231" s="28" t="n">
        <v>0.05172</v>
      </c>
      <c r="Q231" s="28" t="n">
        <v>-0.018209</v>
      </c>
      <c r="R231" s="26" t="n">
        <v>11</v>
      </c>
      <c r="S231" s="29" t="n">
        <v>1</v>
      </c>
      <c r="T231" s="24" t="inlineStr">
        <is>
          <t>measured-edge-totals-v2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Measured Edge Totals: Trend Engine projected 4.52-4.47; raw selected-side p=0.5128, calibrated p=0.5123.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mlb-mia</t>
        </is>
      </c>
      <c r="AQ231" s="24" t="inlineStr">
        <is>
          <t>Miami Marlins</t>
        </is>
      </c>
      <c r="AR231" s="24" t="inlineStr">
        <is>
          <t>Miami Marlins</t>
        </is>
      </c>
      <c r="AS231" s="24" t="inlineStr">
        <is>
          <t>mlb-nym</t>
        </is>
      </c>
      <c r="AT231" s="24" t="inlineStr">
        <is>
          <t>New York Mets</t>
        </is>
      </c>
      <c r="AU231" s="24" t="inlineStr">
        <is>
          <t>New York Mets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433578016242b27f9c1c7132cc6b5a2bcc7dd1b0234590c12a944455a88e71bd</t>
        </is>
      </c>
      <c r="BB231" s="24" t="inlineStr">
        <is>
          <t>flat_probability_shrinkage_toward_half</t>
        </is>
      </c>
      <c r="BC231" s="24" t="inlineStr">
        <is>
          <t>measured-edge-totals-v2</t>
        </is>
      </c>
      <c r="BD231" s="24" t="inlineStr">
        <is>
          <t>433578016242b27f9c1c7132cc6b5a2bcc7dd1b0234590c12a944455a88e71bd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2026-08-02T16:11:31.225588Z</t>
        </is>
      </c>
      <c r="BI231" s="24" t="inlineStr">
        <is>
          <t>["same_event","same_team_same_day","same_league_same_day"]</t>
        </is>
      </c>
      <c r="BJ231" s="25" t="n">
        <v>8.5</v>
      </c>
      <c r="BK231" s="26" t="n">
        <v>-113</v>
      </c>
      <c r="BL231" s="27" t="n">
        <v>1.884956</v>
      </c>
      <c r="BM231" s="28" t="n">
        <v>0.530516</v>
      </c>
      <c r="BN231" s="28" t="n">
        <v>0.527363</v>
      </c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inlineStr">
        <is>
          <t>False</t>
        </is>
      </c>
    </row>
    <row r="232" ht="36" customHeight="1">
      <c r="A232" s="24" t="inlineStr">
        <is>
          <t>3acf605c366240d8</t>
        </is>
      </c>
      <c r="B232" s="24" t="inlineStr">
        <is>
          <t>2026-08-02T16:11:31.225588Z</t>
        </is>
      </c>
      <c r="C232" s="24" t="inlineStr">
        <is>
          <t>2026-08-02T17:40Z</t>
        </is>
      </c>
      <c r="D232" s="24" t="inlineStr">
        <is>
          <t>401816366</t>
        </is>
      </c>
      <c r="E232" s="24" t="inlineStr">
        <is>
          <t>MLB</t>
        </is>
      </c>
      <c r="F232" s="24" t="inlineStr">
        <is>
          <t>Pittsburgh Pirates</t>
        </is>
      </c>
      <c r="G232" s="24" t="inlineStr">
        <is>
          <t>Cincinnati Reds</t>
        </is>
      </c>
      <c r="H232" s="24" t="inlineStr">
        <is>
          <t>spread</t>
        </is>
      </c>
      <c r="I232" s="24" t="inlineStr">
        <is>
          <t>away</t>
        </is>
      </c>
      <c r="J232" s="25" t="n">
        <v>1.5</v>
      </c>
      <c r="K232" s="24" t="inlineStr">
        <is>
          <t>polymarket_us</t>
        </is>
      </c>
      <c r="L232" s="26" t="n">
        <v>-150</v>
      </c>
      <c r="M232" s="27" t="n">
        <v>1.666667</v>
      </c>
      <c r="N232" s="28" t="n">
        <v>0.6</v>
      </c>
      <c r="O232" s="28" t="n">
        <v>0.5748450000000001</v>
      </c>
      <c r="P232" s="28" t="n">
        <v>0.042131</v>
      </c>
      <c r="Q232" s="28" t="n">
        <v>-0.025155</v>
      </c>
      <c r="R232" s="26" t="n">
        <v>14</v>
      </c>
      <c r="S232" s="29" t="n">
        <v>1.25</v>
      </c>
      <c r="T232" s="24" t="inlineStr">
        <is>
          <t>measured-edge-margin-v2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Measured Edge Margin: Trend Engine projected 4.31-4.86; raw selected-side p=0.6140, calibrated p=0.5748.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mlb-pit</t>
        </is>
      </c>
      <c r="AQ232" s="24" t="inlineStr">
        <is>
          <t>Pittsburgh Pirates</t>
        </is>
      </c>
      <c r="AR232" s="24" t="inlineStr">
        <is>
          <t>Pittsburgh Pirates</t>
        </is>
      </c>
      <c r="AS232" s="24" t="inlineStr">
        <is>
          <t>mlb-cin</t>
        </is>
      </c>
      <c r="AT232" s="24" t="inlineStr">
        <is>
          <t>Cincinnati Reds</t>
        </is>
      </c>
      <c r="AU232" s="24" t="inlineStr">
        <is>
          <t>Cincinnati Reds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8360b122264b796b0fb193095cfe4506c7e064e5f3f8c0a659aec41efd08dd25</t>
        </is>
      </c>
      <c r="BB232" s="24" t="inlineStr">
        <is>
          <t>flat_probability_shrinkage_toward_half</t>
        </is>
      </c>
      <c r="BC232" s="24" t="inlineStr">
        <is>
          <t>measured-edge-margin-v2</t>
        </is>
      </c>
      <c r="BD232" s="24" t="inlineStr">
        <is>
          <t>8360b122264b796b0fb193095cfe4506c7e064e5f3f8c0a659aec41efd08dd25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2026-08-02T16:11:31.225588Z</t>
        </is>
      </c>
      <c r="BI232" s="24" t="inlineStr">
        <is>
          <t>["same_event","same_team_same_day","same_league_same_day"]</t>
        </is>
      </c>
      <c r="BJ232" s="25" t="n">
        <v>1.5</v>
      </c>
      <c r="BK232" s="26" t="n">
        <v>-150</v>
      </c>
      <c r="BL232" s="27" t="n">
        <v>1.666667</v>
      </c>
      <c r="BM232" s="28" t="n">
        <v>0.6</v>
      </c>
      <c r="BN232" s="28" t="n">
        <v>0.597015</v>
      </c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inlineStr">
        <is>
          <t>False</t>
        </is>
      </c>
    </row>
    <row r="233" ht="36" customHeight="1">
      <c r="A233" s="24" t="inlineStr">
        <is>
          <t>f2a8cef4fcd24fbd</t>
        </is>
      </c>
      <c r="B233" s="24" t="inlineStr">
        <is>
          <t>2026-08-02T16:11:31.225588Z</t>
        </is>
      </c>
      <c r="C233" s="24" t="inlineStr">
        <is>
          <t>2026-08-02T17:40Z</t>
        </is>
      </c>
      <c r="D233" s="24" t="inlineStr">
        <is>
          <t>401816366</t>
        </is>
      </c>
      <c r="E233" s="24" t="inlineStr">
        <is>
          <t>MLB</t>
        </is>
      </c>
      <c r="F233" s="24" t="inlineStr">
        <is>
          <t>Pittsburgh Pirates</t>
        </is>
      </c>
      <c r="G233" s="24" t="inlineStr">
        <is>
          <t>Cincinnati Reds</t>
        </is>
      </c>
      <c r="H233" s="24" t="inlineStr">
        <is>
          <t>total</t>
        </is>
      </c>
      <c r="I233" s="24" t="inlineStr">
        <is>
          <t>over</t>
        </is>
      </c>
      <c r="J233" s="25" t="n">
        <v>8.5</v>
      </c>
      <c r="K233" s="24" t="inlineStr">
        <is>
          <t>polymarket_us</t>
        </is>
      </c>
      <c r="L233" s="26" t="n">
        <v>-111</v>
      </c>
      <c r="M233" s="27" t="n">
        <v>1.900901</v>
      </c>
      <c r="N233" s="28" t="n">
        <v>0.526066</v>
      </c>
      <c r="O233" s="28" t="n">
        <v>0.515997</v>
      </c>
      <c r="P233" s="28" t="n">
        <v>0.042131</v>
      </c>
      <c r="Q233" s="28" t="n">
        <v>-0.010069</v>
      </c>
      <c r="R233" s="26" t="n">
        <v>22</v>
      </c>
      <c r="S233" s="29" t="n">
        <v>1</v>
      </c>
      <c r="T233" s="24" t="inlineStr">
        <is>
          <t>measured-edge-totals-v2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Measured Edge Totals: Trend Engine projected 4.31-4.86; raw selected-side p=0.5235, calibrated p=0.5160.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mlb-pit</t>
        </is>
      </c>
      <c r="AQ233" s="24" t="inlineStr">
        <is>
          <t>Pittsburgh Pirates</t>
        </is>
      </c>
      <c r="AR233" s="24" t="inlineStr">
        <is>
          <t>Pittsburgh Pirates</t>
        </is>
      </c>
      <c r="AS233" s="24" t="inlineStr">
        <is>
          <t>mlb-cin</t>
        </is>
      </c>
      <c r="AT233" s="24" t="inlineStr">
        <is>
          <t>Cincinnati Reds</t>
        </is>
      </c>
      <c r="AU233" s="24" t="inlineStr">
        <is>
          <t>Cincinnati Reds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433578016242b27f9c1c7132cc6b5a2bcc7dd1b0234590c12a944455a88e71bd</t>
        </is>
      </c>
      <c r="BB233" s="24" t="inlineStr">
        <is>
          <t>flat_probability_shrinkage_toward_half</t>
        </is>
      </c>
      <c r="BC233" s="24" t="inlineStr">
        <is>
          <t>measured-edge-totals-v2</t>
        </is>
      </c>
      <c r="BD233" s="24" t="inlineStr">
        <is>
          <t>433578016242b27f9c1c7132cc6b5a2bcc7dd1b0234590c12a944455a88e71bd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2026-08-02T16:11:31.225588Z</t>
        </is>
      </c>
      <c r="BI233" s="24" t="inlineStr">
        <is>
          <t>["same_event","same_team_same_day","same_league_same_day"]</t>
        </is>
      </c>
      <c r="BJ233" s="25" t="n">
        <v>8.5</v>
      </c>
      <c r="BK233" s="26" t="n">
        <v>-111</v>
      </c>
      <c r="BL233" s="27" t="n">
        <v>1.900901</v>
      </c>
      <c r="BM233" s="28" t="n">
        <v>0.526066</v>
      </c>
      <c r="BN233" s="28" t="n">
        <v>0.522388</v>
      </c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inlineStr">
        <is>
          <t>False</t>
        </is>
      </c>
    </row>
    <row r="234" ht="36" customHeight="1">
      <c r="A234" s="24" t="inlineStr">
        <is>
          <t>6cf2b2d8604d4bc6</t>
        </is>
      </c>
      <c r="B234" s="24" t="inlineStr">
        <is>
          <t>2026-08-02T16:11:31.225588Z</t>
        </is>
      </c>
      <c r="C234" s="24" t="inlineStr">
        <is>
          <t>2026-08-02T18:10Z</t>
        </is>
      </c>
      <c r="D234" s="24" t="inlineStr">
        <is>
          <t>401816370</t>
        </is>
      </c>
      <c r="E234" s="24" t="inlineStr">
        <is>
          <t>MLB</t>
        </is>
      </c>
      <c r="F234" s="24" t="inlineStr">
        <is>
          <t>Texas Rangers</t>
        </is>
      </c>
      <c r="G234" s="24" t="inlineStr">
        <is>
          <t>Houston Astros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-167</v>
      </c>
      <c r="M234" s="27" t="n">
        <v>1.598802</v>
      </c>
      <c r="N234" s="28" t="n">
        <v>0.625468</v>
      </c>
      <c r="O234" s="28" t="n">
        <v>0.58075</v>
      </c>
      <c r="P234" s="28" t="n">
        <v>0.042131</v>
      </c>
      <c r="Q234" s="28" t="n">
        <v>-0.044718</v>
      </c>
      <c r="R234" s="26" t="n">
        <v>4</v>
      </c>
      <c r="S234" s="29" t="n">
        <v>1.25</v>
      </c>
      <c r="T234" s="24" t="inlineStr">
        <is>
          <t>measured-edge-margin-v2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Measured Edge Margin: Trend Engine projected 4.10-4.64; raw selected-side p=0.6230, calibrated p=0.5808.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mlb-tex</t>
        </is>
      </c>
      <c r="AQ234" s="24" t="inlineStr">
        <is>
          <t>Texas Rangers</t>
        </is>
      </c>
      <c r="AR234" s="24" t="inlineStr">
        <is>
          <t>Texas Rangers</t>
        </is>
      </c>
      <c r="AS234" s="24" t="inlineStr">
        <is>
          <t>mlb-hou</t>
        </is>
      </c>
      <c r="AT234" s="24" t="inlineStr">
        <is>
          <t>Houston Astros</t>
        </is>
      </c>
      <c r="AU234" s="24" t="inlineStr">
        <is>
          <t>Houston Astros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8360b122264b796b0fb193095cfe4506c7e064e5f3f8c0a659aec41efd08dd25</t>
        </is>
      </c>
      <c r="BB234" s="24" t="inlineStr">
        <is>
          <t>flat_probability_shrinkage_toward_half</t>
        </is>
      </c>
      <c r="BC234" s="24" t="inlineStr">
        <is>
          <t>measured-edge-margin-v2</t>
        </is>
      </c>
      <c r="BD234" s="24" t="inlineStr">
        <is>
          <t>8360b122264b796b0fb193095cfe4506c7e064e5f3f8c0a659aec41efd08dd25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2026-08-02T16:11:31.225588Z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-167</v>
      </c>
      <c r="BL234" s="27" t="n">
        <v>1.598802</v>
      </c>
      <c r="BM234" s="28" t="n">
        <v>0.625468</v>
      </c>
      <c r="BN234" s="28" t="n">
        <v>0.621891</v>
      </c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inlineStr">
        <is>
          <t>False</t>
        </is>
      </c>
    </row>
    <row r="235" ht="36" customHeight="1">
      <c r="A235" s="24" t="inlineStr">
        <is>
          <t>789792cd78554368</t>
        </is>
      </c>
      <c r="B235" s="24" t="inlineStr">
        <is>
          <t>2026-08-02T16:11:31.225588Z</t>
        </is>
      </c>
      <c r="C235" s="24" t="inlineStr">
        <is>
          <t>2026-08-02T18:10Z</t>
        </is>
      </c>
      <c r="D235" s="24" t="inlineStr">
        <is>
          <t>401816370</t>
        </is>
      </c>
      <c r="E235" s="24" t="inlineStr">
        <is>
          <t>MLB</t>
        </is>
      </c>
      <c r="F235" s="24" t="inlineStr">
        <is>
          <t>Texas Rangers</t>
        </is>
      </c>
      <c r="G235" s="24" t="inlineStr">
        <is>
          <t>Houston Astros</t>
        </is>
      </c>
      <c r="H235" s="24" t="inlineStr">
        <is>
          <t>total</t>
        </is>
      </c>
      <c r="I235" s="24" t="inlineStr">
        <is>
          <t>under</t>
        </is>
      </c>
      <c r="J235" s="25" t="n">
        <v>8.5</v>
      </c>
      <c r="K235" s="24" t="inlineStr">
        <is>
          <t>polymarket_us</t>
        </is>
      </c>
      <c r="L235" s="26" t="n">
        <v>102</v>
      </c>
      <c r="M235" s="27" t="n">
        <v>2.02</v>
      </c>
      <c r="N235" s="28" t="n">
        <v>0.49505</v>
      </c>
      <c r="O235" s="28" t="n">
        <v>0.510632</v>
      </c>
      <c r="P235" s="28" t="n">
        <v>0.042131</v>
      </c>
      <c r="Q235" s="28" t="n">
        <v>0.015582</v>
      </c>
      <c r="R235" s="26" t="n">
        <v>34</v>
      </c>
      <c r="S235" s="29" t="n">
        <v>1</v>
      </c>
      <c r="T235" s="24" t="inlineStr">
        <is>
          <t>measured-edge-totals-v2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Measured Edge Totals: Trend Engine projected 4.10-4.64; raw selected-side p=0.5079, calibrated p=0.5106.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mlb-tex</t>
        </is>
      </c>
      <c r="AQ235" s="24" t="inlineStr">
        <is>
          <t>Texas Rangers</t>
        </is>
      </c>
      <c r="AR235" s="24" t="inlineStr">
        <is>
          <t>Texas Rangers</t>
        </is>
      </c>
      <c r="AS235" s="24" t="inlineStr">
        <is>
          <t>mlb-hou</t>
        </is>
      </c>
      <c r="AT235" s="24" t="inlineStr">
        <is>
          <t>Houston Astros</t>
        </is>
      </c>
      <c r="AU235" s="24" t="inlineStr">
        <is>
          <t>Houston Astros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433578016242b27f9c1c7132cc6b5a2bcc7dd1b0234590c12a944455a88e71bd</t>
        </is>
      </c>
      <c r="BB235" s="24" t="inlineStr">
        <is>
          <t>flat_probability_shrinkage_toward_half</t>
        </is>
      </c>
      <c r="BC235" s="24" t="inlineStr">
        <is>
          <t>measured-edge-totals-v2</t>
        </is>
      </c>
      <c r="BD235" s="24" t="inlineStr">
        <is>
          <t>433578016242b27f9c1c7132cc6b5a2bcc7dd1b0234590c12a944455a88e71bd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2026-08-02T16:11:31.225588Z</t>
        </is>
      </c>
      <c r="BI235" s="24" t="inlineStr">
        <is>
          <t>["same_event","same_team_same_day","same_league_same_day"]</t>
        </is>
      </c>
      <c r="BJ235" s="25" t="n">
        <v>8.5</v>
      </c>
      <c r="BK235" s="26" t="n">
        <v>102</v>
      </c>
      <c r="BL235" s="27" t="n">
        <v>2.02</v>
      </c>
      <c r="BM235" s="28" t="n">
        <v>0.49505</v>
      </c>
      <c r="BN235" s="28" t="n">
        <v>0.492537</v>
      </c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inlineStr">
        <is>
          <t>True</t>
        </is>
      </c>
    </row>
    <row r="236" ht="36" customHeight="1">
      <c r="A236" s="24" t="inlineStr">
        <is>
          <t>27e9529db6aa4425</t>
        </is>
      </c>
      <c r="B236" s="24" t="inlineStr">
        <is>
          <t>2026-08-02T16:11:31.225588Z</t>
        </is>
      </c>
      <c r="C236" s="24" t="inlineStr">
        <is>
          <t>2026-08-02T18:20Z</t>
        </is>
      </c>
      <c r="D236" s="24" t="inlineStr">
        <is>
          <t>401816369</t>
        </is>
      </c>
      <c r="E236" s="24" t="inlineStr">
        <is>
          <t>MLB</t>
        </is>
      </c>
      <c r="F236" s="24" t="inlineStr">
        <is>
          <t>New York Yankees</t>
        </is>
      </c>
      <c r="G236" s="24" t="inlineStr">
        <is>
          <t>Chicago Cubs</t>
        </is>
      </c>
      <c r="H236" s="24" t="inlineStr">
        <is>
          <t>spread</t>
        </is>
      </c>
      <c r="I236" s="24" t="inlineStr">
        <is>
          <t>home</t>
        </is>
      </c>
      <c r="J236" s="25" t="n">
        <v>1.5</v>
      </c>
      <c r="K236" s="24" t="inlineStr">
        <is>
          <t>polymarket_us</t>
        </is>
      </c>
      <c r="L236" s="26" t="n">
        <v>-167</v>
      </c>
      <c r="M236" s="27" t="n">
        <v>1.598802</v>
      </c>
      <c r="N236" s="28" t="n">
        <v>0.625468</v>
      </c>
      <c r="O236" s="28" t="n">
        <v>0.60624</v>
      </c>
      <c r="P236" s="28" t="n">
        <v>0.042131</v>
      </c>
      <c r="Q236" s="28" t="n">
        <v>-0.019228</v>
      </c>
      <c r="R236" s="26" t="n">
        <v>17</v>
      </c>
      <c r="S236" s="29" t="n">
        <v>1.5</v>
      </c>
      <c r="T236" s="24" t="inlineStr">
        <is>
          <t>measured-edge-margin-v2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Measured Edge Margin: Trend Engine projected 4.57-4.52; raw selected-side p=0.6619, calibrated p=0.6062.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3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mlb-nyy</t>
        </is>
      </c>
      <c r="AQ236" s="24" t="inlineStr">
        <is>
          <t>New York Yankees</t>
        </is>
      </c>
      <c r="AR236" s="24" t="inlineStr">
        <is>
          <t>New York Yankees</t>
        </is>
      </c>
      <c r="AS236" s="24" t="inlineStr">
        <is>
          <t>mlb-chc</t>
        </is>
      </c>
      <c r="AT236" s="24" t="inlineStr">
        <is>
          <t>Chicago Cubs</t>
        </is>
      </c>
      <c r="AU236" s="24" t="inlineStr">
        <is>
          <t>Chicago Cubs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8360b122264b796b0fb193095cfe4506c7e064e5f3f8c0a659aec41efd08dd25</t>
        </is>
      </c>
      <c r="BB236" s="24" t="inlineStr">
        <is>
          <t>flat_probability_shrinkage_toward_half</t>
        </is>
      </c>
      <c r="BC236" s="24" t="inlineStr">
        <is>
          <t>measured-edge-margin-v2</t>
        </is>
      </c>
      <c r="BD236" s="24" t="inlineStr">
        <is>
          <t>8360b122264b796b0fb193095cfe4506c7e064e5f3f8c0a659aec41efd08dd25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2026-08-02T16:11:31.225588Z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-167</v>
      </c>
      <c r="BL236" s="27" t="n">
        <v>1.598802</v>
      </c>
      <c r="BM236" s="28" t="n">
        <v>0.625468</v>
      </c>
      <c r="BN236" s="28" t="n">
        <v>0.621891</v>
      </c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inlineStr">
        <is>
          <t>False</t>
        </is>
      </c>
    </row>
    <row r="237" ht="36" customHeight="1">
      <c r="A237" s="24" t="inlineStr">
        <is>
          <t>61185222e5c84bff</t>
        </is>
      </c>
      <c r="B237" s="24" t="inlineStr">
        <is>
          <t>2026-08-02T16:11:31.225588Z</t>
        </is>
      </c>
      <c r="C237" s="24" t="inlineStr">
        <is>
          <t>2026-08-02T18:20Z</t>
        </is>
      </c>
      <c r="D237" s="24" t="inlineStr">
        <is>
          <t>401816369</t>
        </is>
      </c>
      <c r="E237" s="24" t="inlineStr">
        <is>
          <t>MLB</t>
        </is>
      </c>
      <c r="F237" s="24" t="inlineStr">
        <is>
          <t>New York Yankees</t>
        </is>
      </c>
      <c r="G237" s="24" t="inlineStr">
        <is>
          <t>Chicago Cubs</t>
        </is>
      </c>
      <c r="H237" s="24" t="inlineStr">
        <is>
          <t>total</t>
        </is>
      </c>
      <c r="I237" s="24" t="inlineStr">
        <is>
          <t>over</t>
        </is>
      </c>
      <c r="J237" s="25" t="n">
        <v>6.5</v>
      </c>
      <c r="K237" s="24" t="inlineStr">
        <is>
          <t>polymarket_us</t>
        </is>
      </c>
      <c r="L237" s="26" t="n">
        <v>-113</v>
      </c>
      <c r="M237" s="27" t="n">
        <v>1.884956</v>
      </c>
      <c r="N237" s="28" t="n">
        <v>0.530516</v>
      </c>
      <c r="O237" s="28" t="n">
        <v>0.583568</v>
      </c>
      <c r="P237" s="28" t="n">
        <v>0.042131</v>
      </c>
      <c r="Q237" s="28" t="n">
        <v>0.053052</v>
      </c>
      <c r="R237" s="26" t="n">
        <v>53</v>
      </c>
      <c r="S237" s="29" t="n">
        <v>1.25</v>
      </c>
      <c r="T237" s="24" t="inlineStr">
        <is>
          <t>measured-edge-totals-v2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Measured Edge Totals: Trend Engine projected 4.57-4.52; raw selected-side p=0.7213, calibrated p=0.5836.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mlb-nyy</t>
        </is>
      </c>
      <c r="AQ237" s="24" t="inlineStr">
        <is>
          <t>New York Yankees</t>
        </is>
      </c>
      <c r="AR237" s="24" t="inlineStr">
        <is>
          <t>New York Yankees</t>
        </is>
      </c>
      <c r="AS237" s="24" t="inlineStr">
        <is>
          <t>mlb-chc</t>
        </is>
      </c>
      <c r="AT237" s="24" t="inlineStr">
        <is>
          <t>Chicago Cubs</t>
        </is>
      </c>
      <c r="AU237" s="24" t="inlineStr">
        <is>
          <t>Chicago Cubs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433578016242b27f9c1c7132cc6b5a2bcc7dd1b0234590c12a944455a88e71bd</t>
        </is>
      </c>
      <c r="BB237" s="24" t="inlineStr">
        <is>
          <t>flat_probability_shrinkage_toward_half</t>
        </is>
      </c>
      <c r="BC237" s="24" t="inlineStr">
        <is>
          <t>measured-edge-totals-v2</t>
        </is>
      </c>
      <c r="BD237" s="24" t="inlineStr">
        <is>
          <t>433578016242b27f9c1c7132cc6b5a2bcc7dd1b0234590c12a944455a88e71bd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2026-08-02T16:11:31.225588Z</t>
        </is>
      </c>
      <c r="BI237" s="24" t="inlineStr">
        <is>
          <t>["same_event","same_team_same_day","same_league_same_day"]</t>
        </is>
      </c>
      <c r="BJ237" s="25" t="n">
        <v>6.5</v>
      </c>
      <c r="BK237" s="26" t="n">
        <v>-113</v>
      </c>
      <c r="BL237" s="27" t="n">
        <v>1.884956</v>
      </c>
      <c r="BM237" s="28" t="n">
        <v>0.530516</v>
      </c>
      <c r="BN237" s="28" t="n">
        <v>0.527363</v>
      </c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inlineStr">
        <is>
          <t>True</t>
        </is>
      </c>
    </row>
    <row r="238" ht="36" customHeight="1">
      <c r="A238" s="24" t="inlineStr">
        <is>
          <t>dc4d099cabc84d88</t>
        </is>
      </c>
      <c r="B238" s="24" t="inlineStr">
        <is>
          <t>2026-08-02T16:11:31.225588Z</t>
        </is>
      </c>
      <c r="C238" s="24" t="inlineStr">
        <is>
          <t>2026-08-02T19:10Z</t>
        </is>
      </c>
      <c r="D238" s="24" t="inlineStr">
        <is>
          <t>401816371</t>
        </is>
      </c>
      <c r="E238" s="24" t="inlineStr">
        <is>
          <t>MLB</t>
        </is>
      </c>
      <c r="F238" s="24" t="inlineStr">
        <is>
          <t>Kansas City Royals</t>
        </is>
      </c>
      <c r="G238" s="24" t="inlineStr">
        <is>
          <t>Colorado Rockies</t>
        </is>
      </c>
      <c r="H238" s="24" t="inlineStr">
        <is>
          <t>spread</t>
        </is>
      </c>
      <c r="I238" s="24" t="inlineStr">
        <is>
          <t>away</t>
        </is>
      </c>
      <c r="J238" s="25" t="n">
        <v>1.5</v>
      </c>
      <c r="K238" s="24" t="inlineStr">
        <is>
          <t>polymarket_us</t>
        </is>
      </c>
      <c r="L238" s="26" t="n">
        <v>-163</v>
      </c>
      <c r="M238" s="27" t="n">
        <v>1.613497</v>
      </c>
      <c r="N238" s="28" t="n">
        <v>0.619772</v>
      </c>
      <c r="O238" s="28" t="n">
        <v>0.617951</v>
      </c>
      <c r="P238" s="28" t="n">
        <v>0.042131</v>
      </c>
      <c r="Q238" s="28" t="n">
        <v>-0.001821</v>
      </c>
      <c r="R238" s="26" t="n">
        <v>25</v>
      </c>
      <c r="S238" s="29" t="n">
        <v>1.5</v>
      </c>
      <c r="T238" s="24" t="inlineStr">
        <is>
          <t>measured-edge-margin-v2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Measured Edge Margin: Trend Engine projected 5.19-4.94; raw selected-side p=0.6797, calibrated p=0.6180.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mlb-kc</t>
        </is>
      </c>
      <c r="AQ238" s="24" t="inlineStr">
        <is>
          <t>Kansas City Royals</t>
        </is>
      </c>
      <c r="AR238" s="24" t="inlineStr">
        <is>
          <t>Kansas City Royals</t>
        </is>
      </c>
      <c r="AS238" s="24" t="inlineStr">
        <is>
          <t>mlb-col</t>
        </is>
      </c>
      <c r="AT238" s="24" t="inlineStr">
        <is>
          <t>Colorado Rockies</t>
        </is>
      </c>
      <c r="AU238" s="24" t="inlineStr">
        <is>
          <t>Colorado Rockies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8360b122264b796b0fb193095cfe4506c7e064e5f3f8c0a659aec41efd08dd25</t>
        </is>
      </c>
      <c r="BB238" s="24" t="inlineStr">
        <is>
          <t>flat_probability_shrinkage_toward_half</t>
        </is>
      </c>
      <c r="BC238" s="24" t="inlineStr">
        <is>
          <t>measured-edge-margin-v2</t>
        </is>
      </c>
      <c r="BD238" s="24" t="inlineStr">
        <is>
          <t>8360b122264b796b0fb193095cfe4506c7e064e5f3f8c0a659aec41efd08dd25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2026-08-02T16:11:31.225588Z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-163</v>
      </c>
      <c r="BL238" s="27" t="n">
        <v>1.613497</v>
      </c>
      <c r="BM238" s="28" t="n">
        <v>0.619772</v>
      </c>
      <c r="BN238" s="28" t="n">
        <v>0.616915</v>
      </c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inlineStr">
        <is>
          <t>False</t>
        </is>
      </c>
    </row>
    <row r="239" ht="36" customHeight="1">
      <c r="A239" s="24" t="inlineStr">
        <is>
          <t>412cbfc5195c40c9</t>
        </is>
      </c>
      <c r="B239" s="24" t="inlineStr">
        <is>
          <t>2026-08-02T16:11:31.225588Z</t>
        </is>
      </c>
      <c r="C239" s="24" t="inlineStr">
        <is>
          <t>2026-08-02T19:10Z</t>
        </is>
      </c>
      <c r="D239" s="24" t="inlineStr">
        <is>
          <t>401816371</t>
        </is>
      </c>
      <c r="E239" s="24" t="inlineStr">
        <is>
          <t>MLB</t>
        </is>
      </c>
      <c r="F239" s="24" t="inlineStr">
        <is>
          <t>Kansas City Royals</t>
        </is>
      </c>
      <c r="G239" s="24" t="inlineStr">
        <is>
          <t>Colorado Rockies</t>
        </is>
      </c>
      <c r="H239" s="24" t="inlineStr">
        <is>
          <t>total</t>
        </is>
      </c>
      <c r="I239" s="24" t="inlineStr">
        <is>
          <t>under</t>
        </is>
      </c>
      <c r="J239" s="25" t="n">
        <v>11.5</v>
      </c>
      <c r="K239" s="24" t="inlineStr">
        <is>
          <t>polymarket_us</t>
        </is>
      </c>
      <c r="L239" s="26" t="n">
        <v>-106</v>
      </c>
      <c r="M239" s="27" t="n">
        <v>1.943396</v>
      </c>
      <c r="N239" s="28" t="n">
        <v>0.514563</v>
      </c>
      <c r="O239" s="28" t="n">
        <v>0.560401</v>
      </c>
      <c r="P239" s="28" t="n">
        <v>0.042131</v>
      </c>
      <c r="Q239" s="28" t="n">
        <v>0.045838</v>
      </c>
      <c r="R239" s="26" t="n">
        <v>49</v>
      </c>
      <c r="S239" s="29" t="n">
        <v>1</v>
      </c>
      <c r="T239" s="24" t="inlineStr">
        <is>
          <t>measured-edge-totals-v2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Measured Edge Totals: Trend Engine projected 5.19-4.94; raw selected-side p=0.6535, calibrated p=0.5604.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mlb-kc</t>
        </is>
      </c>
      <c r="AQ239" s="24" t="inlineStr">
        <is>
          <t>Kansas City Royals</t>
        </is>
      </c>
      <c r="AR239" s="24" t="inlineStr">
        <is>
          <t>Kansas City Royals</t>
        </is>
      </c>
      <c r="AS239" s="24" t="inlineStr">
        <is>
          <t>mlb-col</t>
        </is>
      </c>
      <c r="AT239" s="24" t="inlineStr">
        <is>
          <t>Colorado Rockies</t>
        </is>
      </c>
      <c r="AU239" s="24" t="inlineStr">
        <is>
          <t>Colorado Rockies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433578016242b27f9c1c7132cc6b5a2bcc7dd1b0234590c12a944455a88e71bd</t>
        </is>
      </c>
      <c r="BB239" s="24" t="inlineStr">
        <is>
          <t>flat_probability_shrinkage_toward_half</t>
        </is>
      </c>
      <c r="BC239" s="24" t="inlineStr">
        <is>
          <t>measured-edge-totals-v2</t>
        </is>
      </c>
      <c r="BD239" s="24" t="inlineStr">
        <is>
          <t>433578016242b27f9c1c7132cc6b5a2bcc7dd1b0234590c12a944455a88e71bd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2026-08-02T16:11:31.225588Z</t>
        </is>
      </c>
      <c r="BI239" s="24" t="inlineStr">
        <is>
          <t>["same_event","same_team_same_day","same_league_same_day"]</t>
        </is>
      </c>
      <c r="BJ239" s="25" t="n">
        <v>11.5</v>
      </c>
      <c r="BK239" s="26" t="n">
        <v>-106</v>
      </c>
      <c r="BL239" s="27" t="n">
        <v>1.943396</v>
      </c>
      <c r="BM239" s="28" t="n">
        <v>0.514563</v>
      </c>
      <c r="BN239" s="28" t="n">
        <v>0.5124379999999999</v>
      </c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inlineStr">
        <is>
          <t>True</t>
        </is>
      </c>
    </row>
    <row r="240" ht="36" customHeight="1">
      <c r="A240" s="24" t="inlineStr">
        <is>
          <t>6a957b160d0340bd</t>
        </is>
      </c>
      <c r="B240" s="24" t="inlineStr">
        <is>
          <t>2026-08-02T16:11:31.225588Z</t>
        </is>
      </c>
      <c r="C240" s="24" t="inlineStr">
        <is>
          <t>2026-08-02T19:15Z</t>
        </is>
      </c>
      <c r="D240" s="24" t="inlineStr">
        <is>
          <t>401816374</t>
        </is>
      </c>
      <c r="E240" s="24" t="inlineStr">
        <is>
          <t>MLB</t>
        </is>
      </c>
      <c r="F240" s="24" t="inlineStr">
        <is>
          <t>Milwaukee Brewers</t>
        </is>
      </c>
      <c r="G240" s="24" t="inlineStr">
        <is>
          <t>Los Angeles Angels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122</v>
      </c>
      <c r="M240" s="27" t="n">
        <v>2.22</v>
      </c>
      <c r="N240" s="28" t="n">
        <v>0.45045</v>
      </c>
      <c r="O240" s="28" t="n">
        <v>0.597973</v>
      </c>
      <c r="P240" s="28" t="n">
        <v>0.042131</v>
      </c>
      <c r="Q240" s="28" t="n">
        <v>0.147523</v>
      </c>
      <c r="R240" s="26" t="n">
        <v>100</v>
      </c>
      <c r="S240" s="29" t="n">
        <v>1.25</v>
      </c>
      <c r="T240" s="24" t="inlineStr">
        <is>
          <t>measured-edge-margin-v2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Measured Edge Margin: Trend Engine projected 4.33-4.07; raw selected-side p=0.6492, calibrated p=0.5980.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mlb-mil</t>
        </is>
      </c>
      <c r="AQ240" s="24" t="inlineStr">
        <is>
          <t>Milwaukee Brewers</t>
        </is>
      </c>
      <c r="AR240" s="24" t="inlineStr">
        <is>
          <t>Milwaukee Brewers</t>
        </is>
      </c>
      <c r="AS240" s="24" t="inlineStr">
        <is>
          <t>mlb-laa</t>
        </is>
      </c>
      <c r="AT240" s="24" t="inlineStr">
        <is>
          <t>Los Angeles Angels</t>
        </is>
      </c>
      <c r="AU240" s="24" t="inlineStr">
        <is>
          <t>Los Angeles Angels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8360b122264b796b0fb193095cfe4506c7e064e5f3f8c0a659aec41efd08dd25</t>
        </is>
      </c>
      <c r="BB240" s="24" t="inlineStr">
        <is>
          <t>flat_probability_shrinkage_toward_half</t>
        </is>
      </c>
      <c r="BC240" s="24" t="inlineStr">
        <is>
          <t>measured-edge-margin-v2</t>
        </is>
      </c>
      <c r="BD240" s="24" t="inlineStr">
        <is>
          <t>8360b122264b796b0fb193095cfe4506c7e064e5f3f8c0a659aec41efd08dd25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2026-08-02T16:11:31.225588Z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122</v>
      </c>
      <c r="BL240" s="27" t="n">
        <v>2.22</v>
      </c>
      <c r="BM240" s="28" t="n">
        <v>0.45045</v>
      </c>
      <c r="BN240" s="28" t="n">
        <v>0.447761</v>
      </c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inlineStr">
        <is>
          <t>True</t>
        </is>
      </c>
    </row>
    <row r="241" ht="36" customHeight="1">
      <c r="A241" s="24" t="inlineStr">
        <is>
          <t>6bf0841af33044ad</t>
        </is>
      </c>
      <c r="B241" s="24" t="inlineStr">
        <is>
          <t>2026-08-02T16:11:31.225588Z</t>
        </is>
      </c>
      <c r="C241" s="24" t="inlineStr">
        <is>
          <t>2026-08-02T19:15Z</t>
        </is>
      </c>
      <c r="D241" s="24" t="inlineStr">
        <is>
          <t>401816374</t>
        </is>
      </c>
      <c r="E241" s="24" t="inlineStr">
        <is>
          <t>MLB</t>
        </is>
      </c>
      <c r="F241" s="24" t="inlineStr">
        <is>
          <t>Milwaukee Brewers</t>
        </is>
      </c>
      <c r="G241" s="24" t="inlineStr">
        <is>
          <t>Los Angeles Angels</t>
        </is>
      </c>
      <c r="H241" s="24" t="inlineStr">
        <is>
          <t>total</t>
        </is>
      </c>
      <c r="I241" s="24" t="inlineStr">
        <is>
          <t>over</t>
        </is>
      </c>
      <c r="J241" s="25" t="n">
        <v>7.5</v>
      </c>
      <c r="K241" s="24" t="inlineStr">
        <is>
          <t>polymarket_us</t>
        </is>
      </c>
      <c r="L241" s="26" t="n">
        <v>100</v>
      </c>
      <c r="M241" s="27" t="n">
        <v>2</v>
      </c>
      <c r="N241" s="28" t="n">
        <v>0.5</v>
      </c>
      <c r="O241" s="28" t="n">
        <v>0.520149</v>
      </c>
      <c r="P241" s="28" t="n">
        <v>0.042131</v>
      </c>
      <c r="Q241" s="28" t="n">
        <v>0.020149</v>
      </c>
      <c r="R241" s="26" t="n">
        <v>36</v>
      </c>
      <c r="S241" s="29" t="n">
        <v>1</v>
      </c>
      <c r="T241" s="24" t="inlineStr">
        <is>
          <t>measured-edge-totals-v2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Measured Edge Totals: Trend Engine projected 4.33-4.07; raw selected-side p=0.5357, calibrated p=0.5201.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mlb-mil</t>
        </is>
      </c>
      <c r="AQ241" s="24" t="inlineStr">
        <is>
          <t>Milwaukee Brewers</t>
        </is>
      </c>
      <c r="AR241" s="24" t="inlineStr">
        <is>
          <t>Milwaukee Brewers</t>
        </is>
      </c>
      <c r="AS241" s="24" t="inlineStr">
        <is>
          <t>mlb-laa</t>
        </is>
      </c>
      <c r="AT241" s="24" t="inlineStr">
        <is>
          <t>Los Angeles Angels</t>
        </is>
      </c>
      <c r="AU241" s="24" t="inlineStr">
        <is>
          <t>Los Angeles Angels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433578016242b27f9c1c7132cc6b5a2bcc7dd1b0234590c12a944455a88e71bd</t>
        </is>
      </c>
      <c r="BB241" s="24" t="inlineStr">
        <is>
          <t>flat_probability_shrinkage_toward_half</t>
        </is>
      </c>
      <c r="BC241" s="24" t="inlineStr">
        <is>
          <t>measured-edge-totals-v2</t>
        </is>
      </c>
      <c r="BD241" s="24" t="inlineStr">
        <is>
          <t>433578016242b27f9c1c7132cc6b5a2bcc7dd1b0234590c12a944455a88e71bd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2026-08-02T16:11:31.225588Z</t>
        </is>
      </c>
      <c r="BI241" s="24" t="inlineStr">
        <is>
          <t>["same_event","same_team_same_day","same_league_same_day"]</t>
        </is>
      </c>
      <c r="BJ241" s="25" t="n">
        <v>7.5</v>
      </c>
      <c r="BK241" s="26" t="n">
        <v>100</v>
      </c>
      <c r="BL241" s="27" t="n">
        <v>2</v>
      </c>
      <c r="BM241" s="28" t="n">
        <v>0.5</v>
      </c>
      <c r="BN241" s="28" t="n">
        <v>0.497512</v>
      </c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inlineStr">
        <is>
          <t>True</t>
        </is>
      </c>
    </row>
    <row r="242" ht="36" customHeight="1">
      <c r="A242" s="24" t="inlineStr">
        <is>
          <t>f131cddec92b4356</t>
        </is>
      </c>
      <c r="B242" s="24" t="inlineStr">
        <is>
          <t>2026-08-02T16:11:31.225588Z</t>
        </is>
      </c>
      <c r="C242" s="24" t="inlineStr">
        <is>
          <t>2026-08-02T20:05Z</t>
        </is>
      </c>
      <c r="D242" s="24" t="inlineStr">
        <is>
          <t>401816373</t>
        </is>
      </c>
      <c r="E242" s="24" t="inlineStr">
        <is>
          <t>MLB</t>
        </is>
      </c>
      <c r="F242" s="24" t="inlineStr">
        <is>
          <t>Detroit Tigers</t>
        </is>
      </c>
      <c r="G242" s="24" t="inlineStr">
        <is>
          <t>Athletics</t>
        </is>
      </c>
      <c r="H242" s="24" t="inlineStr">
        <is>
          <t>spread</t>
        </is>
      </c>
      <c r="I242" s="24" t="inlineStr">
        <is>
          <t>home</t>
        </is>
      </c>
      <c r="J242" s="25" t="n">
        <v>1.5</v>
      </c>
      <c r="K242" s="24" t="inlineStr">
        <is>
          <t>polymarket_us</t>
        </is>
      </c>
      <c r="L242" s="26" t="n">
        <v>-141</v>
      </c>
      <c r="M242" s="27" t="n">
        <v>1.70922</v>
      </c>
      <c r="N242" s="28" t="n">
        <v>0.585062</v>
      </c>
      <c r="O242" s="28" t="n">
        <v>0.601581</v>
      </c>
      <c r="P242" s="28" t="n">
        <v>0.042131</v>
      </c>
      <c r="Q242" s="28" t="n">
        <v>0.016519</v>
      </c>
      <c r="R242" s="26" t="n">
        <v>34</v>
      </c>
      <c r="S242" s="29" t="n">
        <v>1.5</v>
      </c>
      <c r="T242" s="24" t="inlineStr">
        <is>
          <t>measured-edge-margin-v2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Measured Edge Margin: Trend Engine projected 4.86-4.74; raw selected-side p=0.6548, calibrated p=0.6016.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3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mlb-det</t>
        </is>
      </c>
      <c r="AQ242" s="24" t="inlineStr">
        <is>
          <t>Detroit Tigers</t>
        </is>
      </c>
      <c r="AR242" s="24" t="inlineStr">
        <is>
          <t>Detroit Tigers</t>
        </is>
      </c>
      <c r="AS242" s="24" t="inlineStr">
        <is>
          <t>mlb-ath</t>
        </is>
      </c>
      <c r="AT242" s="24" t="inlineStr">
        <is>
          <t>Athletics</t>
        </is>
      </c>
      <c r="AU242" s="24" t="inlineStr">
        <is>
          <t>Athletics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8360b122264b796b0fb193095cfe4506c7e064e5f3f8c0a659aec41efd08dd25</t>
        </is>
      </c>
      <c r="BB242" s="24" t="inlineStr">
        <is>
          <t>flat_probability_shrinkage_toward_half</t>
        </is>
      </c>
      <c r="BC242" s="24" t="inlineStr">
        <is>
          <t>measured-edge-margin-v2</t>
        </is>
      </c>
      <c r="BD242" s="24" t="inlineStr">
        <is>
          <t>8360b122264b796b0fb193095cfe4506c7e064e5f3f8c0a659aec41efd08dd25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2026-08-02T16:11:31.225588Z</t>
        </is>
      </c>
      <c r="BI242" s="24" t="inlineStr">
        <is>
          <t>["same_event","same_team_same_day","same_league_same_day"]</t>
        </is>
      </c>
      <c r="BJ242" s="25" t="n">
        <v>1.5</v>
      </c>
      <c r="BK242" s="26" t="n">
        <v>-141</v>
      </c>
      <c r="BL242" s="27" t="n">
        <v>1.70922</v>
      </c>
      <c r="BM242" s="28" t="n">
        <v>0.585062</v>
      </c>
      <c r="BN242" s="28" t="n">
        <v>0.58209</v>
      </c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inlineStr">
        <is>
          <t>True</t>
        </is>
      </c>
    </row>
    <row r="243" ht="36" customHeight="1">
      <c r="A243" s="24" t="inlineStr">
        <is>
          <t>afa56bfebf604ae9</t>
        </is>
      </c>
      <c r="B243" s="24" t="inlineStr">
        <is>
          <t>2026-08-02T16:11:31.225588Z</t>
        </is>
      </c>
      <c r="C243" s="24" t="inlineStr">
        <is>
          <t>2026-08-02T20:05Z</t>
        </is>
      </c>
      <c r="D243" s="24" t="inlineStr">
        <is>
          <t>401816373</t>
        </is>
      </c>
      <c r="E243" s="24" t="inlineStr">
        <is>
          <t>MLB</t>
        </is>
      </c>
      <c r="F243" s="24" t="inlineStr">
        <is>
          <t>Detroit Tigers</t>
        </is>
      </c>
      <c r="G243" s="24" t="inlineStr">
        <is>
          <t>Athletics</t>
        </is>
      </c>
      <c r="H243" s="24" t="inlineStr">
        <is>
          <t>total</t>
        </is>
      </c>
      <c r="I243" s="24" t="inlineStr">
        <is>
          <t>under</t>
        </is>
      </c>
      <c r="J243" s="25" t="n">
        <v>10.5</v>
      </c>
      <c r="K243" s="24" t="inlineStr">
        <is>
          <t>polymarket_us</t>
        </is>
      </c>
      <c r="L243" s="26" t="n">
        <v>111</v>
      </c>
      <c r="M243" s="27" t="n">
        <v>2.11</v>
      </c>
      <c r="N243" s="28" t="n">
        <v>0.473934</v>
      </c>
      <c r="O243" s="28" t="n">
        <v>0.545144</v>
      </c>
      <c r="P243" s="28" t="n">
        <v>0.042131</v>
      </c>
      <c r="Q243" s="28" t="n">
        <v>0.07121</v>
      </c>
      <c r="R243" s="26" t="n">
        <v>61</v>
      </c>
      <c r="S243" s="29" t="n">
        <v>1</v>
      </c>
      <c r="T243" s="24" t="inlineStr">
        <is>
          <t>measured-edge-totals-v2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Measured Edge Totals: Trend Engine projected 4.86-4.74; raw selected-side p=0.6089, calibrated p=0.5451.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mlb-det</t>
        </is>
      </c>
      <c r="AQ243" s="24" t="inlineStr">
        <is>
          <t>Detroit Tigers</t>
        </is>
      </c>
      <c r="AR243" s="24" t="inlineStr">
        <is>
          <t>Detroit Tigers</t>
        </is>
      </c>
      <c r="AS243" s="24" t="inlineStr">
        <is>
          <t>mlb-ath</t>
        </is>
      </c>
      <c r="AT243" s="24" t="inlineStr">
        <is>
          <t>Athletics</t>
        </is>
      </c>
      <c r="AU243" s="24" t="inlineStr">
        <is>
          <t>Athletics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433578016242b27f9c1c7132cc6b5a2bcc7dd1b0234590c12a944455a88e71bd</t>
        </is>
      </c>
      <c r="BB243" s="24" t="inlineStr">
        <is>
          <t>flat_probability_shrinkage_toward_half</t>
        </is>
      </c>
      <c r="BC243" s="24" t="inlineStr">
        <is>
          <t>measured-edge-totals-v2</t>
        </is>
      </c>
      <c r="BD243" s="24" t="inlineStr">
        <is>
          <t>433578016242b27f9c1c7132cc6b5a2bcc7dd1b0234590c12a944455a88e71bd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2026-08-02T16:11:31.225588Z</t>
        </is>
      </c>
      <c r="BI243" s="24" t="inlineStr">
        <is>
          <t>["same_event","same_team_same_day","same_league_same_day"]</t>
        </is>
      </c>
      <c r="BJ243" s="25" t="n">
        <v>10.5</v>
      </c>
      <c r="BK243" s="26" t="n">
        <v>111</v>
      </c>
      <c r="BL243" s="27" t="n">
        <v>2.11</v>
      </c>
      <c r="BM243" s="28" t="n">
        <v>0.473934</v>
      </c>
      <c r="BN243" s="28" t="n">
        <v>0.472637</v>
      </c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inlineStr">
        <is>
          <t>True</t>
        </is>
      </c>
    </row>
    <row r="244" ht="36" customHeight="1">
      <c r="A244" s="24" t="inlineStr">
        <is>
          <t>0db277454d3f4eaa</t>
        </is>
      </c>
      <c r="B244" s="24" t="inlineStr">
        <is>
          <t>2026-08-02T16:11:31.225588Z</t>
        </is>
      </c>
      <c r="C244" s="24" t="inlineStr">
        <is>
          <t>2026-08-02T20:10Z</t>
        </is>
      </c>
      <c r="D244" s="24" t="inlineStr">
        <is>
          <t>401816375</t>
        </is>
      </c>
      <c r="E244" s="24" t="inlineStr">
        <is>
          <t>MLB</t>
        </is>
      </c>
      <c r="F244" s="24" t="inlineStr">
        <is>
          <t>Minnesota Twins</t>
        </is>
      </c>
      <c r="G244" s="24" t="inlineStr">
        <is>
          <t>Seattle Mariners</t>
        </is>
      </c>
      <c r="H244" s="24" t="inlineStr">
        <is>
          <t>spread</t>
        </is>
      </c>
      <c r="I244" s="24" t="inlineStr">
        <is>
          <t>away</t>
        </is>
      </c>
      <c r="J244" s="25" t="n">
        <v>1.5</v>
      </c>
      <c r="K244" s="24" t="inlineStr">
        <is>
          <t>polymarket_us</t>
        </is>
      </c>
      <c r="L244" s="26" t="n">
        <v>-174</v>
      </c>
      <c r="M244" s="27" t="n">
        <v>1.574713</v>
      </c>
      <c r="N244" s="28" t="n">
        <v>0.635036</v>
      </c>
      <c r="O244" s="28" t="n">
        <v>0.608372</v>
      </c>
      <c r="P244" s="28" t="n">
        <v>0.042131</v>
      </c>
      <c r="Q244" s="28" t="n">
        <v>-0.026664</v>
      </c>
      <c r="R244" s="26" t="n">
        <v>13</v>
      </c>
      <c r="S244" s="29" t="n">
        <v>1.5</v>
      </c>
      <c r="T244" s="24" t="inlineStr">
        <is>
          <t>measured-edge-margin-v2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Measured Edge Margin: Trend Engine projected 4.39-4.46; raw selected-side p=0.6651, calibrated p=0.6084.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mlb-min</t>
        </is>
      </c>
      <c r="AQ244" s="24" t="inlineStr">
        <is>
          <t>Minnesota Twins</t>
        </is>
      </c>
      <c r="AR244" s="24" t="inlineStr">
        <is>
          <t>Minnesota Twins</t>
        </is>
      </c>
      <c r="AS244" s="24" t="inlineStr">
        <is>
          <t>mlb-sea</t>
        </is>
      </c>
      <c r="AT244" s="24" t="inlineStr">
        <is>
          <t>Seattle Mariners</t>
        </is>
      </c>
      <c r="AU244" s="24" t="inlineStr">
        <is>
          <t>Seattle Mariners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8360b122264b796b0fb193095cfe4506c7e064e5f3f8c0a659aec41efd08dd25</t>
        </is>
      </c>
      <c r="BB244" s="24" t="inlineStr">
        <is>
          <t>flat_probability_shrinkage_toward_half</t>
        </is>
      </c>
      <c r="BC244" s="24" t="inlineStr">
        <is>
          <t>measured-edge-margin-v2</t>
        </is>
      </c>
      <c r="BD244" s="24" t="inlineStr">
        <is>
          <t>8360b122264b796b0fb193095cfe4506c7e064e5f3f8c0a659aec41efd08dd25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2026-08-02T16:11:31.225588Z</t>
        </is>
      </c>
      <c r="BI244" s="24" t="inlineStr">
        <is>
          <t>["same_event","same_team_same_day","same_league_same_day"]</t>
        </is>
      </c>
      <c r="BJ244" s="25" t="n">
        <v>1.5</v>
      </c>
      <c r="BK244" s="26" t="n">
        <v>-174</v>
      </c>
      <c r="BL244" s="27" t="n">
        <v>1.574713</v>
      </c>
      <c r="BM244" s="28" t="n">
        <v>0.635036</v>
      </c>
      <c r="BN244" s="28" t="n">
        <v>0.631841</v>
      </c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inlineStr">
        <is>
          <t>False</t>
        </is>
      </c>
    </row>
    <row r="245" ht="36" customHeight="1">
      <c r="A245" s="24" t="inlineStr">
        <is>
          <t>2cd3fbcb4e2747af</t>
        </is>
      </c>
      <c r="B245" s="24" t="inlineStr">
        <is>
          <t>2026-08-02T16:11:31.225588Z</t>
        </is>
      </c>
      <c r="C245" s="24" t="inlineStr">
        <is>
          <t>2026-08-02T20:10Z</t>
        </is>
      </c>
      <c r="D245" s="24" t="inlineStr">
        <is>
          <t>401816375</t>
        </is>
      </c>
      <c r="E245" s="24" t="inlineStr">
        <is>
          <t>MLB</t>
        </is>
      </c>
      <c r="F245" s="24" t="inlineStr">
        <is>
          <t>Minnesota Twins</t>
        </is>
      </c>
      <c r="G245" s="24" t="inlineStr">
        <is>
          <t>Seattle Mariners</t>
        </is>
      </c>
      <c r="H245" s="24" t="inlineStr">
        <is>
          <t>total</t>
        </is>
      </c>
      <c r="I245" s="24" t="inlineStr">
        <is>
          <t>over</t>
        </is>
      </c>
      <c r="J245" s="25" t="n">
        <v>7.5</v>
      </c>
      <c r="K245" s="24" t="inlineStr">
        <is>
          <t>polymarket_us</t>
        </is>
      </c>
      <c r="L245" s="26" t="n">
        <v>125</v>
      </c>
      <c r="M245" s="27" t="n">
        <v>2.25</v>
      </c>
      <c r="N245" s="28" t="n">
        <v>0.444444</v>
      </c>
      <c r="O245" s="28" t="n">
        <v>0.533236</v>
      </c>
      <c r="P245" s="28" t="n">
        <v>0.042131</v>
      </c>
      <c r="Q245" s="28" t="n">
        <v>0.088792</v>
      </c>
      <c r="R245" s="26" t="n">
        <v>70</v>
      </c>
      <c r="S245" s="29" t="n">
        <v>1</v>
      </c>
      <c r="T245" s="24" t="inlineStr">
        <is>
          <t>measured-edge-totals-v2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Measured Edge Totals: Trend Engine projected 4.39-4.46; raw selected-side p=0.5740, calibrated p=0.5332.</t>
        </is>
      </c>
      <c r="AF245" s="31" t="inlineStr">
        <is>
          <t>Research-only; lineup, bullpen, park, weather, xFIP, and wRC+ may be neutral fallbacks; market availability and BBO depth may change before first pitch.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3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mlb-min</t>
        </is>
      </c>
      <c r="AQ245" s="24" t="inlineStr">
        <is>
          <t>Minnesota Twins</t>
        </is>
      </c>
      <c r="AR245" s="24" t="inlineStr">
        <is>
          <t>Minnesota Twins</t>
        </is>
      </c>
      <c r="AS245" s="24" t="inlineStr">
        <is>
          <t>mlb-sea</t>
        </is>
      </c>
      <c r="AT245" s="24" t="inlineStr">
        <is>
          <t>Seattle Mariners</t>
        </is>
      </c>
      <c r="AU245" s="24" t="inlineStr">
        <is>
          <t>Seattle Mariners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433578016242b27f9c1c7132cc6b5a2bcc7dd1b0234590c12a944455a88e71bd</t>
        </is>
      </c>
      <c r="BB245" s="24" t="inlineStr">
        <is>
          <t>flat_probability_shrinkage_toward_half</t>
        </is>
      </c>
      <c r="BC245" s="24" t="inlineStr">
        <is>
          <t>measured-edge-totals-v2</t>
        </is>
      </c>
      <c r="BD245" s="24" t="inlineStr">
        <is>
          <t>433578016242b27f9c1c7132cc6b5a2bcc7dd1b0234590c12a944455a88e71bd</t>
        </is>
      </c>
      <c r="BE245" s="24" t="inlineStr">
        <is>
          <t>v3</t>
        </is>
      </c>
      <c r="BF245" s="24" t="inlineStr">
        <is>
          <t>1</t>
        </is>
      </c>
      <c r="BG245" s="24" t="inlineStr">
        <is>
          <t>measured-edge-paired-v1</t>
        </is>
      </c>
      <c r="BH245" s="24" t="inlineStr">
        <is>
          <t>2026-08-02T16:11:31.225588Z</t>
        </is>
      </c>
      <c r="BI245" s="24" t="inlineStr">
        <is>
          <t>["same_event","same_team_same_day","same_league_same_day"]</t>
        </is>
      </c>
      <c r="BJ245" s="25" t="n">
        <v>7.5</v>
      </c>
      <c r="BK245" s="26" t="n">
        <v>125</v>
      </c>
      <c r="BL245" s="27" t="n">
        <v>2.25</v>
      </c>
      <c r="BM245" s="28" t="n">
        <v>0.444444</v>
      </c>
      <c r="BN245" s="28" t="n">
        <v>0.442786</v>
      </c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inlineStr">
        <is>
          <t>True</t>
        </is>
      </c>
    </row>
    <row r="246" ht="36" customHeight="1">
      <c r="A246" s="24" t="inlineStr">
        <is>
          <t>ebb1d214825f4da6</t>
        </is>
      </c>
      <c r="B246" s="24" t="inlineStr">
        <is>
          <t>2026-08-02T16:11:31.225588Z</t>
        </is>
      </c>
      <c r="C246" s="24" t="inlineStr">
        <is>
          <t>2026-08-02T20:10Z</t>
        </is>
      </c>
      <c r="D246" s="24" t="inlineStr">
        <is>
          <t>401816376</t>
        </is>
      </c>
      <c r="E246" s="24" t="inlineStr">
        <is>
          <t>MLB</t>
        </is>
      </c>
      <c r="F246" s="24" t="inlineStr">
        <is>
          <t>San Francisco Giants</t>
        </is>
      </c>
      <c r="G246" s="24" t="inlineStr">
        <is>
          <t>San Diego Padres</t>
        </is>
      </c>
      <c r="H246" s="24" t="inlineStr">
        <is>
          <t>spread</t>
        </is>
      </c>
      <c r="I246" s="24" t="inlineStr">
        <is>
          <t>away</t>
        </is>
      </c>
      <c r="J246" s="25" t="n">
        <v>1.5</v>
      </c>
      <c r="K246" s="24" t="inlineStr">
        <is>
          <t>polymarket_us</t>
        </is>
      </c>
      <c r="L246" s="26" t="n">
        <v>-156</v>
      </c>
      <c r="M246" s="27" t="n">
        <v>1.641026</v>
      </c>
      <c r="N246" s="28" t="n">
        <v>0.609375</v>
      </c>
      <c r="O246" s="28" t="n">
        <v>0.582686</v>
      </c>
      <c r="P246" s="28" t="n">
        <v>0.042131</v>
      </c>
      <c r="Q246" s="28" t="n">
        <v>-0.026689</v>
      </c>
      <c r="R246" s="26" t="n">
        <v>13</v>
      </c>
      <c r="S246" s="29" t="n">
        <v>1.25</v>
      </c>
      <c r="T246" s="24" t="inlineStr">
        <is>
          <t>measured-edge-margin-v2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Measured Edge Margin: Trend Engine projected 4.27-4.69; raw selected-side p=0.6260, calibrated p=0.5827.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mlb-sf</t>
        </is>
      </c>
      <c r="AQ246" s="24" t="inlineStr">
        <is>
          <t>San Francisco Giants</t>
        </is>
      </c>
      <c r="AR246" s="24" t="inlineStr">
        <is>
          <t>San Francisco Giants</t>
        </is>
      </c>
      <c r="AS246" s="24" t="inlineStr">
        <is>
          <t>mlb-sd</t>
        </is>
      </c>
      <c r="AT246" s="24" t="inlineStr">
        <is>
          <t>San Diego Padres</t>
        </is>
      </c>
      <c r="AU246" s="24" t="inlineStr">
        <is>
          <t>San Diego Padres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8360b122264b796b0fb193095cfe4506c7e064e5f3f8c0a659aec41efd08dd25</t>
        </is>
      </c>
      <c r="BB246" s="24" t="inlineStr">
        <is>
          <t>flat_probability_shrinkage_toward_half</t>
        </is>
      </c>
      <c r="BC246" s="24" t="inlineStr">
        <is>
          <t>measured-edge-margin-v2</t>
        </is>
      </c>
      <c r="BD246" s="24" t="inlineStr">
        <is>
          <t>8360b122264b796b0fb193095cfe4506c7e064e5f3f8c0a659aec41efd08dd25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2026-08-02T16:11:31.225588Z</t>
        </is>
      </c>
      <c r="BI246" s="24" t="inlineStr">
        <is>
          <t>["same_event","same_team_same_day","same_league_same_day"]</t>
        </is>
      </c>
      <c r="BJ246" s="25" t="n">
        <v>1.5</v>
      </c>
      <c r="BK246" s="26" t="n">
        <v>-156</v>
      </c>
      <c r="BL246" s="27" t="n">
        <v>1.641026</v>
      </c>
      <c r="BM246" s="28" t="n">
        <v>0.609375</v>
      </c>
      <c r="BN246" s="28" t="n">
        <v>0.606965</v>
      </c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inlineStr">
        <is>
          <t>False</t>
        </is>
      </c>
    </row>
    <row r="247" ht="36" customHeight="1">
      <c r="A247" s="24" t="inlineStr">
        <is>
          <t>b44c489391734568</t>
        </is>
      </c>
      <c r="B247" s="24" t="inlineStr">
        <is>
          <t>2026-08-02T16:11:31.225588Z</t>
        </is>
      </c>
      <c r="C247" s="24" t="inlineStr">
        <is>
          <t>2026-08-02T20:10Z</t>
        </is>
      </c>
      <c r="D247" s="24" t="inlineStr">
        <is>
          <t>401816376</t>
        </is>
      </c>
      <c r="E247" s="24" t="inlineStr">
        <is>
          <t>MLB</t>
        </is>
      </c>
      <c r="F247" s="24" t="inlineStr">
        <is>
          <t>San Francisco Giants</t>
        </is>
      </c>
      <c r="G247" s="24" t="inlineStr">
        <is>
          <t>San Diego Padres</t>
        </is>
      </c>
      <c r="H247" s="24" t="inlineStr">
        <is>
          <t>total</t>
        </is>
      </c>
      <c r="I247" s="24" t="inlineStr">
        <is>
          <t>over</t>
        </is>
      </c>
      <c r="J247" s="25" t="n">
        <v>7.5</v>
      </c>
      <c r="K247" s="24" t="inlineStr">
        <is>
          <t>polymarket_us</t>
        </is>
      </c>
      <c r="L247" s="26" t="n">
        <v>-120</v>
      </c>
      <c r="M247" s="27" t="n">
        <v>1.833333</v>
      </c>
      <c r="N247" s="28" t="n">
        <v>0.545455</v>
      </c>
      <c r="O247" s="28" t="n">
        <v>0.535918</v>
      </c>
      <c r="P247" s="28" t="n">
        <v>0.042131</v>
      </c>
      <c r="Q247" s="28" t="n">
        <v>-0.009537</v>
      </c>
      <c r="R247" s="26" t="n">
        <v>22</v>
      </c>
      <c r="S247" s="29" t="n">
        <v>1</v>
      </c>
      <c r="T247" s="24" t="inlineStr">
        <is>
          <t>measured-edge-totals-v2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Measured Edge Totals: Trend Engine projected 4.27-4.69; raw selected-side p=0.5818, calibrated p=0.5359.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mlb-sf</t>
        </is>
      </c>
      <c r="AQ247" s="24" t="inlineStr">
        <is>
          <t>San Francisco Giants</t>
        </is>
      </c>
      <c r="AR247" s="24" t="inlineStr">
        <is>
          <t>San Francisco Giants</t>
        </is>
      </c>
      <c r="AS247" s="24" t="inlineStr">
        <is>
          <t>mlb-sd</t>
        </is>
      </c>
      <c r="AT247" s="24" t="inlineStr">
        <is>
          <t>San Diego Padres</t>
        </is>
      </c>
      <c r="AU247" s="24" t="inlineStr">
        <is>
          <t>San Diego Padres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433578016242b27f9c1c7132cc6b5a2bcc7dd1b0234590c12a944455a88e71bd</t>
        </is>
      </c>
      <c r="BB247" s="24" t="inlineStr">
        <is>
          <t>flat_probability_shrinkage_toward_half</t>
        </is>
      </c>
      <c r="BC247" s="24" t="inlineStr">
        <is>
          <t>measured-edge-totals-v2</t>
        </is>
      </c>
      <c r="BD247" s="24" t="inlineStr">
        <is>
          <t>433578016242b27f9c1c7132cc6b5a2bcc7dd1b0234590c12a944455a88e71bd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2026-08-02T16:11:31.225588Z</t>
        </is>
      </c>
      <c r="BI247" s="24" t="inlineStr">
        <is>
          <t>["same_event","same_team_same_day","same_league_same_day"]</t>
        </is>
      </c>
      <c r="BJ247" s="25" t="n">
        <v>7.5</v>
      </c>
      <c r="BK247" s="26" t="n">
        <v>-120</v>
      </c>
      <c r="BL247" s="27" t="n">
        <v>1.833333</v>
      </c>
      <c r="BM247" s="28" t="n">
        <v>0.545455</v>
      </c>
      <c r="BN247" s="28" t="n">
        <v>0.542289</v>
      </c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inlineStr">
        <is>
          <t>False</t>
        </is>
      </c>
    </row>
    <row r="248" ht="36" customHeight="1">
      <c r="A248" s="24" t="inlineStr">
        <is>
          <t>6838eca746504441</t>
        </is>
      </c>
      <c r="B248" s="24" t="inlineStr">
        <is>
          <t>2026-08-02T16:11:31.225588Z</t>
        </is>
      </c>
      <c r="C248" s="24" t="inlineStr">
        <is>
          <t>2026-08-02T23:20Z</t>
        </is>
      </c>
      <c r="D248" s="24" t="inlineStr">
        <is>
          <t>401816372</t>
        </is>
      </c>
      <c r="E248" s="24" t="inlineStr">
        <is>
          <t>MLB</t>
        </is>
      </c>
      <c r="F248" s="24" t="inlineStr">
        <is>
          <t>Boston Red Sox</t>
        </is>
      </c>
      <c r="G248" s="24" t="inlineStr">
        <is>
          <t>Los Angeles Dodgers</t>
        </is>
      </c>
      <c r="H248" s="24" t="inlineStr">
        <is>
          <t>spread</t>
        </is>
      </c>
      <c r="I248" s="24" t="inlineStr">
        <is>
          <t>away</t>
        </is>
      </c>
      <c r="J248" s="25" t="n">
        <v>1.5</v>
      </c>
      <c r="K248" s="24" t="inlineStr">
        <is>
          <t>polymarket_us</t>
        </is>
      </c>
      <c r="L248" s="26" t="n">
        <v>-127</v>
      </c>
      <c r="M248" s="27" t="n">
        <v>1.787402</v>
      </c>
      <c r="N248" s="28" t="n">
        <v>0.5594710000000001</v>
      </c>
      <c r="O248" s="28" t="n">
        <v>0.628416</v>
      </c>
      <c r="P248" s="28" t="n">
        <v>0.042131</v>
      </c>
      <c r="Q248" s="28" t="n">
        <v>0.06894500000000001</v>
      </c>
      <c r="R248" s="26" t="n">
        <v>60</v>
      </c>
      <c r="S248" s="29" t="n">
        <v>1.5</v>
      </c>
      <c r="T248" s="24" t="inlineStr">
        <is>
          <t>measured-edge-margin-v2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Measured Edge Margin: Trend Engine projected 4.62-4.38; raw selected-side p=0.6956, calibrated p=0.6284.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mlb-bos</t>
        </is>
      </c>
      <c r="AQ248" s="24" t="inlineStr">
        <is>
          <t>Boston Red Sox</t>
        </is>
      </c>
      <c r="AR248" s="24" t="inlineStr">
        <is>
          <t>Boston Red Sox</t>
        </is>
      </c>
      <c r="AS248" s="24" t="inlineStr">
        <is>
          <t>mlb-lad</t>
        </is>
      </c>
      <c r="AT248" s="24" t="inlineStr">
        <is>
          <t>Los Angeles Dodgers</t>
        </is>
      </c>
      <c r="AU248" s="24" t="inlineStr">
        <is>
          <t>Los Angeles Dodgers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8360b122264b796b0fb193095cfe4506c7e064e5f3f8c0a659aec41efd08dd25</t>
        </is>
      </c>
      <c r="BB248" s="24" t="inlineStr">
        <is>
          <t>flat_probability_shrinkage_toward_half</t>
        </is>
      </c>
      <c r="BC248" s="24" t="inlineStr">
        <is>
          <t>measured-edge-margin-v2</t>
        </is>
      </c>
      <c r="BD248" s="24" t="inlineStr">
        <is>
          <t>8360b122264b796b0fb193095cfe4506c7e064e5f3f8c0a659aec41efd08dd25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2026-08-02T16:11:31.225588Z</t>
        </is>
      </c>
      <c r="BI248" s="24" t="inlineStr">
        <is>
          <t>["same_event","same_team_same_day","same_league_same_day"]</t>
        </is>
      </c>
      <c r="BJ248" s="25" t="n">
        <v>1.5</v>
      </c>
      <c r="BK248" s="26" t="n">
        <v>-127</v>
      </c>
      <c r="BL248" s="27" t="n">
        <v>1.787402</v>
      </c>
      <c r="BM248" s="28" t="n">
        <v>0.5594710000000001</v>
      </c>
      <c r="BN248" s="28" t="n">
        <v>0.557214</v>
      </c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inlineStr">
        <is>
          <t>True</t>
        </is>
      </c>
    </row>
    <row r="249" ht="36" customHeight="1">
      <c r="A249" s="24" t="inlineStr">
        <is>
          <t>fb207dc69a904eb1</t>
        </is>
      </c>
      <c r="B249" s="24" t="inlineStr">
        <is>
          <t>2026-08-02T16:11:31.225588Z</t>
        </is>
      </c>
      <c r="C249" s="24" t="inlineStr">
        <is>
          <t>2026-08-02T23:20Z</t>
        </is>
      </c>
      <c r="D249" s="24" t="inlineStr">
        <is>
          <t>401816372</t>
        </is>
      </c>
      <c r="E249" s="24" t="inlineStr">
        <is>
          <t>MLB</t>
        </is>
      </c>
      <c r="F249" s="24" t="inlineStr">
        <is>
          <t>Boston Red Sox</t>
        </is>
      </c>
      <c r="G249" s="24" t="inlineStr">
        <is>
          <t>Los Angeles Dodgers</t>
        </is>
      </c>
      <c r="H249" s="24" t="inlineStr">
        <is>
          <t>total</t>
        </is>
      </c>
      <c r="I249" s="24" t="inlineStr">
        <is>
          <t>over</t>
        </is>
      </c>
      <c r="J249" s="25" t="n">
        <v>8.5</v>
      </c>
      <c r="K249" s="24" t="inlineStr">
        <is>
          <t>polymarket_us</t>
        </is>
      </c>
      <c r="L249" s="26" t="n">
        <v>102</v>
      </c>
      <c r="M249" s="27" t="n">
        <v>2.02</v>
      </c>
      <c r="N249" s="28" t="n">
        <v>0.49505</v>
      </c>
      <c r="O249" s="28" t="n">
        <v>0.51287</v>
      </c>
      <c r="P249" s="28" t="n">
        <v>0.042131</v>
      </c>
      <c r="Q249" s="28" t="n">
        <v>0.01782</v>
      </c>
      <c r="R249" s="26" t="n">
        <v>35</v>
      </c>
      <c r="S249" s="29" t="n">
        <v>1</v>
      </c>
      <c r="T249" s="24" t="inlineStr">
        <is>
          <t>measured-edge-totals-v2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Measured Edge Totals: Trend Engine projected 4.62-4.38; raw selected-side p=0.5144, calibrated p=0.5129.</t>
        </is>
      </c>
      <c r="AF249" s="31" t="inlineStr">
        <is>
          <t>Research-only; lineup, bullpen, park, weather, xFIP, and wRC+ may be neutral fallbacks; market availability and BBO depth may change before first pitch.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3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mlb-bos</t>
        </is>
      </c>
      <c r="AQ249" s="24" t="inlineStr">
        <is>
          <t>Boston Red Sox</t>
        </is>
      </c>
      <c r="AR249" s="24" t="inlineStr">
        <is>
          <t>Boston Red Sox</t>
        </is>
      </c>
      <c r="AS249" s="24" t="inlineStr">
        <is>
          <t>mlb-lad</t>
        </is>
      </c>
      <c r="AT249" s="24" t="inlineStr">
        <is>
          <t>Los Angeles Dodgers</t>
        </is>
      </c>
      <c r="AU249" s="24" t="inlineStr">
        <is>
          <t>Los Angeles Dodgers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433578016242b27f9c1c7132cc6b5a2bcc7dd1b0234590c12a944455a88e71bd</t>
        </is>
      </c>
      <c r="BB249" s="24" t="inlineStr">
        <is>
          <t>flat_probability_shrinkage_toward_half</t>
        </is>
      </c>
      <c r="BC249" s="24" t="inlineStr">
        <is>
          <t>measured-edge-totals-v2</t>
        </is>
      </c>
      <c r="BD249" s="24" t="inlineStr">
        <is>
          <t>433578016242b27f9c1c7132cc6b5a2bcc7dd1b0234590c12a944455a88e71bd</t>
        </is>
      </c>
      <c r="BE249" s="24" t="inlineStr">
        <is>
          <t>v3</t>
        </is>
      </c>
      <c r="BF249" s="24" t="inlineStr">
        <is>
          <t>1</t>
        </is>
      </c>
      <c r="BG249" s="24" t="inlineStr">
        <is>
          <t>measured-edge-paired-v1</t>
        </is>
      </c>
      <c r="BH249" s="24" t="inlineStr">
        <is>
          <t>2026-08-02T16:11:31.225588Z</t>
        </is>
      </c>
      <c r="BI249" s="24" t="inlineStr">
        <is>
          <t>["same_event","same_team_same_day","same_league_same_day"]</t>
        </is>
      </c>
      <c r="BJ249" s="25" t="n">
        <v>8.5</v>
      </c>
      <c r="BK249" s="26" t="n">
        <v>102</v>
      </c>
      <c r="BL249" s="27" t="n">
        <v>2.02</v>
      </c>
      <c r="BM249" s="28" t="n">
        <v>0.49505</v>
      </c>
      <c r="BN249" s="28" t="n">
        <v>0.492537</v>
      </c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inlineStr">
        <is>
          <t>True</t>
        </is>
      </c>
    </row>
    <row r="250" ht="36" customHeight="1">
      <c r="A250" s="24" t="inlineStr">
        <is>
          <t>b36317be0afa4337</t>
        </is>
      </c>
      <c r="B250" s="24" t="inlineStr">
        <is>
          <t>2026-08-02T16:13:18.780884Z</t>
        </is>
      </c>
      <c r="C250" s="24" t="inlineStr">
        <is>
          <t>2026-08-02T17:30Z</t>
        </is>
      </c>
      <c r="D250" s="24" t="inlineStr">
        <is>
          <t>401841470</t>
        </is>
      </c>
      <c r="E250" s="24" t="inlineStr">
        <is>
          <t>SOCCER</t>
        </is>
      </c>
      <c r="F250" s="24" t="inlineStr">
        <is>
          <t>Gimnasia La Plata</t>
        </is>
      </c>
      <c r="G250" s="24" t="inlineStr">
        <is>
          <t>Aldosivi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233</v>
      </c>
      <c r="M250" s="27" t="n">
        <v>3.33</v>
      </c>
      <c r="N250" s="28" t="n">
        <v>0.3003</v>
      </c>
      <c r="O250" s="28" t="n">
        <v>0.456135</v>
      </c>
      <c r="P250" s="28" t="n">
        <v>0.2</v>
      </c>
      <c r="Q250" s="28" t="n">
        <v>0.155835</v>
      </c>
      <c r="R250" s="26" t="n">
        <v>8</v>
      </c>
      <c r="S250" s="29" t="n">
        <v>1</v>
      </c>
      <c r="T250" s="24" t="inlineStr">
        <is>
          <t>soccer-poisson-dc-v1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Poisson-DC rates 1.64 (home) / 1.24 (away) from EWMA attack/defense strengths. Executable ask 0.3000 (atc-lpa-ald-gim-2026-08-02-ald).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Gimnasia La Plata</t>
        </is>
      </c>
      <c r="AQ250" s="24" t="inlineStr">
        <is>
          <t>Gimnasia La Plata</t>
        </is>
      </c>
      <c r="AR250" s="24" t="inlineStr">
        <is>
          <t>Gimnasia La Plata</t>
        </is>
      </c>
      <c r="AS250" s="24" t="inlineStr">
        <is>
          <t>Aldosivi</t>
        </is>
      </c>
      <c r="AT250" s="24" t="inlineStr">
        <is>
          <t>Aldosivi</t>
        </is>
      </c>
      <c r="AU250" s="24" t="inlineStr">
        <is>
          <t>Aldosivi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34d1568aad0ff11b5db35f118324684f93281e1c21fa7b80be7a4a4e2cb4bb03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34d1568aad0ff11b5db35f118324684f93281e1c21fa7b80be7a4a4e2cb4bb03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34d1568aad0ff11b5db35f118324684f93281e1c21fa7b80be7a4a4e2cb4bb03</t>
        </is>
      </c>
      <c r="BH250" s="24" t="inlineStr">
        <is>
          <t>2026-08-02T16:10:08.431356Z</t>
        </is>
      </c>
      <c r="BI250" s="24" t="inlineStr">
        <is>
          <t>["same_event","same_team_same_day","same_league_same_day"]</t>
        </is>
      </c>
      <c r="BJ250" s="25" t="n"/>
      <c r="BK250" s="26" t="n">
        <v>233</v>
      </c>
      <c r="BL250" s="27" t="n">
        <v>3.33</v>
      </c>
      <c r="BM250" s="28" t="n">
        <v>0.3003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inlineStr">
        <is>
          <t>True</t>
        </is>
      </c>
    </row>
    <row r="251" ht="36" customHeight="1">
      <c r="A251" s="24" t="inlineStr">
        <is>
          <t>7debf599e24b4cdd</t>
        </is>
      </c>
      <c r="B251" s="24" t="inlineStr">
        <is>
          <t>2026-08-02T16:13:18.780884Z</t>
        </is>
      </c>
      <c r="C251" s="24" t="inlineStr">
        <is>
          <t>2026-08-02T20:00Z</t>
        </is>
      </c>
      <c r="D251" s="24" t="inlineStr">
        <is>
          <t>401841473</t>
        </is>
      </c>
      <c r="E251" s="24" t="inlineStr">
        <is>
          <t>SOCCER</t>
        </is>
      </c>
      <c r="F251" s="24" t="inlineStr">
        <is>
          <t>Boca Juniors</t>
        </is>
      </c>
      <c r="G251" s="24" t="inlineStr">
        <is>
          <t>Newell's Old Boys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335</v>
      </c>
      <c r="M251" s="27" t="n">
        <v>4.35</v>
      </c>
      <c r="N251" s="28" t="n">
        <v>0.229885</v>
      </c>
      <c r="O251" s="28" t="n">
        <v>0.398039</v>
      </c>
      <c r="P251" s="28" t="n">
        <v>0.2</v>
      </c>
      <c r="Q251" s="28" t="n">
        <v>0.168154</v>
      </c>
      <c r="R251" s="26" t="n">
        <v>14</v>
      </c>
      <c r="S251" s="29" t="n">
        <v>1</v>
      </c>
      <c r="T251" s="24" t="inlineStr">
        <is>
          <t>soccer-poisson-dc-v1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Poisson-DC rates 1.46 (home) / 1.30 (away) from EWMA attack/defense strengths. Executable ask 0.2300 (atc-lpa-new-boc-2026-08-02-new).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3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Boca Juniors</t>
        </is>
      </c>
      <c r="AQ251" s="24" t="inlineStr">
        <is>
          <t>Boca Juniors</t>
        </is>
      </c>
      <c r="AR251" s="24" t="inlineStr">
        <is>
          <t>Boca Juniors</t>
        </is>
      </c>
      <c r="AS251" s="24" t="inlineStr">
        <is>
          <t>Newell's Old Boys</t>
        </is>
      </c>
      <c r="AT251" s="24" t="inlineStr">
        <is>
          <t>Newell's Old Boys</t>
        </is>
      </c>
      <c r="AU251" s="24" t="inlineStr">
        <is>
          <t>Newell's Old Boys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34d1568aad0ff11b5db35f118324684f93281e1c21fa7b80be7a4a4e2cb4bb03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34d1568aad0ff11b5db35f118324684f93281e1c21fa7b80be7a4a4e2cb4bb03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34d1568aad0ff11b5db35f118324684f93281e1c21fa7b80be7a4a4e2cb4bb03</t>
        </is>
      </c>
      <c r="BH251" s="24" t="inlineStr">
        <is>
          <t>2026-08-02T16:10:08.536425Z</t>
        </is>
      </c>
      <c r="BI251" s="24" t="inlineStr">
        <is>
          <t>["same_event","same_team_same_day","same_league_same_day"]</t>
        </is>
      </c>
      <c r="BJ251" s="25" t="n"/>
      <c r="BK251" s="26" t="n">
        <v>335</v>
      </c>
      <c r="BL251" s="27" t="n">
        <v>4.35</v>
      </c>
      <c r="BM251" s="28" t="n">
        <v>0.229885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inlineStr">
        <is>
          <t>True</t>
        </is>
      </c>
    </row>
    <row r="252" ht="36" customHeight="1">
      <c r="A252" s="24" t="inlineStr">
        <is>
          <t>ac6400eef8604c8a</t>
        </is>
      </c>
      <c r="B252" s="24" t="inlineStr">
        <is>
          <t>2026-08-02T16:13:18.780884Z</t>
        </is>
      </c>
      <c r="C252" s="24" t="inlineStr">
        <is>
          <t>2026-08-02T22:15Z</t>
        </is>
      </c>
      <c r="D252" s="24" t="inlineStr">
        <is>
          <t>401841476</t>
        </is>
      </c>
      <c r="E252" s="24" t="inlineStr">
        <is>
          <t>SOCCER</t>
        </is>
      </c>
      <c r="F252" s="24" t="inlineStr">
        <is>
          <t>Rosario Central</t>
        </is>
      </c>
      <c r="G252" s="24" t="inlineStr">
        <is>
          <t>River Plate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113</v>
      </c>
      <c r="M252" s="27" t="n">
        <v>2.13</v>
      </c>
      <c r="N252" s="28" t="n">
        <v>0.469484</v>
      </c>
      <c r="O252" s="28" t="n">
        <v>0.5359159999999999</v>
      </c>
      <c r="P252" s="28" t="n">
        <v>0.2</v>
      </c>
      <c r="Q252" s="28" t="n">
        <v>0.066432</v>
      </c>
      <c r="R252" s="26" t="n">
        <v>0</v>
      </c>
      <c r="S252" s="29" t="n">
        <v>1</v>
      </c>
      <c r="T252" s="24" t="inlineStr">
        <is>
          <t>soccer-poisson-dc-v1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Poisson-DC rates 1.84 (home) / 1.10 (away) from EWMA attack/defense strengths. Executable ask 0.4700 (atc-lpa-riv-ros-2026-08-02-riv).</t>
        </is>
      </c>
      <c r="AF252" s="31" t="inlineStr">
        <is>
          <t>Research-only soccer score model; draw-aware, but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3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Rosario Central</t>
        </is>
      </c>
      <c r="AQ252" s="24" t="inlineStr">
        <is>
          <t>Rosario Central</t>
        </is>
      </c>
      <c r="AR252" s="24" t="inlineStr">
        <is>
          <t>Rosario Central</t>
        </is>
      </c>
      <c r="AS252" s="24" t="inlineStr">
        <is>
          <t>River Plate</t>
        </is>
      </c>
      <c r="AT252" s="24" t="inlineStr">
        <is>
          <t>River Plate</t>
        </is>
      </c>
      <c r="AU252" s="24" t="inlineStr">
        <is>
          <t>River Plate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34d1568aad0ff11b5db35f118324684f93281e1c21fa7b80be7a4a4e2cb4bb03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34d1568aad0ff11b5db35f118324684f93281e1c21fa7b80be7a4a4e2cb4bb03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34d1568aad0ff11b5db35f118324684f93281e1c21fa7b80be7a4a4e2cb4bb03</t>
        </is>
      </c>
      <c r="BH252" s="24" t="inlineStr">
        <is>
          <t>2026-08-02T16:10:08.980617Z</t>
        </is>
      </c>
      <c r="BI252" s="24" t="inlineStr">
        <is>
          <t>["same_event","same_team_same_day","same_league_same_day"]</t>
        </is>
      </c>
      <c r="BJ252" s="25" t="n"/>
      <c r="BK252" s="26" t="n">
        <v>113</v>
      </c>
      <c r="BL252" s="27" t="n">
        <v>2.13</v>
      </c>
      <c r="BM252" s="28" t="n">
        <v>0.469484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inlineStr">
        <is>
          <t>True</t>
        </is>
      </c>
    </row>
    <row r="253" ht="36" customHeight="1">
      <c r="A253" s="24" t="inlineStr">
        <is>
          <t>f85c25ca46214d99</t>
        </is>
      </c>
      <c r="B253" s="24" t="inlineStr">
        <is>
          <t>2026-08-02T16:13:18.780884Z</t>
        </is>
      </c>
      <c r="C253" s="24" t="inlineStr">
        <is>
          <t>2026-08-02T18:00Z</t>
        </is>
      </c>
      <c r="D253" s="24" t="inlineStr">
        <is>
          <t>401844015</t>
        </is>
      </c>
      <c r="E253" s="24" t="inlineStr">
        <is>
          <t>SOCCER</t>
        </is>
      </c>
      <c r="F253" s="24" t="inlineStr">
        <is>
          <t>Agropecuario</t>
        </is>
      </c>
      <c r="G253" s="24" t="inlineStr">
        <is>
          <t>Chacarita Juniors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122</v>
      </c>
      <c r="M253" s="27" t="n">
        <v>2.22</v>
      </c>
      <c r="N253" s="28" t="n">
        <v>0.45045</v>
      </c>
      <c r="O253" s="28" t="n">
        <v>0.456135</v>
      </c>
      <c r="P253" s="28" t="n">
        <v>0.2</v>
      </c>
      <c r="Q253" s="28" t="n">
        <v>0.005685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Poisson-DC rates 1.64 (home) / 1.24 (away) from EWMA attack/defense strengths. Executable ask 0.4500 (atc-arg2-cjh-caa-2026-08-01-cjh).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NO_CALL_LOW_EDGE</t>
        </is>
      </c>
      <c r="AP253" s="24" t="inlineStr">
        <is>
          <t>Agropecuario</t>
        </is>
      </c>
      <c r="AQ253" s="24" t="inlineStr">
        <is>
          <t>Agropecuario</t>
        </is>
      </c>
      <c r="AR253" s="24" t="inlineStr">
        <is>
          <t>Agropecuario</t>
        </is>
      </c>
      <c r="AS253" s="24" t="inlineStr">
        <is>
          <t>Chacarita Juniors</t>
        </is>
      </c>
      <c r="AT253" s="24" t="inlineStr">
        <is>
          <t>Chacarita Juniors</t>
        </is>
      </c>
      <c r="AU253" s="24" t="inlineStr">
        <is>
          <t>Chacarita Juniors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34d1568aad0ff11b5db35f118324684f93281e1c21fa7b80be7a4a4e2cb4bb03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34d1568aad0ff11b5db35f118324684f93281e1c21fa7b80be7a4a4e2cb4bb03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34d1568aad0ff11b5db35f118324684f93281e1c21fa7b80be7a4a4e2cb4bb03</t>
        </is>
      </c>
      <c r="BH253" s="24" t="inlineStr">
        <is>
          <t>2026-08-02T16:10:09.690642Z</t>
        </is>
      </c>
      <c r="BI253" s="24" t="inlineStr">
        <is>
          <t>["same_event","same_team_same_day","same_league_same_day"]</t>
        </is>
      </c>
      <c r="BJ253" s="25" t="n"/>
      <c r="BK253" s="26" t="n">
        <v>122</v>
      </c>
      <c r="BL253" s="27" t="n">
        <v>2.22</v>
      </c>
      <c r="BM253" s="28" t="n">
        <v>0.45045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inlineStr">
        <is>
          <t>True</t>
        </is>
      </c>
    </row>
    <row r="254" ht="36" customHeight="1">
      <c r="A254" s="24" t="inlineStr">
        <is>
          <t>4298e9bbe3d947be</t>
        </is>
      </c>
      <c r="B254" s="24" t="inlineStr">
        <is>
          <t>2026-08-02T16:13:18.780884Z</t>
        </is>
      </c>
      <c r="C254" s="24" t="inlineStr">
        <is>
          <t>2026-08-02T18:00Z</t>
        </is>
      </c>
      <c r="D254" s="24" t="inlineStr">
        <is>
          <t>401844019</t>
        </is>
      </c>
      <c r="E254" s="24" t="inlineStr">
        <is>
          <t>SOCCER</t>
        </is>
      </c>
      <c r="F254" s="24" t="inlineStr">
        <is>
          <t>San Miguel</t>
        </is>
      </c>
      <c r="G254" s="24" t="inlineStr">
        <is>
          <t>San Telmo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178</v>
      </c>
      <c r="M254" s="27" t="n">
        <v>2.78</v>
      </c>
      <c r="N254" s="28" t="n">
        <v>0.359712</v>
      </c>
      <c r="O254" s="28" t="n">
        <v>0.456135</v>
      </c>
      <c r="P254" s="28" t="n">
        <v>0.2</v>
      </c>
      <c r="Q254" s="28" t="n">
        <v>0.09642299999999999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Poisson-DC rates 1.64 (home) / 1.24 (away) from EWMA attack/defense strengths. Executable ask 0.3600 (atc-arg2-ste-casm-2026-08-02-ste).</t>
        </is>
      </c>
      <c r="AF254" s="31" t="inlineStr">
        <is>
          <t>Research-only soccer score model; draw-aware, but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3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San Miguel</t>
        </is>
      </c>
      <c r="AQ254" s="24" t="inlineStr">
        <is>
          <t>San Miguel</t>
        </is>
      </c>
      <c r="AR254" s="24" t="inlineStr">
        <is>
          <t>San Miguel</t>
        </is>
      </c>
      <c r="AS254" s="24" t="inlineStr">
        <is>
          <t>San Telmo</t>
        </is>
      </c>
      <c r="AT254" s="24" t="inlineStr">
        <is>
          <t>San Telmo</t>
        </is>
      </c>
      <c r="AU254" s="24" t="inlineStr">
        <is>
          <t>San Telmo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34d1568aad0ff11b5db35f118324684f93281e1c21fa7b80be7a4a4e2cb4bb03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34d1568aad0ff11b5db35f118324684f93281e1c21fa7b80be7a4a4e2cb4bb03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34d1568aad0ff11b5db35f118324684f93281e1c21fa7b80be7a4a4e2cb4bb03</t>
        </is>
      </c>
      <c r="BH254" s="24" t="inlineStr">
        <is>
          <t>2026-08-02T16:10:10.319650Z</t>
        </is>
      </c>
      <c r="BI254" s="24" t="inlineStr">
        <is>
          <t>["same_event","same_team_same_day","same_league_same_day"]</t>
        </is>
      </c>
      <c r="BJ254" s="25" t="n"/>
      <c r="BK254" s="26" t="n">
        <v>178</v>
      </c>
      <c r="BL254" s="27" t="n">
        <v>2.78</v>
      </c>
      <c r="BM254" s="28" t="n">
        <v>0.359712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inlineStr">
        <is>
          <t>True</t>
        </is>
      </c>
    </row>
    <row r="255" ht="36" customHeight="1">
      <c r="A255" s="24" t="inlineStr">
        <is>
          <t>327eaeb3430b4abf</t>
        </is>
      </c>
      <c r="B255" s="24" t="inlineStr">
        <is>
          <t>2026-08-02T16:13:18.780884Z</t>
        </is>
      </c>
      <c r="C255" s="24" t="inlineStr">
        <is>
          <t>2026-08-02T18:30Z</t>
        </is>
      </c>
      <c r="D255" s="24" t="inlineStr">
        <is>
          <t>401844012</t>
        </is>
      </c>
      <c r="E255" s="24" t="inlineStr">
        <is>
          <t>SOCCER</t>
        </is>
      </c>
      <c r="F255" s="24" t="inlineStr">
        <is>
          <t>Gimnasia y Tiro (Salta)</t>
        </is>
      </c>
      <c r="G255" s="24" t="inlineStr">
        <is>
          <t>Temperley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117</v>
      </c>
      <c r="M255" s="27" t="n">
        <v>2.17</v>
      </c>
      <c r="N255" s="28" t="n">
        <v>0.460829</v>
      </c>
      <c r="O255" s="28" t="n">
        <v>0.456135</v>
      </c>
      <c r="P255" s="28" t="n">
        <v>0.2</v>
      </c>
      <c r="Q255" s="28" t="n">
        <v>-0.004694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Poisson-DC rates 1.64 (home) / 1.24 (away) from EWMA attack/defense strengths. Executable ask 0.4600 (atc-arg2-cat-gyt-2026-08-02-cat).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NO_CALL_LOW_EDGE</t>
        </is>
      </c>
      <c r="AP255" s="24" t="inlineStr">
        <is>
          <t>Gimnasia y Tiro (Salta)</t>
        </is>
      </c>
      <c r="AQ255" s="24" t="inlineStr">
        <is>
          <t>Gimnasia y Tiro (Salta)</t>
        </is>
      </c>
      <c r="AR255" s="24" t="inlineStr">
        <is>
          <t>Gimnasia y Tiro (Salta)</t>
        </is>
      </c>
      <c r="AS255" s="24" t="inlineStr">
        <is>
          <t>Temperley</t>
        </is>
      </c>
      <c r="AT255" s="24" t="inlineStr">
        <is>
          <t>Temperley</t>
        </is>
      </c>
      <c r="AU255" s="24" t="inlineStr">
        <is>
          <t>Temperley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34d1568aad0ff11b5db35f118324684f93281e1c21fa7b80be7a4a4e2cb4bb03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34d1568aad0ff11b5db35f118324684f93281e1c21fa7b80be7a4a4e2cb4bb03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34d1568aad0ff11b5db35f118324684f93281e1c21fa7b80be7a4a4e2cb4bb03</t>
        </is>
      </c>
      <c r="BH255" s="24" t="inlineStr">
        <is>
          <t>2026-08-02T16:10:10.262963Z</t>
        </is>
      </c>
      <c r="BI255" s="24" t="inlineStr">
        <is>
          <t>["same_event","same_team_same_day","same_league_same_day"]</t>
        </is>
      </c>
      <c r="BJ255" s="25" t="n"/>
      <c r="BK255" s="26" t="n">
        <v>117</v>
      </c>
      <c r="BL255" s="27" t="n">
        <v>2.17</v>
      </c>
      <c r="BM255" s="28" t="n">
        <v>0.460829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inlineStr">
        <is>
          <t>False</t>
        </is>
      </c>
    </row>
    <row r="256" ht="36" customHeight="1">
      <c r="A256" s="24" t="inlineStr">
        <is>
          <t>86656bea00944325</t>
        </is>
      </c>
      <c r="B256" s="24" t="inlineStr">
        <is>
          <t>2026-08-02T16:13:18.780884Z</t>
        </is>
      </c>
      <c r="C256" s="24" t="inlineStr">
        <is>
          <t>2026-08-02T19:00Z</t>
        </is>
      </c>
      <c r="D256" s="24" t="inlineStr">
        <is>
          <t>401844026</t>
        </is>
      </c>
      <c r="E256" s="24" t="inlineStr">
        <is>
          <t>SOCCER</t>
        </is>
      </c>
      <c r="F256" s="24" t="inlineStr">
        <is>
          <t>All Boys</t>
        </is>
      </c>
      <c r="G256" s="24" t="inlineStr">
        <is>
          <t>Deportivo Madryn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-108</v>
      </c>
      <c r="M256" s="27" t="n">
        <v>1.925926</v>
      </c>
      <c r="N256" s="28" t="n">
        <v>0.519231</v>
      </c>
      <c r="O256" s="28" t="n">
        <v>0.456135</v>
      </c>
      <c r="P256" s="28" t="n">
        <v>0.2</v>
      </c>
      <c r="Q256" s="28" t="n">
        <v>-0.063096</v>
      </c>
      <c r="R256" s="26" t="n">
        <v>0</v>
      </c>
      <c r="S256" s="29" t="n">
        <v>1</v>
      </c>
      <c r="T256" s="24" t="inlineStr">
        <is>
          <t>soccer-poisson-dc-v1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Poisson-DC rates 1.64 (home) / 1.24 (away) from EWMA attack/defense strengths. Executable ask 0.5200 (atc-arg2-dma-abo-2026-08-02-dma).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NO_CALL_LOW_EDGE</t>
        </is>
      </c>
      <c r="AP256" s="24" t="inlineStr">
        <is>
          <t>All Boys</t>
        </is>
      </c>
      <c r="AQ256" s="24" t="inlineStr">
        <is>
          <t>All Boys</t>
        </is>
      </c>
      <c r="AR256" s="24" t="inlineStr">
        <is>
          <t>All Boys</t>
        </is>
      </c>
      <c r="AS256" s="24" t="inlineStr">
        <is>
          <t>Deportivo Madryn</t>
        </is>
      </c>
      <c r="AT256" s="24" t="inlineStr">
        <is>
          <t>Deportivo Madryn</t>
        </is>
      </c>
      <c r="AU256" s="24" t="inlineStr">
        <is>
          <t>Deportivo Madryn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34d1568aad0ff11b5db35f118324684f93281e1c21fa7b80be7a4a4e2cb4bb03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34d1568aad0ff11b5db35f118324684f93281e1c21fa7b80be7a4a4e2cb4bb03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34d1568aad0ff11b5db35f118324684f93281e1c21fa7b80be7a4a4e2cb4bb03</t>
        </is>
      </c>
      <c r="BH256" s="24" t="inlineStr">
        <is>
          <t>2026-08-02T16:10:10.820622Z</t>
        </is>
      </c>
      <c r="BI256" s="24" t="inlineStr">
        <is>
          <t>["same_event","same_team_same_day","same_league_same_day"]</t>
        </is>
      </c>
      <c r="BJ256" s="25" t="n"/>
      <c r="BK256" s="26" t="n">
        <v>-108</v>
      </c>
      <c r="BL256" s="27" t="n">
        <v>1.925926</v>
      </c>
      <c r="BM256" s="28" t="n">
        <v>0.519231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inlineStr">
        <is>
          <t>False</t>
        </is>
      </c>
    </row>
    <row r="257" ht="36" customHeight="1">
      <c r="A257" s="24" t="inlineStr">
        <is>
          <t>295633c2d57b4d9e</t>
        </is>
      </c>
      <c r="B257" s="24" t="inlineStr">
        <is>
          <t>2026-08-02T16:13:18.780884Z</t>
        </is>
      </c>
      <c r="C257" s="24" t="inlineStr">
        <is>
          <t>2026-08-02T19:30Z</t>
        </is>
      </c>
      <c r="D257" s="24" t="inlineStr">
        <is>
          <t>401844014</t>
        </is>
      </c>
      <c r="E257" s="24" t="inlineStr">
        <is>
          <t>SOCCER</t>
        </is>
      </c>
      <c r="F257" s="24" t="inlineStr">
        <is>
          <t>Los Andes</t>
        </is>
      </c>
      <c r="G257" s="24" t="inlineStr">
        <is>
          <t>Central Norte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150</v>
      </c>
      <c r="M257" s="27" t="n">
        <v>2.5</v>
      </c>
      <c r="N257" s="28" t="n">
        <v>0.4</v>
      </c>
      <c r="O257" s="28" t="n">
        <v>0.456135</v>
      </c>
      <c r="P257" s="28" t="n">
        <v>0.2</v>
      </c>
      <c r="Q257" s="28" t="n">
        <v>0.056135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Poisson-DC rates 1.64 (home) / 1.24 (away) from EWMA attack/defense strengths. Executable ask 0.4000 (atc-arg2-ccns-ala-2026-08-02-ccns).</t>
        </is>
      </c>
      <c r="AF257" s="31" t="inlineStr">
        <is>
          <t>Research-only soccer score model; draw-aware, but not yet locked-holdout qualified.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Los Andes</t>
        </is>
      </c>
      <c r="AQ257" s="24" t="inlineStr">
        <is>
          <t>Los Andes</t>
        </is>
      </c>
      <c r="AR257" s="24" t="inlineStr">
        <is>
          <t>Los Andes</t>
        </is>
      </c>
      <c r="AS257" s="24" t="inlineStr">
        <is>
          <t>Central Norte</t>
        </is>
      </c>
      <c r="AT257" s="24" t="inlineStr">
        <is>
          <t>Central Norte</t>
        </is>
      </c>
      <c r="AU257" s="24" t="inlineStr">
        <is>
          <t>Central Norte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34d1568aad0ff11b5db35f118324684f93281e1c21fa7b80be7a4a4e2cb4bb03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34d1568aad0ff11b5db35f118324684f93281e1c21fa7b80be7a4a4e2cb4bb03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34d1568aad0ff11b5db35f118324684f93281e1c21fa7b80be7a4a4e2cb4bb03</t>
        </is>
      </c>
      <c r="BH257" s="24" t="inlineStr">
        <is>
          <t>2026-08-02T16:10:11.344005Z</t>
        </is>
      </c>
      <c r="BI257" s="24" t="inlineStr">
        <is>
          <t>["same_event","same_team_same_day","same_league_same_day"]</t>
        </is>
      </c>
      <c r="BJ257" s="25" t="n"/>
      <c r="BK257" s="26" t="n">
        <v>150</v>
      </c>
      <c r="BL257" s="27" t="n">
        <v>2.5</v>
      </c>
      <c r="BM257" s="28" t="n">
        <v>0.4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inlineStr">
        <is>
          <t>True</t>
        </is>
      </c>
    </row>
    <row r="258" ht="36" customHeight="1">
      <c r="A258" s="24" t="inlineStr">
        <is>
          <t>f2a15aff4e4b49fd</t>
        </is>
      </c>
      <c r="B258" s="24" t="inlineStr">
        <is>
          <t>2026-08-02T16:13:18.780884Z</t>
        </is>
      </c>
      <c r="C258" s="24" t="inlineStr">
        <is>
          <t>2026-08-03T01:00Z</t>
        </is>
      </c>
      <c r="D258" s="24" t="inlineStr">
        <is>
          <t>401877966</t>
        </is>
      </c>
      <c r="E258" s="24" t="inlineStr">
        <is>
          <t>SOCCER</t>
        </is>
      </c>
      <c r="F258" s="24" t="inlineStr">
        <is>
          <t>Once Caldas</t>
        </is>
      </c>
      <c r="G258" s="24" t="inlineStr">
        <is>
          <t>Independiente Santa Fe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117</v>
      </c>
      <c r="M258" s="27" t="n">
        <v>2.17</v>
      </c>
      <c r="N258" s="28" t="n">
        <v>0.460829</v>
      </c>
      <c r="O258" s="28" t="n">
        <v>0.456135</v>
      </c>
      <c r="P258" s="28" t="n">
        <v>0.2</v>
      </c>
      <c r="Q258" s="28" t="n">
        <v>-0.004694</v>
      </c>
      <c r="R258" s="26" t="n">
        <v>0</v>
      </c>
      <c r="S258" s="29" t="n">
        <v>1</v>
      </c>
      <c r="T258" s="24" t="inlineStr">
        <is>
          <t>soccer-poisson-dc-v1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Poisson-DC rates 1.64 (home) / 1.24 (away) from EWMA attack/defense strengths. Executable ask 0.4600 (atc-lco-san-onc-2026-08-02-san).</t>
        </is>
      </c>
      <c r="AF258" s="31" t="inlineStr">
        <is>
          <t>Research-only soccer score model; draw-aware, but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NO_CALL_LOW_EDGE</t>
        </is>
      </c>
      <c r="AP258" s="24" t="inlineStr">
        <is>
          <t>Once Caldas</t>
        </is>
      </c>
      <c r="AQ258" s="24" t="inlineStr">
        <is>
          <t>Once Caldas</t>
        </is>
      </c>
      <c r="AR258" s="24" t="inlineStr">
        <is>
          <t>Once Caldas</t>
        </is>
      </c>
      <c r="AS258" s="24" t="inlineStr">
        <is>
          <t>Independiente Santa Fe</t>
        </is>
      </c>
      <c r="AT258" s="24" t="inlineStr">
        <is>
          <t>Independiente Santa Fe</t>
        </is>
      </c>
      <c r="AU258" s="24" t="inlineStr">
        <is>
          <t>Independiente Santa Fe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34d1568aad0ff11b5db35f118324684f93281e1c21fa7b80be7a4a4e2cb4bb03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34d1568aad0ff11b5db35f118324684f93281e1c21fa7b80be7a4a4e2cb4bb03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34d1568aad0ff11b5db35f118324684f93281e1c21fa7b80be7a4a4e2cb4bb03</t>
        </is>
      </c>
      <c r="BH258" s="24" t="inlineStr">
        <is>
          <t>2026-08-02T16:10:11.996978Z</t>
        </is>
      </c>
      <c r="BI258" s="24" t="inlineStr">
        <is>
          <t>["same_event","same_team_same_day","same_league_same_day"]</t>
        </is>
      </c>
      <c r="BJ258" s="25" t="n"/>
      <c r="BK258" s="26" t="n">
        <v>117</v>
      </c>
      <c r="BL258" s="27" t="n">
        <v>2.17</v>
      </c>
      <c r="BM258" s="28" t="n">
        <v>0.460829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inlineStr">
        <is>
          <t>False</t>
        </is>
      </c>
    </row>
    <row r="259" ht="36" customHeight="1">
      <c r="A259" s="24" t="inlineStr">
        <is>
          <t>8864cd1e477544bb</t>
        </is>
      </c>
      <c r="B259" s="24" t="inlineStr">
        <is>
          <t>2026-08-02T16:13:18.780884Z</t>
        </is>
      </c>
      <c r="C259" s="24" t="inlineStr">
        <is>
          <t>2026-08-02T19:00Z</t>
        </is>
      </c>
      <c r="D259" s="24" t="inlineStr">
        <is>
          <t>401850609</t>
        </is>
      </c>
      <c r="E259" s="24" t="inlineStr">
        <is>
          <t>SOCCER</t>
        </is>
      </c>
      <c r="F259" s="24" t="inlineStr">
        <is>
          <t>O'Higgins</t>
        </is>
      </c>
      <c r="G259" s="24" t="inlineStr">
        <is>
          <t>La Serena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156</v>
      </c>
      <c r="M259" s="27" t="n">
        <v>2.56</v>
      </c>
      <c r="N259" s="28" t="n">
        <v>0.390625</v>
      </c>
      <c r="O259" s="28" t="n">
        <v>0.5359159999999999</v>
      </c>
      <c r="P259" s="28" t="n">
        <v>0.2</v>
      </c>
      <c r="Q259" s="28" t="n">
        <v>0.145291</v>
      </c>
      <c r="R259" s="26" t="n">
        <v>3</v>
      </c>
      <c r="S259" s="29" t="n">
        <v>1</v>
      </c>
      <c r="T259" s="24" t="inlineStr">
        <is>
          <t>soccer-poisson-dc-v1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Poisson-DC rates 1.84 (home) / 1.10 (away) from EWMA attack/defense strengths. Executable ask 0.3900 (atc-pdc-ser-ohi-2026-08-02-ser).</t>
        </is>
      </c>
      <c r="AF259" s="31" t="inlineStr">
        <is>
          <t>Research-only soccer score model; draw-aware, but not yet locked-holdout qualified.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3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O'Higgins</t>
        </is>
      </c>
      <c r="AQ259" s="24" t="inlineStr">
        <is>
          <t>O'Higgins</t>
        </is>
      </c>
      <c r="AR259" s="24" t="inlineStr">
        <is>
          <t>O'Higgins</t>
        </is>
      </c>
      <c r="AS259" s="24" t="inlineStr">
        <is>
          <t>La Serena</t>
        </is>
      </c>
      <c r="AT259" s="24" t="inlineStr">
        <is>
          <t>La Serena</t>
        </is>
      </c>
      <c r="AU259" s="24" t="inlineStr">
        <is>
          <t>La Serena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34d1568aad0ff11b5db35f118324684f93281e1c21fa7b80be7a4a4e2cb4bb03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34d1568aad0ff11b5db35f118324684f93281e1c21fa7b80be7a4a4e2cb4bb03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34d1568aad0ff11b5db35f118324684f93281e1c21fa7b80be7a4a4e2cb4bb03</t>
        </is>
      </c>
      <c r="BH259" s="24" t="inlineStr">
        <is>
          <t>2026-08-02T16:10:13.051822Z</t>
        </is>
      </c>
      <c r="BI259" s="24" t="inlineStr">
        <is>
          <t>["same_event","same_team_same_day","same_league_same_day"]</t>
        </is>
      </c>
      <c r="BJ259" s="25" t="n"/>
      <c r="BK259" s="26" t="n">
        <v>156</v>
      </c>
      <c r="BL259" s="27" t="n">
        <v>2.56</v>
      </c>
      <c r="BM259" s="28" t="n">
        <v>0.390625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inlineStr">
        <is>
          <t>True</t>
        </is>
      </c>
    </row>
    <row r="260" ht="36" customHeight="1">
      <c r="A260" s="24" t="inlineStr">
        <is>
          <t>67f468870c454897</t>
        </is>
      </c>
      <c r="B260" s="24" t="inlineStr">
        <is>
          <t>2026-08-02T16:13:18.780884Z</t>
        </is>
      </c>
      <c r="C260" s="24" t="inlineStr">
        <is>
          <t>2026-08-02T21:30Z</t>
        </is>
      </c>
      <c r="D260" s="24" t="inlineStr">
        <is>
          <t>401850607</t>
        </is>
      </c>
      <c r="E260" s="24" t="inlineStr">
        <is>
          <t>SOCCER</t>
        </is>
      </c>
      <c r="F260" s="24" t="inlineStr">
        <is>
          <t>Huachipato</t>
        </is>
      </c>
      <c r="G260" s="24" t="inlineStr">
        <is>
          <t>Universidad de Chile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-178</v>
      </c>
      <c r="M260" s="27" t="n">
        <v>1.561798</v>
      </c>
      <c r="N260" s="28" t="n">
        <v>0.640288</v>
      </c>
      <c r="O260" s="28" t="n">
        <v>0.414794</v>
      </c>
      <c r="P260" s="28" t="n">
        <v>0.19</v>
      </c>
      <c r="Q260" s="28" t="n">
        <v>-0.225494</v>
      </c>
      <c r="R260" s="26" t="n">
        <v>0</v>
      </c>
      <c r="S260" s="29" t="n">
        <v>1</v>
      </c>
      <c r="T260" s="24" t="inlineStr">
        <is>
          <t>soccer-poisson-dc-v1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Poisson-DC rates 1.41 (home) / 1.16 (away) from EWMA attack/defense strengths. Executable ask 0.6400 (atc-pdc-unc-hua-2026-08-02-unc).</t>
        </is>
      </c>
      <c r="AF260" s="31" t="inlineStr">
        <is>
          <t>Research-only soccer score model; draw-aware, but not yet locked-holdout qualified.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NO_CALL_LOW_EDGE</t>
        </is>
      </c>
      <c r="AP260" s="24" t="inlineStr">
        <is>
          <t>Huachipato</t>
        </is>
      </c>
      <c r="AQ260" s="24" t="inlineStr">
        <is>
          <t>Huachipato</t>
        </is>
      </c>
      <c r="AR260" s="24" t="inlineStr">
        <is>
          <t>Huachipato</t>
        </is>
      </c>
      <c r="AS260" s="24" t="inlineStr">
        <is>
          <t>Universidad de Chile</t>
        </is>
      </c>
      <c r="AT260" s="24" t="inlineStr">
        <is>
          <t>Universidad de Chile</t>
        </is>
      </c>
      <c r="AU260" s="24" t="inlineStr">
        <is>
          <t>Universidad de Chile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34d1568aad0ff11b5db35f118324684f93281e1c21fa7b80be7a4a4e2cb4bb03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34d1568aad0ff11b5db35f118324684f93281e1c21fa7b80be7a4a4e2cb4bb03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34d1568aad0ff11b5db35f118324684f93281e1c21fa7b80be7a4a4e2cb4bb03</t>
        </is>
      </c>
      <c r="BH260" s="24" t="inlineStr">
        <is>
          <t>2026-08-02T16:10:13.076403Z</t>
        </is>
      </c>
      <c r="BI260" s="24" t="inlineStr">
        <is>
          <t>["same_event","same_team_same_day","same_league_same_day"]</t>
        </is>
      </c>
      <c r="BJ260" s="25" t="n"/>
      <c r="BK260" s="26" t="n">
        <v>-178</v>
      </c>
      <c r="BL260" s="27" t="n">
        <v>1.561798</v>
      </c>
      <c r="BM260" s="28" t="n">
        <v>0.640288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inlineStr">
        <is>
          <t>False</t>
        </is>
      </c>
    </row>
    <row r="261" ht="36" customHeight="1">
      <c r="A261" s="24" t="inlineStr">
        <is>
          <t>408a81b76a1345bf</t>
        </is>
      </c>
      <c r="B261" s="24" t="inlineStr">
        <is>
          <t>2026-08-02T16:13:18.780884Z</t>
        </is>
      </c>
      <c r="C261" s="24" t="inlineStr">
        <is>
          <t>2026-08-02T20:30Z</t>
        </is>
      </c>
      <c r="D261" s="24" t="inlineStr">
        <is>
          <t>401859644</t>
        </is>
      </c>
      <c r="E261" s="24" t="inlineStr">
        <is>
          <t>SOCCER</t>
        </is>
      </c>
      <c r="F261" s="24" t="inlineStr">
        <is>
          <t>Guayaquil City FC</t>
        </is>
      </c>
      <c r="G261" s="24" t="inlineStr">
        <is>
          <t>Macará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-194</v>
      </c>
      <c r="M261" s="27" t="n">
        <v>1.515464</v>
      </c>
      <c r="N261" s="28" t="n">
        <v>0.659864</v>
      </c>
      <c r="O261" s="28" t="n">
        <v>0.456135</v>
      </c>
      <c r="P261" s="28" t="n">
        <v>0.2</v>
      </c>
      <c r="Q261" s="28" t="n">
        <v>-0.203729</v>
      </c>
      <c r="R261" s="26" t="n">
        <v>0</v>
      </c>
      <c r="S261" s="29" t="n">
        <v>1</v>
      </c>
      <c r="T261" s="24" t="inlineStr">
        <is>
          <t>soccer-poisson-dc-v1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Poisson-DC rates 1.64 (home) / 1.24 (away) from EWMA attack/defense strengths. Executable ask 0.6600 (atc-ecu1-mac-gua-2026-08-02-mac).</t>
        </is>
      </c>
      <c r="AF261" s="31" t="inlineStr">
        <is>
          <t>Research-only soccer score model; draw-aware, but not yet locked-holdout qualified.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NO_CALL_LOW_EDGE</t>
        </is>
      </c>
      <c r="AP261" s="24" t="inlineStr">
        <is>
          <t>Guayaquil City FC</t>
        </is>
      </c>
      <c r="AQ261" s="24" t="inlineStr">
        <is>
          <t>Guayaquil City FC</t>
        </is>
      </c>
      <c r="AR261" s="24" t="inlineStr">
        <is>
          <t>Guayaquil City FC</t>
        </is>
      </c>
      <c r="AS261" s="24" t="inlineStr">
        <is>
          <t>Macará</t>
        </is>
      </c>
      <c r="AT261" s="24" t="inlineStr">
        <is>
          <t>Macará</t>
        </is>
      </c>
      <c r="AU261" s="24" t="inlineStr">
        <is>
          <t>Macará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34d1568aad0ff11b5db35f118324684f93281e1c21fa7b80be7a4a4e2cb4bb03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34d1568aad0ff11b5db35f118324684f93281e1c21fa7b80be7a4a4e2cb4bb03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34d1568aad0ff11b5db35f118324684f93281e1c21fa7b80be7a4a4e2cb4bb03</t>
        </is>
      </c>
      <c r="BH261" s="24" t="inlineStr">
        <is>
          <t>2026-08-02T16:10:14.638862Z</t>
        </is>
      </c>
      <c r="BI261" s="24" t="inlineStr">
        <is>
          <t>["same_event","same_team_same_day","same_league_same_day"]</t>
        </is>
      </c>
      <c r="BJ261" s="25" t="n"/>
      <c r="BK261" s="26" t="n">
        <v>-194</v>
      </c>
      <c r="BL261" s="27" t="n">
        <v>1.515464</v>
      </c>
      <c r="BM261" s="28" t="n">
        <v>0.659864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inlineStr">
        <is>
          <t>False</t>
        </is>
      </c>
    </row>
    <row r="262" ht="36" customHeight="1">
      <c r="A262" s="24" t="inlineStr">
        <is>
          <t>3ad15f324f534ed8</t>
        </is>
      </c>
      <c r="B262" s="24" t="inlineStr">
        <is>
          <t>2026-08-02T16:13:18.780884Z</t>
        </is>
      </c>
      <c r="C262" s="24" t="inlineStr">
        <is>
          <t>2026-08-02T23:10Z</t>
        </is>
      </c>
      <c r="D262" s="24" t="inlineStr">
        <is>
          <t>401859718</t>
        </is>
      </c>
      <c r="E262" s="24" t="inlineStr">
        <is>
          <t>SOCCER</t>
        </is>
      </c>
      <c r="F262" s="24" t="inlineStr">
        <is>
          <t>Barcelona SC</t>
        </is>
      </c>
      <c r="G262" s="24" t="inlineStr">
        <is>
          <t>Leones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194</v>
      </c>
      <c r="M262" s="27" t="n">
        <v>2.94</v>
      </c>
      <c r="N262" s="28" t="n">
        <v>0.340136</v>
      </c>
      <c r="O262" s="28" t="n">
        <v>0.406677</v>
      </c>
      <c r="P262" s="28" t="n">
        <v>0.19</v>
      </c>
      <c r="Q262" s="28" t="n">
        <v>0.066541</v>
      </c>
      <c r="R262" s="26" t="n">
        <v>0</v>
      </c>
      <c r="S262" s="29" t="n">
        <v>1</v>
      </c>
      <c r="T262" s="24" t="inlineStr">
        <is>
          <t>soccer-poisson-dc-v1</t>
        </is>
      </c>
      <c r="U262" s="24" t="inlineStr">
        <is>
          <t>open</t>
        </is>
      </c>
      <c r="V262" s="24" t="n"/>
      <c r="W262" s="26" t="n"/>
      <c r="X262" s="26" t="n"/>
      <c r="Y262" s="25" t="n"/>
      <c r="Z262" s="26" t="n"/>
      <c r="AA262" s="28" t="n"/>
      <c r="AB262" s="28" t="n"/>
      <c r="AC262" s="30" t="n"/>
      <c r="AD262" s="24" t="n"/>
      <c r="AE262" s="31" t="inlineStr">
        <is>
          <t>Poisson-DC rates 1.38 (home) / 1.56 (away) from EWMA attack/defense strengths. Executable ask 0.3400 (atc-ecu1-leo-bsc-2026-08-02-bsc).</t>
        </is>
      </c>
      <c r="AF262" s="31" t="inlineStr">
        <is>
          <t>Research-only soccer score model; draw-aware, but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Barcelona SC</t>
        </is>
      </c>
      <c r="AQ262" s="24" t="inlineStr">
        <is>
          <t>Barcelona SC</t>
        </is>
      </c>
      <c r="AR262" s="24" t="inlineStr">
        <is>
          <t>Barcelona SC</t>
        </is>
      </c>
      <c r="AS262" s="24" t="inlineStr">
        <is>
          <t>Leones</t>
        </is>
      </c>
      <c r="AT262" s="24" t="inlineStr">
        <is>
          <t>Leones</t>
        </is>
      </c>
      <c r="AU262" s="24" t="inlineStr">
        <is>
          <t>Leones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34d1568aad0ff11b5db35f118324684f93281e1c21fa7b80be7a4a4e2cb4bb03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34d1568aad0ff11b5db35f118324684f93281e1c21fa7b80be7a4a4e2cb4bb03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34d1568aad0ff11b5db35f118324684f93281e1c21fa7b80be7a4a4e2cb4bb03</t>
        </is>
      </c>
      <c r="BH262" s="24" t="inlineStr">
        <is>
          <t>2026-08-02T16:10:15.198916Z</t>
        </is>
      </c>
      <c r="BI262" s="24" t="inlineStr">
        <is>
          <t>["same_event","same_team_same_day","same_league_same_day"]</t>
        </is>
      </c>
      <c r="BJ262" s="25" t="n"/>
      <c r="BK262" s="26" t="n">
        <v>194</v>
      </c>
      <c r="BL262" s="27" t="n">
        <v>2.94</v>
      </c>
      <c r="BM262" s="28" t="n">
        <v>0.340136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inlineStr">
        <is>
          <t>True</t>
        </is>
      </c>
    </row>
    <row r="263" ht="36" customHeight="1">
      <c r="A263" s="24" t="inlineStr">
        <is>
          <t>b470cdda811e45a5</t>
        </is>
      </c>
      <c r="B263" s="24" t="inlineStr">
        <is>
          <t>2026-08-02T16:13:18.780884Z</t>
        </is>
      </c>
      <c r="C263" s="24" t="inlineStr">
        <is>
          <t>2026-08-02T20:00Z</t>
        </is>
      </c>
      <c r="D263" s="24" t="inlineStr">
        <is>
          <t>401863533</t>
        </is>
      </c>
      <c r="E263" s="24" t="inlineStr">
        <is>
          <t>SOCCER</t>
        </is>
      </c>
      <c r="F263" s="24" t="inlineStr">
        <is>
          <t>Leeds United</t>
        </is>
      </c>
      <c r="G263" s="24" t="inlineStr">
        <is>
          <t>Liverpool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-138</v>
      </c>
      <c r="M263" s="27" t="n">
        <v>1.724638</v>
      </c>
      <c r="N263" s="28" t="n">
        <v>0.579832</v>
      </c>
      <c r="O263" s="28" t="n">
        <v>0.482992</v>
      </c>
      <c r="P263" s="28" t="n">
        <v>0.04</v>
      </c>
      <c r="Q263" s="28" t="n">
        <v>-0.09684</v>
      </c>
      <c r="R263" s="26" t="n">
        <v>0</v>
      </c>
      <c r="S263" s="29" t="n">
        <v>1</v>
      </c>
      <c r="T263" s="24" t="inlineStr">
        <is>
          <t>soccer-poisson-dc-v1</t>
        </is>
      </c>
      <c r="U263" s="24" t="inlineStr">
        <is>
          <t>open</t>
        </is>
      </c>
      <c r="V263" s="24" t="n"/>
      <c r="W263" s="26" t="n"/>
      <c r="X263" s="26" t="n"/>
      <c r="Y263" s="25" t="n"/>
      <c r="Z263" s="26" t="n"/>
      <c r="AA263" s="28" t="n"/>
      <c r="AB263" s="28" t="n"/>
      <c r="AC263" s="30" t="n"/>
      <c r="AD263" s="24" t="n"/>
      <c r="AE263" s="31" t="inlineStr">
        <is>
          <t>Poisson-DC rates 1.69 (home) / 1.17 (away) from EWMA attack/defense strengths. Executable ask 0.5800 (atc-clbf-lfc-lee-2026-08-02-lfc).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NO_CALL_LOW_EDGE</t>
        </is>
      </c>
      <c r="AP263" s="24" t="inlineStr">
        <is>
          <t>Leeds United</t>
        </is>
      </c>
      <c r="AQ263" s="24" t="inlineStr">
        <is>
          <t>Leeds United</t>
        </is>
      </c>
      <c r="AR263" s="24" t="inlineStr">
        <is>
          <t>Leeds United</t>
        </is>
      </c>
      <c r="AS263" s="24" t="inlineStr">
        <is>
          <t>Liverpool</t>
        </is>
      </c>
      <c r="AT263" s="24" t="inlineStr">
        <is>
          <t>Liverpool</t>
        </is>
      </c>
      <c r="AU263" s="24" t="inlineStr">
        <is>
          <t>Liverpool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34d1568aad0ff11b5db35f118324684f93281e1c21fa7b80be7a4a4e2cb4bb03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34d1568aad0ff11b5db35f118324684f93281e1c21fa7b80be7a4a4e2cb4bb03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34d1568aad0ff11b5db35f118324684f93281e1c21fa7b80be7a4a4e2cb4bb03</t>
        </is>
      </c>
      <c r="BH263" s="24" t="inlineStr">
        <is>
          <t>2026-08-02T16:10:17.255205Z</t>
        </is>
      </c>
      <c r="BI263" s="24" t="inlineStr">
        <is>
          <t>["same_event","same_team_same_day","same_league_same_day"]</t>
        </is>
      </c>
      <c r="BJ263" s="25" t="n"/>
      <c r="BK263" s="26" t="n">
        <v>-138</v>
      </c>
      <c r="BL263" s="27" t="n">
        <v>1.724638</v>
      </c>
      <c r="BM263" s="28" t="n">
        <v>0.579832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2026-08-02T16:39:24Z</dcterms:created>
  <dcterms:modified xsi:type="dcterms:W3CDTF">2026-08-02T16:39:24Z</dcterms:modified>
</cp:coreProperties>
</file>