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19" headerRowCount="1">
  <autoFilter ref="A1:CM119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COUNTA('Picks'!$A$2:$A$119)</f>
        <v/>
      </c>
      <c r="C4" s="6">
        <f>COUNTIF('Picks'!$U$2:$U$119,"open")</f>
        <v/>
      </c>
      <c r="E4" s="6">
        <f>COUNTIF('Picks'!$U$2:$U$119,"settled")</f>
        <v/>
      </c>
      <c r="G4" s="6">
        <f>IF(COUNTIFS('Picks'!$U$2:$U$119,"settled",'Picks'!$V$2:$V$119,"win")+COUNTIFS('Picks'!$U$2:$U$119,"settled",'Picks'!$V$2:$V$119,"loss")&gt;=$L$2,"Ready","Insufficient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COUNTIF('Picks'!$BX$2:$BX$119,"&gt;0")</f>
        <v/>
      </c>
      <c r="C7" s="6">
        <f>COUNTIFS('Picks'!$BX$2:$BX$119,"&gt;0",'Picks'!$V$2:$V$119,"win")&amp;"-"&amp;COUNTIFS('Picks'!$BX$2:$BX$119,"&gt;0",'Picks'!$V$2:$V$119,"loss")</f>
        <v/>
      </c>
      <c r="E7" s="32">
        <f>IFERROR(COUNTIFS('Picks'!$BX$2:$BX$119,"&gt;0",'Picks'!$V$2:$V$119,"win")/(COUNTIFS('Picks'!$BX$2:$BX$119,"&gt;0",'Picks'!$V$2:$V$119,"win")+COUNTIFS('Picks'!$BX$2:$BX$119,"&gt;0",'Picks'!$V$2:$V$119,"loss")),0)</f>
        <v/>
      </c>
      <c r="G7" s="32">
        <f>IFERROR(SUM('Picks'!$BY$2:$BY$119)/SUM('Picks'!$BX$2:$BX$119),0)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SUM('Picks'!$BY$2:$BY$119)</f>
        <v/>
      </c>
      <c r="C10" s="9">
        <f>IFERROR(AVERAGEIF('Picks'!$AB$2:$AB$119,"&lt;&gt;",'Picks'!$AB$2:$AB$119),0)</f>
        <v/>
      </c>
      <c r="E10" s="6">
        <f>COUNTIFS('Picks'!$AM$2:$AM$119,"QUALIFIED_SHADOW_CALL",'Picks'!$U$2:$U$119,"settled")</f>
        <v/>
      </c>
      <c r="G10" s="33">
        <f>SUMIFS('Picks'!$AC$2:$AC$119,'Picks'!$AM$2:$AM$119,"QUALIFIED_SHADOW_CALL")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COUNTIFS('Picks'!$H$2:$H$119,$A14,'Picks'!$U$2:$U$119,"settled")</f>
        <v/>
      </c>
      <c r="C14" s="13">
        <f>COUNTIFS('Picks'!$H$2:$H$119,$A14,'Picks'!$U$2:$U$119,"settled",'Picks'!$V$2:$V$119,"win")</f>
        <v/>
      </c>
      <c r="D14" s="13">
        <f>COUNTIFS('Picks'!$H$2:$H$119,$A14,'Picks'!$U$2:$U$119,"settled",'Picks'!$V$2:$V$119,"loss")</f>
        <v/>
      </c>
      <c r="E14" s="34">
        <f>IFERROR(C14/(C14+D14),0)</f>
        <v/>
      </c>
      <c r="F14" s="35">
        <f>SUMIFS('Picks'!$BY$2:$BY$119,'Picks'!$H$2:$H$119,$A14)</f>
        <v/>
      </c>
      <c r="G14" s="16">
        <f>IFERROR(AVERAGEIFS('Picks'!$AB$2:$AB$119,'Picks'!$H$2:$H$119,$A14,'Picks'!$U$2:$U$119,"settled"),0)</f>
        <v/>
      </c>
    </row>
    <row r="15">
      <c r="A15" s="17" t="inlineStr">
        <is>
          <t>spread</t>
        </is>
      </c>
      <c r="B15" s="18">
        <f>COUNTIFS('Picks'!$H$2:$H$119,$A15,'Picks'!$U$2:$U$119,"settled")</f>
        <v/>
      </c>
      <c r="C15" s="18">
        <f>COUNTIFS('Picks'!$H$2:$H$119,$A15,'Picks'!$U$2:$U$119,"settled",'Picks'!$V$2:$V$119,"win")</f>
        <v/>
      </c>
      <c r="D15" s="18">
        <f>COUNTIFS('Picks'!$H$2:$H$119,$A15,'Picks'!$U$2:$U$119,"settled",'Picks'!$V$2:$V$119,"loss")</f>
        <v/>
      </c>
      <c r="E15" s="36">
        <f>IFERROR(C15/(C15+D15),0)</f>
        <v/>
      </c>
      <c r="F15" s="37">
        <f>SUMIFS('Picks'!$BY$2:$BY$119,'Picks'!$H$2:$H$119,$A15)</f>
        <v/>
      </c>
      <c r="G15" s="21">
        <f>IFERROR(AVERAGEIFS('Picks'!$AB$2:$AB$119,'Picks'!$H$2:$H$119,$A15,'Picks'!$U$2:$U$119,"settled"),0)</f>
        <v/>
      </c>
    </row>
    <row r="16">
      <c r="A16" s="12" t="inlineStr">
        <is>
          <t>total</t>
        </is>
      </c>
      <c r="B16" s="13">
        <f>COUNTIFS('Picks'!$H$2:$H$119,$A16,'Picks'!$U$2:$U$119,"settled")</f>
        <v/>
      </c>
      <c r="C16" s="13">
        <f>COUNTIFS('Picks'!$H$2:$H$119,$A16,'Picks'!$U$2:$U$119,"settled",'Picks'!$V$2:$V$119,"win")</f>
        <v/>
      </c>
      <c r="D16" s="13">
        <f>COUNTIFS('Picks'!$H$2:$H$119,$A16,'Picks'!$U$2:$U$119,"settled",'Picks'!$V$2:$V$119,"loss")</f>
        <v/>
      </c>
      <c r="E16" s="34">
        <f>IFERROR(C16/(C16+D16),0)</f>
        <v/>
      </c>
      <c r="F16" s="35">
        <f>SUMIFS('Picks'!$BY$2:$BY$119,'Picks'!$H$2:$H$119,$A16)</f>
        <v/>
      </c>
      <c r="G16" s="16">
        <f>IFERROR(AVERAGEIFS('Picks'!$AB$2:$AB$119,'Picks'!$H$2:$H$119,$A16,'Picks'!$U$2:$U$119,"settled"),0)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-110</v>
      </c>
      <c r="M2" s="39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38" t="n"/>
      <c r="Z2" s="26" t="n">
        <v>-113</v>
      </c>
      <c r="AA2" s="28" t="n">
        <v>0.53</v>
      </c>
      <c r="AB2" s="28" t="n">
        <v>0.006166</v>
      </c>
      <c r="AC2" s="40" t="n">
        <v>0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38" t="n"/>
      <c r="BK2" s="26" t="n">
        <v>-110</v>
      </c>
      <c r="BL2" s="39" t="n">
        <v>1.909</v>
      </c>
      <c r="BM2" s="28" t="n">
        <v>0.523834</v>
      </c>
      <c r="BN2" s="28" t="n">
        <v>0.523834</v>
      </c>
      <c r="BO2" s="28" t="n">
        <v>0.523834</v>
      </c>
      <c r="BP2" s="38" t="n"/>
      <c r="BQ2" s="39" t="n">
        <v>1.884956</v>
      </c>
      <c r="BR2" s="28" t="n">
        <v>0.53</v>
      </c>
      <c r="BS2" s="28" t="n"/>
      <c r="BT2" s="28" t="n"/>
      <c r="BU2" s="38" t="n"/>
      <c r="BV2" s="29" t="n">
        <v>0.5</v>
      </c>
      <c r="BW2" s="24" t="n"/>
      <c r="BX2" s="40" t="n">
        <v>0.5</v>
      </c>
      <c r="BY2" s="39" t="n">
        <v>0.4545</v>
      </c>
      <c r="BZ2" s="24" t="inlineStr">
        <is>
          <t>2026-07-22T23:40:06.393127Z</t>
        </is>
      </c>
      <c r="CA2" s="31" t="inlineStr">
        <is>
          <t>diagnostic — research only, no orders executed</t>
        </is>
      </c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38" t="n"/>
      <c r="K3" s="24" t="inlineStr">
        <is>
          <t>polymarket_us</t>
        </is>
      </c>
      <c r="L3" s="26" t="n">
        <v>-110</v>
      </c>
      <c r="M3" s="39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38" t="n"/>
      <c r="Z3" s="26" t="n">
        <v>-106</v>
      </c>
      <c r="AA3" s="28" t="n">
        <v>0.515</v>
      </c>
      <c r="AB3" s="28" t="n">
        <v>-0.008834</v>
      </c>
      <c r="AC3" s="40" t="n">
        <v>0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38" t="n"/>
      <c r="BK3" s="26" t="n">
        <v>-110</v>
      </c>
      <c r="BL3" s="39" t="n">
        <v>1.909</v>
      </c>
      <c r="BM3" s="28" t="n">
        <v>0.523834</v>
      </c>
      <c r="BN3" s="28" t="n">
        <v>0.523834</v>
      </c>
      <c r="BO3" s="28" t="n">
        <v>0.523834</v>
      </c>
      <c r="BP3" s="38" t="n"/>
      <c r="BQ3" s="39" t="n">
        <v>1.943396</v>
      </c>
      <c r="BR3" s="28" t="n">
        <v>0.515</v>
      </c>
      <c r="BS3" s="28" t="n"/>
      <c r="BT3" s="28" t="n"/>
      <c r="BU3" s="38" t="n"/>
      <c r="BV3" s="29" t="n">
        <v>0.5</v>
      </c>
      <c r="BW3" s="24" t="n"/>
      <c r="BX3" s="40" t="n">
        <v>1.25</v>
      </c>
      <c r="BY3" s="39" t="n">
        <v>1.13625</v>
      </c>
      <c r="BZ3" s="24" t="inlineStr">
        <is>
          <t>2026-07-22T23:40:07.081394Z</t>
        </is>
      </c>
      <c r="CA3" s="31" t="inlineStr">
        <is>
          <t>diagnostic — research only, no orders executed</t>
        </is>
      </c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-110</v>
      </c>
      <c r="M4" s="39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>
        <v>-110</v>
      </c>
      <c r="AA4" s="28" t="n">
        <v>0.523834</v>
      </c>
      <c r="AB4" s="28" t="n"/>
      <c r="AC4" s="40" t="n">
        <v>0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38" t="n"/>
      <c r="BK4" s="26" t="n">
        <v>-110</v>
      </c>
      <c r="BL4" s="39" t="n">
        <v>1.909</v>
      </c>
      <c r="BM4" s="28" t="n">
        <v>0.523834</v>
      </c>
      <c r="BN4" s="28" t="n">
        <v>0.523834</v>
      </c>
      <c r="BO4" s="28" t="n">
        <v>0.523834</v>
      </c>
      <c r="BP4" s="38" t="n"/>
      <c r="BQ4" s="39" t="n">
        <v>1.909</v>
      </c>
      <c r="BR4" s="28" t="n"/>
      <c r="BS4" s="28" t="n"/>
      <c r="BT4" s="28" t="n"/>
      <c r="BU4" s="38" t="n"/>
      <c r="BV4" s="29" t="n">
        <v>0.65</v>
      </c>
      <c r="BW4" s="24" t="n"/>
      <c r="BX4" s="40" t="n">
        <v>1.25</v>
      </c>
      <c r="BY4" s="39" t="n">
        <v>-1.25</v>
      </c>
      <c r="BZ4" s="24" t="inlineStr">
        <is>
          <t>2026-07-23T00:01:14Z</t>
        </is>
      </c>
      <c r="CA4" s="31" t="inlineStr">
        <is>
          <t>diagnostic — research only, no orders executed</t>
        </is>
      </c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-110</v>
      </c>
      <c r="M5" s="39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38" t="n"/>
      <c r="Z5" s="26" t="n">
        <v>-110</v>
      </c>
      <c r="AA5" s="28" t="n">
        <v>0.523834</v>
      </c>
      <c r="AB5" s="28" t="n"/>
      <c r="AC5" s="40" t="n">
        <v>0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38" t="n"/>
      <c r="BK5" s="26" t="n">
        <v>-110</v>
      </c>
      <c r="BL5" s="39" t="n">
        <v>1.909</v>
      </c>
      <c r="BM5" s="28" t="n">
        <v>0.523834</v>
      </c>
      <c r="BN5" s="28" t="n">
        <v>0.523834</v>
      </c>
      <c r="BO5" s="28" t="n">
        <v>0.523834</v>
      </c>
      <c r="BP5" s="38" t="n"/>
      <c r="BQ5" s="39" t="n">
        <v>1.909</v>
      </c>
      <c r="BR5" s="28" t="n"/>
      <c r="BS5" s="28" t="n"/>
      <c r="BT5" s="28" t="n"/>
      <c r="BU5" s="38" t="n"/>
      <c r="BV5" s="29" t="n">
        <v>0.5</v>
      </c>
      <c r="BW5" s="24" t="n"/>
      <c r="BX5" s="40" t="n">
        <v>0.5</v>
      </c>
      <c r="BY5" s="39" t="n">
        <v>0.4545</v>
      </c>
      <c r="BZ5" s="24" t="inlineStr">
        <is>
          <t>2026-07-22T23:44:22Z</t>
        </is>
      </c>
      <c r="CA5" s="31" t="inlineStr">
        <is>
          <t>diagnostic — research only, no orders executed</t>
        </is>
      </c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-110</v>
      </c>
      <c r="M6" s="39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38" t="n"/>
      <c r="Z6" s="26" t="n">
        <v>-110</v>
      </c>
      <c r="AA6" s="28" t="n">
        <v>0.523834</v>
      </c>
      <c r="AB6" s="28" t="n"/>
      <c r="AC6" s="40" t="n">
        <v>0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38" t="n"/>
      <c r="BK6" s="26" t="n">
        <v>-110</v>
      </c>
      <c r="BL6" s="39" t="n">
        <v>1.909</v>
      </c>
      <c r="BM6" s="28" t="n">
        <v>0.523834</v>
      </c>
      <c r="BN6" s="28" t="n">
        <v>0.523834</v>
      </c>
      <c r="BO6" s="28" t="n">
        <v>0.523834</v>
      </c>
      <c r="BP6" s="38" t="n"/>
      <c r="BQ6" s="39" t="n">
        <v>1.909</v>
      </c>
      <c r="BR6" s="28" t="n"/>
      <c r="BS6" s="28" t="n"/>
      <c r="BT6" s="28" t="n"/>
      <c r="BU6" s="38" t="n"/>
      <c r="BV6" s="29" t="n">
        <v>0.75</v>
      </c>
      <c r="BW6" s="24" t="n"/>
      <c r="BX6" s="40" t="n">
        <v>1.25</v>
      </c>
      <c r="BY6" s="39" t="n">
        <v>-1.25</v>
      </c>
      <c r="BZ6" s="24" t="inlineStr">
        <is>
          <t>2026-07-22T23:44:22Z</t>
        </is>
      </c>
      <c r="CA6" s="31" t="inlineStr">
        <is>
          <t>diagnostic — research only, no orders executed</t>
        </is>
      </c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-110</v>
      </c>
      <c r="M7" s="39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38" t="n"/>
      <c r="Z7" s="26" t="n">
        <v>-110</v>
      </c>
      <c r="AA7" s="28" t="n">
        <v>0.523834</v>
      </c>
      <c r="AB7" s="28" t="n"/>
      <c r="AC7" s="40" t="n">
        <v>0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38" t="n"/>
      <c r="BK7" s="26" t="n">
        <v>-110</v>
      </c>
      <c r="BL7" s="39" t="n">
        <v>1.909</v>
      </c>
      <c r="BM7" s="28" t="n">
        <v>0.523834</v>
      </c>
      <c r="BN7" s="28" t="n">
        <v>0.523834</v>
      </c>
      <c r="BO7" s="28" t="n">
        <v>0.523834</v>
      </c>
      <c r="BP7" s="38" t="n"/>
      <c r="BQ7" s="39" t="n">
        <v>1.909</v>
      </c>
      <c r="BR7" s="28" t="n"/>
      <c r="BS7" s="28" t="n"/>
      <c r="BT7" s="28" t="n"/>
      <c r="BU7" s="38" t="n"/>
      <c r="BV7" s="29" t="n">
        <v>0.57</v>
      </c>
      <c r="BW7" s="24" t="n"/>
      <c r="BX7" s="40" t="n">
        <v>0.75</v>
      </c>
      <c r="BY7" s="39" t="n">
        <v>0.68175</v>
      </c>
      <c r="BZ7" s="24" t="inlineStr">
        <is>
          <t>2026-07-22T23:44:22Z</t>
        </is>
      </c>
      <c r="CA7" s="31" t="inlineStr">
        <is>
          <t>diagnostic — research only, no orders executed</t>
        </is>
      </c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-141</v>
      </c>
      <c r="M8" s="39" t="n">
        <v>1.70922</v>
      </c>
      <c r="N8" s="28" t="n">
        <v>0.585062</v>
      </c>
      <c r="O8" s="28" t="n">
        <v>0.661872</v>
      </c>
      <c r="P8" s="28" t="n">
        <v>0.05</v>
      </c>
      <c r="Q8" s="28" t="n">
        <v>0.07681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38" t="n"/>
      <c r="Z8" s="26" t="n">
        <v>-110</v>
      </c>
      <c r="AA8" s="28" t="n">
        <v>0.523834</v>
      </c>
      <c r="AB8" s="28" t="n"/>
      <c r="AC8" s="40" t="n">
        <v>0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38" t="n"/>
      <c r="BK8" s="26" t="n">
        <v>-141</v>
      </c>
      <c r="BL8" s="39" t="n">
        <v>1.70922</v>
      </c>
      <c r="BM8" s="28" t="n">
        <v>0.585062</v>
      </c>
      <c r="BN8" s="28" t="n">
        <v>0.523834</v>
      </c>
      <c r="BO8" s="28" t="n">
        <v>0.523834</v>
      </c>
      <c r="BP8" s="38" t="n"/>
      <c r="BQ8" s="39" t="n">
        <v>1.909</v>
      </c>
      <c r="BR8" s="28" t="n"/>
      <c r="BS8" s="28" t="n"/>
      <c r="BT8" s="28" t="n"/>
      <c r="BU8" s="38" t="n"/>
      <c r="BV8" s="29" t="n">
        <v>2</v>
      </c>
      <c r="BW8" s="24" t="n"/>
      <c r="BX8" s="40" t="n">
        <v>2</v>
      </c>
      <c r="BY8" s="39" t="n">
        <v>1.41844</v>
      </c>
      <c r="BZ8" s="24" t="inlineStr">
        <is>
          <t>2026-07-22T23:44:22Z</t>
        </is>
      </c>
      <c r="CA8" s="31" t="inlineStr">
        <is>
          <t>diagnostic — research only, no orders executed</t>
        </is>
      </c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-141</v>
      </c>
      <c r="M9" s="39" t="n">
        <v>1.70922</v>
      </c>
      <c r="N9" s="28" t="n">
        <v>0.585062</v>
      </c>
      <c r="O9" s="28" t="n">
        <v>0.597579</v>
      </c>
      <c r="P9" s="28" t="n">
        <v>0.05</v>
      </c>
      <c r="Q9" s="28" t="n">
        <v>0.012517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38" t="n"/>
      <c r="Z9" s="26" t="n">
        <v>-110</v>
      </c>
      <c r="AA9" s="28" t="n">
        <v>0.523834</v>
      </c>
      <c r="AB9" s="28" t="n"/>
      <c r="AC9" s="4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38" t="n"/>
      <c r="BK9" s="26" t="n">
        <v>-141</v>
      </c>
      <c r="BL9" s="39" t="n">
        <v>1.70922</v>
      </c>
      <c r="BM9" s="28" t="n">
        <v>0.585062</v>
      </c>
      <c r="BN9" s="28" t="n">
        <v>0.523834</v>
      </c>
      <c r="BO9" s="28" t="n">
        <v>0.523834</v>
      </c>
      <c r="BP9" s="38" t="n"/>
      <c r="BQ9" s="39" t="n">
        <v>1.909</v>
      </c>
      <c r="BR9" s="28" t="n"/>
      <c r="BS9" s="28" t="n"/>
      <c r="BT9" s="28" t="n"/>
      <c r="BU9" s="38" t="n"/>
      <c r="BV9" s="29" t="n">
        <v>1.59</v>
      </c>
      <c r="BW9" s="24" t="n"/>
      <c r="BX9" s="40" t="n">
        <v>1.5</v>
      </c>
      <c r="BY9" s="39" t="n">
        <v>1.06383</v>
      </c>
      <c r="BZ9" s="24" t="inlineStr">
        <is>
          <t>2026-07-22T23:44:22Z</t>
        </is>
      </c>
      <c r="CA9" s="31" t="inlineStr">
        <is>
          <t>diagnostic — research only, no orders executed</t>
        </is>
      </c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-110</v>
      </c>
      <c r="M10" s="39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38" t="n"/>
      <c r="Z10" s="26" t="n">
        <v>-110</v>
      </c>
      <c r="AA10" s="28" t="n">
        <v>0.523834</v>
      </c>
      <c r="AB10" s="28" t="n"/>
      <c r="AC10" s="40" t="n">
        <v>0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38" t="n"/>
      <c r="BK10" s="26" t="n">
        <v>-110</v>
      </c>
      <c r="BL10" s="39" t="n">
        <v>1.909</v>
      </c>
      <c r="BM10" s="28" t="n">
        <v>0.523834</v>
      </c>
      <c r="BN10" s="28" t="n">
        <v>0.523834</v>
      </c>
      <c r="BO10" s="28" t="n">
        <v>0.523834</v>
      </c>
      <c r="BP10" s="38" t="n"/>
      <c r="BQ10" s="39" t="n">
        <v>1.909</v>
      </c>
      <c r="BR10" s="28" t="n"/>
      <c r="BS10" s="28" t="n"/>
      <c r="BT10" s="28" t="n"/>
      <c r="BU10" s="38" t="n"/>
      <c r="BV10" s="29" t="n">
        <v>0.5</v>
      </c>
      <c r="BW10" s="24" t="n"/>
      <c r="BX10" s="40" t="n">
        <v>1</v>
      </c>
      <c r="BY10" s="39" t="n">
        <v>-1</v>
      </c>
      <c r="BZ10" s="24" t="inlineStr">
        <is>
          <t>2026-07-22T23:44:22Z</t>
        </is>
      </c>
      <c r="CA10" s="31" t="inlineStr">
        <is>
          <t>diagnostic — research only, no orders executed</t>
        </is>
      </c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38" t="n"/>
      <c r="K11" s="24" t="inlineStr">
        <is>
          <t>polymarket_us</t>
        </is>
      </c>
      <c r="L11" s="26" t="n">
        <v>-110</v>
      </c>
      <c r="M11" s="39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38" t="n"/>
      <c r="Z11" s="26" t="n">
        <v>100</v>
      </c>
      <c r="AA11" s="28" t="n">
        <v>0.5</v>
      </c>
      <c r="AB11" s="28" t="n">
        <v>-0.023834</v>
      </c>
      <c r="AC11" s="4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38" t="n"/>
      <c r="BK11" s="26" t="n">
        <v>-110</v>
      </c>
      <c r="BL11" s="39" t="n">
        <v>1.909</v>
      </c>
      <c r="BM11" s="28" t="n">
        <v>0.523834</v>
      </c>
      <c r="BN11" s="28" t="n">
        <v>0.523834</v>
      </c>
      <c r="BO11" s="28" t="n">
        <v>0.523834</v>
      </c>
      <c r="BP11" s="38" t="n"/>
      <c r="BQ11" s="39" t="n">
        <v>2</v>
      </c>
      <c r="BR11" s="28" t="n">
        <v>0.5</v>
      </c>
      <c r="BS11" s="28" t="n"/>
      <c r="BT11" s="28" t="n"/>
      <c r="BU11" s="38" t="n"/>
      <c r="BV11" s="29" t="n">
        <v>0.5</v>
      </c>
      <c r="BW11" s="24" t="n"/>
      <c r="BX11" s="40" t="n">
        <v>0.75</v>
      </c>
      <c r="BY11" s="39" t="n">
        <v>-0.75</v>
      </c>
      <c r="BZ11" s="24" t="inlineStr">
        <is>
          <t>2026-07-22T23:40:08.923818Z</t>
        </is>
      </c>
      <c r="CA11" s="31" t="inlineStr">
        <is>
          <t>diagnostic — research only, no orders executed</t>
        </is>
      </c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38" t="n"/>
      <c r="K12" s="24" t="inlineStr">
        <is>
          <t>polymarket_us</t>
        </is>
      </c>
      <c r="L12" s="26" t="n">
        <v>-110</v>
      </c>
      <c r="M12" s="39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38" t="n"/>
      <c r="Z12" s="26" t="n">
        <v>-110</v>
      </c>
      <c r="AA12" s="28" t="n">
        <v>0.523834</v>
      </c>
      <c r="AB12" s="28" t="n"/>
      <c r="AC12" s="40" t="n">
        <v>0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38" t="n"/>
      <c r="BK12" s="26" t="n">
        <v>-110</v>
      </c>
      <c r="BL12" s="39" t="n">
        <v>1.909</v>
      </c>
      <c r="BM12" s="28" t="n">
        <v>0.523834</v>
      </c>
      <c r="BN12" s="28" t="n">
        <v>0.523834</v>
      </c>
      <c r="BO12" s="28" t="n">
        <v>0.523834</v>
      </c>
      <c r="BP12" s="38" t="n"/>
      <c r="BQ12" s="39" t="n">
        <v>1.909</v>
      </c>
      <c r="BR12" s="28" t="n"/>
      <c r="BS12" s="28" t="n"/>
      <c r="BT12" s="28" t="n"/>
      <c r="BU12" s="38" t="n"/>
      <c r="BV12" s="29" t="n">
        <v>1.12</v>
      </c>
      <c r="BW12" s="24" t="n"/>
      <c r="BX12" s="40" t="n">
        <v>1</v>
      </c>
      <c r="BY12" s="39" t="n">
        <v>-1</v>
      </c>
      <c r="BZ12" s="24" t="inlineStr">
        <is>
          <t>2026-07-22T23:44:22Z</t>
        </is>
      </c>
      <c r="CA12" s="31" t="inlineStr">
        <is>
          <t>diagnostic — research only, no orders executed</t>
        </is>
      </c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38" t="n"/>
      <c r="K13" s="24" t="inlineStr">
        <is>
          <t>polymarket_us</t>
        </is>
      </c>
      <c r="L13" s="26" t="n">
        <v>-110</v>
      </c>
      <c r="M13" s="39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38" t="n"/>
      <c r="Z13" s="26" t="n">
        <v>-110</v>
      </c>
      <c r="AA13" s="28" t="n">
        <v>0.523834</v>
      </c>
      <c r="AB13" s="28" t="n"/>
      <c r="AC13" s="40" t="n">
        <v>0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38" t="n"/>
      <c r="BK13" s="26" t="n">
        <v>-110</v>
      </c>
      <c r="BL13" s="39" t="n">
        <v>1.909</v>
      </c>
      <c r="BM13" s="28" t="n">
        <v>0.523834</v>
      </c>
      <c r="BN13" s="28" t="n">
        <v>0.523834</v>
      </c>
      <c r="BO13" s="28" t="n">
        <v>0.523834</v>
      </c>
      <c r="BP13" s="38" t="n"/>
      <c r="BQ13" s="39" t="n">
        <v>1.909</v>
      </c>
      <c r="BR13" s="28" t="n"/>
      <c r="BS13" s="28" t="n"/>
      <c r="BT13" s="28" t="n"/>
      <c r="BU13" s="38" t="n"/>
      <c r="BV13" s="29" t="n">
        <v>0.5</v>
      </c>
      <c r="BW13" s="24" t="n"/>
      <c r="BX13" s="40" t="n">
        <v>0.75</v>
      </c>
      <c r="BY13" s="39" t="n">
        <v>0.68175</v>
      </c>
      <c r="BZ13" s="24" t="inlineStr">
        <is>
          <t>2026-07-22T23:44:22Z</t>
        </is>
      </c>
      <c r="CA13" s="31" t="inlineStr">
        <is>
          <t>diagnostic — research only, no orders executed</t>
        </is>
      </c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38" t="n"/>
      <c r="K14" s="24" t="inlineStr">
        <is>
          <t>polymarket_us</t>
        </is>
      </c>
      <c r="L14" s="26" t="n">
        <v>-110</v>
      </c>
      <c r="M14" s="39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38" t="n"/>
      <c r="Z14" s="26" t="n">
        <v>-110</v>
      </c>
      <c r="AA14" s="28" t="n">
        <v>0.523834</v>
      </c>
      <c r="AB14" s="28" t="n"/>
      <c r="AC14" s="40" t="n">
        <v>0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38" t="n"/>
      <c r="BK14" s="26" t="n">
        <v>-110</v>
      </c>
      <c r="BL14" s="39" t="n">
        <v>1.909</v>
      </c>
      <c r="BM14" s="28" t="n">
        <v>0.523834</v>
      </c>
      <c r="BN14" s="28" t="n">
        <v>0.523834</v>
      </c>
      <c r="BO14" s="28" t="n">
        <v>0.523834</v>
      </c>
      <c r="BP14" s="38" t="n"/>
      <c r="BQ14" s="39" t="n">
        <v>1.909</v>
      </c>
      <c r="BR14" s="28" t="n"/>
      <c r="BS14" s="28" t="n"/>
      <c r="BT14" s="28" t="n"/>
      <c r="BU14" s="38" t="n"/>
      <c r="BV14" s="29" t="n">
        <v>0.5</v>
      </c>
      <c r="BW14" s="24" t="n"/>
      <c r="BX14" s="40" t="n">
        <v>0.5</v>
      </c>
      <c r="BY14" s="39" t="n">
        <v>0.4545</v>
      </c>
      <c r="BZ14" s="24" t="inlineStr">
        <is>
          <t>2026-07-22T23:44:22Z</t>
        </is>
      </c>
      <c r="CA14" s="31" t="inlineStr">
        <is>
          <t>diagnostic — research only, no orders executed</t>
        </is>
      </c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120</v>
      </c>
      <c r="M15" s="39" t="n">
        <v>2.2</v>
      </c>
      <c r="N15" s="28" t="n">
        <v>0.454545</v>
      </c>
      <c r="O15" s="28" t="n">
        <v>0.595782</v>
      </c>
      <c r="P15" s="28" t="n">
        <v>0.05</v>
      </c>
      <c r="Q15" s="28" t="n">
        <v>0.141237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38" t="n"/>
      <c r="Z15" s="26" t="n">
        <v>-110</v>
      </c>
      <c r="AA15" s="28" t="n">
        <v>0.523834</v>
      </c>
      <c r="AB15" s="28" t="n"/>
      <c r="AC15" s="4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38" t="n"/>
      <c r="BK15" s="26" t="n">
        <v>120</v>
      </c>
      <c r="BL15" s="39" t="n">
        <v>2.2</v>
      </c>
      <c r="BM15" s="28" t="n">
        <v>0.454545</v>
      </c>
      <c r="BN15" s="28" t="n">
        <v>0.523834</v>
      </c>
      <c r="BO15" s="28" t="n">
        <v>0.523834</v>
      </c>
      <c r="BP15" s="38" t="n"/>
      <c r="BQ15" s="39" t="n">
        <v>1.909</v>
      </c>
      <c r="BR15" s="28" t="n"/>
      <c r="BS15" s="28" t="n"/>
      <c r="BT15" s="28" t="n"/>
      <c r="BU15" s="38" t="n"/>
      <c r="BV15" s="29" t="n">
        <v>0.5</v>
      </c>
      <c r="BW15" s="24" t="n"/>
      <c r="BX15" s="40" t="n">
        <v>1.5</v>
      </c>
      <c r="BY15" s="39" t="n">
        <v>1.8</v>
      </c>
      <c r="BZ15" s="24" t="inlineStr">
        <is>
          <t>2026-07-22T23:44:22Z</t>
        </is>
      </c>
      <c r="CA15" s="31" t="inlineStr">
        <is>
          <t>diagnostic — research only, no orders executed</t>
        </is>
      </c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-174</v>
      </c>
      <c r="M16" s="39" t="n">
        <v>1.574713</v>
      </c>
      <c r="N16" s="28" t="n">
        <v>0.635036</v>
      </c>
      <c r="O16" s="28" t="n">
        <v>0.603011</v>
      </c>
      <c r="P16" s="28" t="n">
        <v>0.05</v>
      </c>
      <c r="Q16" s="28" t="n">
        <v>-0.032025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38" t="n"/>
      <c r="Z16" s="26" t="n">
        <v>-110</v>
      </c>
      <c r="AA16" s="28" t="n">
        <v>0.523834</v>
      </c>
      <c r="AB16" s="28" t="n"/>
      <c r="AC16" s="40" t="n">
        <v>0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38" t="n"/>
      <c r="BK16" s="26" t="n">
        <v>-174</v>
      </c>
      <c r="BL16" s="39" t="n">
        <v>1.574713</v>
      </c>
      <c r="BM16" s="28" t="n">
        <v>0.635036</v>
      </c>
      <c r="BN16" s="28" t="n">
        <v>0.523834</v>
      </c>
      <c r="BO16" s="28" t="n">
        <v>0.523834</v>
      </c>
      <c r="BP16" s="38" t="n"/>
      <c r="BQ16" s="39" t="n">
        <v>1.909</v>
      </c>
      <c r="BR16" s="28" t="n"/>
      <c r="BS16" s="28" t="n"/>
      <c r="BT16" s="28" t="n"/>
      <c r="BU16" s="38" t="n"/>
      <c r="BV16" s="29" t="n">
        <v>1.58</v>
      </c>
      <c r="BW16" s="24" t="n"/>
      <c r="BX16" s="40" t="n">
        <v>1.5</v>
      </c>
      <c r="BY16" s="39" t="n">
        <v>0.862069</v>
      </c>
      <c r="BZ16" s="24" t="inlineStr">
        <is>
          <t>2026-07-22T23:44:22Z</t>
        </is>
      </c>
      <c r="CA16" s="31" t="inlineStr">
        <is>
          <t>diagnostic — research only, no orders executed</t>
        </is>
      </c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-110</v>
      </c>
      <c r="M17" s="39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38" t="n"/>
      <c r="Z17" s="26" t="n"/>
      <c r="AA17" s="28" t="n"/>
      <c r="AB17" s="28" t="n"/>
      <c r="AC17" s="40" t="n">
        <v>0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38" t="n"/>
      <c r="BK17" s="26" t="n">
        <v>-110</v>
      </c>
      <c r="BL17" s="39" t="n">
        <v>1.909</v>
      </c>
      <c r="BM17" s="28" t="n">
        <v>0.523834</v>
      </c>
      <c r="BN17" s="28" t="n">
        <v>0.523834</v>
      </c>
      <c r="BO17" s="28" t="n">
        <v>0.523834</v>
      </c>
      <c r="BP17" s="38" t="n"/>
      <c r="BQ17" s="39" t="n"/>
      <c r="BR17" s="28" t="n"/>
      <c r="BS17" s="28" t="n"/>
      <c r="BT17" s="28" t="n"/>
      <c r="BU17" s="38" t="n"/>
      <c r="BV17" s="29" t="n">
        <v>0.66</v>
      </c>
      <c r="BW17" s="24" t="n"/>
      <c r="BX17" s="40" t="n">
        <v>1.25</v>
      </c>
      <c r="BY17" s="39" t="n">
        <v>-1.25</v>
      </c>
      <c r="BZ17" s="24" t="inlineStr">
        <is>
          <t>2026-07-22T23:40:10.838505Z</t>
        </is>
      </c>
      <c r="CA17" s="31" t="inlineStr">
        <is>
          <t>diagnostic — research only, no orders executed</t>
        </is>
      </c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-141</v>
      </c>
      <c r="M18" s="39" t="n">
        <v>1.70922</v>
      </c>
      <c r="N18" s="28" t="n">
        <v>0.585062</v>
      </c>
      <c r="O18" s="28" t="n">
        <v>0.610546</v>
      </c>
      <c r="P18" s="28" t="n">
        <v>0.05</v>
      </c>
      <c r="Q18" s="28" t="n">
        <v>0.025484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38" t="n"/>
      <c r="Z18" s="26" t="n"/>
      <c r="AA18" s="28" t="n"/>
      <c r="AB18" s="28" t="n"/>
      <c r="AC18" s="40" t="n">
        <v>0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38" t="n"/>
      <c r="BK18" s="26" t="n">
        <v>-141</v>
      </c>
      <c r="BL18" s="39" t="n">
        <v>1.70922</v>
      </c>
      <c r="BM18" s="28" t="n">
        <v>0.585062</v>
      </c>
      <c r="BN18" s="28" t="n">
        <v>0.523834</v>
      </c>
      <c r="BO18" s="28" t="n">
        <v>0.523834</v>
      </c>
      <c r="BP18" s="38" t="n"/>
      <c r="BQ18" s="39" t="n"/>
      <c r="BR18" s="28" t="n"/>
      <c r="BS18" s="28" t="n"/>
      <c r="BT18" s="28" t="n"/>
      <c r="BU18" s="38" t="n"/>
      <c r="BV18" s="29" t="n">
        <v>1.58</v>
      </c>
      <c r="BW18" s="24" t="n"/>
      <c r="BX18" s="40" t="n">
        <v>1.5</v>
      </c>
      <c r="BY18" s="39" t="n">
        <v>1.06383</v>
      </c>
      <c r="BZ18" s="24" t="inlineStr">
        <is>
          <t>2026-07-22T23:40:11.530383Z</t>
        </is>
      </c>
      <c r="CA18" s="31" t="inlineStr">
        <is>
          <t>diagnostic — research only, no orders executed</t>
        </is>
      </c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-163</v>
      </c>
      <c r="M19" s="39" t="n">
        <v>1.613497</v>
      </c>
      <c r="N19" s="28" t="n">
        <v>0.619772</v>
      </c>
      <c r="O19" s="28" t="n">
        <v>0.63014</v>
      </c>
      <c r="P19" s="28" t="n">
        <v>0.05</v>
      </c>
      <c r="Q19" s="28" t="n">
        <v>0.010368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38" t="n"/>
      <c r="Z19" s="26" t="n"/>
      <c r="AA19" s="28" t="n"/>
      <c r="AB19" s="28" t="n"/>
      <c r="AC19" s="40" t="n">
        <v>0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38" t="n"/>
      <c r="BK19" s="26" t="n">
        <v>-163</v>
      </c>
      <c r="BL19" s="39" t="n">
        <v>1.613497</v>
      </c>
      <c r="BM19" s="28" t="n">
        <v>0.619772</v>
      </c>
      <c r="BN19" s="28" t="n">
        <v>0.523834</v>
      </c>
      <c r="BO19" s="28" t="n">
        <v>0.523834</v>
      </c>
      <c r="BP19" s="38" t="n"/>
      <c r="BQ19" s="39" t="n"/>
      <c r="BR19" s="28" t="n"/>
      <c r="BS19" s="28" t="n"/>
      <c r="BT19" s="28" t="n"/>
      <c r="BU19" s="38" t="n"/>
      <c r="BV19" s="29" t="n">
        <v>1.83</v>
      </c>
      <c r="BW19" s="24" t="n"/>
      <c r="BX19" s="40" t="n">
        <v>1.75</v>
      </c>
      <c r="BY19" s="39" t="n">
        <v>1.07362</v>
      </c>
      <c r="BZ19" s="24" t="inlineStr">
        <is>
          <t>2026-07-22T23:40:12.219751Z</t>
        </is>
      </c>
      <c r="CA19" s="31" t="inlineStr">
        <is>
          <t>diagnostic — research only, no orders executed</t>
        </is>
      </c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0.619498</v>
      </c>
      <c r="P20" s="28" t="n">
        <v>0.05</v>
      </c>
      <c r="Q20" s="28" t="n">
        <v>0.134061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38" t="n"/>
      <c r="Z20" s="26" t="n">
        <v>-110</v>
      </c>
      <c r="AA20" s="28" t="n">
        <v>0.523834</v>
      </c>
      <c r="AB20" s="28" t="n"/>
      <c r="AC20" s="40" t="n">
        <v>0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38" t="n"/>
      <c r="BK20" s="26" t="n">
        <v>106</v>
      </c>
      <c r="BL20" s="39" t="n">
        <v>2.06</v>
      </c>
      <c r="BM20" s="28" t="n">
        <v>0.485437</v>
      </c>
      <c r="BN20" s="28" t="n">
        <v>0.523834</v>
      </c>
      <c r="BO20" s="28" t="n">
        <v>0.523834</v>
      </c>
      <c r="BP20" s="38" t="n"/>
      <c r="BQ20" s="39" t="n">
        <v>1.909</v>
      </c>
      <c r="BR20" s="28" t="n"/>
      <c r="BS20" s="28" t="n"/>
      <c r="BT20" s="28" t="n"/>
      <c r="BU20" s="38" t="n"/>
      <c r="BV20" s="29" t="n">
        <v>0.95</v>
      </c>
      <c r="BW20" s="24" t="n"/>
      <c r="BX20" s="40" t="n">
        <v>1.75</v>
      </c>
      <c r="BY20" s="39" t="n">
        <v>1.855</v>
      </c>
      <c r="BZ20" s="24" t="inlineStr">
        <is>
          <t>2026-07-22T23:44:22Z</t>
        </is>
      </c>
      <c r="CA20" s="31" t="inlineStr">
        <is>
          <t>diagnostic — research only, no orders executed</t>
        </is>
      </c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38" t="n"/>
      <c r="K21" s="24" t="inlineStr">
        <is>
          <t>polymarket_us</t>
        </is>
      </c>
      <c r="L21" s="26" t="n">
        <v>-110</v>
      </c>
      <c r="M21" s="39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38" t="n"/>
      <c r="Z21" s="26" t="n">
        <v>-110</v>
      </c>
      <c r="AA21" s="28" t="n">
        <v>0.523834</v>
      </c>
      <c r="AB21" s="28" t="n"/>
      <c r="AC21" s="40" t="n">
        <v>0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38" t="n"/>
      <c r="BK21" s="26" t="n">
        <v>-110</v>
      </c>
      <c r="BL21" s="39" t="n">
        <v>1.909</v>
      </c>
      <c r="BM21" s="28" t="n">
        <v>0.523834</v>
      </c>
      <c r="BN21" s="28" t="n">
        <v>0.523834</v>
      </c>
      <c r="BO21" s="28" t="n">
        <v>0.523834</v>
      </c>
      <c r="BP21" s="38" t="n"/>
      <c r="BQ21" s="39" t="n">
        <v>1.909</v>
      </c>
      <c r="BR21" s="28" t="n"/>
      <c r="BS21" s="28" t="n"/>
      <c r="BT21" s="28" t="n"/>
      <c r="BU21" s="38" t="n"/>
      <c r="BV21" s="29" t="n">
        <v>1.06</v>
      </c>
      <c r="BW21" s="24" t="n"/>
      <c r="BX21" s="40" t="n">
        <v>0.75</v>
      </c>
      <c r="BY21" s="39" t="n">
        <v>-0.75</v>
      </c>
      <c r="BZ21" s="24" t="inlineStr">
        <is>
          <t>2026-07-22T23:44:22Z</t>
        </is>
      </c>
      <c r="CA21" s="31" t="inlineStr">
        <is>
          <t>diagnostic — research only, no orders executed</t>
        </is>
      </c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polymarket_us</t>
        </is>
      </c>
      <c r="L22" s="26" t="n">
        <v>-110</v>
      </c>
      <c r="M22" s="39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38" t="n"/>
      <c r="Z22" s="26" t="n">
        <v>-110</v>
      </c>
      <c r="AA22" s="28" t="n">
        <v>0.523834</v>
      </c>
      <c r="AB22" s="28" t="n"/>
      <c r="AC22" s="40" t="n">
        <v>0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38" t="n"/>
      <c r="BK22" s="26" t="n">
        <v>-110</v>
      </c>
      <c r="BL22" s="39" t="n">
        <v>1.909</v>
      </c>
      <c r="BM22" s="28" t="n">
        <v>0.523834</v>
      </c>
      <c r="BN22" s="28" t="n">
        <v>0.523834</v>
      </c>
      <c r="BO22" s="28" t="n">
        <v>0.523834</v>
      </c>
      <c r="BP22" s="38" t="n"/>
      <c r="BQ22" s="39" t="n">
        <v>1.909</v>
      </c>
      <c r="BR22" s="28" t="n"/>
      <c r="BS22" s="28" t="n"/>
      <c r="BT22" s="28" t="n"/>
      <c r="BU22" s="38" t="n"/>
      <c r="BV22" s="29" t="n">
        <v>0.5</v>
      </c>
      <c r="BW22" s="24" t="n"/>
      <c r="BX22" s="40" t="n">
        <v>1</v>
      </c>
      <c r="BY22" s="39" t="n">
        <v>0.909</v>
      </c>
      <c r="BZ22" s="24" t="inlineStr">
        <is>
          <t>2026-07-22T23:44:22Z</t>
        </is>
      </c>
      <c r="CA22" s="31" t="inlineStr">
        <is>
          <t>diagnostic — research only, no orders executed</t>
        </is>
      </c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-110</v>
      </c>
      <c r="M23" s="39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38" t="n"/>
      <c r="Z23" s="26" t="n">
        <v>-110</v>
      </c>
      <c r="AA23" s="28" t="n">
        <v>0.523834</v>
      </c>
      <c r="AB23" s="28" t="n"/>
      <c r="AC23" s="40" t="n">
        <v>0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38" t="n"/>
      <c r="BK23" s="26" t="n">
        <v>-110</v>
      </c>
      <c r="BL23" s="39" t="n">
        <v>1.909</v>
      </c>
      <c r="BM23" s="28" t="n">
        <v>0.523834</v>
      </c>
      <c r="BN23" s="28" t="n">
        <v>0.523834</v>
      </c>
      <c r="BO23" s="28" t="n">
        <v>0.523834</v>
      </c>
      <c r="BP23" s="38" t="n"/>
      <c r="BQ23" s="39" t="n">
        <v>1.909</v>
      </c>
      <c r="BR23" s="28" t="n"/>
      <c r="BS23" s="28" t="n"/>
      <c r="BT23" s="28" t="n"/>
      <c r="BU23" s="38" t="n"/>
      <c r="BV23" s="29" t="n">
        <v>0.5</v>
      </c>
      <c r="BW23" s="24" t="n"/>
      <c r="BX23" s="40" t="n">
        <v>1</v>
      </c>
      <c r="BY23" s="39" t="n">
        <v>-1</v>
      </c>
      <c r="BZ23" s="24" t="inlineStr">
        <is>
          <t>2026-07-22T23:44:22Z</t>
        </is>
      </c>
      <c r="CA23" s="31" t="inlineStr">
        <is>
          <t>diagnostic — research only, no orders executed</t>
        </is>
      </c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polymarket_us</t>
        </is>
      </c>
      <c r="L24" s="26" t="n">
        <v>-102</v>
      </c>
      <c r="M24" s="39" t="n">
        <v>1.980392</v>
      </c>
      <c r="N24" s="28" t="n">
        <v>0.50495</v>
      </c>
      <c r="O24" s="28" t="n">
        <v>0.581151</v>
      </c>
      <c r="P24" s="28" t="n">
        <v>0.05</v>
      </c>
      <c r="Q24" s="28" t="n">
        <v>0.076201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38" t="n"/>
      <c r="Z24" s="26" t="n">
        <v>-110</v>
      </c>
      <c r="AA24" s="28" t="n">
        <v>0.523834</v>
      </c>
      <c r="AB24" s="28" t="n"/>
      <c r="AC24" s="40" t="n">
        <v>0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38" t="n"/>
      <c r="BK24" s="26" t="n">
        <v>-102</v>
      </c>
      <c r="BL24" s="39" t="n">
        <v>1.980392</v>
      </c>
      <c r="BM24" s="28" t="n">
        <v>0.50495</v>
      </c>
      <c r="BN24" s="28" t="n">
        <v>0.523834</v>
      </c>
      <c r="BO24" s="28" t="n">
        <v>0.523834</v>
      </c>
      <c r="BP24" s="38" t="n"/>
      <c r="BQ24" s="39" t="n">
        <v>1.909</v>
      </c>
      <c r="BR24" s="28" t="n"/>
      <c r="BS24" s="28" t="n"/>
      <c r="BT24" s="28" t="n"/>
      <c r="BU24" s="38" t="n"/>
      <c r="BV24" s="29" t="n">
        <v>0.5</v>
      </c>
      <c r="BW24" s="24" t="n"/>
      <c r="BX24" s="40" t="n">
        <v>1.25</v>
      </c>
      <c r="BY24" s="39" t="n">
        <v>-1.25</v>
      </c>
      <c r="BZ24" s="24" t="inlineStr">
        <is>
          <t>2026-07-22T23:44:22Z</t>
        </is>
      </c>
      <c r="CA24" s="31" t="inlineStr">
        <is>
          <t>diagnostic — research only, no orders executed</t>
        </is>
      </c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polymarket_us</t>
        </is>
      </c>
      <c r="L25" s="26" t="n">
        <v>-133</v>
      </c>
      <c r="M25" s="39" t="n">
        <v>1.75188</v>
      </c>
      <c r="N25" s="28" t="n">
        <v>0.570815</v>
      </c>
      <c r="O25" s="28" t="n">
        <v>0.64599</v>
      </c>
      <c r="P25" s="28" t="n">
        <v>0.05</v>
      </c>
      <c r="Q25" s="28" t="n">
        <v>0.07517500000000001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38" t="n"/>
      <c r="Z25" s="26" t="n">
        <v>-110</v>
      </c>
      <c r="AA25" s="28" t="n">
        <v>0.523834</v>
      </c>
      <c r="AB25" s="28" t="n"/>
      <c r="AC25" s="40" t="n">
        <v>0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38" t="n"/>
      <c r="BK25" s="26" t="n">
        <v>-133</v>
      </c>
      <c r="BL25" s="39" t="n">
        <v>1.75188</v>
      </c>
      <c r="BM25" s="28" t="n">
        <v>0.570815</v>
      </c>
      <c r="BN25" s="28" t="n">
        <v>0.523834</v>
      </c>
      <c r="BO25" s="28" t="n">
        <v>0.523834</v>
      </c>
      <c r="BP25" s="38" t="n"/>
      <c r="BQ25" s="39" t="n">
        <v>1.909</v>
      </c>
      <c r="BR25" s="28" t="n"/>
      <c r="BS25" s="28" t="n"/>
      <c r="BT25" s="28" t="n"/>
      <c r="BU25" s="38" t="n"/>
      <c r="BV25" s="29" t="n">
        <v>2</v>
      </c>
      <c r="BW25" s="24" t="n"/>
      <c r="BX25" s="40" t="n">
        <v>2</v>
      </c>
      <c r="BY25" s="39" t="n">
        <v>1.503759</v>
      </c>
      <c r="BZ25" s="24" t="inlineStr">
        <is>
          <t>2026-07-22T23:44:22Z</t>
        </is>
      </c>
      <c r="CA25" s="31" t="inlineStr">
        <is>
          <t>diagnostic — research only, no orders executed</t>
        </is>
      </c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polymarket_us</t>
        </is>
      </c>
      <c r="L26" s="26" t="n">
        <v>-110</v>
      </c>
      <c r="M26" s="39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38" t="n"/>
      <c r="Z26" s="26" t="n">
        <v>-110</v>
      </c>
      <c r="AA26" s="28" t="n">
        <v>0.523834</v>
      </c>
      <c r="AB26" s="28" t="n"/>
      <c r="AC26" s="40" t="n">
        <v>0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38" t="n"/>
      <c r="BK26" s="26" t="n">
        <v>-110</v>
      </c>
      <c r="BL26" s="39" t="n">
        <v>1.909</v>
      </c>
      <c r="BM26" s="28" t="n">
        <v>0.523834</v>
      </c>
      <c r="BN26" s="28" t="n">
        <v>0.523834</v>
      </c>
      <c r="BO26" s="28" t="n">
        <v>0.523834</v>
      </c>
      <c r="BP26" s="38" t="n"/>
      <c r="BQ26" s="39" t="n">
        <v>1.909</v>
      </c>
      <c r="BR26" s="28" t="n"/>
      <c r="BS26" s="28" t="n"/>
      <c r="BT26" s="28" t="n"/>
      <c r="BU26" s="38" t="n"/>
      <c r="BV26" s="29" t="n">
        <v>0.5</v>
      </c>
      <c r="BW26" s="24" t="n"/>
      <c r="BX26" s="40" t="n">
        <v>0.5</v>
      </c>
      <c r="BY26" s="39" t="n">
        <v>-0.5</v>
      </c>
      <c r="BZ26" s="24" t="inlineStr">
        <is>
          <t>2026-07-22T23:44:22Z</t>
        </is>
      </c>
      <c r="CA26" s="31" t="inlineStr">
        <is>
          <t>diagnostic — research only, no orders executed</t>
        </is>
      </c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-110</v>
      </c>
      <c r="M27" s="39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38" t="n"/>
      <c r="Z27" s="26" t="n">
        <v>-110</v>
      </c>
      <c r="AA27" s="28" t="n">
        <v>0.523834</v>
      </c>
      <c r="AB27" s="28" t="n"/>
      <c r="AC27" s="40" t="n">
        <v>0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38" t="n"/>
      <c r="BK27" s="26" t="n">
        <v>-110</v>
      </c>
      <c r="BL27" s="39" t="n">
        <v>1.909</v>
      </c>
      <c r="BM27" s="28" t="n">
        <v>0.523834</v>
      </c>
      <c r="BN27" s="28" t="n">
        <v>0.523834</v>
      </c>
      <c r="BO27" s="28" t="n">
        <v>0.523834</v>
      </c>
      <c r="BP27" s="38" t="n"/>
      <c r="BQ27" s="39" t="n">
        <v>1.909</v>
      </c>
      <c r="BR27" s="28" t="n"/>
      <c r="BS27" s="28" t="n"/>
      <c r="BT27" s="28" t="n"/>
      <c r="BU27" s="38" t="n"/>
      <c r="BV27" s="29" t="n">
        <v>0.5</v>
      </c>
      <c r="BW27" s="24" t="n"/>
      <c r="BX27" s="40" t="n">
        <v>0.5</v>
      </c>
      <c r="BY27" s="39" t="n">
        <v>0.4545</v>
      </c>
      <c r="BZ27" s="24" t="inlineStr">
        <is>
          <t>2026-07-22T23:44:22Z</t>
        </is>
      </c>
      <c r="CA27" s="31" t="inlineStr">
        <is>
          <t>diagnostic — research only, no orders executed</t>
        </is>
      </c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-110</v>
      </c>
      <c r="M28" s="39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38" t="n"/>
      <c r="Z28" s="26" t="n">
        <v>-110</v>
      </c>
      <c r="AA28" s="28" t="n">
        <v>0.523834</v>
      </c>
      <c r="AB28" s="28" t="n"/>
      <c r="AC28" s="40" t="n">
        <v>0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38" t="n"/>
      <c r="BK28" s="26" t="n">
        <v>-110</v>
      </c>
      <c r="BL28" s="39" t="n">
        <v>1.909</v>
      </c>
      <c r="BM28" s="28" t="n">
        <v>0.523834</v>
      </c>
      <c r="BN28" s="28" t="n">
        <v>0.523834</v>
      </c>
      <c r="BO28" s="28" t="n">
        <v>0.523834</v>
      </c>
      <c r="BP28" s="38" t="n"/>
      <c r="BQ28" s="39" t="n">
        <v>1.909</v>
      </c>
      <c r="BR28" s="28" t="n"/>
      <c r="BS28" s="28" t="n"/>
      <c r="BT28" s="28" t="n"/>
      <c r="BU28" s="38" t="n"/>
      <c r="BV28" s="29" t="n">
        <v>0.66</v>
      </c>
      <c r="BW28" s="24" t="n"/>
      <c r="BX28" s="40" t="n">
        <v>1.25</v>
      </c>
      <c r="BY28" s="39" t="n">
        <v>1.13625</v>
      </c>
      <c r="BZ28" s="24" t="inlineStr">
        <is>
          <t>2026-07-22T23:44:22Z</t>
        </is>
      </c>
      <c r="CA28" s="31" t="inlineStr">
        <is>
          <t>diagnostic — research only, no orders executed</t>
        </is>
      </c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38" t="n"/>
      <c r="K29" s="24" t="inlineStr">
        <is>
          <t>polymarket_us</t>
        </is>
      </c>
      <c r="L29" s="26" t="n">
        <v>-110</v>
      </c>
      <c r="M29" s="39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38" t="n"/>
      <c r="Z29" s="26" t="n">
        <v>-110</v>
      </c>
      <c r="AA29" s="28" t="n">
        <v>0.523834</v>
      </c>
      <c r="AB29" s="28" t="n"/>
      <c r="AC29" s="40" t="n">
        <v>0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38" t="n"/>
      <c r="BK29" s="26" t="n">
        <v>-110</v>
      </c>
      <c r="BL29" s="39" t="n">
        <v>1.909</v>
      </c>
      <c r="BM29" s="28" t="n">
        <v>0.523834</v>
      </c>
      <c r="BN29" s="28" t="n">
        <v>0.523834</v>
      </c>
      <c r="BO29" s="28" t="n">
        <v>0.523834</v>
      </c>
      <c r="BP29" s="38" t="n"/>
      <c r="BQ29" s="39" t="n">
        <v>1.909</v>
      </c>
      <c r="BR29" s="28" t="n"/>
      <c r="BS29" s="28" t="n"/>
      <c r="BT29" s="28" t="n"/>
      <c r="BU29" s="38" t="n"/>
      <c r="BV29" s="29" t="n">
        <v>0.5</v>
      </c>
      <c r="BW29" s="24" t="n"/>
      <c r="BX29" s="40" t="n">
        <v>1.25</v>
      </c>
      <c r="BY29" s="39" t="n">
        <v>-1.25</v>
      </c>
      <c r="BZ29" s="24" t="inlineStr">
        <is>
          <t>2026-07-22T23:44:22Z</t>
        </is>
      </c>
      <c r="CA29" s="31" t="inlineStr">
        <is>
          <t>diagnostic — research only, no orders executed</t>
        </is>
      </c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polymarket_us</t>
        </is>
      </c>
      <c r="L30" s="26" t="n">
        <v>-150</v>
      </c>
      <c r="M30" s="39" t="n">
        <v>1.666667</v>
      </c>
      <c r="N30" s="28" t="n">
        <v>0.6</v>
      </c>
      <c r="O30" s="28" t="n">
        <v>0.669207</v>
      </c>
      <c r="P30" s="28" t="n">
        <v>0.05</v>
      </c>
      <c r="Q30" s="28" t="n">
        <v>0.069207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38" t="n"/>
      <c r="Z30" s="26" t="n">
        <v>-110</v>
      </c>
      <c r="AA30" s="28" t="n">
        <v>0.523834</v>
      </c>
      <c r="AB30" s="28" t="n"/>
      <c r="AC30" s="40" t="n">
        <v>0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38" t="n"/>
      <c r="BK30" s="26" t="n">
        <v>-150</v>
      </c>
      <c r="BL30" s="39" t="n">
        <v>1.666667</v>
      </c>
      <c r="BM30" s="28" t="n">
        <v>0.6</v>
      </c>
      <c r="BN30" s="28" t="n">
        <v>0.523834</v>
      </c>
      <c r="BO30" s="28" t="n">
        <v>0.523834</v>
      </c>
      <c r="BP30" s="38" t="n"/>
      <c r="BQ30" s="39" t="n">
        <v>1.909</v>
      </c>
      <c r="BR30" s="28" t="n"/>
      <c r="BS30" s="28" t="n"/>
      <c r="BT30" s="28" t="n"/>
      <c r="BU30" s="38" t="n"/>
      <c r="BV30" s="29" t="n">
        <v>1.88</v>
      </c>
      <c r="BW30" s="24" t="n"/>
      <c r="BX30" s="40" t="n">
        <v>2</v>
      </c>
      <c r="BY30" s="39" t="n">
        <v>1.333333</v>
      </c>
      <c r="BZ30" s="24" t="inlineStr">
        <is>
          <t>2026-07-22T23:44:22Z</t>
        </is>
      </c>
      <c r="CA30" s="31" t="inlineStr">
        <is>
          <t>diagnostic — research only, no orders executed</t>
        </is>
      </c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-100</v>
      </c>
      <c r="M31" s="39" t="n">
        <v>2</v>
      </c>
      <c r="N31" s="28" t="n">
        <v>0.5</v>
      </c>
      <c r="O31" s="28" t="n">
        <v>0.686028</v>
      </c>
      <c r="P31" s="28" t="n">
        <v>0.05</v>
      </c>
      <c r="Q31" s="28" t="n">
        <v>0.186028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38" t="n"/>
      <c r="Z31" s="26" t="n"/>
      <c r="AA31" s="28" t="n"/>
      <c r="AB31" s="28" t="n"/>
      <c r="AC31" s="40" t="n">
        <v>0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38" t="n"/>
      <c r="BK31" s="26" t="n">
        <v>-100</v>
      </c>
      <c r="BL31" s="39" t="n">
        <v>2</v>
      </c>
      <c r="BM31" s="28" t="n">
        <v>0.5</v>
      </c>
      <c r="BN31" s="28" t="n">
        <v>0.523834</v>
      </c>
      <c r="BO31" s="28" t="n">
        <v>0.523834</v>
      </c>
      <c r="BP31" s="38" t="n"/>
      <c r="BQ31" s="39" t="n"/>
      <c r="BR31" s="28" t="n"/>
      <c r="BS31" s="28" t="n"/>
      <c r="BT31" s="28" t="n"/>
      <c r="BU31" s="38" t="n"/>
      <c r="BV31" s="29" t="n">
        <v>0.87</v>
      </c>
      <c r="BW31" s="24" t="n"/>
      <c r="BX31" s="40" t="n">
        <v>2</v>
      </c>
      <c r="BY31" s="39" t="n">
        <v>2</v>
      </c>
      <c r="BZ31" s="24" t="inlineStr">
        <is>
          <t>2026-07-22T23:40:14.758560Z</t>
        </is>
      </c>
      <c r="CA31" s="31" t="inlineStr">
        <is>
          <t>diagnostic — research only, no orders executed</t>
        </is>
      </c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38" t="n"/>
      <c r="K32" s="24" t="inlineStr">
        <is>
          <t>polymarket_us</t>
        </is>
      </c>
      <c r="L32" s="26" t="n">
        <v>-110</v>
      </c>
      <c r="M32" s="39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38" t="n"/>
      <c r="Z32" s="26" t="n">
        <v>-110</v>
      </c>
      <c r="AA32" s="28" t="n">
        <v>0.523834</v>
      </c>
      <c r="AB32" s="28" t="n"/>
      <c r="AC32" s="40" t="n">
        <v>0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38" t="n"/>
      <c r="BK32" s="26" t="n">
        <v>-110</v>
      </c>
      <c r="BL32" s="39" t="n">
        <v>1.909</v>
      </c>
      <c r="BM32" s="28" t="n">
        <v>0.523834</v>
      </c>
      <c r="BN32" s="28" t="n">
        <v>0.523834</v>
      </c>
      <c r="BO32" s="28" t="n">
        <v>0.523834</v>
      </c>
      <c r="BP32" s="38" t="n"/>
      <c r="BQ32" s="39" t="n">
        <v>1.909</v>
      </c>
      <c r="BR32" s="28" t="n"/>
      <c r="BS32" s="28" t="n"/>
      <c r="BT32" s="28" t="n"/>
      <c r="BU32" s="38" t="n"/>
      <c r="BV32" s="29" t="n">
        <v>0.5</v>
      </c>
      <c r="BW32" s="24" t="n"/>
      <c r="BX32" s="40" t="n">
        <v>0.75</v>
      </c>
      <c r="BY32" s="39" t="n">
        <v>-0.75</v>
      </c>
      <c r="BZ32" s="24" t="inlineStr">
        <is>
          <t>2026-07-22T23:44:22Z</t>
        </is>
      </c>
      <c r="CA32" s="31" t="inlineStr">
        <is>
          <t>diagnostic — research only, no orders executed</t>
        </is>
      </c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-104</v>
      </c>
      <c r="M33" s="39" t="n">
        <v>1.961538</v>
      </c>
      <c r="N33" s="28" t="n">
        <v>0.509804</v>
      </c>
      <c r="O33" s="28" t="n">
        <v>0.617167</v>
      </c>
      <c r="P33" s="28" t="n">
        <v>0.05</v>
      </c>
      <c r="Q33" s="28" t="n">
        <v>0.107363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38" t="n"/>
      <c r="Z33" s="26" t="n"/>
      <c r="AA33" s="28" t="n"/>
      <c r="AB33" s="28" t="n"/>
      <c r="AC33" s="40" t="n">
        <v>0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38" t="n"/>
      <c r="BK33" s="26" t="n">
        <v>-104</v>
      </c>
      <c r="BL33" s="39" t="n">
        <v>1.961538</v>
      </c>
      <c r="BM33" s="28" t="n">
        <v>0.509804</v>
      </c>
      <c r="BN33" s="28" t="n">
        <v>0.523834</v>
      </c>
      <c r="BO33" s="28" t="n">
        <v>0.523834</v>
      </c>
      <c r="BP33" s="38" t="n"/>
      <c r="BQ33" s="39" t="n"/>
      <c r="BR33" s="28" t="n"/>
      <c r="BS33" s="28" t="n"/>
      <c r="BT33" s="28" t="n"/>
      <c r="BU33" s="38" t="n"/>
      <c r="BV33" s="29" t="n">
        <v>0.97</v>
      </c>
      <c r="BW33" s="24" t="n"/>
      <c r="BX33" s="40" t="n">
        <v>1.75</v>
      </c>
      <c r="BY33" s="39" t="n">
        <v>-1.75</v>
      </c>
      <c r="BZ33" s="24" t="inlineStr">
        <is>
          <t>2026-07-22T23:40:15.987791Z</t>
        </is>
      </c>
      <c r="CA33" s="31" t="inlineStr">
        <is>
          <t>diagnostic — research only, no orders executed</t>
        </is>
      </c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38" t="n"/>
      <c r="K34" s="24" t="inlineStr">
        <is>
          <t>polymarket_us</t>
        </is>
      </c>
      <c r="L34" s="26" t="n">
        <v>-110</v>
      </c>
      <c r="M34" s="39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38" t="n"/>
      <c r="Z34" s="26" t="n"/>
      <c r="AA34" s="28" t="n"/>
      <c r="AB34" s="28" t="n"/>
      <c r="AC34" s="40" t="n">
        <v>0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38" t="n"/>
      <c r="BK34" s="26" t="n">
        <v>-110</v>
      </c>
      <c r="BL34" s="39" t="n">
        <v>1.909</v>
      </c>
      <c r="BM34" s="28" t="n">
        <v>0.523834</v>
      </c>
      <c r="BN34" s="28" t="n">
        <v>0.523834</v>
      </c>
      <c r="BO34" s="28" t="n">
        <v>0.523834</v>
      </c>
      <c r="BP34" s="38" t="n"/>
      <c r="BQ34" s="39" t="n"/>
      <c r="BR34" s="28" t="n"/>
      <c r="BS34" s="28" t="n"/>
      <c r="BT34" s="28" t="n"/>
      <c r="BU34" s="38" t="n"/>
      <c r="BV34" s="29" t="n">
        <v>0.5</v>
      </c>
      <c r="BW34" s="24" t="n"/>
      <c r="BX34" s="40" t="n">
        <v>1.25</v>
      </c>
      <c r="BY34" s="39" t="n">
        <v>1.13625</v>
      </c>
      <c r="BZ34" s="24" t="inlineStr">
        <is>
          <t>2026-07-22T23:40:16.678005Z</t>
        </is>
      </c>
      <c r="CA34" s="31" t="inlineStr">
        <is>
          <t>diagnostic — research only, no orders executed</t>
        </is>
      </c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-110</v>
      </c>
      <c r="M35" s="39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38" t="n"/>
      <c r="Z35" s="26" t="n">
        <v>-110</v>
      </c>
      <c r="AA35" s="28" t="n">
        <v>0.523834</v>
      </c>
      <c r="AB35" s="28" t="n"/>
      <c r="AC35" s="40" t="n">
        <v>0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38" t="n"/>
      <c r="BK35" s="26" t="n">
        <v>-110</v>
      </c>
      <c r="BL35" s="39" t="n">
        <v>1.909</v>
      </c>
      <c r="BM35" s="28" t="n">
        <v>0.523834</v>
      </c>
      <c r="BN35" s="28" t="n">
        <v>0.523834</v>
      </c>
      <c r="BO35" s="28" t="n">
        <v>0.523834</v>
      </c>
      <c r="BP35" s="38" t="n"/>
      <c r="BQ35" s="39" t="n">
        <v>1.909</v>
      </c>
      <c r="BR35" s="28" t="n"/>
      <c r="BS35" s="28" t="n"/>
      <c r="BT35" s="28" t="n"/>
      <c r="BU35" s="38" t="n"/>
      <c r="BV35" s="29" t="n">
        <v>1.52</v>
      </c>
      <c r="BW35" s="24" t="n"/>
      <c r="BX35" s="40" t="n">
        <v>1.25</v>
      </c>
      <c r="BY35" s="39" t="n">
        <v>-1.25</v>
      </c>
      <c r="BZ35" s="24" t="inlineStr">
        <is>
          <t>2026-07-22T23:44:22Z</t>
        </is>
      </c>
      <c r="CA35" s="31" t="inlineStr">
        <is>
          <t>diagnostic — research only, no orders executed</t>
        </is>
      </c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-110</v>
      </c>
      <c r="M36" s="39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38" t="n"/>
      <c r="Z36" s="26" t="n">
        <v>-110</v>
      </c>
      <c r="AA36" s="28" t="n">
        <v>0.523834</v>
      </c>
      <c r="AB36" s="28" t="n"/>
      <c r="AC36" s="40" t="n">
        <v>0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38" t="n"/>
      <c r="BK36" s="26" t="n">
        <v>-110</v>
      </c>
      <c r="BL36" s="39" t="n">
        <v>1.909</v>
      </c>
      <c r="BM36" s="28" t="n">
        <v>0.523834</v>
      </c>
      <c r="BN36" s="28" t="n">
        <v>0.523834</v>
      </c>
      <c r="BO36" s="28" t="n">
        <v>0.523834</v>
      </c>
      <c r="BP36" s="38" t="n"/>
      <c r="BQ36" s="39" t="n">
        <v>1.909</v>
      </c>
      <c r="BR36" s="28" t="n"/>
      <c r="BS36" s="28" t="n"/>
      <c r="BT36" s="28" t="n"/>
      <c r="BU36" s="38" t="n"/>
      <c r="BV36" s="29" t="n">
        <v>0.5</v>
      </c>
      <c r="BW36" s="24" t="n"/>
      <c r="BX36" s="40" t="n">
        <v>0.75</v>
      </c>
      <c r="BY36" s="39" t="n">
        <v>0.68175</v>
      </c>
      <c r="BZ36" s="24" t="inlineStr">
        <is>
          <t>2026-07-22T23:44:22Z</t>
        </is>
      </c>
      <c r="CA36" s="31" t="inlineStr">
        <is>
          <t>diagnostic — research only, no orders executed</t>
        </is>
      </c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-110</v>
      </c>
      <c r="M37" s="39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38" t="n"/>
      <c r="Z37" s="26" t="n">
        <v>-110</v>
      </c>
      <c r="AA37" s="28" t="n">
        <v>0.523834</v>
      </c>
      <c r="AB37" s="28" t="n"/>
      <c r="AC37" s="40" t="n">
        <v>0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38" t="n"/>
      <c r="BK37" s="26" t="n">
        <v>-110</v>
      </c>
      <c r="BL37" s="39" t="n">
        <v>1.909</v>
      </c>
      <c r="BM37" s="28" t="n">
        <v>0.523834</v>
      </c>
      <c r="BN37" s="28" t="n">
        <v>0.523834</v>
      </c>
      <c r="BO37" s="28" t="n">
        <v>0.523834</v>
      </c>
      <c r="BP37" s="38" t="n"/>
      <c r="BQ37" s="39" t="n">
        <v>1.909</v>
      </c>
      <c r="BR37" s="28" t="n"/>
      <c r="BS37" s="28" t="n"/>
      <c r="BT37" s="28" t="n"/>
      <c r="BU37" s="38" t="n"/>
      <c r="BV37" s="29" t="n">
        <v>0.5</v>
      </c>
      <c r="BW37" s="24" t="n"/>
      <c r="BX37" s="40" t="n">
        <v>0.75</v>
      </c>
      <c r="BY37" s="39" t="n">
        <v>0.68175</v>
      </c>
      <c r="BZ37" s="24" t="inlineStr">
        <is>
          <t>2026-07-22T23:44:22Z</t>
        </is>
      </c>
      <c r="CA37" s="31" t="inlineStr">
        <is>
          <t>diagnostic — research only, no orders executed</t>
        </is>
      </c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-110</v>
      </c>
      <c r="M38" s="39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38" t="n"/>
      <c r="Z38" s="26" t="n">
        <v>-110</v>
      </c>
      <c r="AA38" s="28" t="n">
        <v>0.523834</v>
      </c>
      <c r="AB38" s="28" t="n"/>
      <c r="AC38" s="40" t="n">
        <v>0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38" t="n"/>
      <c r="BK38" s="26" t="n">
        <v>-110</v>
      </c>
      <c r="BL38" s="39" t="n">
        <v>1.909</v>
      </c>
      <c r="BM38" s="28" t="n">
        <v>0.523834</v>
      </c>
      <c r="BN38" s="28" t="n">
        <v>0.523834</v>
      </c>
      <c r="BO38" s="28" t="n">
        <v>0.523834</v>
      </c>
      <c r="BP38" s="38" t="n"/>
      <c r="BQ38" s="39" t="n">
        <v>1.909</v>
      </c>
      <c r="BR38" s="28" t="n"/>
      <c r="BS38" s="28" t="n"/>
      <c r="BT38" s="28" t="n"/>
      <c r="BU38" s="38" t="n"/>
      <c r="BV38" s="29" t="n">
        <v>0.63</v>
      </c>
      <c r="BW38" s="24" t="n"/>
      <c r="BX38" s="40" t="n">
        <v>1.25</v>
      </c>
      <c r="BY38" s="39" t="n">
        <v>-1.25</v>
      </c>
      <c r="BZ38" s="24" t="inlineStr">
        <is>
          <t>2026-07-22T23:44:22Z</t>
        </is>
      </c>
      <c r="CA38" s="31" t="inlineStr">
        <is>
          <t>diagnostic — research only, no orders executed</t>
        </is>
      </c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-110</v>
      </c>
      <c r="M39" s="39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38" t="n"/>
      <c r="Z39" s="26" t="n">
        <v>-110</v>
      </c>
      <c r="AA39" s="28" t="n">
        <v>0.523834</v>
      </c>
      <c r="AB39" s="28" t="n"/>
      <c r="AC39" s="40" t="n">
        <v>0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38" t="n"/>
      <c r="BK39" s="26" t="n">
        <v>-110</v>
      </c>
      <c r="BL39" s="39" t="n">
        <v>1.909</v>
      </c>
      <c r="BM39" s="28" t="n">
        <v>0.523834</v>
      </c>
      <c r="BN39" s="28" t="n">
        <v>0.523834</v>
      </c>
      <c r="BO39" s="28" t="n">
        <v>0.523834</v>
      </c>
      <c r="BP39" s="38" t="n"/>
      <c r="BQ39" s="39" t="n">
        <v>1.909</v>
      </c>
      <c r="BR39" s="28" t="n"/>
      <c r="BS39" s="28" t="n"/>
      <c r="BT39" s="28" t="n"/>
      <c r="BU39" s="38" t="n"/>
      <c r="BV39" s="29" t="n">
        <v>0.5</v>
      </c>
      <c r="BW39" s="24" t="n"/>
      <c r="BX39" s="40" t="n">
        <v>1.25</v>
      </c>
      <c r="BY39" s="39" t="n">
        <v>-1.25</v>
      </c>
      <c r="BZ39" s="24" t="inlineStr">
        <is>
          <t>2026-07-22T23:44:22Z</t>
        </is>
      </c>
      <c r="CA39" s="31" t="inlineStr">
        <is>
          <t>diagnostic — research only, no orders executed</t>
        </is>
      </c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38" t="n"/>
      <c r="K40" s="24" t="inlineStr">
        <is>
          <t>polymarket_us</t>
        </is>
      </c>
      <c r="L40" s="26" t="n">
        <v>-120</v>
      </c>
      <c r="M40" s="39" t="n">
        <v>1.833333</v>
      </c>
      <c r="N40" s="28" t="n">
        <v>0.545455</v>
      </c>
      <c r="O40" s="28" t="n">
        <v>0.644369</v>
      </c>
      <c r="P40" s="28" t="n">
        <v>0.05</v>
      </c>
      <c r="Q40" s="28" t="n">
        <v>0.098914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38" t="n"/>
      <c r="Z40" s="26" t="n">
        <v>-110</v>
      </c>
      <c r="AA40" s="28" t="n">
        <v>0.523834</v>
      </c>
      <c r="AB40" s="28" t="n"/>
      <c r="AC40" s="40" t="n">
        <v>0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38" t="n"/>
      <c r="BK40" s="26" t="n">
        <v>-120</v>
      </c>
      <c r="BL40" s="39" t="n">
        <v>1.833333</v>
      </c>
      <c r="BM40" s="28" t="n">
        <v>0.545455</v>
      </c>
      <c r="BN40" s="28" t="n">
        <v>0.523834</v>
      </c>
      <c r="BO40" s="28" t="n">
        <v>0.523834</v>
      </c>
      <c r="BP40" s="38" t="n"/>
      <c r="BQ40" s="39" t="n">
        <v>1.909</v>
      </c>
      <c r="BR40" s="28" t="n"/>
      <c r="BS40" s="28" t="n"/>
      <c r="BT40" s="28" t="n"/>
      <c r="BU40" s="38" t="n"/>
      <c r="BV40" s="29" t="n">
        <v>2</v>
      </c>
      <c r="BW40" s="24" t="n"/>
      <c r="BX40" s="40" t="n">
        <v>2</v>
      </c>
      <c r="BY40" s="39" t="n">
        <v>1.666667</v>
      </c>
      <c r="BZ40" s="24" t="inlineStr">
        <is>
          <t>2026-07-22T23:44:22Z</t>
        </is>
      </c>
      <c r="CA40" s="31" t="inlineStr">
        <is>
          <t>diagnostic — research only, no orders executed</t>
        </is>
      </c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38" t="n"/>
      <c r="K41" s="24" t="inlineStr">
        <is>
          <t>polymarket_us</t>
        </is>
      </c>
      <c r="L41" s="26" t="n">
        <v>-110</v>
      </c>
      <c r="M41" s="39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38" t="n"/>
      <c r="Z41" s="26" t="n"/>
      <c r="AA41" s="28" t="n"/>
      <c r="AB41" s="28" t="n"/>
      <c r="AC41" s="4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38" t="n"/>
      <c r="BK41" s="26" t="n">
        <v>-110</v>
      </c>
      <c r="BL41" s="39" t="n">
        <v>1.909</v>
      </c>
      <c r="BM41" s="28" t="n">
        <v>0.523834</v>
      </c>
      <c r="BN41" s="28" t="n">
        <v>0.523834</v>
      </c>
      <c r="BO41" s="28" t="n">
        <v>0.523834</v>
      </c>
      <c r="BP41" s="38" t="n"/>
      <c r="BQ41" s="39" t="n"/>
      <c r="BR41" s="28" t="n"/>
      <c r="BS41" s="28" t="n"/>
      <c r="BT41" s="28" t="n"/>
      <c r="BU41" s="38" t="n"/>
      <c r="BV41" s="29" t="n">
        <v>0.5</v>
      </c>
      <c r="BW41" s="24" t="n"/>
      <c r="BX41" s="40" t="n">
        <v>0.75</v>
      </c>
      <c r="BY41" s="39" t="n">
        <v>0.68175</v>
      </c>
      <c r="BZ41" s="24" t="inlineStr">
        <is>
          <t>2026-07-22T23:40:18.430101Z</t>
        </is>
      </c>
      <c r="CA41" s="31" t="inlineStr">
        <is>
          <t>diagnostic — research only, no orders executed</t>
        </is>
      </c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-153</v>
      </c>
      <c r="M42" s="39" t="n">
        <v>1.653595</v>
      </c>
      <c r="N42" s="28" t="n">
        <v>0.604743</v>
      </c>
      <c r="O42" s="28" t="n">
        <v>0.596494</v>
      </c>
      <c r="P42" s="28" t="n">
        <v>0.05</v>
      </c>
      <c r="Q42" s="28" t="n">
        <v>-0.008248999999999999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38" t="n"/>
      <c r="Z42" s="26" t="n">
        <v>-110</v>
      </c>
      <c r="AA42" s="28" t="n">
        <v>0.523834</v>
      </c>
      <c r="AB42" s="28" t="n"/>
      <c r="AC42" s="40" t="n">
        <v>0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38" t="n"/>
      <c r="BK42" s="26" t="n">
        <v>-153</v>
      </c>
      <c r="BL42" s="39" t="n">
        <v>1.653595</v>
      </c>
      <c r="BM42" s="28" t="n">
        <v>0.604743</v>
      </c>
      <c r="BN42" s="28" t="n">
        <v>0.523834</v>
      </c>
      <c r="BO42" s="28" t="n">
        <v>0.523834</v>
      </c>
      <c r="BP42" s="38" t="n"/>
      <c r="BQ42" s="39" t="n">
        <v>1.909</v>
      </c>
      <c r="BR42" s="28" t="n"/>
      <c r="BS42" s="28" t="n"/>
      <c r="BT42" s="28" t="n"/>
      <c r="BU42" s="38" t="n"/>
      <c r="BV42" s="29" t="n">
        <v>1.55</v>
      </c>
      <c r="BW42" s="24" t="n"/>
      <c r="BX42" s="40" t="n">
        <v>1.5</v>
      </c>
      <c r="BY42" s="39" t="n">
        <v>0.980392</v>
      </c>
      <c r="BZ42" s="24" t="inlineStr">
        <is>
          <t>2026-07-22T23:44:22Z</t>
        </is>
      </c>
      <c r="CA42" s="31" t="inlineStr">
        <is>
          <t>diagnostic — research only, no orders executed</t>
        </is>
      </c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-110</v>
      </c>
      <c r="M43" s="39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38" t="n"/>
      <c r="Z43" s="26" t="n">
        <v>-110</v>
      </c>
      <c r="AA43" s="28" t="n">
        <v>0.523834</v>
      </c>
      <c r="AB43" s="28" t="n"/>
      <c r="AC43" s="40" t="n">
        <v>0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38" t="n"/>
      <c r="BK43" s="26" t="n">
        <v>-110</v>
      </c>
      <c r="BL43" s="39" t="n">
        <v>1.909</v>
      </c>
      <c r="BM43" s="28" t="n">
        <v>0.523834</v>
      </c>
      <c r="BN43" s="28" t="n">
        <v>0.523834</v>
      </c>
      <c r="BO43" s="28" t="n">
        <v>0.523834</v>
      </c>
      <c r="BP43" s="38" t="n"/>
      <c r="BQ43" s="39" t="n">
        <v>1.909</v>
      </c>
      <c r="BR43" s="28" t="n"/>
      <c r="BS43" s="28" t="n"/>
      <c r="BT43" s="28" t="n"/>
      <c r="BU43" s="38" t="n"/>
      <c r="BV43" s="29" t="n">
        <v>1.35</v>
      </c>
      <c r="BW43" s="24" t="n"/>
      <c r="BX43" s="40" t="n">
        <v>1.5</v>
      </c>
      <c r="BY43" s="39" t="n">
        <v>1.3635</v>
      </c>
      <c r="BZ43" s="24" t="inlineStr">
        <is>
          <t>2026-07-22T23:44:22Z</t>
        </is>
      </c>
      <c r="CA43" s="31" t="inlineStr">
        <is>
          <t>diagnostic — research only, no orders executed</t>
        </is>
      </c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135</v>
      </c>
      <c r="M44" s="39" t="n">
        <v>2.35</v>
      </c>
      <c r="N44" s="28" t="n">
        <v>0.425532</v>
      </c>
      <c r="O44" s="28" t="n">
        <v>0.583901</v>
      </c>
      <c r="P44" s="28" t="n">
        <v>0.05</v>
      </c>
      <c r="Q44" s="28" t="n">
        <v>0.158369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38" t="n"/>
      <c r="Z44" s="26" t="n">
        <v>-110</v>
      </c>
      <c r="AA44" s="28" t="n">
        <v>0.523834</v>
      </c>
      <c r="AB44" s="28" t="n"/>
      <c r="AC44" s="40" t="n">
        <v>0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38" t="n"/>
      <c r="BK44" s="26" t="n">
        <v>135</v>
      </c>
      <c r="BL44" s="39" t="n">
        <v>2.35</v>
      </c>
      <c r="BM44" s="28" t="n">
        <v>0.425532</v>
      </c>
      <c r="BN44" s="28" t="n">
        <v>0.523834</v>
      </c>
      <c r="BO44" s="28" t="n">
        <v>0.523834</v>
      </c>
      <c r="BP44" s="38" t="n"/>
      <c r="BQ44" s="39" t="n">
        <v>1.909</v>
      </c>
      <c r="BR44" s="28" t="n"/>
      <c r="BS44" s="28" t="n"/>
      <c r="BT44" s="28" t="n"/>
      <c r="BU44" s="38" t="n"/>
      <c r="BV44" s="29" t="n">
        <v>0.5</v>
      </c>
      <c r="BW44" s="24" t="n"/>
      <c r="BX44" s="40" t="n">
        <v>1.25</v>
      </c>
      <c r="BY44" s="39" t="n">
        <v>-1.25</v>
      </c>
      <c r="BZ44" s="24" t="inlineStr">
        <is>
          <t>2026-07-22T23:44:22Z</t>
        </is>
      </c>
      <c r="CA44" s="31" t="inlineStr">
        <is>
          <t>diagnostic — research only, no orders executed</t>
        </is>
      </c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38" t="n"/>
      <c r="K45" s="24" t="inlineStr">
        <is>
          <t>polymarket_us</t>
        </is>
      </c>
      <c r="L45" s="26" t="n">
        <v>-110</v>
      </c>
      <c r="M45" s="39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38" t="n"/>
      <c r="Z45" s="26" t="n">
        <v>-110</v>
      </c>
      <c r="AA45" s="28" t="n">
        <v>0.523834</v>
      </c>
      <c r="AB45" s="28" t="n"/>
      <c r="AC45" s="40" t="n">
        <v>0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38" t="n"/>
      <c r="BK45" s="26" t="n">
        <v>-110</v>
      </c>
      <c r="BL45" s="39" t="n">
        <v>1.909</v>
      </c>
      <c r="BM45" s="28" t="n">
        <v>0.523834</v>
      </c>
      <c r="BN45" s="28" t="n">
        <v>0.523834</v>
      </c>
      <c r="BO45" s="28" t="n">
        <v>0.523834</v>
      </c>
      <c r="BP45" s="38" t="n"/>
      <c r="BQ45" s="39" t="n">
        <v>1.909</v>
      </c>
      <c r="BR45" s="28" t="n"/>
      <c r="BS45" s="28" t="n"/>
      <c r="BT45" s="28" t="n"/>
      <c r="BU45" s="38" t="n"/>
      <c r="BV45" s="29" t="n">
        <v>0.5</v>
      </c>
      <c r="BW45" s="24" t="n"/>
      <c r="BX45" s="40" t="n">
        <v>0.5</v>
      </c>
      <c r="BY45" s="39" t="n">
        <v>-0.5</v>
      </c>
      <c r="BZ45" s="24" t="inlineStr">
        <is>
          <t>2026-07-22T23:44:22Z</t>
        </is>
      </c>
      <c r="CA45" s="31" t="inlineStr">
        <is>
          <t>diagnostic — research only, no orders executed</t>
        </is>
      </c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-182</v>
      </c>
      <c r="M46" s="39" t="n">
        <v>1.549451</v>
      </c>
      <c r="N46" s="28" t="n">
        <v>0.64539</v>
      </c>
      <c r="O46" s="28" t="n">
        <v>0.64408</v>
      </c>
      <c r="P46" s="28" t="n">
        <v>0.05</v>
      </c>
      <c r="Q46" s="28" t="n">
        <v>-0.00131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38" t="n"/>
      <c r="Z46" s="26" t="n">
        <v>-110</v>
      </c>
      <c r="AA46" s="28" t="n">
        <v>0.523834</v>
      </c>
      <c r="AB46" s="28" t="n"/>
      <c r="AC46" s="40" t="n">
        <v>0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38" t="n"/>
      <c r="BK46" s="26" t="n">
        <v>-182</v>
      </c>
      <c r="BL46" s="39" t="n">
        <v>1.549451</v>
      </c>
      <c r="BM46" s="28" t="n">
        <v>0.64539</v>
      </c>
      <c r="BN46" s="28" t="n">
        <v>0.523834</v>
      </c>
      <c r="BO46" s="28" t="n">
        <v>0.523834</v>
      </c>
      <c r="BP46" s="38" t="n"/>
      <c r="BQ46" s="39" t="n">
        <v>1.909</v>
      </c>
      <c r="BR46" s="28" t="n"/>
      <c r="BS46" s="28" t="n"/>
      <c r="BT46" s="28" t="n"/>
      <c r="BU46" s="38" t="n"/>
      <c r="BV46" s="29" t="n">
        <v>1.74</v>
      </c>
      <c r="BW46" s="24" t="n"/>
      <c r="BX46" s="40" t="n">
        <v>2</v>
      </c>
      <c r="BY46" s="39" t="n">
        <v>1.098901</v>
      </c>
      <c r="BZ46" s="24" t="inlineStr">
        <is>
          <t>2026-07-22T23:44:22Z</t>
        </is>
      </c>
      <c r="CA46" s="31" t="inlineStr">
        <is>
          <t>diagnostic — research only, no orders executed</t>
        </is>
      </c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-110</v>
      </c>
      <c r="M47" s="39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38" t="n"/>
      <c r="Z47" s="26" t="n">
        <v>-110</v>
      </c>
      <c r="AA47" s="28" t="n">
        <v>0.523834</v>
      </c>
      <c r="AB47" s="28" t="n"/>
      <c r="AC47" s="40" t="n">
        <v>0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38" t="n"/>
      <c r="BK47" s="26" t="n">
        <v>-110</v>
      </c>
      <c r="BL47" s="39" t="n">
        <v>1.909</v>
      </c>
      <c r="BM47" s="28" t="n">
        <v>0.523834</v>
      </c>
      <c r="BN47" s="28" t="n">
        <v>0.523834</v>
      </c>
      <c r="BO47" s="28" t="n">
        <v>0.523834</v>
      </c>
      <c r="BP47" s="38" t="n"/>
      <c r="BQ47" s="39" t="n">
        <v>1.909</v>
      </c>
      <c r="BR47" s="28" t="n"/>
      <c r="BS47" s="28" t="n"/>
      <c r="BT47" s="28" t="n"/>
      <c r="BU47" s="38" t="n"/>
      <c r="BV47" s="29" t="n">
        <v>0.5</v>
      </c>
      <c r="BW47" s="24" t="n"/>
      <c r="BX47" s="40" t="n">
        <v>0.5</v>
      </c>
      <c r="BY47" s="39" t="n">
        <v>0.4545</v>
      </c>
      <c r="BZ47" s="24" t="inlineStr">
        <is>
          <t>2026-07-22T23:44:22Z</t>
        </is>
      </c>
      <c r="CA47" s="31" t="inlineStr">
        <is>
          <t>diagnostic — research only, no orders executed</t>
        </is>
      </c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38" t="n"/>
      <c r="K48" s="24" t="inlineStr">
        <is>
          <t>polymarket_us</t>
        </is>
      </c>
      <c r="L48" s="26" t="n">
        <v>-110</v>
      </c>
      <c r="M48" s="39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38" t="n"/>
      <c r="Z48" s="26" t="n">
        <v>-110</v>
      </c>
      <c r="AA48" s="28" t="n">
        <v>0.523834</v>
      </c>
      <c r="AB48" s="28" t="n"/>
      <c r="AC48" s="40" t="n">
        <v>0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38" t="n"/>
      <c r="BK48" s="26" t="n">
        <v>-110</v>
      </c>
      <c r="BL48" s="39" t="n">
        <v>1.909</v>
      </c>
      <c r="BM48" s="28" t="n">
        <v>0.523834</v>
      </c>
      <c r="BN48" s="28" t="n">
        <v>0.523834</v>
      </c>
      <c r="BO48" s="28" t="n">
        <v>0.523834</v>
      </c>
      <c r="BP48" s="38" t="n"/>
      <c r="BQ48" s="39" t="n">
        <v>1.909</v>
      </c>
      <c r="BR48" s="28" t="n"/>
      <c r="BS48" s="28" t="n"/>
      <c r="BT48" s="28" t="n"/>
      <c r="BU48" s="38" t="n"/>
      <c r="BV48" s="29" t="n">
        <v>0.5</v>
      </c>
      <c r="BW48" s="24" t="n"/>
      <c r="BX48" s="40" t="n">
        <v>1.25</v>
      </c>
      <c r="BY48" s="39" t="n">
        <v>-1.25</v>
      </c>
      <c r="BZ48" s="24" t="inlineStr">
        <is>
          <t>2026-07-22T23:44:22Z</t>
        </is>
      </c>
      <c r="CA48" s="31" t="inlineStr">
        <is>
          <t>diagnostic — research only, no orders executed</t>
        </is>
      </c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polymarket_us</t>
        </is>
      </c>
      <c r="L49" s="26" t="n">
        <v>-110</v>
      </c>
      <c r="M49" s="39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38" t="n"/>
      <c r="Z49" s="26" t="n"/>
      <c r="AA49" s="28" t="n"/>
      <c r="AB49" s="28" t="n"/>
      <c r="AC49" s="40" t="n">
        <v>0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38" t="n"/>
      <c r="BK49" s="26" t="n">
        <v>-110</v>
      </c>
      <c r="BL49" s="39" t="n">
        <v>1.909</v>
      </c>
      <c r="BM49" s="28" t="n">
        <v>0.523834</v>
      </c>
      <c r="BN49" s="28" t="n">
        <v>0.523834</v>
      </c>
      <c r="BO49" s="28" t="n">
        <v>0.523834</v>
      </c>
      <c r="BP49" s="38" t="n"/>
      <c r="BQ49" s="39" t="n"/>
      <c r="BR49" s="28" t="n"/>
      <c r="BS49" s="28" t="n"/>
      <c r="BT49" s="28" t="n"/>
      <c r="BU49" s="38" t="n"/>
      <c r="BV49" s="29" t="n">
        <v>0.97</v>
      </c>
      <c r="BW49" s="24" t="n"/>
      <c r="BX49" s="40" t="n">
        <v>1</v>
      </c>
      <c r="BY49" s="39" t="n">
        <v>0.909</v>
      </c>
      <c r="BZ49" s="24" t="inlineStr">
        <is>
          <t>2026-07-22T23:40:20.818890Z</t>
        </is>
      </c>
      <c r="CA49" s="31" t="inlineStr">
        <is>
          <t>diagnostic — research only, no orders executed</t>
        </is>
      </c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polymarket_us</t>
        </is>
      </c>
      <c r="L50" s="26" t="n">
        <v>-110</v>
      </c>
      <c r="M50" s="39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38" t="n"/>
      <c r="Z50" s="26" t="n">
        <v>-110</v>
      </c>
      <c r="AA50" s="28" t="n">
        <v>0.523834</v>
      </c>
      <c r="AB50" s="28" t="n"/>
      <c r="AC50" s="40" t="n">
        <v>0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38" t="n"/>
      <c r="BK50" s="26" t="n">
        <v>-110</v>
      </c>
      <c r="BL50" s="39" t="n">
        <v>1.909</v>
      </c>
      <c r="BM50" s="28" t="n">
        <v>0.523834</v>
      </c>
      <c r="BN50" s="28" t="n">
        <v>0.523834</v>
      </c>
      <c r="BO50" s="28" t="n">
        <v>0.523834</v>
      </c>
      <c r="BP50" s="38" t="n"/>
      <c r="BQ50" s="39" t="n">
        <v>1.909</v>
      </c>
      <c r="BR50" s="28" t="n"/>
      <c r="BS50" s="28" t="n"/>
      <c r="BT50" s="28" t="n"/>
      <c r="BU50" s="38" t="n"/>
      <c r="BV50" s="29" t="n">
        <v>0.5</v>
      </c>
      <c r="BW50" s="24" t="n"/>
      <c r="BX50" s="40" t="n">
        <v>0.75</v>
      </c>
      <c r="BY50" s="39" t="n">
        <v>-0.75</v>
      </c>
      <c r="BZ50" s="24" t="inlineStr">
        <is>
          <t>2026-07-22T23:44:22Z</t>
        </is>
      </c>
      <c r="CA50" s="31" t="inlineStr">
        <is>
          <t>diagnostic — research only, no orders executed</t>
        </is>
      </c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polymarket_us</t>
        </is>
      </c>
      <c r="L51" s="26" t="n">
        <v>-108</v>
      </c>
      <c r="M51" s="39" t="n">
        <v>1.925926</v>
      </c>
      <c r="N51" s="28" t="n">
        <v>0.519231</v>
      </c>
      <c r="O51" s="28" t="n">
        <v>0.625068</v>
      </c>
      <c r="P51" s="28" t="n">
        <v>0.05</v>
      </c>
      <c r="Q51" s="28" t="n">
        <v>0.105837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38" t="n"/>
      <c r="Z51" s="26" t="n">
        <v>-110</v>
      </c>
      <c r="AA51" s="28" t="n">
        <v>0.523834</v>
      </c>
      <c r="AB51" s="28" t="n"/>
      <c r="AC51" s="40" t="n">
        <v>0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38" t="n"/>
      <c r="BK51" s="26" t="n">
        <v>-108</v>
      </c>
      <c r="BL51" s="39" t="n">
        <v>1.925926</v>
      </c>
      <c r="BM51" s="28" t="n">
        <v>0.519231</v>
      </c>
      <c r="BN51" s="28" t="n">
        <v>0.523834</v>
      </c>
      <c r="BO51" s="28" t="n">
        <v>0.523834</v>
      </c>
      <c r="BP51" s="38" t="n"/>
      <c r="BQ51" s="39" t="n">
        <v>1.909</v>
      </c>
      <c r="BR51" s="28" t="n"/>
      <c r="BS51" s="28" t="n"/>
      <c r="BT51" s="28" t="n"/>
      <c r="BU51" s="38" t="n"/>
      <c r="BV51" s="29" t="n">
        <v>1.18</v>
      </c>
      <c r="BW51" s="24" t="n"/>
      <c r="BX51" s="40" t="n">
        <v>1.75</v>
      </c>
      <c r="BY51" s="39" t="n">
        <v>1.62037</v>
      </c>
      <c r="BZ51" s="24" t="inlineStr">
        <is>
          <t>2026-07-22T23:44:22Z</t>
        </is>
      </c>
      <c r="CA51" s="31" t="inlineStr">
        <is>
          <t>diagnostic — research only, no orders executed</t>
        </is>
      </c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polymarket_us</t>
        </is>
      </c>
      <c r="L52" s="26" t="n">
        <v>-110</v>
      </c>
      <c r="M52" s="39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38" t="n"/>
      <c r="Z52" s="26" t="n"/>
      <c r="AA52" s="28" t="n"/>
      <c r="AB52" s="28" t="n"/>
      <c r="AC52" s="4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38" t="n"/>
      <c r="BK52" s="26" t="n">
        <v>-110</v>
      </c>
      <c r="BL52" s="39" t="n">
        <v>1.909</v>
      </c>
      <c r="BM52" s="28" t="n">
        <v>0.523834</v>
      </c>
      <c r="BN52" s="28" t="n">
        <v>0.523834</v>
      </c>
      <c r="BO52" s="28" t="n">
        <v>0.523834</v>
      </c>
      <c r="BP52" s="38" t="n"/>
      <c r="BQ52" s="39" t="n"/>
      <c r="BR52" s="28" t="n"/>
      <c r="BS52" s="28" t="n"/>
      <c r="BT52" s="28" t="n"/>
      <c r="BU52" s="38" t="n"/>
      <c r="BV52" s="29" t="n">
        <v>0.5</v>
      </c>
      <c r="BW52" s="24" t="n"/>
      <c r="BX52" s="40" t="n">
        <v>0.5</v>
      </c>
      <c r="BY52" s="39" t="n">
        <v>-0.5</v>
      </c>
      <c r="BZ52" s="24" t="inlineStr">
        <is>
          <t>2026-07-22T23:40:21.862241Z</t>
        </is>
      </c>
      <c r="CA52" s="31" t="inlineStr">
        <is>
          <t>diagnostic — research only, no orders executed</t>
        </is>
      </c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38" t="n"/>
      <c r="K53" s="24" t="inlineStr">
        <is>
          <t>polymarket_us</t>
        </is>
      </c>
      <c r="L53" s="26" t="n">
        <v>-110</v>
      </c>
      <c r="M53" s="39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38" t="n"/>
      <c r="Z53" s="26" t="n">
        <v>-110</v>
      </c>
      <c r="AA53" s="28" t="n">
        <v>0.523834</v>
      </c>
      <c r="AB53" s="28" t="n"/>
      <c r="AC53" s="40" t="n">
        <v>0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38" t="n"/>
      <c r="BK53" s="26" t="n">
        <v>-110</v>
      </c>
      <c r="BL53" s="39" t="n">
        <v>1.909</v>
      </c>
      <c r="BM53" s="28" t="n">
        <v>0.523834</v>
      </c>
      <c r="BN53" s="28" t="n">
        <v>0.523834</v>
      </c>
      <c r="BO53" s="28" t="n">
        <v>0.523834</v>
      </c>
      <c r="BP53" s="38" t="n"/>
      <c r="BQ53" s="39" t="n">
        <v>1.909</v>
      </c>
      <c r="BR53" s="28" t="n"/>
      <c r="BS53" s="28" t="n"/>
      <c r="BT53" s="28" t="n"/>
      <c r="BU53" s="38" t="n"/>
      <c r="BV53" s="29" t="n">
        <v>0.98</v>
      </c>
      <c r="BW53" s="24" t="n"/>
      <c r="BX53" s="40" t="n">
        <v>1.25</v>
      </c>
      <c r="BY53" s="39" t="n">
        <v>1.13625</v>
      </c>
      <c r="BZ53" s="24" t="inlineStr">
        <is>
          <t>2026-07-22T23:44:22Z</t>
        </is>
      </c>
      <c r="CA53" s="31" t="inlineStr">
        <is>
          <t>diagnostic — research only, no orders executed</t>
        </is>
      </c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polymarket_us</t>
        </is>
      </c>
      <c r="L54" s="26" t="n">
        <v>-110</v>
      </c>
      <c r="M54" s="39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38" t="n"/>
      <c r="Z54" s="26" t="n">
        <v>-110</v>
      </c>
      <c r="AA54" s="28" t="n">
        <v>0.523834</v>
      </c>
      <c r="AB54" s="28" t="n"/>
      <c r="AC54" s="40" t="n">
        <v>0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38" t="n"/>
      <c r="BK54" s="26" t="n">
        <v>-110</v>
      </c>
      <c r="BL54" s="39" t="n">
        <v>1.909</v>
      </c>
      <c r="BM54" s="28" t="n">
        <v>0.523834</v>
      </c>
      <c r="BN54" s="28" t="n">
        <v>0.523834</v>
      </c>
      <c r="BO54" s="28" t="n">
        <v>0.523834</v>
      </c>
      <c r="BP54" s="38" t="n"/>
      <c r="BQ54" s="39" t="n">
        <v>1.909</v>
      </c>
      <c r="BR54" s="28" t="n"/>
      <c r="BS54" s="28" t="n"/>
      <c r="BT54" s="28" t="n"/>
      <c r="BU54" s="38" t="n"/>
      <c r="BV54" s="29" t="n">
        <v>0.7</v>
      </c>
      <c r="BW54" s="24" t="n"/>
      <c r="BX54" s="40" t="n">
        <v>1</v>
      </c>
      <c r="BY54" s="39" t="n">
        <v>0.909</v>
      </c>
      <c r="BZ54" s="24" t="inlineStr">
        <is>
          <t>2026-07-22T23:44:22Z</t>
        </is>
      </c>
      <c r="CA54" s="31" t="inlineStr">
        <is>
          <t>diagnostic — research only, no orders executed</t>
        </is>
      </c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polymarket_us</t>
        </is>
      </c>
      <c r="L55" s="26" t="n">
        <v>-203</v>
      </c>
      <c r="M55" s="39" t="n">
        <v>1.492611</v>
      </c>
      <c r="N55" s="28" t="n">
        <v>0.669967</v>
      </c>
      <c r="O55" s="28" t="n">
        <v>0.67463</v>
      </c>
      <c r="P55" s="28" t="n">
        <v>0.05</v>
      </c>
      <c r="Q55" s="28" t="n">
        <v>0.004663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38" t="n"/>
      <c r="Z55" s="26" t="n">
        <v>-110</v>
      </c>
      <c r="AA55" s="28" t="n">
        <v>0.523834</v>
      </c>
      <c r="AB55" s="28" t="n"/>
      <c r="AC55" s="40" t="n">
        <v>0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38" t="n"/>
      <c r="BK55" s="26" t="n">
        <v>-203</v>
      </c>
      <c r="BL55" s="39" t="n">
        <v>1.492611</v>
      </c>
      <c r="BM55" s="28" t="n">
        <v>0.669967</v>
      </c>
      <c r="BN55" s="28" t="n">
        <v>0.523834</v>
      </c>
      <c r="BO55" s="28" t="n">
        <v>0.523834</v>
      </c>
      <c r="BP55" s="38" t="n"/>
      <c r="BQ55" s="39" t="n">
        <v>1.909</v>
      </c>
      <c r="BR55" s="28" t="n"/>
      <c r="BS55" s="28" t="n"/>
      <c r="BT55" s="28" t="n"/>
      <c r="BU55" s="38" t="n"/>
      <c r="BV55" s="29" t="n">
        <v>2</v>
      </c>
      <c r="BW55" s="24" t="n"/>
      <c r="BX55" s="40" t="n">
        <v>2</v>
      </c>
      <c r="BY55" s="39" t="n">
        <v>0.985222</v>
      </c>
      <c r="BZ55" s="24" t="inlineStr">
        <is>
          <t>2026-07-22T23:44:22Z</t>
        </is>
      </c>
      <c r="CA55" s="31" t="inlineStr">
        <is>
          <t>diagnostic — research only, no orders executed</t>
        </is>
      </c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polymarket_us</t>
        </is>
      </c>
      <c r="L56" s="26" t="n">
        <v>-117</v>
      </c>
      <c r="M56" s="39" t="n">
        <v>1.854701</v>
      </c>
      <c r="N56" s="28" t="n">
        <v>0.539171</v>
      </c>
      <c r="O56" s="28" t="n">
        <v>0.595328</v>
      </c>
      <c r="P56" s="28" t="n">
        <v>0.05</v>
      </c>
      <c r="Q56" s="28" t="n">
        <v>0.056157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38" t="n"/>
      <c r="Z56" s="26" t="n">
        <v>-110</v>
      </c>
      <c r="AA56" s="28" t="n">
        <v>0.523834</v>
      </c>
      <c r="AB56" s="28" t="n"/>
      <c r="AC56" s="40" t="n">
        <v>0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38" t="n"/>
      <c r="BK56" s="26" t="n">
        <v>-117</v>
      </c>
      <c r="BL56" s="39" t="n">
        <v>1.854701</v>
      </c>
      <c r="BM56" s="28" t="n">
        <v>0.539171</v>
      </c>
      <c r="BN56" s="28" t="n">
        <v>0.523834</v>
      </c>
      <c r="BO56" s="28" t="n">
        <v>0.523834</v>
      </c>
      <c r="BP56" s="38" t="n"/>
      <c r="BQ56" s="39" t="n">
        <v>1.909</v>
      </c>
      <c r="BR56" s="28" t="n"/>
      <c r="BS56" s="28" t="n"/>
      <c r="BT56" s="28" t="n"/>
      <c r="BU56" s="38" t="n"/>
      <c r="BV56" s="29" t="n">
        <v>0.5</v>
      </c>
      <c r="BW56" s="24" t="n"/>
      <c r="BX56" s="40" t="n">
        <v>1.5</v>
      </c>
      <c r="BY56" s="39" t="n">
        <v>1.282051</v>
      </c>
      <c r="BZ56" s="24" t="inlineStr">
        <is>
          <t>2026-07-22T23:44:22Z</t>
        </is>
      </c>
      <c r="CA56" s="31" t="inlineStr">
        <is>
          <t>diagnostic — research only, no orders executed</t>
        </is>
      </c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polymarket_us</t>
        </is>
      </c>
      <c r="L57" s="26" t="n">
        <v>-160</v>
      </c>
      <c r="M57" s="39" t="n">
        <v>1.625</v>
      </c>
      <c r="N57" s="28" t="n">
        <v>0.615385</v>
      </c>
      <c r="O57" s="28" t="n">
        <v>0.6185310000000001</v>
      </c>
      <c r="P57" s="28" t="n">
        <v>0.05</v>
      </c>
      <c r="Q57" s="28" t="n">
        <v>0.003146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38" t="n"/>
      <c r="Z57" s="26" t="n">
        <v>-110</v>
      </c>
      <c r="AA57" s="28" t="n">
        <v>0.523834</v>
      </c>
      <c r="AB57" s="28" t="n"/>
      <c r="AC57" s="40" t="n">
        <v>0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38" t="n"/>
      <c r="BK57" s="26" t="n">
        <v>-160</v>
      </c>
      <c r="BL57" s="39" t="n">
        <v>1.625</v>
      </c>
      <c r="BM57" s="28" t="n">
        <v>0.615385</v>
      </c>
      <c r="BN57" s="28" t="n">
        <v>0.523834</v>
      </c>
      <c r="BO57" s="28" t="n">
        <v>0.523834</v>
      </c>
      <c r="BP57" s="38" t="n"/>
      <c r="BQ57" s="39" t="n">
        <v>1.909</v>
      </c>
      <c r="BR57" s="28" t="n"/>
      <c r="BS57" s="28" t="n"/>
      <c r="BT57" s="28" t="n"/>
      <c r="BU57" s="38" t="n"/>
      <c r="BV57" s="29" t="n">
        <v>0.59</v>
      </c>
      <c r="BW57" s="24" t="n"/>
      <c r="BX57" s="40" t="n">
        <v>1.75</v>
      </c>
      <c r="BY57" s="39" t="n">
        <v>1.09375</v>
      </c>
      <c r="BZ57" s="24" t="inlineStr">
        <is>
          <t>2026-07-22T23:44:22Z</t>
        </is>
      </c>
      <c r="CA57" s="31" t="inlineStr">
        <is>
          <t>diagnostic — research only, no orders executed</t>
        </is>
      </c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polymarket_us</t>
        </is>
      </c>
      <c r="L58" s="26" t="n">
        <v>-110</v>
      </c>
      <c r="M58" s="39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38" t="n"/>
      <c r="Z58" s="26" t="n">
        <v>-110</v>
      </c>
      <c r="AA58" s="28" t="n">
        <v>0.523834</v>
      </c>
      <c r="AB58" s="28" t="n"/>
      <c r="AC58" s="40" t="n">
        <v>0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38" t="n"/>
      <c r="BK58" s="26" t="n">
        <v>-110</v>
      </c>
      <c r="BL58" s="39" t="n">
        <v>1.909</v>
      </c>
      <c r="BM58" s="28" t="n">
        <v>0.523834</v>
      </c>
      <c r="BN58" s="28" t="n">
        <v>0.523834</v>
      </c>
      <c r="BO58" s="28" t="n">
        <v>0.523834</v>
      </c>
      <c r="BP58" s="38" t="n"/>
      <c r="BQ58" s="39" t="n">
        <v>1.909</v>
      </c>
      <c r="BR58" s="28" t="n"/>
      <c r="BS58" s="28" t="n"/>
      <c r="BT58" s="28" t="n"/>
      <c r="BU58" s="38" t="n"/>
      <c r="BV58" s="29" t="n">
        <v>0.93</v>
      </c>
      <c r="BW58" s="24" t="n"/>
      <c r="BX58" s="40" t="n">
        <v>1</v>
      </c>
      <c r="BY58" s="39" t="n">
        <v>0.909</v>
      </c>
      <c r="BZ58" s="24" t="inlineStr">
        <is>
          <t>2026-07-22T23:44:22Z</t>
        </is>
      </c>
      <c r="CA58" s="31" t="inlineStr">
        <is>
          <t>diagnostic — research only, no orders executed</t>
        </is>
      </c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38" t="n"/>
      <c r="K59" s="24" t="inlineStr">
        <is>
          <t>polymarket_us</t>
        </is>
      </c>
      <c r="L59" s="26" t="n">
        <v>-110</v>
      </c>
      <c r="M59" s="39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38" t="n"/>
      <c r="Z59" s="26" t="n">
        <v>-110</v>
      </c>
      <c r="AA59" s="28" t="n">
        <v>0.523834</v>
      </c>
      <c r="AB59" s="28" t="n"/>
      <c r="AC59" s="40" t="n">
        <v>0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38" t="n"/>
      <c r="BK59" s="26" t="n">
        <v>-110</v>
      </c>
      <c r="BL59" s="39" t="n">
        <v>1.909</v>
      </c>
      <c r="BM59" s="28" t="n">
        <v>0.523834</v>
      </c>
      <c r="BN59" s="28" t="n">
        <v>0.523834</v>
      </c>
      <c r="BO59" s="28" t="n">
        <v>0.523834</v>
      </c>
      <c r="BP59" s="38" t="n"/>
      <c r="BQ59" s="39" t="n">
        <v>1.909</v>
      </c>
      <c r="BR59" s="28" t="n"/>
      <c r="BS59" s="28" t="n"/>
      <c r="BT59" s="28" t="n"/>
      <c r="BU59" s="38" t="n"/>
      <c r="BV59" s="29" t="n">
        <v>0.5</v>
      </c>
      <c r="BW59" s="24" t="n"/>
      <c r="BX59" s="40" t="n">
        <v>0.5</v>
      </c>
      <c r="BY59" s="39" t="n">
        <v>0.4545</v>
      </c>
      <c r="BZ59" s="24" t="inlineStr">
        <is>
          <t>2026-07-22T23:44:22Z</t>
        </is>
      </c>
      <c r="CA59" s="31" t="inlineStr">
        <is>
          <t>diagnostic — research only, no orders executed</t>
        </is>
      </c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38" t="n"/>
      <c r="K60" s="24" t="inlineStr">
        <is>
          <t>polymarket_us</t>
        </is>
      </c>
      <c r="L60" s="26" t="n">
        <v>-110</v>
      </c>
      <c r="M60" s="39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38" t="n"/>
      <c r="Z60" s="26" t="n">
        <v>-110</v>
      </c>
      <c r="AA60" s="28" t="n">
        <v>0.523834</v>
      </c>
      <c r="AB60" s="28" t="n"/>
      <c r="AC60" s="40" t="n">
        <v>0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38" t="n"/>
      <c r="BK60" s="26" t="n">
        <v>-110</v>
      </c>
      <c r="BL60" s="39" t="n">
        <v>1.909</v>
      </c>
      <c r="BM60" s="28" t="n">
        <v>0.523834</v>
      </c>
      <c r="BN60" s="28" t="n">
        <v>0.523834</v>
      </c>
      <c r="BO60" s="28" t="n">
        <v>0.523834</v>
      </c>
      <c r="BP60" s="38" t="n"/>
      <c r="BQ60" s="39" t="n">
        <v>1.909</v>
      </c>
      <c r="BR60" s="28" t="n"/>
      <c r="BS60" s="28" t="n"/>
      <c r="BT60" s="28" t="n"/>
      <c r="BU60" s="38" t="n"/>
      <c r="BV60" s="29" t="n">
        <v>1.19</v>
      </c>
      <c r="BW60" s="24" t="n"/>
      <c r="BX60" s="40" t="n">
        <v>1.25</v>
      </c>
      <c r="BY60" s="39" t="n">
        <v>-1.25</v>
      </c>
      <c r="BZ60" s="24" t="inlineStr">
        <is>
          <t>2026-07-22T23:44:22Z</t>
        </is>
      </c>
      <c r="CA60" s="31" t="inlineStr">
        <is>
          <t>diagnostic — research only, no orders executed</t>
        </is>
      </c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polymarket_us</t>
        </is>
      </c>
      <c r="L61" s="26" t="n">
        <v>-110</v>
      </c>
      <c r="M61" s="39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38" t="n"/>
      <c r="Z61" s="26" t="n">
        <v>-110</v>
      </c>
      <c r="AA61" s="28" t="n">
        <v>0.523834</v>
      </c>
      <c r="AB61" s="28" t="n"/>
      <c r="AC61" s="40" t="n">
        <v>0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38" t="n"/>
      <c r="BK61" s="26" t="n">
        <v>-110</v>
      </c>
      <c r="BL61" s="39" t="n">
        <v>1.909</v>
      </c>
      <c r="BM61" s="28" t="n">
        <v>0.523834</v>
      </c>
      <c r="BN61" s="28" t="n">
        <v>0.523834</v>
      </c>
      <c r="BO61" s="28" t="n">
        <v>0.523834</v>
      </c>
      <c r="BP61" s="38" t="n"/>
      <c r="BQ61" s="39" t="n">
        <v>1.909</v>
      </c>
      <c r="BR61" s="28" t="n"/>
      <c r="BS61" s="28" t="n"/>
      <c r="BT61" s="28" t="n"/>
      <c r="BU61" s="38" t="n"/>
      <c r="BV61" s="29" t="n">
        <v>0.84</v>
      </c>
      <c r="BW61" s="24" t="n"/>
      <c r="BX61" s="40" t="n">
        <v>0.5</v>
      </c>
      <c r="BY61" s="39" t="n">
        <v>0.4545</v>
      </c>
      <c r="BZ61" s="24" t="inlineStr">
        <is>
          <t>2026-07-22T23:44:22Z</t>
        </is>
      </c>
      <c r="CA61" s="31" t="inlineStr">
        <is>
          <t>diagnostic — research only, no orders executed</t>
        </is>
      </c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-110</v>
      </c>
      <c r="M62" s="39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38" t="n"/>
      <c r="Z62" s="26" t="n">
        <v>-110</v>
      </c>
      <c r="AA62" s="28" t="n">
        <v>0.523834</v>
      </c>
      <c r="AB62" s="28" t="n"/>
      <c r="AC62" s="40" t="n">
        <v>0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38" t="n"/>
      <c r="BK62" s="26" t="n">
        <v>-110</v>
      </c>
      <c r="BL62" s="39" t="n">
        <v>1.909</v>
      </c>
      <c r="BM62" s="28" t="n">
        <v>0.523834</v>
      </c>
      <c r="BN62" s="28" t="n">
        <v>0.523834</v>
      </c>
      <c r="BO62" s="28" t="n">
        <v>0.523834</v>
      </c>
      <c r="BP62" s="38" t="n"/>
      <c r="BQ62" s="39" t="n">
        <v>1.909</v>
      </c>
      <c r="BR62" s="28" t="n"/>
      <c r="BS62" s="28" t="n"/>
      <c r="BT62" s="28" t="n"/>
      <c r="BU62" s="38" t="n"/>
      <c r="BV62" s="29" t="n">
        <v>1.3</v>
      </c>
      <c r="BW62" s="24" t="n"/>
      <c r="BX62" s="40" t="n">
        <v>1.25</v>
      </c>
      <c r="BY62" s="39" t="n">
        <v>-1.25</v>
      </c>
      <c r="BZ62" s="24" t="inlineStr">
        <is>
          <t>2026-07-22T23:44:22Z</t>
        </is>
      </c>
      <c r="CA62" s="31" t="inlineStr">
        <is>
          <t>diagnostic — research only, no orders executed</t>
        </is>
      </c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38" t="n"/>
      <c r="K63" s="24" t="inlineStr">
        <is>
          <t>polymarket_us</t>
        </is>
      </c>
      <c r="L63" s="26" t="n">
        <v>-110</v>
      </c>
      <c r="M63" s="39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38" t="n"/>
      <c r="Z63" s="26" t="n"/>
      <c r="AA63" s="28" t="n"/>
      <c r="AB63" s="28" t="n"/>
      <c r="AC63" s="40" t="n">
        <v>0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38" t="n"/>
      <c r="BK63" s="26" t="n">
        <v>-110</v>
      </c>
      <c r="BL63" s="39" t="n">
        <v>1.909</v>
      </c>
      <c r="BM63" s="28" t="n">
        <v>0.523834</v>
      </c>
      <c r="BN63" s="28" t="n">
        <v>0.523834</v>
      </c>
      <c r="BO63" s="28" t="n">
        <v>0.523834</v>
      </c>
      <c r="BP63" s="38" t="n"/>
      <c r="BQ63" s="39" t="n"/>
      <c r="BR63" s="28" t="n"/>
      <c r="BS63" s="28" t="n"/>
      <c r="BT63" s="28" t="n"/>
      <c r="BU63" s="38" t="n"/>
      <c r="BV63" s="29" t="n">
        <v>0.5</v>
      </c>
      <c r="BW63" s="24" t="n"/>
      <c r="BX63" s="40" t="n">
        <v>0.75</v>
      </c>
      <c r="BY63" s="39" t="n">
        <v>-0.75</v>
      </c>
      <c r="BZ63" s="24" t="inlineStr">
        <is>
          <t>2026-07-22T23:40:24.325703Z</t>
        </is>
      </c>
      <c r="CA63" s="31" t="inlineStr">
        <is>
          <t>diagnostic — research only, no orders executed</t>
        </is>
      </c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38" t="n"/>
      <c r="K64" s="24" t="inlineStr">
        <is>
          <t>polymarket_us</t>
        </is>
      </c>
      <c r="L64" s="26" t="n">
        <v>-110</v>
      </c>
      <c r="M64" s="39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38" t="n"/>
      <c r="Z64" s="26" t="n"/>
      <c r="AA64" s="28" t="n"/>
      <c r="AB64" s="28" t="n"/>
      <c r="AC64" s="40" t="n">
        <v>0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38" t="n"/>
      <c r="BK64" s="26" t="n">
        <v>-110</v>
      </c>
      <c r="BL64" s="39" t="n">
        <v>1.909</v>
      </c>
      <c r="BM64" s="28" t="n">
        <v>0.523834</v>
      </c>
      <c r="BN64" s="28" t="n">
        <v>0.523834</v>
      </c>
      <c r="BO64" s="28" t="n">
        <v>0.523834</v>
      </c>
      <c r="BP64" s="38" t="n"/>
      <c r="BQ64" s="39" t="n"/>
      <c r="BR64" s="28" t="n"/>
      <c r="BS64" s="28" t="n"/>
      <c r="BT64" s="28" t="n"/>
      <c r="BU64" s="38" t="n"/>
      <c r="BV64" s="29" t="n">
        <v>0.5</v>
      </c>
      <c r="BW64" s="24" t="n"/>
      <c r="BX64" s="40" t="n">
        <v>1</v>
      </c>
      <c r="BY64" s="39" t="n">
        <v>0.909</v>
      </c>
      <c r="BZ64" s="24" t="inlineStr">
        <is>
          <t>2026-07-22T23:40:25.414720Z</t>
        </is>
      </c>
      <c r="CA64" s="31" t="inlineStr">
        <is>
          <t>diagnostic — research only, no orders executed</t>
        </is>
      </c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-110</v>
      </c>
      <c r="M65" s="39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38" t="n"/>
      <c r="Z65" s="26" t="n">
        <v>-110</v>
      </c>
      <c r="AA65" s="28" t="n">
        <v>0.523834</v>
      </c>
      <c r="AB65" s="28" t="n"/>
      <c r="AC65" s="40" t="n">
        <v>0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38" t="n"/>
      <c r="BK65" s="26" t="n">
        <v>-110</v>
      </c>
      <c r="BL65" s="39" t="n">
        <v>1.909</v>
      </c>
      <c r="BM65" s="28" t="n">
        <v>0.523834</v>
      </c>
      <c r="BN65" s="28" t="n">
        <v>0.523834</v>
      </c>
      <c r="BO65" s="28" t="n">
        <v>0.523834</v>
      </c>
      <c r="BP65" s="38" t="n"/>
      <c r="BQ65" s="39" t="n">
        <v>1.909</v>
      </c>
      <c r="BR65" s="28" t="n"/>
      <c r="BS65" s="28" t="n"/>
      <c r="BT65" s="28" t="n"/>
      <c r="BU65" s="38" t="n"/>
      <c r="BV65" s="29" t="n">
        <v>0.79</v>
      </c>
      <c r="BW65" s="24" t="n"/>
      <c r="BX65" s="40" t="n">
        <v>0.5</v>
      </c>
      <c r="BY65" s="39" t="n">
        <v>0.4545</v>
      </c>
      <c r="BZ65" s="24" t="inlineStr">
        <is>
          <t>2026-07-22T23:44:22Z</t>
        </is>
      </c>
      <c r="CA65" s="31" t="inlineStr">
        <is>
          <t>diagnostic — research only, no orders executed</t>
        </is>
      </c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38" t="n"/>
      <c r="K66" s="24" t="inlineStr">
        <is>
          <t>polymarket_us</t>
        </is>
      </c>
      <c r="L66" s="26" t="n">
        <v>122</v>
      </c>
      <c r="M66" s="39" t="n">
        <v>2.22</v>
      </c>
      <c r="N66" s="28" t="n">
        <v>0.45045</v>
      </c>
      <c r="O66" s="28" t="n">
        <v>0.593809</v>
      </c>
      <c r="P66" s="28" t="n">
        <v>0.05</v>
      </c>
      <c r="Q66" s="28" t="n">
        <v>0.143359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push</t>
        </is>
      </c>
      <c r="W66" s="26" t="n">
        <v>0</v>
      </c>
      <c r="X66" s="26" t="n">
        <v>0</v>
      </c>
      <c r="Y66" s="38" t="n"/>
      <c r="Z66" s="26" t="n">
        <v>-110</v>
      </c>
      <c r="AA66" s="28" t="n">
        <v>0.523834</v>
      </c>
      <c r="AB66" s="28" t="n"/>
      <c r="AC66" s="40" t="n">
        <v>0</v>
      </c>
      <c r="AD66" s="24" t="inlineStr">
        <is>
          <t>2026-07-23T00:01:14Z</t>
        </is>
      </c>
      <c r="AE66" s="31" t="n"/>
      <c r="AF66" s="31" t="n"/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38" t="n"/>
      <c r="BK66" s="26" t="n">
        <v>122</v>
      </c>
      <c r="BL66" s="39" t="n">
        <v>2.22</v>
      </c>
      <c r="BM66" s="28" t="n">
        <v>0.45045</v>
      </c>
      <c r="BN66" s="28" t="n">
        <v>0.523834</v>
      </c>
      <c r="BO66" s="28" t="n">
        <v>0.523834</v>
      </c>
      <c r="BP66" s="38" t="n"/>
      <c r="BQ66" s="39" t="n">
        <v>1.909</v>
      </c>
      <c r="BR66" s="28" t="n"/>
      <c r="BS66" s="28" t="n"/>
      <c r="BT66" s="28" t="n"/>
      <c r="BU66" s="38" t="n"/>
      <c r="BV66" s="29" t="n">
        <v>1.04</v>
      </c>
      <c r="BW66" s="24" t="inlineStr">
        <is>
          <t>postponed</t>
        </is>
      </c>
      <c r="BX66" s="40" t="n">
        <v>1.5</v>
      </c>
      <c r="BY66" s="39" t="n">
        <v>1.83</v>
      </c>
      <c r="BZ66" s="24" t="inlineStr">
        <is>
          <t>2026-07-23T00:01:14Z</t>
        </is>
      </c>
      <c r="CA66" s="31" t="inlineStr">
        <is>
          <t>diagnostic — research only, no orders executed</t>
        </is>
      </c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-110</v>
      </c>
      <c r="M67" s="39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38" t="n"/>
      <c r="Z67" s="26" t="n">
        <v>-110</v>
      </c>
      <c r="AA67" s="28" t="n">
        <v>0.523834</v>
      </c>
      <c r="AB67" s="28" t="n"/>
      <c r="AC67" s="40" t="n">
        <v>0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38" t="n"/>
      <c r="BK67" s="26" t="n">
        <v>-110</v>
      </c>
      <c r="BL67" s="39" t="n">
        <v>1.909</v>
      </c>
      <c r="BM67" s="28" t="n">
        <v>0.523834</v>
      </c>
      <c r="BN67" s="28" t="n">
        <v>0.523834</v>
      </c>
      <c r="BO67" s="28" t="n">
        <v>0.523834</v>
      </c>
      <c r="BP67" s="38" t="n"/>
      <c r="BQ67" s="39" t="n">
        <v>1.909</v>
      </c>
      <c r="BR67" s="28" t="n"/>
      <c r="BS67" s="28" t="n"/>
      <c r="BT67" s="28" t="n"/>
      <c r="BU67" s="38" t="n"/>
      <c r="BV67" s="29" t="n">
        <v>0.5</v>
      </c>
      <c r="BW67" s="24" t="n"/>
      <c r="BX67" s="40" t="n">
        <v>0.75</v>
      </c>
      <c r="BY67" s="39" t="n">
        <v>-0.75</v>
      </c>
      <c r="BZ67" s="24" t="inlineStr">
        <is>
          <t>2026-07-22T23:44:22Z</t>
        </is>
      </c>
      <c r="CA67" s="31" t="inlineStr">
        <is>
          <t>diagnostic — research only, no orders executed</t>
        </is>
      </c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-110</v>
      </c>
      <c r="M68" s="39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38" t="n"/>
      <c r="Z68" s="26" t="n">
        <v>-110</v>
      </c>
      <c r="AA68" s="28" t="n">
        <v>0.523834</v>
      </c>
      <c r="AB68" s="28" t="n"/>
      <c r="AC68" s="40" t="n">
        <v>0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38" t="n"/>
      <c r="BK68" s="26" t="n">
        <v>-110</v>
      </c>
      <c r="BL68" s="39" t="n">
        <v>1.909</v>
      </c>
      <c r="BM68" s="28" t="n">
        <v>0.523834</v>
      </c>
      <c r="BN68" s="28" t="n">
        <v>0.523834</v>
      </c>
      <c r="BO68" s="28" t="n">
        <v>0.523834</v>
      </c>
      <c r="BP68" s="38" t="n"/>
      <c r="BQ68" s="39" t="n">
        <v>1.909</v>
      </c>
      <c r="BR68" s="28" t="n"/>
      <c r="BS68" s="28" t="n"/>
      <c r="BT68" s="28" t="n"/>
      <c r="BU68" s="38" t="n"/>
      <c r="BV68" s="29" t="n">
        <v>1.01</v>
      </c>
      <c r="BW68" s="24" t="n"/>
      <c r="BX68" s="40" t="n">
        <v>1</v>
      </c>
      <c r="BY68" s="39" t="n">
        <v>0.909</v>
      </c>
      <c r="BZ68" s="24" t="inlineStr">
        <is>
          <t>2026-07-23T00:01:14Z</t>
        </is>
      </c>
      <c r="CA68" s="31" t="inlineStr">
        <is>
          <t>diagnostic — research only, no orders executed</t>
        </is>
      </c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-110</v>
      </c>
      <c r="M69" s="39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38" t="n"/>
      <c r="Z69" s="26" t="n">
        <v>-110</v>
      </c>
      <c r="AA69" s="28" t="n">
        <v>0.523834</v>
      </c>
      <c r="AB69" s="28" t="n"/>
      <c r="AC69" s="40" t="n">
        <v>0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38" t="n"/>
      <c r="BK69" s="26" t="n">
        <v>-110</v>
      </c>
      <c r="BL69" s="39" t="n">
        <v>1.909</v>
      </c>
      <c r="BM69" s="28" t="n">
        <v>0.523834</v>
      </c>
      <c r="BN69" s="28" t="n">
        <v>0.523834</v>
      </c>
      <c r="BO69" s="28" t="n">
        <v>0.523834</v>
      </c>
      <c r="BP69" s="38" t="n"/>
      <c r="BQ69" s="39" t="n">
        <v>1.909</v>
      </c>
      <c r="BR69" s="28" t="n"/>
      <c r="BS69" s="28" t="n"/>
      <c r="BT69" s="28" t="n"/>
      <c r="BU69" s="38" t="n"/>
      <c r="BV69" s="29" t="n">
        <v>0.76</v>
      </c>
      <c r="BW69" s="24" t="n"/>
      <c r="BX69" s="40" t="n">
        <v>1.25</v>
      </c>
      <c r="BY69" s="39" t="n">
        <v>-1.25</v>
      </c>
      <c r="BZ69" s="24" t="inlineStr">
        <is>
          <t>2026-07-22T23:44:22Z</t>
        </is>
      </c>
      <c r="CA69" s="31" t="inlineStr">
        <is>
          <t>diagnostic — research only, no orders executed</t>
        </is>
      </c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-130</v>
      </c>
      <c r="M70" s="39" t="n">
        <v>1.769231</v>
      </c>
      <c r="N70" s="28" t="n">
        <v>0.565217</v>
      </c>
      <c r="O70" s="28" t="n">
        <v>0.657843</v>
      </c>
      <c r="P70" s="28" t="n">
        <v>0.05</v>
      </c>
      <c r="Q70" s="28" t="n">
        <v>0.092626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38" t="n"/>
      <c r="Z70" s="26" t="n"/>
      <c r="AA70" s="28" t="n"/>
      <c r="AB70" s="28" t="n"/>
      <c r="AC70" s="40" t="n">
        <v>0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38" t="n"/>
      <c r="BK70" s="26" t="n">
        <v>-130</v>
      </c>
      <c r="BL70" s="39" t="n">
        <v>1.769231</v>
      </c>
      <c r="BM70" s="28" t="n">
        <v>0.565217</v>
      </c>
      <c r="BN70" s="28" t="n">
        <v>0.523834</v>
      </c>
      <c r="BO70" s="28" t="n">
        <v>0.523834</v>
      </c>
      <c r="BP70" s="38" t="n"/>
      <c r="BQ70" s="39" t="n"/>
      <c r="BR70" s="28" t="n"/>
      <c r="BS70" s="28" t="n"/>
      <c r="BT70" s="28" t="n"/>
      <c r="BU70" s="38" t="n"/>
      <c r="BV70" s="29" t="n">
        <v>2</v>
      </c>
      <c r="BW70" s="24" t="n"/>
      <c r="BX70" s="40" t="n">
        <v>2</v>
      </c>
      <c r="BY70" s="39" t="n">
        <v>-2</v>
      </c>
      <c r="BZ70" s="24" t="inlineStr">
        <is>
          <t>2026-07-22T23:40:26.713424Z</t>
        </is>
      </c>
      <c r="CA70" s="31" t="inlineStr">
        <is>
          <t>diagnostic — research only, no orders executed</t>
        </is>
      </c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38" t="n"/>
      <c r="K71" s="24" t="inlineStr">
        <is>
          <t>polymarket_us</t>
        </is>
      </c>
      <c r="L71" s="26" t="n">
        <v>102</v>
      </c>
      <c r="M71" s="39" t="n">
        <v>2.02</v>
      </c>
      <c r="N71" s="28" t="n">
        <v>0.49505</v>
      </c>
      <c r="O71" s="28" t="n">
        <v>0.581277</v>
      </c>
      <c r="P71" s="28" t="n">
        <v>0.05</v>
      </c>
      <c r="Q71" s="28" t="n">
        <v>0.086227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38" t="n"/>
      <c r="Z71" s="26" t="n">
        <v>-110</v>
      </c>
      <c r="AA71" s="28" t="n">
        <v>0.523834</v>
      </c>
      <c r="AB71" s="28" t="n"/>
      <c r="AC71" s="40" t="n">
        <v>0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38" t="n"/>
      <c r="BK71" s="26" t="n">
        <v>102</v>
      </c>
      <c r="BL71" s="39" t="n">
        <v>2.02</v>
      </c>
      <c r="BM71" s="28" t="n">
        <v>0.49505</v>
      </c>
      <c r="BN71" s="28" t="n">
        <v>0.523834</v>
      </c>
      <c r="BO71" s="28" t="n">
        <v>0.523834</v>
      </c>
      <c r="BP71" s="38" t="n"/>
      <c r="BQ71" s="39" t="n">
        <v>1.909</v>
      </c>
      <c r="BR71" s="28" t="n"/>
      <c r="BS71" s="28" t="n"/>
      <c r="BT71" s="28" t="n"/>
      <c r="BU71" s="38" t="n"/>
      <c r="BV71" s="29" t="n">
        <v>0.5</v>
      </c>
      <c r="BW71" s="24" t="n"/>
      <c r="BX71" s="40" t="n">
        <v>1.25</v>
      </c>
      <c r="BY71" s="39" t="n">
        <v>1.275</v>
      </c>
      <c r="BZ71" s="24" t="inlineStr">
        <is>
          <t>2026-07-22T23:44:22Z</t>
        </is>
      </c>
      <c r="CA71" s="31" t="inlineStr">
        <is>
          <t>diagnostic — research only, no orders executed</t>
        </is>
      </c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-110</v>
      </c>
      <c r="M72" s="39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38" t="n"/>
      <c r="Z72" s="26" t="n"/>
      <c r="AA72" s="28" t="n"/>
      <c r="AB72" s="28" t="n"/>
      <c r="AC72" s="4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38" t="n"/>
      <c r="BK72" s="26" t="n">
        <v>-110</v>
      </c>
      <c r="BL72" s="39" t="n">
        <v>1.909</v>
      </c>
      <c r="BM72" s="28" t="n">
        <v>0.523834</v>
      </c>
      <c r="BN72" s="28" t="n">
        <v>0.523834</v>
      </c>
      <c r="BO72" s="28" t="n">
        <v>0.523834</v>
      </c>
      <c r="BP72" s="38" t="n"/>
      <c r="BQ72" s="39" t="n"/>
      <c r="BR72" s="28" t="n"/>
      <c r="BS72" s="28" t="n"/>
      <c r="BT72" s="28" t="n"/>
      <c r="BU72" s="38" t="n"/>
      <c r="BV72" s="29" t="n">
        <v>0.5600000000000001</v>
      </c>
      <c r="BW72" s="24" t="n"/>
      <c r="BX72" s="40" t="n">
        <v>1.75</v>
      </c>
      <c r="BY72" s="39" t="n">
        <v>1.59075</v>
      </c>
      <c r="BZ72" s="24" t="inlineStr">
        <is>
          <t>2026-07-23T04:43:09.454691Z</t>
        </is>
      </c>
      <c r="CA72" s="31" t="inlineStr">
        <is>
          <t>diagnostic — research only, no orders executed</t>
        </is>
      </c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38" t="n"/>
      <c r="K73" s="24" t="inlineStr">
        <is>
          <t>polymarket_us</t>
        </is>
      </c>
      <c r="L73" s="26" t="n">
        <v>-110</v>
      </c>
      <c r="M73" s="39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38" t="n"/>
      <c r="Z73" s="26" t="n"/>
      <c r="AA73" s="28" t="n"/>
      <c r="AB73" s="28" t="n"/>
      <c r="AC73" s="4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38" t="n"/>
      <c r="BK73" s="26" t="n">
        <v>-110</v>
      </c>
      <c r="BL73" s="39" t="n">
        <v>1.909</v>
      </c>
      <c r="BM73" s="28" t="n">
        <v>0.523834</v>
      </c>
      <c r="BN73" s="28" t="n">
        <v>0.523834</v>
      </c>
      <c r="BO73" s="28" t="n">
        <v>0.523834</v>
      </c>
      <c r="BP73" s="38" t="n"/>
      <c r="BQ73" s="39" t="n"/>
      <c r="BR73" s="28" t="n"/>
      <c r="BS73" s="28" t="n"/>
      <c r="BT73" s="28" t="n"/>
      <c r="BU73" s="38" t="n"/>
      <c r="BV73" s="29" t="n">
        <v>0.98</v>
      </c>
      <c r="BW73" s="24" t="n"/>
      <c r="BX73" s="40" t="n">
        <v>1.25</v>
      </c>
      <c r="BY73" s="39" t="n">
        <v>1.13625</v>
      </c>
      <c r="BZ73" s="24" t="inlineStr">
        <is>
          <t>2026-07-23T04:43:10.195652Z</t>
        </is>
      </c>
      <c r="CA73" s="31" t="inlineStr">
        <is>
          <t>diagnostic — research only, no orders executed</t>
        </is>
      </c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38" t="n"/>
      <c r="K74" s="24" t="inlineStr">
        <is>
          <t>polymarket_us</t>
        </is>
      </c>
      <c r="L74" s="26" t="n">
        <v>-110</v>
      </c>
      <c r="M74" s="39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38" t="n"/>
      <c r="Z74" s="26" t="n"/>
      <c r="AA74" s="28" t="n"/>
      <c r="AB74" s="28" t="n"/>
      <c r="AC74" s="4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38" t="n"/>
      <c r="BK74" s="26" t="n">
        <v>-110</v>
      </c>
      <c r="BL74" s="39" t="n">
        <v>1.909</v>
      </c>
      <c r="BM74" s="28" t="n">
        <v>0.523834</v>
      </c>
      <c r="BN74" s="28" t="n">
        <v>0.523834</v>
      </c>
      <c r="BO74" s="28" t="n">
        <v>0.523834</v>
      </c>
      <c r="BP74" s="38" t="n"/>
      <c r="BQ74" s="39" t="n"/>
      <c r="BR74" s="28" t="n"/>
      <c r="BS74" s="28" t="n"/>
      <c r="BT74" s="28" t="n"/>
      <c r="BU74" s="38" t="n"/>
      <c r="BV74" s="29" t="n">
        <v>0.5</v>
      </c>
      <c r="BW74" s="24" t="n"/>
      <c r="BX74" s="40" t="n">
        <v>0.5</v>
      </c>
      <c r="BY74" s="39" t="n">
        <v>0.4545</v>
      </c>
      <c r="BZ74" s="24" t="inlineStr">
        <is>
          <t>2026-07-23T04:43:10.937237Z</t>
        </is>
      </c>
      <c r="CA74" s="31" t="inlineStr">
        <is>
          <t>diagnostic — research only, no orders executed</t>
        </is>
      </c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38" t="n"/>
      <c r="K75" s="24" t="inlineStr">
        <is>
          <t>polymarket_us</t>
        </is>
      </c>
      <c r="L75" s="26" t="n">
        <v>-110</v>
      </c>
      <c r="M75" s="39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38" t="n"/>
      <c r="Z75" s="26" t="n"/>
      <c r="AA75" s="28" t="n"/>
      <c r="AB75" s="28" t="n"/>
      <c r="AC75" s="4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38" t="n"/>
      <c r="BK75" s="26" t="n">
        <v>-110</v>
      </c>
      <c r="BL75" s="39" t="n">
        <v>1.909</v>
      </c>
      <c r="BM75" s="28" t="n">
        <v>0.523834</v>
      </c>
      <c r="BN75" s="28" t="n">
        <v>0.523834</v>
      </c>
      <c r="BO75" s="28" t="n">
        <v>0.523834</v>
      </c>
      <c r="BP75" s="38" t="n"/>
      <c r="BQ75" s="39" t="n"/>
      <c r="BR75" s="28" t="n"/>
      <c r="BS75" s="28" t="n"/>
      <c r="BT75" s="28" t="n"/>
      <c r="BU75" s="38" t="n"/>
      <c r="BV75" s="29" t="n">
        <v>1.19</v>
      </c>
      <c r="BW75" s="24" t="n"/>
      <c r="BX75" s="40" t="n">
        <v>1.25</v>
      </c>
      <c r="BY75" s="39" t="n">
        <v>-1.25</v>
      </c>
      <c r="BZ75" s="24" t="inlineStr">
        <is>
          <t>2026-07-23T04:43:11.673098Z</t>
        </is>
      </c>
      <c r="CA75" s="31" t="inlineStr">
        <is>
          <t>diagnostic — research only, no orders executed</t>
        </is>
      </c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38" t="n"/>
      <c r="K76" s="24" t="inlineStr">
        <is>
          <t>polymarket_us</t>
        </is>
      </c>
      <c r="L76" s="26" t="n">
        <v>-110</v>
      </c>
      <c r="M76" s="39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38" t="n"/>
      <c r="Z76" s="26" t="n"/>
      <c r="AA76" s="28" t="n"/>
      <c r="AB76" s="28" t="n"/>
      <c r="AC76" s="4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38" t="n"/>
      <c r="BK76" s="26" t="n">
        <v>-110</v>
      </c>
      <c r="BL76" s="39" t="n">
        <v>1.909</v>
      </c>
      <c r="BM76" s="28" t="n">
        <v>0.523834</v>
      </c>
      <c r="BN76" s="28" t="n">
        <v>0.523834</v>
      </c>
      <c r="BO76" s="28" t="n">
        <v>0.523834</v>
      </c>
      <c r="BP76" s="38" t="n"/>
      <c r="BQ76" s="39" t="n"/>
      <c r="BR76" s="28" t="n"/>
      <c r="BS76" s="28" t="n"/>
      <c r="BT76" s="28" t="n"/>
      <c r="BU76" s="38" t="n"/>
      <c r="BV76" s="29" t="n">
        <v>0.5</v>
      </c>
      <c r="BW76" s="24" t="n"/>
      <c r="BX76" s="40" t="n">
        <v>1</v>
      </c>
      <c r="BY76" s="39" t="n">
        <v>-1</v>
      </c>
      <c r="BZ76" s="24" t="inlineStr">
        <is>
          <t>2026-07-23T04:43:12.406660Z</t>
        </is>
      </c>
      <c r="CA76" s="31" t="inlineStr">
        <is>
          <t>diagnostic — research only, no orders executed</t>
        </is>
      </c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38" t="n"/>
      <c r="K77" s="24" t="inlineStr">
        <is>
          <t>polymarket_us</t>
        </is>
      </c>
      <c r="L77" s="26" t="n">
        <v>-110</v>
      </c>
      <c r="M77" s="39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38" t="n"/>
      <c r="Z77" s="26" t="n"/>
      <c r="AA77" s="28" t="n"/>
      <c r="AB77" s="28" t="n"/>
      <c r="AC77" s="4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38" t="n"/>
      <c r="BK77" s="26" t="n">
        <v>-110</v>
      </c>
      <c r="BL77" s="39" t="n">
        <v>1.909</v>
      </c>
      <c r="BM77" s="28" t="n">
        <v>0.523834</v>
      </c>
      <c r="BN77" s="28" t="n">
        <v>0.523834</v>
      </c>
      <c r="BO77" s="28" t="n">
        <v>0.523834</v>
      </c>
      <c r="BP77" s="38" t="n"/>
      <c r="BQ77" s="39" t="n"/>
      <c r="BR77" s="28" t="n"/>
      <c r="BS77" s="28" t="n"/>
      <c r="BT77" s="28" t="n"/>
      <c r="BU77" s="38" t="n"/>
      <c r="BV77" s="29" t="n">
        <v>0.87</v>
      </c>
      <c r="BW77" s="24" t="n"/>
      <c r="BX77" s="40" t="n">
        <v>0.75</v>
      </c>
      <c r="BY77" s="39" t="n">
        <v>0.68175</v>
      </c>
      <c r="BZ77" s="24" t="inlineStr">
        <is>
          <t>2026-07-23T04:43:13.214636Z</t>
        </is>
      </c>
      <c r="CA77" s="31" t="inlineStr">
        <is>
          <t>diagnostic — research only, no orders executed</t>
        </is>
      </c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38" t="n"/>
      <c r="K78" s="24" t="inlineStr">
        <is>
          <t>polymarket_us</t>
        </is>
      </c>
      <c r="L78" s="26" t="n">
        <v>-110</v>
      </c>
      <c r="M78" s="39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38" t="n"/>
      <c r="Z78" s="26" t="n"/>
      <c r="AA78" s="28" t="n"/>
      <c r="AB78" s="28" t="n"/>
      <c r="AC78" s="4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38" t="n"/>
      <c r="BK78" s="26" t="n">
        <v>-110</v>
      </c>
      <c r="BL78" s="39" t="n">
        <v>1.909</v>
      </c>
      <c r="BM78" s="28" t="n">
        <v>0.523834</v>
      </c>
      <c r="BN78" s="28" t="n">
        <v>0.523834</v>
      </c>
      <c r="BO78" s="28" t="n">
        <v>0.523834</v>
      </c>
      <c r="BP78" s="38" t="n"/>
      <c r="BQ78" s="39" t="n"/>
      <c r="BR78" s="28" t="n"/>
      <c r="BS78" s="28" t="n"/>
      <c r="BT78" s="28" t="n"/>
      <c r="BU78" s="38" t="n"/>
      <c r="BV78" s="29" t="n">
        <v>1.04</v>
      </c>
      <c r="BW78" s="24" t="n"/>
      <c r="BX78" s="40" t="n">
        <v>0.75</v>
      </c>
      <c r="BY78" s="39" t="n">
        <v>-0.75</v>
      </c>
      <c r="BZ78" s="24" t="inlineStr">
        <is>
          <t>2026-07-23T04:43:13.951486Z</t>
        </is>
      </c>
      <c r="CA78" s="31" t="inlineStr">
        <is>
          <t>diagnostic — research only, no orders executed</t>
        </is>
      </c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38" t="n"/>
      <c r="K79" s="24" t="inlineStr">
        <is>
          <t>polymarket_us</t>
        </is>
      </c>
      <c r="L79" s="26" t="n">
        <v>-110</v>
      </c>
      <c r="M79" s="39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38" t="n"/>
      <c r="Z79" s="26" t="n"/>
      <c r="AA79" s="28" t="n"/>
      <c r="AB79" s="28" t="n"/>
      <c r="AC79" s="40" t="n">
        <v>0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38" t="n"/>
      <c r="BK79" s="26" t="n">
        <v>-110</v>
      </c>
      <c r="BL79" s="39" t="n">
        <v>1.909091</v>
      </c>
      <c r="BM79" s="28" t="n">
        <v>0.52381</v>
      </c>
      <c r="BN79" s="28" t="n">
        <v>0.523834</v>
      </c>
      <c r="BO79" s="28" t="n">
        <v>0.523834</v>
      </c>
      <c r="BP79" s="38" t="n"/>
      <c r="BQ79" s="39" t="n"/>
      <c r="BR79" s="28" t="n"/>
      <c r="BS79" s="28" t="n"/>
      <c r="BT79" s="28" t="n"/>
      <c r="BU79" s="38" t="n"/>
      <c r="BV79" s="29" t="n">
        <v>1.04</v>
      </c>
      <c r="BW79" s="24" t="n"/>
      <c r="BX79" s="40" t="n">
        <v>1.5</v>
      </c>
      <c r="BY79" s="39" t="n">
        <v>-1.5</v>
      </c>
      <c r="BZ79" s="24" t="inlineStr">
        <is>
          <t>2026-07-23T00:05:54.265202Z</t>
        </is>
      </c>
      <c r="CA79" s="31" t="inlineStr">
        <is>
          <t>diagnostic — research only, no orders executed</t>
        </is>
      </c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38" t="n"/>
      <c r="K80" s="24" t="inlineStr">
        <is>
          <t>polymarket_us</t>
        </is>
      </c>
      <c r="L80" s="26" t="n">
        <v>-110</v>
      </c>
      <c r="M80" s="39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38" t="n"/>
      <c r="Z80" s="26" t="n"/>
      <c r="AA80" s="28" t="n"/>
      <c r="AB80" s="28" t="n"/>
      <c r="AC80" s="40" t="n">
        <v>0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38" t="n"/>
      <c r="BK80" s="26" t="n">
        <v>-110</v>
      </c>
      <c r="BL80" s="39" t="n">
        <v>1.909</v>
      </c>
      <c r="BM80" s="28" t="n">
        <v>0.523834</v>
      </c>
      <c r="BN80" s="28" t="n">
        <v>0.523834</v>
      </c>
      <c r="BO80" s="28" t="n">
        <v>0.523834</v>
      </c>
      <c r="BP80" s="38" t="n"/>
      <c r="BQ80" s="39" t="n"/>
      <c r="BR80" s="28" t="n"/>
      <c r="BS80" s="28" t="n"/>
      <c r="BT80" s="28" t="n"/>
      <c r="BU80" s="38" t="n"/>
      <c r="BV80" s="29" t="n">
        <v>1.01</v>
      </c>
      <c r="BW80" s="24" t="n"/>
      <c r="BX80" s="40" t="n">
        <v>1</v>
      </c>
      <c r="BY80" s="39" t="n">
        <v>0.909</v>
      </c>
      <c r="BZ80" s="24" t="inlineStr">
        <is>
          <t>2026-07-23T00:05:54.952391Z</t>
        </is>
      </c>
      <c r="CA80" s="31" t="inlineStr">
        <is>
          <t>diagnostic — research only, no orders executed</t>
        </is>
      </c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38" t="n"/>
      <c r="K81" s="24" t="inlineStr">
        <is>
          <t>polymarket_us</t>
        </is>
      </c>
      <c r="L81" s="26" t="n">
        <v>-141</v>
      </c>
      <c r="M81" s="39" t="n">
        <v>1.70922</v>
      </c>
      <c r="N81" s="28" t="n">
        <v>0.585062</v>
      </c>
      <c r="O81" s="28" t="n">
        <v>0.657843</v>
      </c>
      <c r="P81" s="28" t="n">
        <v>0.05</v>
      </c>
      <c r="Q81" s="28" t="n">
        <v>0.072781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38" t="n"/>
      <c r="Z81" s="26" t="n"/>
      <c r="AA81" s="28" t="n"/>
      <c r="AB81" s="28" t="n"/>
      <c r="AC81" s="40" t="n">
        <v>0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38" t="n"/>
      <c r="BK81" s="26" t="n">
        <v>-141</v>
      </c>
      <c r="BL81" s="39" t="n">
        <v>1.70922</v>
      </c>
      <c r="BM81" s="28" t="n">
        <v>0.585062</v>
      </c>
      <c r="BN81" s="28" t="n">
        <v>0.523834</v>
      </c>
      <c r="BO81" s="28" t="n">
        <v>0.523834</v>
      </c>
      <c r="BP81" s="38" t="n"/>
      <c r="BQ81" s="39" t="n"/>
      <c r="BR81" s="28" t="n"/>
      <c r="BS81" s="28" t="n"/>
      <c r="BT81" s="28" t="n"/>
      <c r="BU81" s="38" t="n"/>
      <c r="BV81" s="29" t="n">
        <v>2</v>
      </c>
      <c r="BW81" s="24" t="n"/>
      <c r="BX81" s="40" t="n">
        <v>2</v>
      </c>
      <c r="BY81" s="39" t="n">
        <v>1.41844</v>
      </c>
      <c r="BZ81" s="24" t="inlineStr">
        <is>
          <t>2026-07-23T00:05:55.704338Z</t>
        </is>
      </c>
      <c r="CA81" s="31" t="inlineStr">
        <is>
          <t>diagnostic — research only, no orders executed</t>
        </is>
      </c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38" t="n"/>
      <c r="K82" s="24" t="inlineStr">
        <is>
          <t>polymarket_us</t>
        </is>
      </c>
      <c r="L82" s="26" t="n">
        <v>115</v>
      </c>
      <c r="M82" s="39" t="n">
        <v>2.15</v>
      </c>
      <c r="N82" s="28" t="n">
        <v>0.465116</v>
      </c>
      <c r="O82" s="28" t="n">
        <v>0.581277</v>
      </c>
      <c r="P82" s="28" t="n">
        <v>0.05</v>
      </c>
      <c r="Q82" s="28" t="n">
        <v>0.116161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38" t="n"/>
      <c r="Z82" s="26" t="n"/>
      <c r="AA82" s="28" t="n"/>
      <c r="AB82" s="28" t="n"/>
      <c r="AC82" s="4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38" t="n"/>
      <c r="BK82" s="26" t="n">
        <v>115</v>
      </c>
      <c r="BL82" s="39" t="n">
        <v>2.15</v>
      </c>
      <c r="BM82" s="28" t="n">
        <v>0.465116</v>
      </c>
      <c r="BN82" s="28" t="n">
        <v>0.523834</v>
      </c>
      <c r="BO82" s="28" t="n">
        <v>0.523834</v>
      </c>
      <c r="BP82" s="38" t="n"/>
      <c r="BQ82" s="39" t="n"/>
      <c r="BR82" s="28" t="n"/>
      <c r="BS82" s="28" t="n"/>
      <c r="BT82" s="28" t="n"/>
      <c r="BU82" s="38" t="n"/>
      <c r="BV82" s="29" t="n">
        <v>0.5</v>
      </c>
      <c r="BW82" s="24" t="n"/>
      <c r="BX82" s="40" t="n">
        <v>1.25</v>
      </c>
      <c r="BY82" s="39" t="n">
        <v>1.4375</v>
      </c>
      <c r="BZ82" s="24" t="inlineStr">
        <is>
          <t>2026-07-23T04:43:15.189950Z</t>
        </is>
      </c>
      <c r="CA82" s="31" t="inlineStr">
        <is>
          <t>diagnostic — research only, no orders executed</t>
        </is>
      </c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38" t="n"/>
      <c r="K83" s="24" t="inlineStr">
        <is>
          <t>polymarket_us</t>
        </is>
      </c>
      <c r="L83" s="26" t="n">
        <v>-110</v>
      </c>
      <c r="M83" s="39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38" t="n"/>
      <c r="Z83" s="26" t="n"/>
      <c r="AA83" s="28" t="n"/>
      <c r="AB83" s="28" t="n"/>
      <c r="AC83" s="4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38" t="n"/>
      <c r="BK83" s="26" t="n">
        <v>-110</v>
      </c>
      <c r="BL83" s="39" t="n">
        <v>1.909</v>
      </c>
      <c r="BM83" s="28" t="n">
        <v>0.523834</v>
      </c>
      <c r="BN83" s="28" t="n">
        <v>0.523834</v>
      </c>
      <c r="BO83" s="28" t="n">
        <v>0.523834</v>
      </c>
      <c r="BP83" s="38" t="n"/>
      <c r="BQ83" s="39" t="n"/>
      <c r="BR83" s="28" t="n"/>
      <c r="BS83" s="28" t="n"/>
      <c r="BT83" s="28" t="n"/>
      <c r="BU83" s="38" t="n"/>
      <c r="BV83" s="29" t="n">
        <v>1.19</v>
      </c>
      <c r="BW83" s="24" t="n"/>
      <c r="BX83" s="40" t="n">
        <v>1.25</v>
      </c>
      <c r="BY83" s="39" t="n">
        <v>1.13625</v>
      </c>
      <c r="BZ83" s="24" t="inlineStr">
        <is>
          <t>2026-07-23T04:43:15.935544Z</t>
        </is>
      </c>
      <c r="CA83" s="31" t="inlineStr">
        <is>
          <t>diagnostic — research only, no orders executed</t>
        </is>
      </c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38" t="n"/>
      <c r="K84" s="24" t="inlineStr">
        <is>
          <t>polymarket_us</t>
        </is>
      </c>
      <c r="L84" s="26" t="n">
        <v>-110</v>
      </c>
      <c r="M84" s="39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38" t="n"/>
      <c r="Z84" s="26" t="n"/>
      <c r="AA84" s="28" t="n"/>
      <c r="AB84" s="28" t="n"/>
      <c r="AC84" s="4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38" t="n"/>
      <c r="BK84" s="26" t="n">
        <v>-110</v>
      </c>
      <c r="BL84" s="39" t="n">
        <v>1.909</v>
      </c>
      <c r="BM84" s="28" t="n">
        <v>0.523834</v>
      </c>
      <c r="BN84" s="28" t="n">
        <v>0.523834</v>
      </c>
      <c r="BO84" s="28" t="n">
        <v>0.523834</v>
      </c>
      <c r="BP84" s="38" t="n"/>
      <c r="BQ84" s="39" t="n"/>
      <c r="BR84" s="28" t="n"/>
      <c r="BS84" s="28" t="n"/>
      <c r="BT84" s="28" t="n"/>
      <c r="BU84" s="38" t="n"/>
      <c r="BV84" s="29" t="n">
        <v>0.87</v>
      </c>
      <c r="BW84" s="24" t="n"/>
      <c r="BX84" s="40" t="n">
        <v>0.75</v>
      </c>
      <c r="BY84" s="39" t="n">
        <v>0.68175</v>
      </c>
      <c r="BZ84" s="24" t="inlineStr">
        <is>
          <t>2026-07-23T04:43:16.678535Z</t>
        </is>
      </c>
      <c r="CA84" s="31" t="inlineStr">
        <is>
          <t>diagnostic — research only, no orders executed</t>
        </is>
      </c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38" t="n"/>
      <c r="K85" s="24" t="inlineStr">
        <is>
          <t>polymarket_us</t>
        </is>
      </c>
      <c r="L85" s="26" t="n">
        <v>-110</v>
      </c>
      <c r="M85" s="39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38" t="n"/>
      <c r="Z85" s="26" t="n"/>
      <c r="AA85" s="28" t="n"/>
      <c r="AB85" s="28" t="n"/>
      <c r="AC85" s="4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38" t="n"/>
      <c r="BK85" s="26" t="n">
        <v>-110</v>
      </c>
      <c r="BL85" s="39" t="n">
        <v>1.909</v>
      </c>
      <c r="BM85" s="28" t="n">
        <v>0.523834</v>
      </c>
      <c r="BN85" s="28" t="n">
        <v>0.523834</v>
      </c>
      <c r="BO85" s="28" t="n">
        <v>0.523834</v>
      </c>
      <c r="BP85" s="38" t="n"/>
      <c r="BQ85" s="39" t="n"/>
      <c r="BR85" s="28" t="n"/>
      <c r="BS85" s="28" t="n"/>
      <c r="BT85" s="28" t="n"/>
      <c r="BU85" s="38" t="n"/>
      <c r="BV85" s="29" t="n">
        <v>1.04</v>
      </c>
      <c r="BW85" s="24" t="n"/>
      <c r="BX85" s="40" t="n">
        <v>0.75</v>
      </c>
      <c r="BY85" s="39" t="n">
        <v>-0.75</v>
      </c>
      <c r="BZ85" s="24" t="inlineStr">
        <is>
          <t>2026-07-23T04:43:17.494272Z</t>
        </is>
      </c>
      <c r="CA85" s="31" t="inlineStr">
        <is>
          <t>diagnostic — research only, no orders executed</t>
        </is>
      </c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36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38" t="n"/>
      <c r="K86" s="24" t="inlineStr">
        <is>
          <t>polymarket_us</t>
        </is>
      </c>
      <c r="L86" s="26" t="n">
        <v>-110</v>
      </c>
      <c r="M86" s="39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38" t="n"/>
      <c r="Z86" s="26" t="n"/>
      <c r="AA86" s="28" t="n"/>
      <c r="AB86" s="28" t="n"/>
      <c r="AC86" s="40" t="n">
        <v>0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38" t="n"/>
      <c r="BK86" s="26" t="n">
        <v>-110</v>
      </c>
      <c r="BL86" s="39" t="n">
        <v>1.909</v>
      </c>
      <c r="BM86" s="28" t="n">
        <v>0.523834</v>
      </c>
      <c r="BN86" s="28" t="n">
        <v>0.523834</v>
      </c>
      <c r="BO86" s="28" t="n">
        <v>0.523834</v>
      </c>
      <c r="BP86" s="38" t="n"/>
      <c r="BQ86" s="39" t="n"/>
      <c r="BR86" s="28" t="n"/>
      <c r="BS86" s="28" t="n"/>
      <c r="BT86" s="28" t="n"/>
      <c r="BU86" s="38" t="n"/>
      <c r="BV86" s="29" t="n">
        <v>0.5</v>
      </c>
      <c r="BW86" s="24" t="n"/>
      <c r="BX86" s="40" t="n">
        <v>1</v>
      </c>
      <c r="BY86" s="39" t="n">
        <v>0.909</v>
      </c>
      <c r="BZ86" s="24" t="inlineStr">
        <is>
          <t>2026-07-23T00:05:57.129018Z</t>
        </is>
      </c>
      <c r="CA86" s="31" t="inlineStr">
        <is>
          <t>diagnostic — research only, no orders executed</t>
        </is>
      </c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36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38" t="n"/>
      <c r="K87" s="24" t="inlineStr">
        <is>
          <t>polymarket_us</t>
        </is>
      </c>
      <c r="L87" s="26" t="n">
        <v>-110</v>
      </c>
      <c r="M87" s="39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38" t="n"/>
      <c r="Z87" s="26" t="n"/>
      <c r="AA87" s="28" t="n"/>
      <c r="AB87" s="28" t="n"/>
      <c r="AC87" s="4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38" t="n"/>
      <c r="BK87" s="26" t="n">
        <v>-110</v>
      </c>
      <c r="BL87" s="39" t="n">
        <v>1.909</v>
      </c>
      <c r="BM87" s="28" t="n">
        <v>0.523834</v>
      </c>
      <c r="BN87" s="28" t="n">
        <v>0.523834</v>
      </c>
      <c r="BO87" s="28" t="n">
        <v>0.523834</v>
      </c>
      <c r="BP87" s="38" t="n"/>
      <c r="BQ87" s="39" t="n"/>
      <c r="BR87" s="28" t="n"/>
      <c r="BS87" s="28" t="n"/>
      <c r="BT87" s="28" t="n"/>
      <c r="BU87" s="38" t="n"/>
      <c r="BV87" s="29" t="n">
        <v>0.5</v>
      </c>
      <c r="BW87" s="24" t="n"/>
      <c r="BX87" s="40" t="n">
        <v>1</v>
      </c>
      <c r="BY87" s="39" t="n">
        <v>0.909</v>
      </c>
      <c r="BZ87" s="24" t="inlineStr">
        <is>
          <t>2026-07-23T04:43:18.245462Z</t>
        </is>
      </c>
      <c r="CA87" s="31" t="inlineStr">
        <is>
          <t>diagnostic — research only, no orders executed</t>
        </is>
      </c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36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38" t="n"/>
      <c r="K88" s="24" t="inlineStr">
        <is>
          <t>polymarket_us</t>
        </is>
      </c>
      <c r="L88" s="26" t="n">
        <v>-110</v>
      </c>
      <c r="M88" s="39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38" t="n"/>
      <c r="Z88" s="26" t="n"/>
      <c r="AA88" s="28" t="n"/>
      <c r="AB88" s="28" t="n"/>
      <c r="AC88" s="4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38" t="n"/>
      <c r="BK88" s="26" t="n">
        <v>-110</v>
      </c>
      <c r="BL88" s="39" t="n">
        <v>1.909</v>
      </c>
      <c r="BM88" s="28" t="n">
        <v>0.523834</v>
      </c>
      <c r="BN88" s="28" t="n">
        <v>0.523834</v>
      </c>
      <c r="BO88" s="28" t="n">
        <v>0.523834</v>
      </c>
      <c r="BP88" s="38" t="n"/>
      <c r="BQ88" s="39" t="n"/>
      <c r="BR88" s="28" t="n"/>
      <c r="BS88" s="28" t="n"/>
      <c r="BT88" s="28" t="n"/>
      <c r="BU88" s="38" t="n"/>
      <c r="BV88" s="29" t="n">
        <v>0.79</v>
      </c>
      <c r="BW88" s="24" t="n"/>
      <c r="BX88" s="40" t="n">
        <v>0.5</v>
      </c>
      <c r="BY88" s="39" t="n">
        <v>-0.5</v>
      </c>
      <c r="BZ88" s="24" t="inlineStr">
        <is>
          <t>2026-07-23T04:43:18.982269Z</t>
        </is>
      </c>
      <c r="CA88" s="31" t="inlineStr">
        <is>
          <t>diagnostic — research only, no orders executed</t>
        </is>
      </c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36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38" t="n"/>
      <c r="K89" s="24" t="inlineStr">
        <is>
          <t>polymarket_us</t>
        </is>
      </c>
      <c r="L89" s="26" t="n">
        <v>-110</v>
      </c>
      <c r="M89" s="39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38" t="n"/>
      <c r="Z89" s="26" t="n"/>
      <c r="AA89" s="28" t="n"/>
      <c r="AB89" s="28" t="n"/>
      <c r="AC89" s="4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38" t="n"/>
      <c r="BK89" s="26" t="n">
        <v>-110</v>
      </c>
      <c r="BL89" s="39" t="n">
        <v>1.909091</v>
      </c>
      <c r="BM89" s="28" t="n">
        <v>0.52381</v>
      </c>
      <c r="BN89" s="28" t="n">
        <v>0.523834</v>
      </c>
      <c r="BO89" s="28" t="n">
        <v>0.523834</v>
      </c>
      <c r="BP89" s="38" t="n"/>
      <c r="BQ89" s="39" t="n"/>
      <c r="BR89" s="28" t="n"/>
      <c r="BS89" s="28" t="n"/>
      <c r="BT89" s="28" t="n"/>
      <c r="BU89" s="38" t="n"/>
      <c r="BV89" s="29" t="n">
        <v>1.04</v>
      </c>
      <c r="BW89" s="24" t="n"/>
      <c r="BX89" s="40" t="n">
        <v>1.5</v>
      </c>
      <c r="BY89" s="39" t="n">
        <v>-1.5</v>
      </c>
      <c r="BZ89" s="24" t="inlineStr">
        <is>
          <t>2026-07-23T04:43:19.722685Z</t>
        </is>
      </c>
      <c r="CA89" s="31" t="inlineStr">
        <is>
          <t>diagnostic — research only, no orders executed</t>
        </is>
      </c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36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38" t="n"/>
      <c r="K90" s="24" t="inlineStr">
        <is>
          <t>polymarket_us</t>
        </is>
      </c>
      <c r="L90" s="26" t="n">
        <v>-110</v>
      </c>
      <c r="M90" s="39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38" t="n"/>
      <c r="Z90" s="26" t="n"/>
      <c r="AA90" s="28" t="n"/>
      <c r="AB90" s="28" t="n"/>
      <c r="AC90" s="4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38" t="n"/>
      <c r="BK90" s="26" t="n">
        <v>-110</v>
      </c>
      <c r="BL90" s="39" t="n">
        <v>1.909</v>
      </c>
      <c r="BM90" s="28" t="n">
        <v>0.523834</v>
      </c>
      <c r="BN90" s="28" t="n">
        <v>0.523834</v>
      </c>
      <c r="BO90" s="28" t="n">
        <v>0.523834</v>
      </c>
      <c r="BP90" s="38" t="n"/>
      <c r="BQ90" s="39" t="n"/>
      <c r="BR90" s="28" t="n"/>
      <c r="BS90" s="28" t="n"/>
      <c r="BT90" s="28" t="n"/>
      <c r="BU90" s="38" t="n"/>
      <c r="BV90" s="29" t="n">
        <v>0.5</v>
      </c>
      <c r="BW90" s="24" t="n"/>
      <c r="BX90" s="40" t="n">
        <v>0.75</v>
      </c>
      <c r="BY90" s="39" t="n">
        <v>-0.75</v>
      </c>
      <c r="BZ90" s="24" t="inlineStr">
        <is>
          <t>2026-07-23T04:43:20.469144Z</t>
        </is>
      </c>
      <c r="CA90" s="31" t="inlineStr">
        <is>
          <t>diagnostic — research only, no orders executed</t>
        </is>
      </c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36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38" t="n"/>
      <c r="K91" s="24" t="inlineStr">
        <is>
          <t>polymarket_us</t>
        </is>
      </c>
      <c r="L91" s="26" t="n">
        <v>-110</v>
      </c>
      <c r="M91" s="39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38" t="n"/>
      <c r="Z91" s="26" t="n"/>
      <c r="AA91" s="28" t="n"/>
      <c r="AB91" s="28" t="n"/>
      <c r="AC91" s="4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38" t="n"/>
      <c r="BK91" s="26" t="n">
        <v>-110</v>
      </c>
      <c r="BL91" s="39" t="n">
        <v>1.909</v>
      </c>
      <c r="BM91" s="28" t="n">
        <v>0.523834</v>
      </c>
      <c r="BN91" s="28" t="n">
        <v>0.523834</v>
      </c>
      <c r="BO91" s="28" t="n">
        <v>0.523834</v>
      </c>
      <c r="BP91" s="38" t="n"/>
      <c r="BQ91" s="39" t="n"/>
      <c r="BR91" s="28" t="n"/>
      <c r="BS91" s="28" t="n"/>
      <c r="BT91" s="28" t="n"/>
      <c r="BU91" s="38" t="n"/>
      <c r="BV91" s="29" t="n">
        <v>1.01</v>
      </c>
      <c r="BW91" s="24" t="n"/>
      <c r="BX91" s="40" t="n">
        <v>1</v>
      </c>
      <c r="BY91" s="39" t="n">
        <v>0.909</v>
      </c>
      <c r="BZ91" s="24" t="inlineStr">
        <is>
          <t>2026-07-23T04:43:21.204632Z</t>
        </is>
      </c>
      <c r="CA91" s="31" t="inlineStr">
        <is>
          <t>diagnostic — research only, no orders executed</t>
        </is>
      </c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36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38" t="n"/>
      <c r="K92" s="24" t="inlineStr">
        <is>
          <t>polymarket_us</t>
        </is>
      </c>
      <c r="L92" s="26" t="n">
        <v>-110</v>
      </c>
      <c r="M92" s="39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38" t="n"/>
      <c r="Z92" s="26" t="n"/>
      <c r="AA92" s="28" t="n"/>
      <c r="AB92" s="28" t="n"/>
      <c r="AC92" s="4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38" t="n"/>
      <c r="BK92" s="26" t="n">
        <v>-110</v>
      </c>
      <c r="BL92" s="39" t="n">
        <v>1.909</v>
      </c>
      <c r="BM92" s="28" t="n">
        <v>0.523834</v>
      </c>
      <c r="BN92" s="28" t="n">
        <v>0.523834</v>
      </c>
      <c r="BO92" s="28" t="n">
        <v>0.523834</v>
      </c>
      <c r="BP92" s="38" t="n"/>
      <c r="BQ92" s="39" t="n"/>
      <c r="BR92" s="28" t="n"/>
      <c r="BS92" s="28" t="n"/>
      <c r="BT92" s="28" t="n"/>
      <c r="BU92" s="38" t="n"/>
      <c r="BV92" s="29" t="n">
        <v>0.76</v>
      </c>
      <c r="BW92" s="24" t="n"/>
      <c r="BX92" s="40" t="n">
        <v>1.25</v>
      </c>
      <c r="BY92" s="39" t="n">
        <v>1.13625</v>
      </c>
      <c r="BZ92" s="24" t="inlineStr">
        <is>
          <t>2026-07-23T04:43:22.025592Z</t>
        </is>
      </c>
      <c r="CA92" s="31" t="inlineStr">
        <is>
          <t>diagnostic — research only, no orders executed</t>
        </is>
      </c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36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38" t="n"/>
      <c r="K93" s="24" t="inlineStr">
        <is>
          <t>polymarket_us</t>
        </is>
      </c>
      <c r="L93" s="26" t="n">
        <v>-355</v>
      </c>
      <c r="M93" s="39" t="n">
        <v>1.28169</v>
      </c>
      <c r="N93" s="28" t="n">
        <v>0.78022</v>
      </c>
      <c r="O93" s="28" t="n">
        <v>0.739063</v>
      </c>
      <c r="P93" s="28" t="n">
        <v>0.05</v>
      </c>
      <c r="Q93" s="28" t="n">
        <v>-0.041157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38" t="n"/>
      <c r="Z93" s="26" t="n"/>
      <c r="AA93" s="28" t="n"/>
      <c r="AB93" s="28" t="n"/>
      <c r="AC93" s="40" t="n">
        <v>0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38" t="n"/>
      <c r="BK93" s="26" t="n">
        <v>-355</v>
      </c>
      <c r="BL93" s="39" t="n">
        <v>1.28169</v>
      </c>
      <c r="BM93" s="28" t="n">
        <v>0.78022</v>
      </c>
      <c r="BN93" s="28" t="n">
        <v>0.523834</v>
      </c>
      <c r="BO93" s="28" t="n">
        <v>0.523834</v>
      </c>
      <c r="BP93" s="38" t="n"/>
      <c r="BQ93" s="39" t="n"/>
      <c r="BR93" s="28" t="n"/>
      <c r="BS93" s="28" t="n"/>
      <c r="BT93" s="28" t="n"/>
      <c r="BU93" s="38" t="n"/>
      <c r="BV93" s="29" t="n">
        <v>2</v>
      </c>
      <c r="BW93" s="24" t="n"/>
      <c r="BX93" s="40" t="n">
        <v>2</v>
      </c>
      <c r="BY93" s="39" t="n">
        <v>0.56338</v>
      </c>
      <c r="BZ93" s="24" t="inlineStr">
        <is>
          <t>2026-07-22T23:40:33.680264Z</t>
        </is>
      </c>
      <c r="CA93" s="31" t="inlineStr">
        <is>
          <t>diagnostic — research only, no orders executed</t>
        </is>
      </c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36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38" t="n"/>
      <c r="K94" s="24" t="inlineStr">
        <is>
          <t>polymarket_us</t>
        </is>
      </c>
      <c r="L94" s="26" t="n">
        <v>-110</v>
      </c>
      <c r="M94" s="39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38" t="n"/>
      <c r="Z94" s="26" t="n">
        <v>-110</v>
      </c>
      <c r="AA94" s="28" t="n">
        <v>0.523834</v>
      </c>
      <c r="AB94" s="28" t="n"/>
      <c r="AC94" s="40" t="n">
        <v>0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38" t="n"/>
      <c r="BK94" s="26" t="n">
        <v>-110</v>
      </c>
      <c r="BL94" s="39" t="n">
        <v>1.909</v>
      </c>
      <c r="BM94" s="28" t="n">
        <v>0.523834</v>
      </c>
      <c r="BN94" s="28" t="n">
        <v>0.523834</v>
      </c>
      <c r="BO94" s="28" t="n">
        <v>0.523834</v>
      </c>
      <c r="BP94" s="38" t="n"/>
      <c r="BQ94" s="39" t="n">
        <v>1.909</v>
      </c>
      <c r="BR94" s="28" t="n"/>
      <c r="BS94" s="28" t="n"/>
      <c r="BT94" s="28" t="n"/>
      <c r="BU94" s="38" t="n"/>
      <c r="BV94" s="29" t="n">
        <v>0.99</v>
      </c>
      <c r="BW94" s="24" t="n"/>
      <c r="BX94" s="40" t="n">
        <v>1.25</v>
      </c>
      <c r="BY94" s="39" t="n">
        <v>1.13625</v>
      </c>
      <c r="BZ94" s="24" t="inlineStr">
        <is>
          <t>2026-07-22T23:44:22Z</t>
        </is>
      </c>
      <c r="CA94" s="31" t="inlineStr">
        <is>
          <t>diagnostic — research only, no orders executed</t>
        </is>
      </c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36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38" t="n"/>
      <c r="K95" s="24" t="inlineStr">
        <is>
          <t>polymarket_us</t>
        </is>
      </c>
      <c r="L95" s="26" t="n">
        <v>-110</v>
      </c>
      <c r="M95" s="39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38" t="n"/>
      <c r="Z95" s="26" t="n">
        <v>-110</v>
      </c>
      <c r="AA95" s="28" t="n">
        <v>0.523834</v>
      </c>
      <c r="AB95" s="28" t="n"/>
      <c r="AC95" s="40" t="n">
        <v>0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38" t="n"/>
      <c r="BK95" s="26" t="n">
        <v>-110</v>
      </c>
      <c r="BL95" s="39" t="n">
        <v>1.909</v>
      </c>
      <c r="BM95" s="28" t="n">
        <v>0.523834</v>
      </c>
      <c r="BN95" s="28" t="n">
        <v>0.523834</v>
      </c>
      <c r="BO95" s="28" t="n">
        <v>0.523834</v>
      </c>
      <c r="BP95" s="38" t="n"/>
      <c r="BQ95" s="39" t="n">
        <v>1.909</v>
      </c>
      <c r="BR95" s="28" t="n"/>
      <c r="BS95" s="28" t="n"/>
      <c r="BT95" s="28" t="n"/>
      <c r="BU95" s="38" t="n"/>
      <c r="BV95" s="29" t="n">
        <v>0.5</v>
      </c>
      <c r="BW95" s="24" t="n"/>
      <c r="BX95" s="40" t="n">
        <v>0.5</v>
      </c>
      <c r="BY95" s="39" t="n">
        <v>0.4545</v>
      </c>
      <c r="BZ95" s="24" t="inlineStr">
        <is>
          <t>2026-07-22T23:44:22Z</t>
        </is>
      </c>
      <c r="CA95" s="31" t="inlineStr">
        <is>
          <t>diagnostic — research only, no orders executed</t>
        </is>
      </c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36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38" t="n"/>
      <c r="K96" s="24" t="inlineStr">
        <is>
          <t>polymarket_us</t>
        </is>
      </c>
      <c r="L96" s="26" t="n">
        <v>-178</v>
      </c>
      <c r="M96" s="39" t="n">
        <v>1.561798</v>
      </c>
      <c r="N96" s="28" t="n">
        <v>0.640288</v>
      </c>
      <c r="O96" s="28" t="n">
        <v>0.647753</v>
      </c>
      <c r="P96" s="28" t="n">
        <v>0.05</v>
      </c>
      <c r="Q96" s="28" t="n">
        <v>0.007465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38" t="n"/>
      <c r="Z96" s="26" t="n">
        <v>-110</v>
      </c>
      <c r="AA96" s="28" t="n">
        <v>0.523834</v>
      </c>
      <c r="AB96" s="28" t="n"/>
      <c r="AC96" s="40" t="n">
        <v>0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38" t="n"/>
      <c r="BK96" s="26" t="n">
        <v>-178</v>
      </c>
      <c r="BL96" s="39" t="n">
        <v>1.561798</v>
      </c>
      <c r="BM96" s="28" t="n">
        <v>0.640288</v>
      </c>
      <c r="BN96" s="28" t="n">
        <v>0.523834</v>
      </c>
      <c r="BO96" s="28" t="n">
        <v>0.523834</v>
      </c>
      <c r="BP96" s="38" t="n"/>
      <c r="BQ96" s="39" t="n">
        <v>1.909</v>
      </c>
      <c r="BR96" s="28" t="n"/>
      <c r="BS96" s="28" t="n"/>
      <c r="BT96" s="28" t="n"/>
      <c r="BU96" s="38" t="n"/>
      <c r="BV96" s="29" t="n">
        <v>2</v>
      </c>
      <c r="BW96" s="24" t="n"/>
      <c r="BX96" s="40" t="n">
        <v>2</v>
      </c>
      <c r="BY96" s="39" t="n">
        <v>-2</v>
      </c>
      <c r="BZ96" s="24" t="inlineStr">
        <is>
          <t>2026-07-23T00:02:09Z</t>
        </is>
      </c>
      <c r="CA96" s="31" t="inlineStr">
        <is>
          <t>diagnostic — research only, no orders executed</t>
        </is>
      </c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36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38" t="n"/>
      <c r="K97" s="24" t="inlineStr">
        <is>
          <t>polymarket_us</t>
        </is>
      </c>
      <c r="L97" s="26" t="n">
        <v>108</v>
      </c>
      <c r="M97" s="39" t="n">
        <v>2.08</v>
      </c>
      <c r="N97" s="28" t="n">
        <v>0.480769</v>
      </c>
      <c r="O97" s="28" t="n">
        <v>0.608474</v>
      </c>
      <c r="P97" s="28" t="n">
        <v>0.05</v>
      </c>
      <c r="Q97" s="28" t="n">
        <v>0.127705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38" t="n"/>
      <c r="Z97" s="26" t="n"/>
      <c r="AA97" s="28" t="n"/>
      <c r="AB97" s="28" t="n"/>
      <c r="AC97" s="40" t="n">
        <v>0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38" t="n"/>
      <c r="BK97" s="26" t="n">
        <v>108</v>
      </c>
      <c r="BL97" s="39" t="n">
        <v>2.08</v>
      </c>
      <c r="BM97" s="28" t="n">
        <v>0.480769</v>
      </c>
      <c r="BN97" s="28" t="n">
        <v>0.523834</v>
      </c>
      <c r="BO97" s="28" t="n">
        <v>0.523834</v>
      </c>
      <c r="BP97" s="38" t="n"/>
      <c r="BQ97" s="39" t="n"/>
      <c r="BR97" s="28" t="n"/>
      <c r="BS97" s="28" t="n"/>
      <c r="BT97" s="28" t="n"/>
      <c r="BU97" s="38" t="n"/>
      <c r="BV97" s="29" t="n">
        <v>1.69</v>
      </c>
      <c r="BW97" s="24" t="n"/>
      <c r="BX97" s="40" t="n">
        <v>1.5</v>
      </c>
      <c r="BY97" s="39" t="n">
        <v>1.62</v>
      </c>
      <c r="BZ97" s="24" t="inlineStr">
        <is>
          <t>2026-07-22T23:40:35.288113Z</t>
        </is>
      </c>
      <c r="CA97" s="31" t="inlineStr">
        <is>
          <t>diagnostic — research only, no orders executed</t>
        </is>
      </c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36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38" t="n"/>
      <c r="K98" s="24" t="inlineStr">
        <is>
          <t>polymarket_us</t>
        </is>
      </c>
      <c r="L98" s="26" t="n">
        <v>-669</v>
      </c>
      <c r="M98" s="39" t="n">
        <v>1.149477</v>
      </c>
      <c r="N98" s="28" t="n">
        <v>0.869961</v>
      </c>
      <c r="O98" s="28" t="n">
        <v>0.76009</v>
      </c>
      <c r="P98" s="28" t="n">
        <v>0.05</v>
      </c>
      <c r="Q98" s="28" t="n">
        <v>-0.109871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38" t="n"/>
      <c r="Z98" s="26" t="n">
        <v>-110</v>
      </c>
      <c r="AA98" s="28" t="n">
        <v>0.523834</v>
      </c>
      <c r="AB98" s="28" t="n"/>
      <c r="AC98" s="40" t="n">
        <v>0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38" t="n"/>
      <c r="BK98" s="26" t="n">
        <v>-669</v>
      </c>
      <c r="BL98" s="39" t="n">
        <v>1.149477</v>
      </c>
      <c r="BM98" s="28" t="n">
        <v>0.869961</v>
      </c>
      <c r="BN98" s="28" t="n">
        <v>0.523834</v>
      </c>
      <c r="BO98" s="28" t="n">
        <v>0.523834</v>
      </c>
      <c r="BP98" s="38" t="n"/>
      <c r="BQ98" s="39" t="n">
        <v>1.909</v>
      </c>
      <c r="BR98" s="28" t="n"/>
      <c r="BS98" s="28" t="n"/>
      <c r="BT98" s="28" t="n"/>
      <c r="BU98" s="38" t="n"/>
      <c r="BV98" s="29" t="n">
        <v>2</v>
      </c>
      <c r="BW98" s="24" t="n"/>
      <c r="BX98" s="40" t="n">
        <v>2</v>
      </c>
      <c r="BY98" s="39" t="n">
        <v>0.298954</v>
      </c>
      <c r="BZ98" s="24" t="inlineStr">
        <is>
          <t>2026-07-23T00:02:09Z</t>
        </is>
      </c>
      <c r="CA98" s="31" t="inlineStr">
        <is>
          <t>diagnostic — research only, no orders executed</t>
        </is>
      </c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36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38" t="n"/>
      <c r="K99" s="24" t="inlineStr">
        <is>
          <t>polymarket_us</t>
        </is>
      </c>
      <c r="L99" s="26" t="n">
        <v>-355</v>
      </c>
      <c r="M99" s="39" t="n">
        <v>1.28169</v>
      </c>
      <c r="N99" s="28" t="n">
        <v>0.78022</v>
      </c>
      <c r="O99" s="28" t="n">
        <v>0.75064</v>
      </c>
      <c r="P99" s="28" t="n">
        <v>0.05</v>
      </c>
      <c r="Q99" s="28" t="n">
        <v>-0.02958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38" t="n"/>
      <c r="Z99" s="26" t="n">
        <v>-110</v>
      </c>
      <c r="AA99" s="28" t="n">
        <v>0.523834</v>
      </c>
      <c r="AB99" s="28" t="n"/>
      <c r="AC99" s="40" t="n">
        <v>0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38" t="n"/>
      <c r="BK99" s="26" t="n">
        <v>-355</v>
      </c>
      <c r="BL99" s="39" t="n">
        <v>1.28169</v>
      </c>
      <c r="BM99" s="28" t="n">
        <v>0.78022</v>
      </c>
      <c r="BN99" s="28" t="n">
        <v>0.523834</v>
      </c>
      <c r="BO99" s="28" t="n">
        <v>0.523834</v>
      </c>
      <c r="BP99" s="38" t="n"/>
      <c r="BQ99" s="39" t="n">
        <v>1.909</v>
      </c>
      <c r="BR99" s="28" t="n"/>
      <c r="BS99" s="28" t="n"/>
      <c r="BT99" s="28" t="n"/>
      <c r="BU99" s="38" t="n"/>
      <c r="BV99" s="29" t="n">
        <v>2</v>
      </c>
      <c r="BW99" s="24" t="n"/>
      <c r="BX99" s="40" t="n">
        <v>2</v>
      </c>
      <c r="BY99" s="39" t="n">
        <v>0.56338</v>
      </c>
      <c r="BZ99" s="24" t="inlineStr">
        <is>
          <t>2026-07-23T00:02:09Z</t>
        </is>
      </c>
      <c r="CA99" s="31" t="inlineStr">
        <is>
          <t>diagnostic — research only, no orders executed</t>
        </is>
      </c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36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38" t="n"/>
      <c r="K100" s="24" t="inlineStr">
        <is>
          <t>polymarket_us</t>
        </is>
      </c>
      <c r="L100" s="26" t="n">
        <v>-400</v>
      </c>
      <c r="M100" s="39" t="n">
        <v>1.25</v>
      </c>
      <c r="N100" s="28" t="n">
        <v>0.8</v>
      </c>
      <c r="O100" s="28" t="n">
        <v>0.738341</v>
      </c>
      <c r="P100" s="28" t="n">
        <v>0.05</v>
      </c>
      <c r="Q100" s="28" t="n">
        <v>-0.061659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38" t="n"/>
      <c r="Z100" s="26" t="n"/>
      <c r="AA100" s="28" t="n"/>
      <c r="AB100" s="28" t="n"/>
      <c r="AC100" s="40" t="n">
        <v>0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38" t="n"/>
      <c r="BK100" s="26" t="n">
        <v>-400</v>
      </c>
      <c r="BL100" s="39" t="n">
        <v>1.25</v>
      </c>
      <c r="BM100" s="28" t="n">
        <v>0.8</v>
      </c>
      <c r="BN100" s="28" t="n">
        <v>0.523834</v>
      </c>
      <c r="BO100" s="28" t="n">
        <v>0.523834</v>
      </c>
      <c r="BP100" s="38" t="n"/>
      <c r="BQ100" s="39" t="n"/>
      <c r="BR100" s="28" t="n"/>
      <c r="BS100" s="28" t="n"/>
      <c r="BT100" s="28" t="n"/>
      <c r="BU100" s="38" t="n"/>
      <c r="BV100" s="29" t="n">
        <v>2</v>
      </c>
      <c r="BW100" s="24" t="n"/>
      <c r="BX100" s="40" t="n">
        <v>2</v>
      </c>
      <c r="BY100" s="39" t="n">
        <v>0.5</v>
      </c>
      <c r="BZ100" s="24" t="inlineStr">
        <is>
          <t>2026-07-22T23:40:36.780212Z</t>
        </is>
      </c>
      <c r="CA100" s="31" t="inlineStr">
        <is>
          <t>diagnostic — research only, no orders executed</t>
        </is>
      </c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36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38" t="n"/>
      <c r="K101" s="24" t="inlineStr">
        <is>
          <t>polymarket_us</t>
        </is>
      </c>
      <c r="L101" s="26" t="n">
        <v>-488</v>
      </c>
      <c r="M101" s="39" t="n">
        <v>1.204918</v>
      </c>
      <c r="N101" s="28" t="n">
        <v>0.829932</v>
      </c>
      <c r="O101" s="28" t="n">
        <v>0.684245</v>
      </c>
      <c r="P101" s="28" t="n">
        <v>0.05</v>
      </c>
      <c r="Q101" s="28" t="n">
        <v>-0.145687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38" t="n"/>
      <c r="Z101" s="26" t="n">
        <v>-110</v>
      </c>
      <c r="AA101" s="28" t="n">
        <v>0.523834</v>
      </c>
      <c r="AB101" s="28" t="n"/>
      <c r="AC101" s="40" t="n">
        <v>0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38" t="n"/>
      <c r="BK101" s="26" t="n">
        <v>-488</v>
      </c>
      <c r="BL101" s="39" t="n">
        <v>1.204918</v>
      </c>
      <c r="BM101" s="28" t="n">
        <v>0.829932</v>
      </c>
      <c r="BN101" s="28" t="n">
        <v>0.523834</v>
      </c>
      <c r="BO101" s="28" t="n">
        <v>0.523834</v>
      </c>
      <c r="BP101" s="38" t="n"/>
      <c r="BQ101" s="39" t="n">
        <v>1.909</v>
      </c>
      <c r="BR101" s="28" t="n"/>
      <c r="BS101" s="28" t="n"/>
      <c r="BT101" s="28" t="n"/>
      <c r="BU101" s="38" t="n"/>
      <c r="BV101" s="29" t="n">
        <v>2</v>
      </c>
      <c r="BW101" s="24" t="n"/>
      <c r="BX101" s="40" t="n">
        <v>2</v>
      </c>
      <c r="BY101" s="39" t="n">
        <v>0.409836</v>
      </c>
      <c r="BZ101" s="24" t="inlineStr">
        <is>
          <t>2026-07-22T23:44:22Z</t>
        </is>
      </c>
      <c r="CA101" s="31" t="inlineStr">
        <is>
          <t>diagnostic — research only, no orders executed</t>
        </is>
      </c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36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38" t="n"/>
      <c r="K102" s="24" t="inlineStr">
        <is>
          <t>polymarket_us</t>
        </is>
      </c>
      <c r="L102" s="26" t="n">
        <v>-163</v>
      </c>
      <c r="M102" s="39" t="n">
        <v>1.613497</v>
      </c>
      <c r="N102" s="28" t="n">
        <v>0.619772</v>
      </c>
      <c r="O102" s="28" t="n">
        <v>0.576234</v>
      </c>
      <c r="P102" s="28" t="n">
        <v>0.05</v>
      </c>
      <c r="Q102" s="28" t="n">
        <v>-0.043538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38" t="n"/>
      <c r="Z102" s="26" t="n">
        <v>-110</v>
      </c>
      <c r="AA102" s="28" t="n">
        <v>0.523834</v>
      </c>
      <c r="AB102" s="28" t="n"/>
      <c r="AC102" s="40" t="n">
        <v>0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38" t="n"/>
      <c r="BK102" s="26" t="n">
        <v>-163</v>
      </c>
      <c r="BL102" s="39" t="n">
        <v>1.613497</v>
      </c>
      <c r="BM102" s="28" t="n">
        <v>0.619772</v>
      </c>
      <c r="BN102" s="28" t="n">
        <v>0.523834</v>
      </c>
      <c r="BO102" s="28" t="n">
        <v>0.523834</v>
      </c>
      <c r="BP102" s="38" t="n"/>
      <c r="BQ102" s="39" t="n">
        <v>1.909</v>
      </c>
      <c r="BR102" s="28" t="n"/>
      <c r="BS102" s="28" t="n"/>
      <c r="BT102" s="28" t="n"/>
      <c r="BU102" s="38" t="n"/>
      <c r="BV102" s="29" t="n">
        <v>1.05</v>
      </c>
      <c r="BW102" s="24" t="n"/>
      <c r="BX102" s="40" t="n">
        <v>1.25</v>
      </c>
      <c r="BY102" s="39" t="n">
        <v>0.766871</v>
      </c>
      <c r="BZ102" s="24" t="inlineStr">
        <is>
          <t>2026-07-22T23:44:22Z</t>
        </is>
      </c>
      <c r="CA102" s="31" t="inlineStr">
        <is>
          <t>diagnostic — research only, no orders executed</t>
        </is>
      </c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36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38" t="n"/>
      <c r="K103" s="24" t="inlineStr">
        <is>
          <t>polymarket_us</t>
        </is>
      </c>
      <c r="L103" s="26" t="n">
        <v>-110</v>
      </c>
      <c r="M103" s="39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38" t="n"/>
      <c r="Z103" s="26" t="n"/>
      <c r="AA103" s="28" t="n"/>
      <c r="AB103" s="28" t="n"/>
      <c r="AC103" s="40" t="n">
        <v>0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38" t="n"/>
      <c r="BK103" s="26" t="n">
        <v>-110</v>
      </c>
      <c r="BL103" s="39" t="n">
        <v>1.909</v>
      </c>
      <c r="BM103" s="28" t="n">
        <v>0.523834</v>
      </c>
      <c r="BN103" s="28" t="n">
        <v>0.523834</v>
      </c>
      <c r="BO103" s="28" t="n">
        <v>0.523834</v>
      </c>
      <c r="BP103" s="38" t="n"/>
      <c r="BQ103" s="39" t="n"/>
      <c r="BR103" s="28" t="n"/>
      <c r="BS103" s="28" t="n"/>
      <c r="BT103" s="28" t="n"/>
      <c r="BU103" s="38" t="n"/>
      <c r="BV103" s="29" t="n">
        <v>2</v>
      </c>
      <c r="BW103" s="24" t="n"/>
      <c r="BX103" s="40" t="n">
        <v>2</v>
      </c>
      <c r="BY103" s="39" t="n">
        <v>1.818</v>
      </c>
      <c r="BZ103" s="24" t="inlineStr">
        <is>
          <t>2026-07-22T23:40:38.173494Z</t>
        </is>
      </c>
      <c r="CA103" s="31" t="inlineStr">
        <is>
          <t>diagnostic — research only, no orders executed</t>
        </is>
      </c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36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38" t="n"/>
      <c r="K104" s="24" t="inlineStr">
        <is>
          <t>polymarket_us</t>
        </is>
      </c>
      <c r="L104" s="26" t="n">
        <v>186</v>
      </c>
      <c r="M104" s="39" t="n">
        <v>2.86</v>
      </c>
      <c r="N104" s="28" t="n">
        <v>0.34965</v>
      </c>
      <c r="O104" s="28" t="n">
        <v>0.6690160000000001</v>
      </c>
      <c r="P104" s="28" t="n">
        <v>0.05</v>
      </c>
      <c r="Q104" s="28" t="n">
        <v>0.319366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38" t="n"/>
      <c r="Z104" s="26" t="n"/>
      <c r="AA104" s="28" t="n"/>
      <c r="AB104" s="28" t="n"/>
      <c r="AC104" s="40" t="n">
        <v>0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38" t="n"/>
      <c r="BK104" s="26" t="n">
        <v>186</v>
      </c>
      <c r="BL104" s="39" t="n">
        <v>2.86</v>
      </c>
      <c r="BM104" s="28" t="n">
        <v>0.34965</v>
      </c>
      <c r="BN104" s="28" t="n">
        <v>0.523834</v>
      </c>
      <c r="BO104" s="28" t="n">
        <v>0.523834</v>
      </c>
      <c r="BP104" s="38" t="n"/>
      <c r="BQ104" s="39" t="n"/>
      <c r="BR104" s="28" t="n"/>
      <c r="BS104" s="28" t="n"/>
      <c r="BT104" s="28" t="n"/>
      <c r="BU104" s="38" t="n"/>
      <c r="BV104" s="29" t="n">
        <v>2</v>
      </c>
      <c r="BW104" s="24" t="n"/>
      <c r="BX104" s="40" t="n">
        <v>2</v>
      </c>
      <c r="BY104" s="39" t="n">
        <v>-2</v>
      </c>
      <c r="BZ104" s="24" t="inlineStr">
        <is>
          <t>2026-07-22T23:40:38.872966Z</t>
        </is>
      </c>
      <c r="CA104" s="31" t="inlineStr">
        <is>
          <t>diagnostic — research only, no orders executed</t>
        </is>
      </c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36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38" t="n"/>
      <c r="K105" s="24" t="inlineStr">
        <is>
          <t>polymarket_us</t>
        </is>
      </c>
      <c r="L105" s="26" t="n">
        <v>-335</v>
      </c>
      <c r="M105" s="39" t="n">
        <v>1.298507</v>
      </c>
      <c r="N105" s="28" t="n">
        <v>0.770115</v>
      </c>
      <c r="O105" s="28" t="n">
        <v>0.755526</v>
      </c>
      <c r="P105" s="28" t="n">
        <v>0.05</v>
      </c>
      <c r="Q105" s="28" t="n">
        <v>-0.014589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38" t="n"/>
      <c r="Z105" s="26" t="n">
        <v>-110</v>
      </c>
      <c r="AA105" s="28" t="n">
        <v>0.523834</v>
      </c>
      <c r="AB105" s="28" t="n"/>
      <c r="AC105" s="40" t="n">
        <v>0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38" t="n"/>
      <c r="BK105" s="26" t="n">
        <v>-335</v>
      </c>
      <c r="BL105" s="39" t="n">
        <v>1.298507</v>
      </c>
      <c r="BM105" s="28" t="n">
        <v>0.770115</v>
      </c>
      <c r="BN105" s="28" t="n">
        <v>0.523834</v>
      </c>
      <c r="BO105" s="28" t="n">
        <v>0.523834</v>
      </c>
      <c r="BP105" s="38" t="n"/>
      <c r="BQ105" s="39" t="n">
        <v>1.909</v>
      </c>
      <c r="BR105" s="28" t="n"/>
      <c r="BS105" s="28" t="n"/>
      <c r="BT105" s="28" t="n"/>
      <c r="BU105" s="38" t="n"/>
      <c r="BV105" s="29" t="n">
        <v>2</v>
      </c>
      <c r="BW105" s="24" t="n"/>
      <c r="BX105" s="40" t="n">
        <v>2</v>
      </c>
      <c r="BY105" s="39" t="n">
        <v>-2</v>
      </c>
      <c r="BZ105" s="24" t="inlineStr">
        <is>
          <t>2026-07-23T00:02:09Z</t>
        </is>
      </c>
      <c r="CA105" s="31" t="inlineStr">
        <is>
          <t>diagnostic — research only, no orders executed</t>
        </is>
      </c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36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38" t="n"/>
      <c r="K106" s="24" t="inlineStr">
        <is>
          <t>polymarket_us</t>
        </is>
      </c>
      <c r="L106" s="26" t="n">
        <v>-110</v>
      </c>
      <c r="M106" s="39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38" t="n"/>
      <c r="Z106" s="26" t="n">
        <v>-110</v>
      </c>
      <c r="AA106" s="28" t="n">
        <v>0.523834</v>
      </c>
      <c r="AB106" s="28" t="n"/>
      <c r="AC106" s="40" t="n">
        <v>0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38" t="n"/>
      <c r="BK106" s="26" t="n">
        <v>-110</v>
      </c>
      <c r="BL106" s="39" t="n">
        <v>1.909</v>
      </c>
      <c r="BM106" s="28" t="n">
        <v>0.523834</v>
      </c>
      <c r="BN106" s="28" t="n">
        <v>0.523834</v>
      </c>
      <c r="BO106" s="28" t="n">
        <v>0.523834</v>
      </c>
      <c r="BP106" s="38" t="n"/>
      <c r="BQ106" s="39" t="n">
        <v>1.909</v>
      </c>
      <c r="BR106" s="28" t="n"/>
      <c r="BS106" s="28" t="n"/>
      <c r="BT106" s="28" t="n"/>
      <c r="BU106" s="38" t="n"/>
      <c r="BV106" s="29" t="n">
        <v>2</v>
      </c>
      <c r="BW106" s="24" t="n"/>
      <c r="BX106" s="40" t="n">
        <v>2</v>
      </c>
      <c r="BY106" s="39" t="n">
        <v>1.818</v>
      </c>
      <c r="BZ106" s="24" t="inlineStr">
        <is>
          <t>2026-07-23T00:02:09Z</t>
        </is>
      </c>
      <c r="CA106" s="31" t="inlineStr">
        <is>
          <t>diagnostic — research only, no orders executed</t>
        </is>
      </c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36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38" t="n"/>
      <c r="K107" s="24" t="inlineStr">
        <is>
          <t>polymarket_us</t>
        </is>
      </c>
      <c r="L107" s="26" t="n">
        <v>-127</v>
      </c>
      <c r="M107" s="39" t="n">
        <v>1.787402</v>
      </c>
      <c r="N107" s="28" t="n">
        <v>0.5594710000000001</v>
      </c>
      <c r="O107" s="28" t="n">
        <v>0.5725980000000001</v>
      </c>
      <c r="P107" s="28" t="n">
        <v>0.05</v>
      </c>
      <c r="Q107" s="28" t="n">
        <v>0.013127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38" t="n"/>
      <c r="Z107" s="26" t="n"/>
      <c r="AA107" s="28" t="n"/>
      <c r="AB107" s="28" t="n"/>
      <c r="AC107" s="40" t="n">
        <v>0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38" t="n"/>
      <c r="BK107" s="26" t="n">
        <v>-127</v>
      </c>
      <c r="BL107" s="39" t="n">
        <v>1.787402</v>
      </c>
      <c r="BM107" s="28" t="n">
        <v>0.5594710000000001</v>
      </c>
      <c r="BN107" s="28" t="n">
        <v>0.523834</v>
      </c>
      <c r="BO107" s="28" t="n">
        <v>0.523834</v>
      </c>
      <c r="BP107" s="38" t="n"/>
      <c r="BQ107" s="39" t="n"/>
      <c r="BR107" s="28" t="n"/>
      <c r="BS107" s="28" t="n"/>
      <c r="BT107" s="28" t="n"/>
      <c r="BU107" s="38" t="n"/>
      <c r="BV107" s="29" t="n">
        <v>0.98</v>
      </c>
      <c r="BW107" s="24" t="n"/>
      <c r="BX107" s="40" t="n">
        <v>1.25</v>
      </c>
      <c r="BY107" s="39" t="n">
        <v>-1.25</v>
      </c>
      <c r="BZ107" s="24" t="inlineStr">
        <is>
          <t>2026-07-23T00:05:58.437222Z</t>
        </is>
      </c>
      <c r="CA107" s="31" t="inlineStr">
        <is>
          <t>diagnostic — research only, no orders executed</t>
        </is>
      </c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36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38" t="n"/>
      <c r="K108" s="24" t="inlineStr">
        <is>
          <t>polymarket_us</t>
        </is>
      </c>
      <c r="L108" s="26" t="n">
        <v>-110</v>
      </c>
      <c r="M108" s="39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38" t="n"/>
      <c r="Z108" s="26" t="n"/>
      <c r="AA108" s="28" t="n"/>
      <c r="AB108" s="28" t="n"/>
      <c r="AC108" s="4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38" t="n"/>
      <c r="BK108" s="26" t="n">
        <v>-110</v>
      </c>
      <c r="BL108" s="39" t="n">
        <v>1.909</v>
      </c>
      <c r="BM108" s="28" t="n">
        <v>0.523834</v>
      </c>
      <c r="BN108" s="28" t="n">
        <v>0.523834</v>
      </c>
      <c r="BO108" s="28" t="n">
        <v>0.523834</v>
      </c>
      <c r="BP108" s="38" t="n"/>
      <c r="BQ108" s="39" t="n"/>
      <c r="BR108" s="28" t="n"/>
      <c r="BS108" s="28" t="n"/>
      <c r="BT108" s="28" t="n"/>
      <c r="BU108" s="38" t="n"/>
      <c r="BV108" s="29" t="n">
        <v>2</v>
      </c>
      <c r="BW108" s="24" t="n"/>
      <c r="BX108" s="40" t="n">
        <v>2</v>
      </c>
      <c r="BY108" s="39" t="n">
        <v>1.818</v>
      </c>
      <c r="BZ108" s="24" t="inlineStr">
        <is>
          <t>2026-07-23T04:43:23.266999Z</t>
        </is>
      </c>
      <c r="CA108" s="31" t="inlineStr">
        <is>
          <t>diagnostic — research only, no orders executed</t>
        </is>
      </c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36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38" t="n"/>
      <c r="K109" s="24" t="inlineStr">
        <is>
          <t>polymarket_us</t>
        </is>
      </c>
      <c r="L109" s="26" t="n">
        <v>-285</v>
      </c>
      <c r="M109" s="39" t="n">
        <v>1.350877</v>
      </c>
      <c r="N109" s="28" t="n">
        <v>0.74026</v>
      </c>
      <c r="O109" s="28" t="n">
        <v>0.689532</v>
      </c>
      <c r="P109" s="28" t="n">
        <v>0.05</v>
      </c>
      <c r="Q109" s="28" t="n">
        <v>-0.050728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38" t="n"/>
      <c r="Z109" s="26" t="n"/>
      <c r="AA109" s="28" t="n"/>
      <c r="AB109" s="28" t="n"/>
      <c r="AC109" s="4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38" t="n"/>
      <c r="BK109" s="26" t="n">
        <v>-285</v>
      </c>
      <c r="BL109" s="39" t="n">
        <v>1.350877</v>
      </c>
      <c r="BM109" s="28" t="n">
        <v>0.74026</v>
      </c>
      <c r="BN109" s="28" t="n">
        <v>0.523834</v>
      </c>
      <c r="BO109" s="28" t="n">
        <v>0.523834</v>
      </c>
      <c r="BP109" s="38" t="n"/>
      <c r="BQ109" s="39" t="n"/>
      <c r="BR109" s="28" t="n"/>
      <c r="BS109" s="28" t="n"/>
      <c r="BT109" s="28" t="n"/>
      <c r="BU109" s="38" t="n"/>
      <c r="BV109" s="29" t="n">
        <v>2</v>
      </c>
      <c r="BW109" s="24" t="n"/>
      <c r="BX109" s="40" t="n">
        <v>2</v>
      </c>
      <c r="BY109" s="39" t="n">
        <v>0.701754</v>
      </c>
      <c r="BZ109" s="24" t="inlineStr">
        <is>
          <t>2026-07-23T04:43:24.011995Z</t>
        </is>
      </c>
      <c r="CA109" s="31" t="inlineStr">
        <is>
          <t>diagnostic — research only, no orders executed</t>
        </is>
      </c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36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38" t="n"/>
      <c r="K110" s="24" t="inlineStr">
        <is>
          <t>polymarket_us</t>
        </is>
      </c>
      <c r="L110" s="26" t="n">
        <v>-110</v>
      </c>
      <c r="M110" s="39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38" t="n"/>
      <c r="Z110" s="26" t="n"/>
      <c r="AA110" s="28" t="n"/>
      <c r="AB110" s="28" t="n"/>
      <c r="AC110" s="4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38" t="n"/>
      <c r="BK110" s="26" t="n">
        <v>-110</v>
      </c>
      <c r="BL110" s="39" t="n">
        <v>1.909</v>
      </c>
      <c r="BM110" s="28" t="n">
        <v>0.523834</v>
      </c>
      <c r="BN110" s="28" t="n">
        <v>0.523834</v>
      </c>
      <c r="BO110" s="28" t="n">
        <v>0.523834</v>
      </c>
      <c r="BP110" s="38" t="n"/>
      <c r="BQ110" s="39" t="n"/>
      <c r="BR110" s="28" t="n"/>
      <c r="BS110" s="28" t="n"/>
      <c r="BT110" s="28" t="n"/>
      <c r="BU110" s="38" t="n"/>
      <c r="BV110" s="29" t="n">
        <v>1.08</v>
      </c>
      <c r="BW110" s="24" t="n"/>
      <c r="BX110" s="40" t="n">
        <v>1.25</v>
      </c>
      <c r="BY110" s="39" t="n">
        <v>-1.25</v>
      </c>
      <c r="BZ110" s="24" t="inlineStr">
        <is>
          <t>2026-07-23T04:43:24.758969Z</t>
        </is>
      </c>
      <c r="CA110" s="31" t="inlineStr">
        <is>
          <t>diagnostic — research only, no orders executed</t>
        </is>
      </c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38" t="n"/>
      <c r="K111" s="24" t="inlineStr">
        <is>
          <t>polymarket_us</t>
        </is>
      </c>
      <c r="L111" s="26" t="n">
        <v>-110</v>
      </c>
      <c r="M111" s="39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38" t="n"/>
      <c r="Z111" s="26" t="n">
        <v>-110</v>
      </c>
      <c r="AA111" s="28" t="n">
        <v>0.52381</v>
      </c>
      <c r="AB111" s="28" t="n">
        <v>0</v>
      </c>
      <c r="AC111" s="4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38" t="n"/>
      <c r="BK111" s="26" t="n">
        <v>-110</v>
      </c>
      <c r="BL111" s="39" t="n">
        <v>1.909091</v>
      </c>
      <c r="BM111" s="28" t="n">
        <v>0.52381</v>
      </c>
      <c r="BN111" s="28" t="n"/>
      <c r="BO111" s="28" t="n"/>
      <c r="BP111" s="38" t="n"/>
      <c r="BQ111" s="39" t="n">
        <v>1.909091</v>
      </c>
      <c r="BR111" s="28" t="n">
        <v>0.52381</v>
      </c>
      <c r="BS111" s="28" t="n"/>
      <c r="BT111" s="28" t="n"/>
      <c r="BU111" s="38" t="n"/>
      <c r="BV111" s="29" t="n"/>
      <c r="BW111" s="24" t="n"/>
      <c r="BX111" s="40" t="n">
        <v>1.5</v>
      </c>
      <c r="BY111" s="39" t="n">
        <v>-1.5</v>
      </c>
      <c r="BZ111" s="24" t="inlineStr">
        <is>
          <t>2026-07-23T04:36:37.074229Z</t>
        </is>
      </c>
      <c r="CA111" s="31" t="inlineStr">
        <is>
          <t>diagnostic — research only, no orders executed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38" t="n"/>
      <c r="K112" s="24" t="inlineStr">
        <is>
          <t>polymarket_us</t>
        </is>
      </c>
      <c r="L112" s="26" t="n">
        <v>-110</v>
      </c>
      <c r="M112" s="39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38" t="n"/>
      <c r="Z112" s="26" t="n">
        <v>-110</v>
      </c>
      <c r="AA112" s="28" t="n">
        <v>0.52381</v>
      </c>
      <c r="AB112" s="28" t="n">
        <v>0</v>
      </c>
      <c r="AC112" s="4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38" t="n"/>
      <c r="BK112" s="26" t="n">
        <v>-110</v>
      </c>
      <c r="BL112" s="39" t="n">
        <v>1.909091</v>
      </c>
      <c r="BM112" s="28" t="n">
        <v>0.52381</v>
      </c>
      <c r="BN112" s="28" t="n"/>
      <c r="BO112" s="28" t="n"/>
      <c r="BP112" s="38" t="n"/>
      <c r="BQ112" s="39" t="n">
        <v>1.909091</v>
      </c>
      <c r="BR112" s="28" t="n">
        <v>0.52381</v>
      </c>
      <c r="BS112" s="28" t="n"/>
      <c r="BT112" s="28" t="n"/>
      <c r="BU112" s="38" t="n"/>
      <c r="BV112" s="29" t="n"/>
      <c r="BW112" s="24" t="n"/>
      <c r="BX112" s="40" t="n">
        <v>1</v>
      </c>
      <c r="BY112" s="39" t="n">
        <v>-1</v>
      </c>
      <c r="BZ112" s="24" t="inlineStr">
        <is>
          <t>2026-07-23T04:36:37.074229Z</t>
        </is>
      </c>
      <c r="CA112" s="31" t="inlineStr">
        <is>
          <t>diagnostic — research only, no orders executed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23ba4a1595fd46a9</t>
        </is>
      </c>
      <c r="B113" s="24" t="inlineStr">
        <is>
          <t>2026-07-23T15:36:26.986127Z</t>
        </is>
      </c>
      <c r="C113" s="24" t="inlineStr">
        <is>
          <t>2026-07-23T12:15:00-0400</t>
        </is>
      </c>
      <c r="D113" s="24" t="inlineStr">
        <is>
          <t>401816233</t>
        </is>
      </c>
      <c r="E113" s="24" t="inlineStr">
        <is>
          <t>MLB</t>
        </is>
      </c>
      <c r="F113" s="24" t="inlineStr">
        <is>
          <t>San Diego Padres</t>
        </is>
      </c>
      <c r="G113" s="24" t="inlineStr">
        <is>
          <t>Atlanta Braves</t>
        </is>
      </c>
      <c r="H113" s="24" t="inlineStr">
        <is>
          <t>moneyline</t>
        </is>
      </c>
      <c r="I113" s="24" t="inlineStr">
        <is>
          <t>home</t>
        </is>
      </c>
      <c r="J113" s="38" t="n"/>
      <c r="K113" s="24" t="inlineStr">
        <is>
          <t>polymarket_us</t>
        </is>
      </c>
      <c r="L113" s="26" t="n">
        <v>-233</v>
      </c>
      <c r="M113" s="39" t="n">
        <v>1.429185</v>
      </c>
      <c r="N113" s="28" t="n">
        <v>0.6997</v>
      </c>
      <c r="O113" s="28" t="n">
        <v>0.560269</v>
      </c>
      <c r="P113" s="28" t="n"/>
      <c r="Q113" s="28" t="n">
        <v>-0.139431</v>
      </c>
      <c r="R113" s="26" t="n">
        <v>0</v>
      </c>
      <c r="S113" s="29" t="n">
        <v>1</v>
      </c>
      <c r="T113" s="24" t="inlineStr">
        <is>
          <t>mlb-elo-trend-lr-v5</t>
        </is>
      </c>
      <c r="U113" s="24" t="inlineStr">
        <is>
          <t>open</t>
        </is>
      </c>
      <c r="V113" s="24" t="n"/>
      <c r="W113" s="26" t="n"/>
      <c r="X113" s="26" t="n"/>
      <c r="Y113" s="38" t="n"/>
      <c r="Z113" s="26" t="n"/>
      <c r="AA113" s="28" t="n"/>
      <c r="AB113" s="28" t="n"/>
      <c r="AC113" s="40" t="n"/>
      <c r="AD113" s="24" t="n"/>
      <c r="AE113" s="31" t="inlineStr">
        <is>
          <t>Learned LR call at threshold 0.5750; executable ask 0.7000 (aec-mlb-sd-atl-2026-07-23).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NO_CALL_LARGE_DISAGREEMENT_REVIEW</t>
        </is>
      </c>
      <c r="AP113" s="24" t="inlineStr">
        <is>
          <t>mlb-sd</t>
        </is>
      </c>
      <c r="AQ113" s="24" t="inlineStr">
        <is>
          <t>San Diego Padres</t>
        </is>
      </c>
      <c r="AR113" s="24" t="inlineStr">
        <is>
          <t>San Diego Padres</t>
        </is>
      </c>
      <c r="AS113" s="24" t="inlineStr">
        <is>
          <t>mlb-atl</t>
        </is>
      </c>
      <c r="AT113" s="24" t="inlineStr">
        <is>
          <t>Atlanta Braves</t>
        </is>
      </c>
      <c r="AU113" s="24" t="inlineStr">
        <is>
          <t>Atlanta Braves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8a12d027cf1d2c206cb369c47da80e014f8ac4dfc414ffee96ae34656c46fef5</t>
        </is>
      </c>
      <c r="BB113" s="24" t="inlineStr">
        <is>
          <t>learned_lr</t>
        </is>
      </c>
      <c r="BC113" s="24" t="inlineStr">
        <is>
          <t>mlb-elo-trend-lr-v5</t>
        </is>
      </c>
      <c r="BD113" s="24" t="inlineStr">
        <is>
          <t>8a12d027cf1d2c206cb369c47da80e014f8ac4dfc414ffee96ae34656c46fef5</t>
        </is>
      </c>
      <c r="BE113" s="24" t="inlineStr">
        <is>
          <t>b59e973ab9004d83</t>
        </is>
      </c>
      <c r="BF113" s="24" t="inlineStr">
        <is>
          <t>1</t>
        </is>
      </c>
      <c r="BG113" s="24" t="inlineStr">
        <is>
          <t>mlb-elo-trend-lr-v5</t>
        </is>
      </c>
      <c r="BH113" s="24" t="inlineStr">
        <is>
          <t>2026-07-23T15:35:37.217538Z</t>
        </is>
      </c>
      <c r="BI113" s="24" t="inlineStr">
        <is>
          <t>["same_event","same_team_same_day","same_league_same_day"]</t>
        </is>
      </c>
      <c r="BJ113" s="38" t="n"/>
      <c r="BK113" s="26" t="n">
        <v>-233</v>
      </c>
      <c r="BL113" s="39" t="n">
        <v>1.429185</v>
      </c>
      <c r="BM113" s="28" t="n">
        <v>0.6997</v>
      </c>
      <c r="BN113" s="28" t="n">
        <v>0.6965170000000001</v>
      </c>
      <c r="BO113" s="28" t="n"/>
      <c r="BP113" s="38" t="n"/>
      <c r="BQ113" s="39" t="n"/>
      <c r="BR113" s="28" t="n"/>
      <c r="BS113" s="28" t="n"/>
      <c r="BT113" s="28" t="n"/>
      <c r="BU113" s="38" t="n"/>
      <c r="BV113" s="29" t="n"/>
      <c r="BW113" s="24" t="n"/>
      <c r="BX113" s="40" t="n"/>
      <c r="BY113" s="39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0f6517c4d46945a0</t>
        </is>
      </c>
      <c r="B114" s="24" t="inlineStr">
        <is>
          <t>2026-07-23T15:36:26.986127Z</t>
        </is>
      </c>
      <c r="C114" s="24" t="inlineStr">
        <is>
          <t>2026-07-23T13:10:00-0400</t>
        </is>
      </c>
      <c r="D114" s="24" t="inlineStr">
        <is>
          <t>401816232</t>
        </is>
      </c>
      <c r="E114" s="24" t="inlineStr">
        <is>
          <t>MLB</t>
        </is>
      </c>
      <c r="F114" s="24" t="inlineStr">
        <is>
          <t>Minnesota Twins</t>
        </is>
      </c>
      <c r="G114" s="24" t="inlineStr">
        <is>
          <t>Cleveland Guardians</t>
        </is>
      </c>
      <c r="H114" s="24" t="inlineStr">
        <is>
          <t>moneyline</t>
        </is>
      </c>
      <c r="I114" s="24" t="inlineStr">
        <is>
          <t>home</t>
        </is>
      </c>
      <c r="J114" s="38" t="n"/>
      <c r="K114" s="24" t="inlineStr">
        <is>
          <t>polymarket_us</t>
        </is>
      </c>
      <c r="L114" s="26" t="n">
        <v>-135</v>
      </c>
      <c r="M114" s="39" t="n">
        <v>1.740741</v>
      </c>
      <c r="N114" s="28" t="n">
        <v>0.574468</v>
      </c>
      <c r="O114" s="28" t="n">
        <v>0.544055</v>
      </c>
      <c r="P114" s="28" t="n"/>
      <c r="Q114" s="28" t="n">
        <v>-0.030413</v>
      </c>
      <c r="R114" s="26" t="n">
        <v>5</v>
      </c>
      <c r="S114" s="29" t="n">
        <v>1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38" t="n"/>
      <c r="Z114" s="26" t="n"/>
      <c r="AA114" s="28" t="n"/>
      <c r="AB114" s="28" t="n"/>
      <c r="AC114" s="40" t="n"/>
      <c r="AD114" s="24" t="n"/>
      <c r="AE114" s="31" t="inlineStr">
        <is>
          <t>Learned LR call at threshold 0.5750; executable ask 0.5750 (aec-mlb-min-cle-2026-07-23).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mlb-min</t>
        </is>
      </c>
      <c r="AQ114" s="24" t="inlineStr">
        <is>
          <t>Minnesota Twins</t>
        </is>
      </c>
      <c r="AR114" s="24" t="inlineStr">
        <is>
          <t>Minnesota Twins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8a12d027cf1d2c206cb369c47da80e014f8ac4dfc414ffee96ae34656c46fef5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8a12d027cf1d2c206cb369c47da80e014f8ac4dfc414ffee96ae34656c46fef5</t>
        </is>
      </c>
      <c r="BE114" s="24" t="inlineStr">
        <is>
          <t>79a15da2a7fa77ad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2026-07-23T15:35:38.478904Z</t>
        </is>
      </c>
      <c r="BI114" s="24" t="inlineStr">
        <is>
          <t>["same_event","same_team_same_day","same_league_same_day"]</t>
        </is>
      </c>
      <c r="BJ114" s="38" t="n"/>
      <c r="BK114" s="26" t="n">
        <v>-135</v>
      </c>
      <c r="BL114" s="39" t="n">
        <v>1.740741</v>
      </c>
      <c r="BM114" s="28" t="n">
        <v>0.574468</v>
      </c>
      <c r="BN114" s="28" t="n">
        <v>0.572139</v>
      </c>
      <c r="BO114" s="28" t="n"/>
      <c r="BP114" s="38" t="n"/>
      <c r="BQ114" s="39" t="n"/>
      <c r="BR114" s="28" t="n"/>
      <c r="BS114" s="28" t="n"/>
      <c r="BT114" s="28" t="n"/>
      <c r="BU114" s="38" t="n"/>
      <c r="BV114" s="29" t="n"/>
      <c r="BW114" s="24" t="n"/>
      <c r="BX114" s="40" t="n"/>
      <c r="BY114" s="39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644e3c71dcca4c5e</t>
        </is>
      </c>
      <c r="B115" s="24" t="inlineStr">
        <is>
          <t>2026-07-23T15:36:26.986127Z</t>
        </is>
      </c>
      <c r="C115" s="24" t="inlineStr">
        <is>
          <t>2026-07-23T15:07:00-0400</t>
        </is>
      </c>
      <c r="D115" s="24" t="inlineStr">
        <is>
          <t>401816234</t>
        </is>
      </c>
      <c r="E115" s="24" t="inlineStr">
        <is>
          <t>MLB</t>
        </is>
      </c>
      <c r="F115" s="24" t="inlineStr">
        <is>
          <t>Tampa Bay Rays</t>
        </is>
      </c>
      <c r="G115" s="24" t="inlineStr">
        <is>
          <t>Toronto Blue Jays</t>
        </is>
      </c>
      <c r="H115" s="24" t="inlineStr">
        <is>
          <t>moneyline</t>
        </is>
      </c>
      <c r="I115" s="24" t="inlineStr">
        <is>
          <t>home</t>
        </is>
      </c>
      <c r="J115" s="38" t="n"/>
      <c r="K115" s="24" t="inlineStr">
        <is>
          <t>polymarket_us</t>
        </is>
      </c>
      <c r="L115" s="26" t="n">
        <v>100</v>
      </c>
      <c r="M115" s="39" t="n">
        <v>2</v>
      </c>
      <c r="N115" s="28" t="n">
        <v>0.5</v>
      </c>
      <c r="O115" s="28" t="n">
        <v>0.555263</v>
      </c>
      <c r="P115" s="28" t="n"/>
      <c r="Q115" s="28" t="n">
        <v>0.055263</v>
      </c>
      <c r="R115" s="26" t="n">
        <v>48</v>
      </c>
      <c r="S115" s="29" t="n">
        <v>1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38" t="n"/>
      <c r="Z115" s="26" t="n"/>
      <c r="AA115" s="28" t="n"/>
      <c r="AB115" s="28" t="n"/>
      <c r="AC115" s="40" t="n"/>
      <c r="AD115" s="24" t="n"/>
      <c r="AE115" s="31" t="inlineStr">
        <is>
          <t>Learned LR call at threshold 0.5750; executable ask 0.5000 (aec-mlb-tb-tor-2026-07-23).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mlb-tb</t>
        </is>
      </c>
      <c r="AQ115" s="24" t="inlineStr">
        <is>
          <t>Tampa Bay Rays</t>
        </is>
      </c>
      <c r="AR115" s="24" t="inlineStr">
        <is>
          <t>Tampa Bay Rays</t>
        </is>
      </c>
      <c r="AS115" s="24" t="inlineStr">
        <is>
          <t>mlb-tor</t>
        </is>
      </c>
      <c r="AT115" s="24" t="inlineStr">
        <is>
          <t>Toronto Blue Jays</t>
        </is>
      </c>
      <c r="AU115" s="24" t="inlineStr">
        <is>
          <t>Toronto Blue Jays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8a12d027cf1d2c206cb369c47da80e014f8ac4dfc414ffee96ae34656c46fef5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8a12d027cf1d2c206cb369c47da80e014f8ac4dfc414ffee96ae34656c46fef5</t>
        </is>
      </c>
      <c r="BE115" s="24" t="inlineStr">
        <is>
          <t>30f1580a797cd317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2026-07-23T15:35:39.945596Z</t>
        </is>
      </c>
      <c r="BI115" s="24" t="inlineStr">
        <is>
          <t>["same_event","same_team_same_day","same_league_same_day"]</t>
        </is>
      </c>
      <c r="BJ115" s="38" t="n"/>
      <c r="BK115" s="26" t="n">
        <v>100</v>
      </c>
      <c r="BL115" s="39" t="n">
        <v>2</v>
      </c>
      <c r="BM115" s="28" t="n">
        <v>0.5</v>
      </c>
      <c r="BN115" s="28" t="n">
        <v>0.497512</v>
      </c>
      <c r="BO115" s="28" t="n"/>
      <c r="BP115" s="38" t="n"/>
      <c r="BQ115" s="39" t="n"/>
      <c r="BR115" s="28" t="n"/>
      <c r="BS115" s="28" t="n"/>
      <c r="BT115" s="28" t="n"/>
      <c r="BU115" s="38" t="n"/>
      <c r="BV115" s="29" t="n"/>
      <c r="BW115" s="24" t="n"/>
      <c r="BX115" s="40" t="n"/>
      <c r="BY115" s="39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135a0b60fb454311</t>
        </is>
      </c>
      <c r="B116" s="24" t="inlineStr">
        <is>
          <t>2026-07-23T15:36:26.986127Z</t>
        </is>
      </c>
      <c r="C116" s="24" t="inlineStr">
        <is>
          <t>2026-07-23T17:15:00-0400</t>
        </is>
      </c>
      <c r="D116" s="24" t="inlineStr">
        <is>
          <t>401881162</t>
        </is>
      </c>
      <c r="E116" s="24" t="inlineStr">
        <is>
          <t>MLB</t>
        </is>
      </c>
      <c r="F116" s="24" t="inlineStr">
        <is>
          <t>Arizona Diamondbacks</t>
        </is>
      </c>
      <c r="G116" s="24" t="inlineStr">
        <is>
          <t>St. Louis Cardinals</t>
        </is>
      </c>
      <c r="H116" s="24" t="inlineStr">
        <is>
          <t>moneyline</t>
        </is>
      </c>
      <c r="I116" s="24" t="inlineStr">
        <is>
          <t>home</t>
        </is>
      </c>
      <c r="J116" s="38" t="n"/>
      <c r="K116" s="24" t="inlineStr">
        <is>
          <t>polymarket_us</t>
        </is>
      </c>
      <c r="L116" s="26" t="n">
        <v>-111</v>
      </c>
      <c r="M116" s="39" t="n">
        <v>1.900901</v>
      </c>
      <c r="N116" s="28" t="n">
        <v>0.526066</v>
      </c>
      <c r="O116" s="28" t="n">
        <v>0.57222</v>
      </c>
      <c r="P116" s="28" t="n"/>
      <c r="Q116" s="28" t="n">
        <v>0.046154</v>
      </c>
      <c r="R116" s="26" t="n">
        <v>43</v>
      </c>
      <c r="S116" s="29" t="n">
        <v>1.25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38" t="n"/>
      <c r="Z116" s="26" t="n"/>
      <c r="AA116" s="28" t="n"/>
      <c r="AB116" s="28" t="n"/>
      <c r="AC116" s="40" t="n"/>
      <c r="AD116" s="24" t="n"/>
      <c r="AE116" s="31" t="inlineStr">
        <is>
          <t>Learned LR call at threshold 0.5750; executable ask 0.5250 (aec-mlb-az-stl-2026-07-23).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mlb-ari</t>
        </is>
      </c>
      <c r="AQ116" s="24" t="inlineStr">
        <is>
          <t>Arizona Diamondbacks</t>
        </is>
      </c>
      <c r="AR116" s="24" t="inlineStr">
        <is>
          <t>Arizona Diamondbacks</t>
        </is>
      </c>
      <c r="AS116" s="24" t="inlineStr">
        <is>
          <t>mlb-stl</t>
        </is>
      </c>
      <c r="AT116" s="24" t="inlineStr">
        <is>
          <t>St. Louis Cardinals</t>
        </is>
      </c>
      <c r="AU116" s="24" t="inlineStr">
        <is>
          <t>St. Louis Cardinals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8a12d027cf1d2c206cb369c47da80e014f8ac4dfc414ffee96ae34656c46fef5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8a12d027cf1d2c206cb369c47da80e014f8ac4dfc414ffee96ae34656c46fef5</t>
        </is>
      </c>
      <c r="BE116" s="24" t="inlineStr">
        <is>
          <t>1f256bbc1d2b4357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2026-07-23T15:35:41.408474Z</t>
        </is>
      </c>
      <c r="BI116" s="24" t="inlineStr">
        <is>
          <t>["same_event","same_team_same_day","same_league_same_day"]</t>
        </is>
      </c>
      <c r="BJ116" s="38" t="n"/>
      <c r="BK116" s="26" t="n">
        <v>-111</v>
      </c>
      <c r="BL116" s="39" t="n">
        <v>1.900901</v>
      </c>
      <c r="BM116" s="28" t="n">
        <v>0.526066</v>
      </c>
      <c r="BN116" s="28" t="n">
        <v>0.522388</v>
      </c>
      <c r="BO116" s="28" t="n"/>
      <c r="BP116" s="38" t="n"/>
      <c r="BQ116" s="39" t="n"/>
      <c r="BR116" s="28" t="n"/>
      <c r="BS116" s="28" t="n"/>
      <c r="BT116" s="28" t="n"/>
      <c r="BU116" s="38" t="n"/>
      <c r="BV116" s="29" t="n"/>
      <c r="BW116" s="24" t="n"/>
      <c r="BX116" s="40" t="n"/>
      <c r="BY116" s="39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321b337fabba41fd</t>
        </is>
      </c>
      <c r="B117" s="24" t="inlineStr">
        <is>
          <t>2026-07-23T15:36:26.986127Z</t>
        </is>
      </c>
      <c r="C117" s="24" t="inlineStr">
        <is>
          <t>2026-07-23T18:40:00-0400</t>
        </is>
      </c>
      <c r="D117" s="24" t="inlineStr">
        <is>
          <t>401816231</t>
        </is>
      </c>
      <c r="E117" s="24" t="inlineStr">
        <is>
          <t>MLB</t>
        </is>
      </c>
      <c r="F117" s="24" t="inlineStr">
        <is>
          <t>Kansas City Royals</t>
        </is>
      </c>
      <c r="G117" s="24" t="inlineStr">
        <is>
          <t>Detroit Tigers</t>
        </is>
      </c>
      <c r="H117" s="24" t="inlineStr">
        <is>
          <t>moneyline</t>
        </is>
      </c>
      <c r="I117" s="24" t="inlineStr">
        <is>
          <t>home</t>
        </is>
      </c>
      <c r="J117" s="38" t="n"/>
      <c r="K117" s="24" t="inlineStr">
        <is>
          <t>polymarket_us</t>
        </is>
      </c>
      <c r="L117" s="26" t="n">
        <v>-199</v>
      </c>
      <c r="M117" s="39" t="n">
        <v>1.502513</v>
      </c>
      <c r="N117" s="28" t="n">
        <v>0.665552</v>
      </c>
      <c r="O117" s="28" t="n">
        <v>0.514768</v>
      </c>
      <c r="P117" s="28" t="n"/>
      <c r="Q117" s="28" t="n">
        <v>-0.150784</v>
      </c>
      <c r="R117" s="26" t="n">
        <v>0</v>
      </c>
      <c r="S117" s="29" t="n">
        <v>0.75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38" t="n"/>
      <c r="Z117" s="26" t="n"/>
      <c r="AA117" s="28" t="n"/>
      <c r="AB117" s="28" t="n"/>
      <c r="AC117" s="40" t="n"/>
      <c r="AD117" s="24" t="n"/>
      <c r="AE117" s="31" t="inlineStr">
        <is>
          <t>Learned LR call at threshold 0.5750; executable ask 0.6650 (aec-mlb-kc-det-2026-07-23).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NO_CALL_LARGE_DISAGREEMENT_REVIEW</t>
        </is>
      </c>
      <c r="AP117" s="24" t="inlineStr">
        <is>
          <t>mlb-kc</t>
        </is>
      </c>
      <c r="AQ117" s="24" t="inlineStr">
        <is>
          <t>Kansas City Royals</t>
        </is>
      </c>
      <c r="AR117" s="24" t="inlineStr">
        <is>
          <t>Kansas City Royals</t>
        </is>
      </c>
      <c r="AS117" s="24" t="inlineStr">
        <is>
          <t>mlb-det</t>
        </is>
      </c>
      <c r="AT117" s="24" t="inlineStr">
        <is>
          <t>Detroit Tigers</t>
        </is>
      </c>
      <c r="AU117" s="24" t="inlineStr">
        <is>
          <t>Detroit Tigers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8a12d027cf1d2c206cb369c47da80e014f8ac4dfc414ffee96ae34656c46fef5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8a12d027cf1d2c206cb369c47da80e014f8ac4dfc414ffee96ae34656c46fef5</t>
        </is>
      </c>
      <c r="BE117" s="24" t="inlineStr">
        <is>
          <t>57723e66dc560373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2026-07-23T15:35:43.416280Z</t>
        </is>
      </c>
      <c r="BI117" s="24" t="inlineStr">
        <is>
          <t>["same_event","same_team_same_day","same_league_same_day"]</t>
        </is>
      </c>
      <c r="BJ117" s="38" t="n"/>
      <c r="BK117" s="26" t="n">
        <v>-199</v>
      </c>
      <c r="BL117" s="39" t="n">
        <v>1.502513</v>
      </c>
      <c r="BM117" s="28" t="n">
        <v>0.665552</v>
      </c>
      <c r="BN117" s="28" t="n">
        <v>0.6616919999999999</v>
      </c>
      <c r="BO117" s="28" t="n"/>
      <c r="BP117" s="38" t="n"/>
      <c r="BQ117" s="39" t="n"/>
      <c r="BR117" s="28" t="n"/>
      <c r="BS117" s="28" t="n"/>
      <c r="BT117" s="28" t="n"/>
      <c r="BU117" s="38" t="n"/>
      <c r="BV117" s="29" t="n"/>
      <c r="BW117" s="24" t="n"/>
      <c r="BX117" s="40" t="n"/>
      <c r="BY117" s="39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  <row r="118" ht="36" customHeight="1"/>
    <row r="119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2026-07-23T15:36:28Z</dcterms:created>
  <dcterms:modified xsi:type="dcterms:W3CDTF">2026-07-23T15:50:00Z</dcterms:modified>
</cp:coreProperties>
</file>