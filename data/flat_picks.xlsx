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41" headerRowCount="1">
  <autoFilter ref="A1:CO4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COUNTA('Picks'!$A$2:$A$41)</f>
        <v/>
      </c>
      <c r="C4" s="6">
        <f>COUNTIF('Picks'!$U$2:$U$41,"open")</f>
        <v/>
      </c>
      <c r="E4" s="6">
        <f>COUNTIF('Picks'!$U$2:$U$41,"settled")</f>
        <v/>
      </c>
      <c r="G4" s="6">
        <f>IF(COUNTIFS('Picks'!$U$2:$U$41,"settled",'Picks'!$V$2:$V$41,"win")+COUNTIFS('Picks'!$U$2:$U$41,"settled",'Picks'!$V$2:$V$41,"loss")&gt;=$L$2,"Ready","Insufficient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COUNTIF('Picks'!$BX$2:$BX$41,"&gt;0")</f>
        <v/>
      </c>
      <c r="C7" s="6">
        <f>COUNTIFS('Picks'!$BX$2:$BX$41,"&gt;0",'Picks'!$V$2:$V$41,"win")&amp;"-"&amp;COUNTIFS('Picks'!$BX$2:$BX$41,"&gt;0",'Picks'!$V$2:$V$41,"loss")</f>
        <v/>
      </c>
      <c r="E7" s="7">
        <f>IFERROR(COUNTIFS('Picks'!$BX$2:$BX$41,"&gt;0",'Picks'!$V$2:$V$41,"win")/(COUNTIFS('Picks'!$BX$2:$BX$41,"&gt;0",'Picks'!$V$2:$V$41,"win")+COUNTIFS('Picks'!$BX$2:$BX$41,"&gt;0",'Picks'!$V$2:$V$41,"loss")),0)</f>
        <v/>
      </c>
      <c r="G7" s="7">
        <f>IFERROR(SUM('Picks'!$BY$2:$BY$41)/SUM('Picks'!$BX$2:$BX$41),0)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SUM('Picks'!$BY$2:$BY$41)</f>
        <v/>
      </c>
      <c r="C10" s="9">
        <f>IFERROR(AVERAGEIF('Picks'!$AB$2:$AB$41,"&lt;&gt;",'Picks'!$AB$2:$AB$41),0)</f>
        <v/>
      </c>
      <c r="E10" s="6">
        <f>COUNTIFS('Picks'!$AM$2:$AM$41,"QUALIFIED_SHADOW_CALL",'Picks'!$U$2:$U$41,"settled")</f>
        <v/>
      </c>
      <c r="G10" s="8">
        <f>SUMIFS('Picks'!$AC$2:$AC$41,'Picks'!$AM$2:$AM$41,"QUALIFIED_SHADOW_CALL")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COUNTIFS('Picks'!$H$2:$H$41,$A14,'Picks'!$U$2:$U$41,"settled")</f>
        <v/>
      </c>
      <c r="C14" s="13">
        <f>COUNTIFS('Picks'!$H$2:$H$41,$A14,'Picks'!$U$2:$U$41,"settled",'Picks'!$V$2:$V$41,"win")</f>
        <v/>
      </c>
      <c r="D14" s="13">
        <f>COUNTIFS('Picks'!$H$2:$H$41,$A14,'Picks'!$U$2:$U$41,"settled",'Picks'!$V$2:$V$41,"loss")</f>
        <v/>
      </c>
      <c r="E14" s="14">
        <f>IFERROR(C14/(C14+D14),0)</f>
        <v/>
      </c>
      <c r="F14" s="15">
        <f>SUMIFS('Picks'!$BY$2:$BY$41,'Picks'!$H$2:$H$41,$A14)</f>
        <v/>
      </c>
      <c r="G14" s="16">
        <f>IFERROR(AVERAGEIFS('Picks'!$AB$2:$AB$41,'Picks'!$H$2:$H$41,$A14,'Picks'!$U$2:$U$41,"settled"),0)</f>
        <v/>
      </c>
    </row>
    <row r="15">
      <c r="A15" s="17" t="inlineStr">
        <is>
          <t>spread</t>
        </is>
      </c>
      <c r="B15" s="18">
        <f>COUNTIFS('Picks'!$H$2:$H$41,$A15,'Picks'!$U$2:$U$41,"settled")</f>
        <v/>
      </c>
      <c r="C15" s="18">
        <f>COUNTIFS('Picks'!$H$2:$H$41,$A15,'Picks'!$U$2:$U$41,"settled",'Picks'!$V$2:$V$41,"win")</f>
        <v/>
      </c>
      <c r="D15" s="18">
        <f>COUNTIFS('Picks'!$H$2:$H$41,$A15,'Picks'!$U$2:$U$41,"settled",'Picks'!$V$2:$V$41,"loss")</f>
        <v/>
      </c>
      <c r="E15" s="19">
        <f>IFERROR(C15/(C15+D15),0)</f>
        <v/>
      </c>
      <c r="F15" s="20">
        <f>SUMIFS('Picks'!$BY$2:$BY$41,'Picks'!$H$2:$H$41,$A15)</f>
        <v/>
      </c>
      <c r="G15" s="21">
        <f>IFERROR(AVERAGEIFS('Picks'!$AB$2:$AB$41,'Picks'!$H$2:$H$41,$A15,'Picks'!$U$2:$U$41,"settled"),0)</f>
        <v/>
      </c>
    </row>
    <row r="16">
      <c r="A16" s="12" t="inlineStr">
        <is>
          <t>total</t>
        </is>
      </c>
      <c r="B16" s="13">
        <f>COUNTIFS('Picks'!$H$2:$H$41,$A16,'Picks'!$U$2:$U$41,"settled")</f>
        <v/>
      </c>
      <c r="C16" s="13">
        <f>COUNTIFS('Picks'!$H$2:$H$41,$A16,'Picks'!$U$2:$U$41,"settled",'Picks'!$V$2:$V$41,"win")</f>
        <v/>
      </c>
      <c r="D16" s="13">
        <f>COUNTIFS('Picks'!$H$2:$H$41,$A16,'Picks'!$U$2:$U$41,"settled",'Picks'!$V$2:$V$41,"loss")</f>
        <v/>
      </c>
      <c r="E16" s="14">
        <f>IFERROR(C16/(C16+D16),0)</f>
        <v/>
      </c>
      <c r="F16" s="15">
        <f>SUMIFS('Picks'!$BY$2:$BY$41,'Picks'!$H$2:$H$41,$A16)</f>
        <v/>
      </c>
      <c r="G16" s="16">
        <f>IFERROR(AVERAGEIFS('Picks'!$AB$2:$AB$41,'Picks'!$H$2:$H$41,$A16,'Picks'!$U$2:$U$41,"settled"),0)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0</v>
      </c>
      <c r="T10" s="24" t="inlineStr">
        <is>
          <t>measured-edge-margin-v1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0</v>
      </c>
      <c r="T11" s="24" t="inlineStr">
        <is>
          <t>measured-edge-totals-v1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fc8f7bc914e241ff</t>
        </is>
      </c>
      <c r="B12" s="24" t="inlineStr">
        <is>
          <t>2026-07-30T17:36:17.628396Z</t>
        </is>
      </c>
      <c r="C12" s="24" t="inlineStr">
        <is>
          <t>2026-07-30T20:00:00-0400</t>
        </is>
      </c>
      <c r="D12" s="24" t="inlineStr">
        <is>
          <t>401857099</t>
        </is>
      </c>
      <c r="E12" s="24" t="inlineStr">
        <is>
          <t>WNBA</t>
        </is>
      </c>
      <c r="F12" s="24" t="inlineStr">
        <is>
          <t>Minnesota Lynx</t>
        </is>
      </c>
      <c r="G12" s="24" t="inlineStr">
        <is>
          <t>Toronto Tempo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-614</v>
      </c>
      <c r="M12" s="27" t="n">
        <v>1.162866</v>
      </c>
      <c r="N12" s="28" t="n">
        <v>0.859944</v>
      </c>
      <c r="O12" s="28" t="n">
        <v>0.750119</v>
      </c>
      <c r="P12" s="28" t="n"/>
      <c r="Q12" s="28" t="n">
        <v>-0.109825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wnba-min</t>
        </is>
      </c>
      <c r="AQ12" s="24" t="inlineStr">
        <is>
          <t>Minnesota Lynx</t>
        </is>
      </c>
      <c r="AR12" s="24" t="inlineStr">
        <is>
          <t>Minnesota Lynx</t>
        </is>
      </c>
      <c r="AS12" s="24" t="inlineStr">
        <is>
          <t>wnba-tor</t>
        </is>
      </c>
      <c r="AT12" s="24" t="inlineStr">
        <is>
          <t>Toronto Tempo</t>
        </is>
      </c>
      <c r="AU12" s="24" t="inlineStr">
        <is>
          <t>Toronto Tempo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a8d16f9be486f04d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2026-07-30T17:35:40.109396Z</t>
        </is>
      </c>
      <c r="BI12" s="24" t="inlineStr">
        <is>
          <t>["same_event","same_team_same_day","same_league_same_day"]</t>
        </is>
      </c>
      <c r="BJ12" s="25" t="n"/>
      <c r="BK12" s="26" t="n">
        <v>-614</v>
      </c>
      <c r="BL12" s="27" t="n">
        <v>1.162866</v>
      </c>
      <c r="BM12" s="28" t="n">
        <v>0.859944</v>
      </c>
      <c r="BN12" s="28" t="n">
        <v>0.851485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0.1447442732</t>
        </is>
      </c>
      <c r="CD12" s="24" t="inlineStr">
        <is>
          <t>-5.213719</t>
        </is>
      </c>
      <c r="CE12" s="24" t="n"/>
      <c r="CF12" s="24" t="n"/>
      <c r="CG12" s="24" t="n"/>
      <c r="CH12" s="24" t="n"/>
      <c r="CI12" s="24" t="inlineStr">
        <is>
          <t>wnba_availability_source_conflict</t>
        </is>
      </c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80054eebaf564b26</t>
        </is>
      </c>
      <c r="B13" s="24" t="inlineStr">
        <is>
          <t>2026-07-30T17:36:17.628396Z</t>
        </is>
      </c>
      <c r="C13" s="24" t="inlineStr">
        <is>
          <t>2026-07-30T13:40:00-0400</t>
        </is>
      </c>
      <c r="D13" s="24" t="inlineStr">
        <is>
          <t>401816327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Minnesota Twins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0.529687</v>
      </c>
      <c r="P13" s="28" t="n"/>
      <c r="Q13" s="28" t="n">
        <v>-0.029784</v>
      </c>
      <c r="R13" s="26" t="n">
        <v>6</v>
      </c>
      <c r="S13" s="29" t="n">
        <v>0.75</v>
      </c>
      <c r="T13" s="24" t="inlineStr">
        <is>
          <t>mlb-elo-trend-lr-v7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0.6242; executable ask 0.5600 (aec-mlb-kc-min-2026-07-30); model edge vs ask -0.0303.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mlb-min</t>
        </is>
      </c>
      <c r="AT13" s="24" t="inlineStr">
        <is>
          <t>Minnesota Twins</t>
        </is>
      </c>
      <c r="AU13" s="24" t="inlineStr">
        <is>
          <t>Minnesota Twins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00a066c80876c81d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2026-07-30T17:35:31.601278Z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>
        <v>0.557214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0.5433979589</t>
        </is>
      </c>
      <c r="CD13" s="24" t="inlineStr">
        <is>
          <t>-0.186414</t>
        </is>
      </c>
      <c r="CE13" s="24" t="inlineStr">
        <is>
          <t>1.037</t>
        </is>
      </c>
      <c r="CF13" s="24" t="inlineStr">
        <is>
          <t>1.018</t>
        </is>
      </c>
      <c r="CG13" s="24" t="inlineStr">
        <is>
          <t>1.8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744dc55d146c49cf</t>
        </is>
      </c>
      <c r="B14" s="24" t="inlineStr">
        <is>
          <t>2026-07-30T17:36:17.628396Z</t>
        </is>
      </c>
      <c r="C14" s="24" t="inlineStr">
        <is>
          <t>2026-07-30T20:00:00-0400</t>
        </is>
      </c>
      <c r="D14" s="24" t="inlineStr">
        <is>
          <t>401857100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Chicago Sky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0.670401</v>
      </c>
      <c r="P14" s="28" t="n"/>
      <c r="Q14" s="28" t="n">
        <v>0.010537</v>
      </c>
      <c r="R14" s="26" t="n">
        <v>28</v>
      </c>
      <c r="S14" s="29" t="n">
        <v>2</v>
      </c>
      <c r="T14" s="24" t="inlineStr">
        <is>
          <t>wnba-elo-trend-lr-v4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wnba-chi</t>
        </is>
      </c>
      <c r="AT14" s="24" t="inlineStr">
        <is>
          <t>Chicago Sky</t>
        </is>
      </c>
      <c r="AU14" s="24" t="inlineStr">
        <is>
          <t>Chicago Sky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de1d675da66b275e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2026-07-30T17:35:41.686769Z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>
        <v>0.653465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0.6616868073</t>
        </is>
      </c>
      <c r="CD14" s="24" t="inlineStr">
        <is>
          <t>5.467445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560d43ddfce245d6</t>
        </is>
      </c>
      <c r="B15" s="24" t="inlineStr">
        <is>
          <t>2026-07-30T17:36:17.628396Z</t>
        </is>
      </c>
      <c r="C15" s="24" t="inlineStr">
        <is>
          <t>2026-07-30T14:10:00-0400</t>
        </is>
      </c>
      <c r="D15" s="24" t="inlineStr">
        <is>
          <t>401816328</t>
        </is>
      </c>
      <c r="E15" s="24" t="inlineStr">
        <is>
          <t>MLB</t>
        </is>
      </c>
      <c r="F15" s="24" t="inlineStr">
        <is>
          <t>New York Yankees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-108</v>
      </c>
      <c r="M15" s="27" t="n">
        <v>1.925926</v>
      </c>
      <c r="N15" s="28" t="n">
        <v>0.519231</v>
      </c>
      <c r="O15" s="28" t="n">
        <v>0.507087</v>
      </c>
      <c r="P15" s="28" t="n"/>
      <c r="Q15" s="28" t="n">
        <v>-0.012144</v>
      </c>
      <c r="R15" s="26" t="n">
        <v>15</v>
      </c>
      <c r="S15" s="29" t="n">
        <v>0.5</v>
      </c>
      <c r="T15" s="24" t="inlineStr">
        <is>
          <t>mlb-elo-trend-lr-v7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0.6242; executable ask 0.5200 (aec-mlb-nyy-cws-2026-07-30); model edge vs ask -0.0129.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mlb-nyy</t>
        </is>
      </c>
      <c r="AQ15" s="24" t="inlineStr">
        <is>
          <t>New York Yankees</t>
        </is>
      </c>
      <c r="AR15" s="24" t="inlineStr">
        <is>
          <t>New York Yankees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2ecf6de0bc0b4429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2026-07-30T17:35:32.550865Z</t>
        </is>
      </c>
      <c r="BI15" s="24" t="inlineStr">
        <is>
          <t>["same_event","same_team_same_day","same_league_same_day"]</t>
        </is>
      </c>
      <c r="BJ15" s="25" t="n"/>
      <c r="BK15" s="26" t="n">
        <v>-108</v>
      </c>
      <c r="BL15" s="27" t="n">
        <v>1.925926</v>
      </c>
      <c r="BM15" s="28" t="n">
        <v>0.519231</v>
      </c>
      <c r="BN15" s="28" t="n">
        <v>0.517413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0.4790915827</t>
        </is>
      </c>
      <c r="CD15" s="24" t="inlineStr">
        <is>
          <t>0.689899</t>
        </is>
      </c>
      <c r="CE15" s="24" t="inlineStr">
        <is>
          <t>0.937</t>
        </is>
      </c>
      <c r="CF15" s="24" t="inlineStr">
        <is>
          <t>1.0009</t>
        </is>
      </c>
      <c r="CG15" s="24" t="inlineStr">
        <is>
          <t>1.0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35863d1c4eb643d3</t>
        </is>
      </c>
      <c r="B16" s="24" t="inlineStr">
        <is>
          <t>2026-07-30T17:36:17.628396Z</t>
        </is>
      </c>
      <c r="C16" s="24" t="inlineStr">
        <is>
          <t>2026-07-30T22:00:00-0400</t>
        </is>
      </c>
      <c r="D16" s="24" t="inlineStr">
        <is>
          <t>401857101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Las Vegas Aces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-194</v>
      </c>
      <c r="M16" s="27" t="n">
        <v>1.515464</v>
      </c>
      <c r="N16" s="28" t="n">
        <v>0.659864</v>
      </c>
      <c r="O16" s="28" t="n">
        <v>0.615328</v>
      </c>
      <c r="P16" s="28" t="n"/>
      <c r="Q16" s="28" t="n">
        <v>-0.044536</v>
      </c>
      <c r="R16" s="26" t="n">
        <v>1</v>
      </c>
      <c r="S16" s="29" t="n">
        <v>1.75</v>
      </c>
      <c r="T16" s="24" t="inlineStr">
        <is>
          <t>wnba-elo-trend-lr-v4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wnba-lva</t>
        </is>
      </c>
      <c r="AT16" s="24" t="inlineStr">
        <is>
          <t>Las Vegas Aces</t>
        </is>
      </c>
      <c r="AU16" s="24" t="inlineStr">
        <is>
          <t>Las Vegas Aces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181554924d3d25f6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2026-07-30T17:35:42.962719Z</t>
        </is>
      </c>
      <c r="BI16" s="24" t="inlineStr">
        <is>
          <t>["same_event","same_team_same_day","same_league_same_day"]</t>
        </is>
      </c>
      <c r="BJ16" s="25" t="n"/>
      <c r="BK16" s="26" t="n">
        <v>-194</v>
      </c>
      <c r="BL16" s="27" t="n">
        <v>1.515464</v>
      </c>
      <c r="BM16" s="28" t="n">
        <v>0.659864</v>
      </c>
      <c r="BN16" s="28" t="n">
        <v>0.653465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0.6511069872</t>
        </is>
      </c>
      <c r="CD16" s="24" t="inlineStr">
        <is>
          <t>-4.276653</t>
        </is>
      </c>
      <c r="CE16" s="24" t="n"/>
      <c r="CF16" s="24" t="n"/>
      <c r="CG16" s="24" t="n"/>
      <c r="CH16" s="24" t="n"/>
      <c r="CI16" s="24" t="inlineStr">
        <is>
          <t>wnba_availability_source_conflict</t>
        </is>
      </c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b912ee69b50f4e34</t>
        </is>
      </c>
      <c r="B17" s="24" t="inlineStr">
        <is>
          <t>2026-07-30T17:36:17.628396Z</t>
        </is>
      </c>
      <c r="C17" s="24" t="inlineStr">
        <is>
          <t>2026-07-30T14:15:00-0400</t>
        </is>
      </c>
      <c r="D17" s="24" t="inlineStr">
        <is>
          <t>401816326</t>
        </is>
      </c>
      <c r="E17" s="24" t="inlineStr">
        <is>
          <t>MLB</t>
        </is>
      </c>
      <c r="F17" s="24" t="inlineStr">
        <is>
          <t>Chicago Cubs</t>
        </is>
      </c>
      <c r="G17" s="24" t="inlineStr">
        <is>
          <t>St. Louis Cardinals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102</v>
      </c>
      <c r="M17" s="27" t="n">
        <v>2.02</v>
      </c>
      <c r="N17" s="28" t="n">
        <v>0.49505</v>
      </c>
      <c r="O17" s="28" t="n">
        <v>0.503115</v>
      </c>
      <c r="P17" s="28" t="n"/>
      <c r="Q17" s="28" t="n">
        <v>0.008064999999999999</v>
      </c>
      <c r="R17" s="26" t="n">
        <v>25</v>
      </c>
      <c r="S17" s="29" t="n">
        <v>0.5</v>
      </c>
      <c r="T17" s="24" t="inlineStr">
        <is>
          <t>mlb-elo-trend-lr-v7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Learned LR call at threshold 0.6242; executable ask 0.4950 (aec-mlb-chc-stl-2026-07-30); model edge vs ask +0.0081.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mlb-chc</t>
        </is>
      </c>
      <c r="AQ17" s="24" t="inlineStr">
        <is>
          <t>Chicago Cubs</t>
        </is>
      </c>
      <c r="AR17" s="24" t="inlineStr">
        <is>
          <t>Chicago Cubs</t>
        </is>
      </c>
      <c r="AS17" s="24" t="inlineStr">
        <is>
          <t>mlb-stl</t>
        </is>
      </c>
      <c r="AT17" s="24" t="inlineStr">
        <is>
          <t>St. Louis Cardinals</t>
        </is>
      </c>
      <c r="AU17" s="24" t="inlineStr">
        <is>
          <t>St. Louis Cardinals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34f50d6e3a3b635c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2026-07-30T17:35:33.545496Z</t>
        </is>
      </c>
      <c r="BI17" s="24" t="inlineStr">
        <is>
          <t>["same_event","same_team_same_day","same_league_same_day"]</t>
        </is>
      </c>
      <c r="BJ17" s="25" t="n"/>
      <c r="BK17" s="26" t="n">
        <v>102</v>
      </c>
      <c r="BL17" s="27" t="n">
        <v>2.02</v>
      </c>
      <c r="BM17" s="28" t="n">
        <v>0.49505</v>
      </c>
      <c r="BN17" s="28" t="n">
        <v>0.492537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0.4477582072</t>
        </is>
      </c>
      <c r="CD17" s="24" t="inlineStr">
        <is>
          <t>-1.388842</t>
        </is>
      </c>
      <c r="CE17" s="24" t="inlineStr">
        <is>
          <t>0.946</t>
        </is>
      </c>
      <c r="CF17" s="24" t="inlineStr">
        <is>
          <t>1.0125</t>
        </is>
      </c>
      <c r="CG17" s="24" t="inlineStr">
        <is>
          <t>2.0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c9ac8606c6e2420d</t>
        </is>
      </c>
      <c r="B18" s="24" t="inlineStr">
        <is>
          <t>2026-07-30T17:36:17.628396Z</t>
        </is>
      </c>
      <c r="C18" s="24" t="inlineStr">
        <is>
          <t>2026-07-30T19:00:00-0400</t>
        </is>
      </c>
      <c r="D18" s="24" t="inlineStr">
        <is>
          <t>401816325</t>
        </is>
      </c>
      <c r="E18" s="24" t="inlineStr">
        <is>
          <t>MLB</t>
        </is>
      </c>
      <c r="F18" s="24" t="inlineStr">
        <is>
          <t>Washington Nationals</t>
        </is>
      </c>
      <c r="G18" s="24" t="inlineStr">
        <is>
          <t>Atlanta Braves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0.612872</v>
      </c>
      <c r="P18" s="28" t="n"/>
      <c r="Q18" s="28" t="n">
        <v>0.02781</v>
      </c>
      <c r="R18" s="26" t="n">
        <v>35</v>
      </c>
      <c r="S18" s="29" t="n">
        <v>1.75</v>
      </c>
      <c r="T18" s="24" t="inlineStr">
        <is>
          <t>mlb-elo-trend-lr-v7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Learned LR call at threshold 0.6242; executable ask 0.5850 (aec-mlb-wsh-atl-2026-07-30); model edge vs ask +0.0279.</t>
        </is>
      </c>
      <c r="AF18" s="31" t="inlineStr">
        <is>
          <t>Learned model; shadow-qualified via operator override.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mlb-wsh</t>
        </is>
      </c>
      <c r="AQ18" s="24" t="inlineStr">
        <is>
          <t>Washington Nationals</t>
        </is>
      </c>
      <c r="AR18" s="24" t="inlineStr">
        <is>
          <t>Washington Nationals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2ad0bbfc4a5ff39d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2026-07-30T17:35:36.538063Z</t>
        </is>
      </c>
      <c r="BI18" s="24" t="inlineStr">
        <is>
          <t>["same_event","same_team_same_day","same_league_same_day"]</t>
        </is>
      </c>
      <c r="BJ18" s="25" t="n"/>
      <c r="BK18" s="26" t="n">
        <v>-141</v>
      </c>
      <c r="BL18" s="27" t="n">
        <v>1.70922</v>
      </c>
      <c r="BM18" s="28" t="n">
        <v>0.585062</v>
      </c>
      <c r="BN18" s="28" t="n">
        <v>0.58209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0.6174839141</t>
        </is>
      </c>
      <c r="CD18" s="24" t="inlineStr">
        <is>
          <t>-0.449351</t>
        </is>
      </c>
      <c r="CE18" s="24" t="inlineStr">
        <is>
          <t>0.929</t>
        </is>
      </c>
      <c r="CF18" s="24" t="inlineStr">
        <is>
          <t>1.0174</t>
        </is>
      </c>
      <c r="CG18" s="24" t="inlineStr">
        <is>
          <t>0.2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c639d9950d1943cc</t>
        </is>
      </c>
      <c r="B19" s="24" t="inlineStr">
        <is>
          <t>2026-07-30T17:36:17.628396Z</t>
        </is>
      </c>
      <c r="C19" s="24" t="inlineStr">
        <is>
          <t>2026-07-30T19:10:00-0400</t>
        </is>
      </c>
      <c r="D19" s="24" t="inlineStr">
        <is>
          <t>401816322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New York Mets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0.5134919999999999</v>
      </c>
      <c r="P19" s="28" t="n"/>
      <c r="Q19" s="28" t="n">
        <v>-0.025679</v>
      </c>
      <c r="R19" s="26" t="n">
        <v>8</v>
      </c>
      <c r="S19" s="29" t="n">
        <v>0.75</v>
      </c>
      <c r="T19" s="24" t="inlineStr">
        <is>
          <t>mlb-elo-trend-lr-v7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Learned LR call at threshold 0.6242; executable ask 0.5400 (aec-mlb-mia-nym-2026-07-30); model edge vs ask -0.0265.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mlb-nym</t>
        </is>
      </c>
      <c r="AT19" s="24" t="inlineStr">
        <is>
          <t>New York Mets</t>
        </is>
      </c>
      <c r="AU19" s="24" t="inlineStr">
        <is>
          <t>New York Mets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e514206d77553482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2026-07-30T17:35:34.482178Z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>
        <v>0.537313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0.5051537166</t>
        </is>
      </c>
      <c r="CD19" s="24" t="inlineStr">
        <is>
          <t>0.008278</t>
        </is>
      </c>
      <c r="CE19" s="24" t="inlineStr">
        <is>
          <t>0.978</t>
        </is>
      </c>
      <c r="CF19" s="24" t="inlineStr">
        <is>
          <t>1.0054</t>
        </is>
      </c>
      <c r="CG19" s="24" t="inlineStr">
        <is>
          <t>-1.8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bd1a3707dd5648f3</t>
        </is>
      </c>
      <c r="B20" s="24" t="inlineStr">
        <is>
          <t>2026-07-30T17:36:17.628396Z</t>
        </is>
      </c>
      <c r="C20" s="24" t="inlineStr">
        <is>
          <t>2026-07-30T19:10:00-0400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-108</v>
      </c>
      <c r="M20" s="27" t="n">
        <v>1.925926</v>
      </c>
      <c r="N20" s="28" t="n">
        <v>0.519231</v>
      </c>
      <c r="O20" s="28" t="n">
        <v>0.520916</v>
      </c>
      <c r="P20" s="28" t="n"/>
      <c r="Q20" s="28" t="n">
        <v>0.001685</v>
      </c>
      <c r="R20" s="26" t="n">
        <v>22</v>
      </c>
      <c r="S20" s="29" t="n">
        <v>0.75</v>
      </c>
      <c r="T20" s="24" t="inlineStr">
        <is>
          <t>mlb-elo-trend-lr-v7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Learned LR call at threshold 0.6242; executable ask 0.5200 (aec-mlb-pit-cin-2026-07-30); model edge vs ask +0.0009.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b3d67de7b6d26958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2026-07-30T17:35:35.498307Z</t>
        </is>
      </c>
      <c r="BI20" s="24" t="inlineStr">
        <is>
          <t>["same_event","same_team_same_day","same_league_same_day"]</t>
        </is>
      </c>
      <c r="BJ20" s="25" t="n"/>
      <c r="BK20" s="26" t="n">
        <v>-108</v>
      </c>
      <c r="BL20" s="27" t="n">
        <v>1.925926</v>
      </c>
      <c r="BM20" s="28" t="n">
        <v>0.519231</v>
      </c>
      <c r="BN20" s="28" t="n">
        <v>0.517413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0.4889165025</t>
        </is>
      </c>
      <c r="CD20" s="24" t="inlineStr">
        <is>
          <t>0.498942</t>
        </is>
      </c>
      <c r="CE20" s="24" t="inlineStr">
        <is>
          <t>1.036</t>
        </is>
      </c>
      <c r="CF20" s="24" t="inlineStr">
        <is>
          <t>1.0086</t>
        </is>
      </c>
      <c r="CG20" s="24" t="inlineStr">
        <is>
          <t>-1.2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2d0fec361d884dcb</t>
        </is>
      </c>
      <c r="B21" s="24" t="inlineStr">
        <is>
          <t>2026-07-30T17:36:17.628396Z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-167</v>
      </c>
      <c r="M21" s="27" t="n">
        <v>1.598802</v>
      </c>
      <c r="N21" s="28" t="n">
        <v>0.625468</v>
      </c>
      <c r="O21" s="28" t="n">
        <v>0.598658</v>
      </c>
      <c r="P21" s="28" t="n"/>
      <c r="Q21" s="28" t="n">
        <v>-0.02681</v>
      </c>
      <c r="R21" s="26" t="n">
        <v>8</v>
      </c>
      <c r="S21" s="29" t="n">
        <v>1.5</v>
      </c>
      <c r="T21" s="24" t="inlineStr">
        <is>
          <t>mlb-elo-trend-lr-v7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Learned LR call at threshold 0.6242; executable ask 0.6250 (aec-mlb-bos-ath-2026-07-30); model edge vs ask -0.0263.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2026-07-30T17:35:37.104809Z</t>
        </is>
      </c>
      <c r="BI21" s="24" t="inlineStr">
        <is>
          <t>["same_event","same_team_same_day","same_league_same_day"]</t>
        </is>
      </c>
      <c r="BJ21" s="25" t="n"/>
      <c r="BK21" s="26" t="n">
        <v>-167</v>
      </c>
      <c r="BL21" s="27" t="n">
        <v>1.598802</v>
      </c>
      <c r="BM21" s="28" t="n">
        <v>0.625468</v>
      </c>
      <c r="BN21" s="28" t="n">
        <v>0.621891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1.0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12c2ee4e08e742ed</t>
        </is>
      </c>
      <c r="B22" s="24" t="inlineStr">
        <is>
          <t>2026-07-30T17:36:17.628396Z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-141</v>
      </c>
      <c r="M22" s="27" t="n">
        <v>1.70922</v>
      </c>
      <c r="N22" s="28" t="n">
        <v>0.585062</v>
      </c>
      <c r="O22" s="28" t="n">
        <v>0.594543</v>
      </c>
      <c r="P22" s="28" t="n"/>
      <c r="Q22" s="28" t="n">
        <v>0.009481</v>
      </c>
      <c r="R22" s="26" t="n">
        <v>26</v>
      </c>
      <c r="S22" s="29" t="n">
        <v>1.5</v>
      </c>
      <c r="T22" s="24" t="inlineStr">
        <is>
          <t>mlb-elo-trend-lr-v7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Learned LR call at threshold 0.6242; executable ask 0.5850 (aec-mlb-sf-sd-2026-07-30); model edge vs ask +0.0095.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f3b785ae066974a9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2026-07-30T17:35:38.204317Z</t>
        </is>
      </c>
      <c r="BI22" s="24" t="inlineStr">
        <is>
          <t>["same_event","same_team_same_day","same_league_same_day"]</t>
        </is>
      </c>
      <c r="BJ22" s="25" t="n"/>
      <c r="BK22" s="26" t="n">
        <v>-141</v>
      </c>
      <c r="BL22" s="27" t="n">
        <v>1.70922</v>
      </c>
      <c r="BM22" s="28" t="n">
        <v>0.585062</v>
      </c>
      <c r="BN22" s="28" t="n">
        <v>0.58209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1.0052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6c2a35b7d0f845db</t>
        </is>
      </c>
      <c r="B23" s="24" t="inlineStr">
        <is>
          <t>2026-07-30T17:36:17.628396Z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-147</v>
      </c>
      <c r="M23" s="27" t="n">
        <v>1.680272</v>
      </c>
      <c r="N23" s="28" t="n">
        <v>0.5951419999999999</v>
      </c>
      <c r="O23" s="28" t="n">
        <v>0.593883</v>
      </c>
      <c r="P23" s="28" t="n"/>
      <c r="Q23" s="28" t="n">
        <v>-0.001259</v>
      </c>
      <c r="R23" s="26" t="n">
        <v>21</v>
      </c>
      <c r="S23" s="29" t="n">
        <v>1.5</v>
      </c>
      <c r="T23" s="24" t="inlineStr">
        <is>
          <t>mlb-elo-trend-lr-v7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Learned LR call at threshold 0.6242; executable ask 0.5950 (aec-mlb-sea-lad-2026-07-30); model edge vs ask -0.0011.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3ea32fe95dfb07a0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2026-07-30T17:35:39.188017Z</t>
        </is>
      </c>
      <c r="BI23" s="24" t="inlineStr">
        <is>
          <t>["same_event","same_team_same_day","same_league_same_day"]</t>
        </is>
      </c>
      <c r="BJ23" s="25" t="n"/>
      <c r="BK23" s="26" t="n">
        <v>-147</v>
      </c>
      <c r="BL23" s="27" t="n">
        <v>1.680272</v>
      </c>
      <c r="BM23" s="28" t="n">
        <v>0.5951419999999999</v>
      </c>
      <c r="BN23" s="28" t="n">
        <v>0.59204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1.0146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e204040905f94109</t>
        </is>
      </c>
      <c r="B24" s="24" t="inlineStr">
        <is>
          <t>2026-07-30T17:36:41.418998Z</t>
        </is>
      </c>
      <c r="C24" s="24" t="inlineStr">
        <is>
          <t>2026-07-30T17:40Z</t>
        </is>
      </c>
      <c r="D24" s="24" t="inlineStr">
        <is>
          <t>401816327</t>
        </is>
      </c>
      <c r="E24" s="24" t="inlineStr">
        <is>
          <t>MLB</t>
        </is>
      </c>
      <c r="F24" s="24" t="inlineStr">
        <is>
          <t>Kansas City Royals</t>
        </is>
      </c>
      <c r="G24" s="24" t="inlineStr">
        <is>
          <t>Minnesota Twins</t>
        </is>
      </c>
      <c r="H24" s="24" t="inlineStr">
        <is>
          <t>spread</t>
        </is>
      </c>
      <c r="I24" s="24" t="inlineStr">
        <is>
          <t>away</t>
        </is>
      </c>
      <c r="J24" s="25" t="n">
        <v>1.5</v>
      </c>
      <c r="K24" s="24" t="inlineStr">
        <is>
          <t>polymarket_us</t>
        </is>
      </c>
      <c r="L24" s="26" t="n">
        <v>-160</v>
      </c>
      <c r="M24" s="27" t="n">
        <v>1.625</v>
      </c>
      <c r="N24" s="28" t="n">
        <v>0.615385</v>
      </c>
      <c r="O24" s="28" t="n">
        <v>0.550293</v>
      </c>
      <c r="P24" s="28" t="n">
        <v>0.042131</v>
      </c>
      <c r="Q24" s="28" t="n">
        <v>-0.065092</v>
      </c>
      <c r="R24" s="26" t="n">
        <v>0</v>
      </c>
      <c r="S24" s="29" t="n">
        <v>0</v>
      </c>
      <c r="T24" s="24" t="inlineStr">
        <is>
          <t>measured-edge-margin-v1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Measured Edge Margin: Trend Engine projected 4.80-5.00; raw selected-side p=0.6448, calibrated p=0.5503.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mlb-kc</t>
        </is>
      </c>
      <c r="AQ24" s="24" t="inlineStr">
        <is>
          <t>Kansas City Royals</t>
        </is>
      </c>
      <c r="AR24" s="24" t="inlineStr">
        <is>
          <t>Kansas City Royals</t>
        </is>
      </c>
      <c r="AS24" s="24" t="inlineStr">
        <is>
          <t>mlb-min</t>
        </is>
      </c>
      <c r="AT24" s="24" t="inlineStr">
        <is>
          <t>Minnesota Twins</t>
        </is>
      </c>
      <c r="AU24" s="24" t="inlineStr">
        <is>
          <t>Minnesota Twins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2026-07-30T17:36:41.418998Z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-160</v>
      </c>
      <c r="BL24" s="27" t="n">
        <v>1.625</v>
      </c>
      <c r="BM24" s="28" t="n">
        <v>0.615385</v>
      </c>
      <c r="BN24" s="28" t="n">
        <v>0.61194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605978e4b4f649e3</t>
        </is>
      </c>
      <c r="B25" s="24" t="inlineStr">
        <is>
          <t>2026-07-30T17:36:41.418998Z</t>
        </is>
      </c>
      <c r="C25" s="24" t="inlineStr">
        <is>
          <t>2026-07-30T17:40Z</t>
        </is>
      </c>
      <c r="D25" s="24" t="inlineStr">
        <is>
          <t>401816327</t>
        </is>
      </c>
      <c r="E25" s="24" t="inlineStr">
        <is>
          <t>MLB</t>
        </is>
      </c>
      <c r="F25" s="24" t="inlineStr">
        <is>
          <t>Kansas City Royals</t>
        </is>
      </c>
      <c r="G25" s="24" t="inlineStr">
        <is>
          <t>Minnesota Twins</t>
        </is>
      </c>
      <c r="H25" s="24" t="inlineStr">
        <is>
          <t>total</t>
        </is>
      </c>
      <c r="I25" s="24" t="inlineStr">
        <is>
          <t>over</t>
        </is>
      </c>
      <c r="J25" s="25" t="n">
        <v>9.5</v>
      </c>
      <c r="K25" s="24" t="inlineStr">
        <is>
          <t>polymarket_us</t>
        </is>
      </c>
      <c r="L25" s="26" t="n">
        <v>122</v>
      </c>
      <c r="M25" s="27" t="n">
        <v>2.22</v>
      </c>
      <c r="N25" s="28" t="n">
        <v>0.45045</v>
      </c>
      <c r="O25" s="28" t="n">
        <v>0.451615</v>
      </c>
      <c r="P25" s="28" t="n">
        <v>0.042131</v>
      </c>
      <c r="Q25" s="28" t="n">
        <v>0.001165</v>
      </c>
      <c r="R25" s="26" t="n">
        <v>25</v>
      </c>
      <c r="S25" s="29" t="n">
        <v>0</v>
      </c>
      <c r="T25" s="24" t="inlineStr">
        <is>
          <t>measured-edge-totals-v1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Measured Edge Totals: Trend Engine projected 4.80-5.00; raw selected-side p=0.4661, calibrated p=0.4516.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mlb-kc</t>
        </is>
      </c>
      <c r="AQ25" s="24" t="inlineStr">
        <is>
          <t>Kansas City Royals</t>
        </is>
      </c>
      <c r="AR25" s="24" t="inlineStr">
        <is>
          <t>Kansas City Royals</t>
        </is>
      </c>
      <c r="AS25" s="24" t="inlineStr">
        <is>
          <t>mlb-min</t>
        </is>
      </c>
      <c r="AT25" s="24" t="inlineStr">
        <is>
          <t>Minnesota Twins</t>
        </is>
      </c>
      <c r="AU25" s="24" t="inlineStr">
        <is>
          <t>Minnesota Twins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2026-07-30T17:36:41.418998Z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122</v>
      </c>
      <c r="BL25" s="27" t="n">
        <v>2.22</v>
      </c>
      <c r="BM25" s="28" t="n">
        <v>0.45045</v>
      </c>
      <c r="BN25" s="28" t="n">
        <v>0.447761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0058e2e4dee14815</t>
        </is>
      </c>
      <c r="B26" s="24" t="inlineStr">
        <is>
          <t>2026-07-30T17:36:41.418998Z</t>
        </is>
      </c>
      <c r="C26" s="24" t="inlineStr">
        <is>
          <t>2026-07-30T18:10Z</t>
        </is>
      </c>
      <c r="D26" s="24" t="inlineStr">
        <is>
          <t>401816328</t>
        </is>
      </c>
      <c r="E26" s="24" t="inlineStr">
        <is>
          <t>MLB</t>
        </is>
      </c>
      <c r="F26" s="24" t="inlineStr">
        <is>
          <t>New York Yankees</t>
        </is>
      </c>
      <c r="G26" s="24" t="inlineStr">
        <is>
          <t>Chicago White Sox</t>
        </is>
      </c>
      <c r="H26" s="24" t="inlineStr">
        <is>
          <t>spread</t>
        </is>
      </c>
      <c r="I26" s="24" t="inlineStr">
        <is>
          <t>home</t>
        </is>
      </c>
      <c r="J26" s="25" t="n">
        <v>1.5</v>
      </c>
      <c r="K26" s="24" t="inlineStr">
        <is>
          <t>polymarket_us</t>
        </is>
      </c>
      <c r="L26" s="26" t="n">
        <v>-182</v>
      </c>
      <c r="M26" s="27" t="n">
        <v>1.549451</v>
      </c>
      <c r="N26" s="28" t="n">
        <v>0.64539</v>
      </c>
      <c r="O26" s="28" t="n">
        <v>0.56787</v>
      </c>
      <c r="P26" s="28" t="n">
        <v>0.042131</v>
      </c>
      <c r="Q26" s="28" t="n">
        <v>-0.07752000000000001</v>
      </c>
      <c r="R26" s="26" t="n">
        <v>0</v>
      </c>
      <c r="S26" s="29" t="n">
        <v>0</v>
      </c>
      <c r="T26" s="24" t="inlineStr">
        <is>
          <t>measured-edge-margin-v1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Measured Edge Margin: Trend Engine projected 4.07-4.77; raw selected-side p=0.7342, calibrated p=0.5679.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mlb-nyy</t>
        </is>
      </c>
      <c r="AQ26" s="24" t="inlineStr">
        <is>
          <t>New York Yankees</t>
        </is>
      </c>
      <c r="AR26" s="24" t="inlineStr">
        <is>
          <t>New York Yankees</t>
        </is>
      </c>
      <c r="AS26" s="24" t="inlineStr">
        <is>
          <t>mlb-cws</t>
        </is>
      </c>
      <c r="AT26" s="24" t="inlineStr">
        <is>
          <t>Chicago White Sox</t>
        </is>
      </c>
      <c r="AU26" s="24" t="inlineStr">
        <is>
          <t>Chicago White Sox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2026-07-30T17:36:41.418998Z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-182</v>
      </c>
      <c r="BL26" s="27" t="n">
        <v>1.549451</v>
      </c>
      <c r="BM26" s="28" t="n">
        <v>0.64539</v>
      </c>
      <c r="BN26" s="28" t="n">
        <v>0.641791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3fc8b2e5f3744a2c</t>
        </is>
      </c>
      <c r="B27" s="24" t="inlineStr">
        <is>
          <t>2026-07-30T17:36:41.418998Z</t>
        </is>
      </c>
      <c r="C27" s="24" t="inlineStr">
        <is>
          <t>2026-07-30T18:10Z</t>
        </is>
      </c>
      <c r="D27" s="24" t="inlineStr">
        <is>
          <t>401816328</t>
        </is>
      </c>
      <c r="E27" s="24" t="inlineStr">
        <is>
          <t>MLB</t>
        </is>
      </c>
      <c r="F27" s="24" t="inlineStr">
        <is>
          <t>New York Yankees</t>
        </is>
      </c>
      <c r="G27" s="24" t="inlineStr">
        <is>
          <t>Chicago White Sox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106</v>
      </c>
      <c r="M27" s="27" t="n">
        <v>2.06</v>
      </c>
      <c r="N27" s="28" t="n">
        <v>0.485437</v>
      </c>
      <c r="O27" s="28" t="n">
        <v>0.562449</v>
      </c>
      <c r="P27" s="28" t="n">
        <v>0.042131</v>
      </c>
      <c r="Q27" s="28" t="n">
        <v>0.077012</v>
      </c>
      <c r="R27" s="26" t="n">
        <v>63</v>
      </c>
      <c r="S27" s="29" t="n">
        <v>0</v>
      </c>
      <c r="T27" s="24" t="inlineStr">
        <is>
          <t>measured-edge-totals-v1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Measured Edge Totals: Trend Engine projected 4.07-4.77; raw selected-side p=0.5803, calibrated p=0.5624.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mlb-nyy</t>
        </is>
      </c>
      <c r="AQ27" s="24" t="inlineStr">
        <is>
          <t>New York Yankees</t>
        </is>
      </c>
      <c r="AR27" s="24" t="inlineStr">
        <is>
          <t>New York Yankees</t>
        </is>
      </c>
      <c r="AS27" s="24" t="inlineStr">
        <is>
          <t>mlb-cws</t>
        </is>
      </c>
      <c r="AT27" s="24" t="inlineStr">
        <is>
          <t>Chicago White Sox</t>
        </is>
      </c>
      <c r="AU27" s="24" t="inlineStr">
        <is>
          <t>Chicago White Sox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2026-07-30T17:36:41.418998Z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106</v>
      </c>
      <c r="BL27" s="27" t="n">
        <v>2.06</v>
      </c>
      <c r="BM27" s="28" t="n">
        <v>0.485437</v>
      </c>
      <c r="BN27" s="28" t="n">
        <v>0.482587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dffb9fbd0449460f</t>
        </is>
      </c>
      <c r="B28" s="24" t="inlineStr">
        <is>
          <t>2026-07-30T17:36:41.418998Z</t>
        </is>
      </c>
      <c r="C28" s="24" t="inlineStr">
        <is>
          <t>2026-07-30T18:15Z</t>
        </is>
      </c>
      <c r="D28" s="24" t="inlineStr">
        <is>
          <t>401816326</t>
        </is>
      </c>
      <c r="E28" s="24" t="inlineStr">
        <is>
          <t>MLB</t>
        </is>
      </c>
      <c r="F28" s="24" t="inlineStr">
        <is>
          <t>Chicago Cubs</t>
        </is>
      </c>
      <c r="G28" s="24" t="inlineStr">
        <is>
          <t>St. Louis Cardinals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-174</v>
      </c>
      <c r="M28" s="27" t="n">
        <v>1.574713</v>
      </c>
      <c r="N28" s="28" t="n">
        <v>0.635036</v>
      </c>
      <c r="O28" s="28" t="n">
        <v>0.556257</v>
      </c>
      <c r="P28" s="28" t="n">
        <v>0.042131</v>
      </c>
      <c r="Q28" s="28" t="n">
        <v>-0.078779</v>
      </c>
      <c r="R28" s="26" t="n">
        <v>0</v>
      </c>
      <c r="S28" s="29" t="n">
        <v>0</v>
      </c>
      <c r="T28" s="24" t="inlineStr">
        <is>
          <t>measured-edge-margin-v1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Measured Edge Margin: Trend Engine projected 4.49-4.55; raw selected-side p=0.6751, calibrated p=0.5563.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mlb-chc</t>
        </is>
      </c>
      <c r="AQ28" s="24" t="inlineStr">
        <is>
          <t>Chicago Cubs</t>
        </is>
      </c>
      <c r="AR28" s="24" t="inlineStr">
        <is>
          <t>Chicago Cubs</t>
        </is>
      </c>
      <c r="AS28" s="24" t="inlineStr">
        <is>
          <t>mlb-stl</t>
        </is>
      </c>
      <c r="AT28" s="24" t="inlineStr">
        <is>
          <t>St. Louis Cardinals</t>
        </is>
      </c>
      <c r="AU28" s="24" t="inlineStr">
        <is>
          <t>St. Louis Cardinals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2026-07-30T17:36:41.418998Z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-174</v>
      </c>
      <c r="BL28" s="27" t="n">
        <v>1.574713</v>
      </c>
      <c r="BM28" s="28" t="n">
        <v>0.635036</v>
      </c>
      <c r="BN28" s="28" t="n">
        <v>0.631841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f51c71784cf44ec9</t>
        </is>
      </c>
      <c r="B29" s="24" t="inlineStr">
        <is>
          <t>2026-07-30T17:36:41.418998Z</t>
        </is>
      </c>
      <c r="C29" s="24" t="inlineStr">
        <is>
          <t>2026-07-30T18:15Z</t>
        </is>
      </c>
      <c r="D29" s="24" t="inlineStr">
        <is>
          <t>401816326</t>
        </is>
      </c>
      <c r="E29" s="24" t="inlineStr">
        <is>
          <t>MLB</t>
        </is>
      </c>
      <c r="F29" s="24" t="inlineStr">
        <is>
          <t>Chicago Cubs</t>
        </is>
      </c>
      <c r="G29" s="24" t="inlineStr">
        <is>
          <t>St. Louis Cardinals</t>
        </is>
      </c>
      <c r="H29" s="24" t="inlineStr">
        <is>
          <t>total</t>
        </is>
      </c>
      <c r="I29" s="24" t="inlineStr">
        <is>
          <t>over</t>
        </is>
      </c>
      <c r="J29" s="25" t="n">
        <v>8.5</v>
      </c>
      <c r="K29" s="24" t="inlineStr">
        <is>
          <t>polymarket_us</t>
        </is>
      </c>
      <c r="L29" s="26" t="n">
        <v>113</v>
      </c>
      <c r="M29" s="27" t="n">
        <v>2.13</v>
      </c>
      <c r="N29" s="28" t="n">
        <v>0.469484</v>
      </c>
      <c r="O29" s="28" t="n">
        <v>0.500169</v>
      </c>
      <c r="P29" s="28" t="n">
        <v>0.042131</v>
      </c>
      <c r="Q29" s="28" t="n">
        <v>0.030685</v>
      </c>
      <c r="R29" s="26" t="n">
        <v>40</v>
      </c>
      <c r="S29" s="29" t="n">
        <v>0</v>
      </c>
      <c r="T29" s="24" t="inlineStr">
        <is>
          <t>measured-edge-totals-v1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Measured Edge Totals: Trend Engine projected 4.49-4.55; raw selected-side p=0.5161, calibrated p=0.5002.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mlb-chc</t>
        </is>
      </c>
      <c r="AQ29" s="24" t="inlineStr">
        <is>
          <t>Chicago Cubs</t>
        </is>
      </c>
      <c r="AR29" s="24" t="inlineStr">
        <is>
          <t>Chicago Cubs</t>
        </is>
      </c>
      <c r="AS29" s="24" t="inlineStr">
        <is>
          <t>mlb-stl</t>
        </is>
      </c>
      <c r="AT29" s="24" t="inlineStr">
        <is>
          <t>St. Louis Cardinals</t>
        </is>
      </c>
      <c r="AU29" s="24" t="inlineStr">
        <is>
          <t>St. Louis Cardinals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2026-07-30T17:36:41.418998Z</t>
        </is>
      </c>
      <c r="BI29" s="24" t="inlineStr">
        <is>
          <t>["same_event","same_team_same_day","same_league_same_day"]</t>
        </is>
      </c>
      <c r="BJ29" s="25" t="n">
        <v>8.5</v>
      </c>
      <c r="BK29" s="26" t="n">
        <v>113</v>
      </c>
      <c r="BL29" s="27" t="n">
        <v>2.13</v>
      </c>
      <c r="BM29" s="28" t="n">
        <v>0.469484</v>
      </c>
      <c r="BN29" s="28" t="n">
        <v>0.467662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634cf752e2a24e63</t>
        </is>
      </c>
      <c r="B30" s="24" t="inlineStr">
        <is>
          <t>2026-07-30T17:36:41.418998Z</t>
        </is>
      </c>
      <c r="C30" s="24" t="inlineStr">
        <is>
          <t>2026-07-30T23:00Z</t>
        </is>
      </c>
      <c r="D30" s="24" t="inlineStr">
        <is>
          <t>401816325</t>
        </is>
      </c>
      <c r="E30" s="24" t="inlineStr">
        <is>
          <t>MLB</t>
        </is>
      </c>
      <c r="F30" s="24" t="inlineStr">
        <is>
          <t>Washington Nationals</t>
        </is>
      </c>
      <c r="G30" s="24" t="inlineStr">
        <is>
          <t>Atlanta Braves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0.545558</v>
      </c>
      <c r="P30" s="28" t="n">
        <v>0.042131</v>
      </c>
      <c r="Q30" s="28" t="n">
        <v>-0.044606</v>
      </c>
      <c r="R30" s="26" t="n">
        <v>2</v>
      </c>
      <c r="S30" s="29" t="n">
        <v>0</v>
      </c>
      <c r="T30" s="24" t="inlineStr">
        <is>
          <t>measured-edge-margin-v1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Measured Edge Margin: Trend Engine projected 4.30-4.84; raw selected-side p=0.6207, calibrated p=0.5456.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mlb-wsh</t>
        </is>
      </c>
      <c r="AQ30" s="24" t="inlineStr">
        <is>
          <t>Washington Nationals</t>
        </is>
      </c>
      <c r="AR30" s="24" t="inlineStr">
        <is>
          <t>Washington Nationals</t>
        </is>
      </c>
      <c r="AS30" s="24" t="inlineStr">
        <is>
          <t>mlb-atl</t>
        </is>
      </c>
      <c r="AT30" s="24" t="inlineStr">
        <is>
          <t>Atlanta Braves</t>
        </is>
      </c>
      <c r="AU30" s="24" t="inlineStr">
        <is>
          <t>Atlanta Braves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2026-07-30T17:36:41.418998Z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-144</v>
      </c>
      <c r="BL30" s="27" t="n">
        <v>1.694444</v>
      </c>
      <c r="BM30" s="28" t="n">
        <v>0.590164</v>
      </c>
      <c r="BN30" s="28" t="n">
        <v>0.5870649999999999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e2588cf35ad940ba</t>
        </is>
      </c>
      <c r="B31" s="24" t="inlineStr">
        <is>
          <t>2026-07-30T17:36:41.418998Z</t>
        </is>
      </c>
      <c r="C31" s="24" t="inlineStr">
        <is>
          <t>2026-07-30T23:00Z</t>
        </is>
      </c>
      <c r="D31" s="24" t="inlineStr">
        <is>
          <t>401816325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Atlanta Braves</t>
        </is>
      </c>
      <c r="H31" s="24" t="inlineStr">
        <is>
          <t>total</t>
        </is>
      </c>
      <c r="I31" s="24" t="inlineStr">
        <is>
          <t>under</t>
        </is>
      </c>
      <c r="J31" s="25" t="n">
        <v>9.5</v>
      </c>
      <c r="K31" s="24" t="inlineStr">
        <is>
          <t>polymarket_us</t>
        </is>
      </c>
      <c r="L31" s="26" t="n">
        <v>108</v>
      </c>
      <c r="M31" s="27" t="n">
        <v>2.08</v>
      </c>
      <c r="N31" s="28" t="n">
        <v>0.480769</v>
      </c>
      <c r="O31" s="28" t="n">
        <v>0.565796</v>
      </c>
      <c r="P31" s="28" t="n">
        <v>0.042131</v>
      </c>
      <c r="Q31" s="28" t="n">
        <v>0.08502700000000001</v>
      </c>
      <c r="R31" s="26" t="n">
        <v>67</v>
      </c>
      <c r="S31" s="29" t="n">
        <v>0</v>
      </c>
      <c r="T31" s="24" t="inlineStr">
        <is>
          <t>measured-edge-totals-v1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Measured Edge Totals: Trend Engine projected 4.30-4.84; raw selected-side p=0.5837, calibrated p=0.5658.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mlb-atl</t>
        </is>
      </c>
      <c r="AT31" s="24" t="inlineStr">
        <is>
          <t>Atlanta Braves</t>
        </is>
      </c>
      <c r="AU31" s="24" t="inlineStr">
        <is>
          <t>Atlanta Braves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2026-07-30T17:36:41.418998Z</t>
        </is>
      </c>
      <c r="BI31" s="24" t="inlineStr">
        <is>
          <t>["same_event","same_team_same_day","same_league_same_day"]</t>
        </is>
      </c>
      <c r="BJ31" s="25" t="n">
        <v>9.5</v>
      </c>
      <c r="BK31" s="26" t="n">
        <v>108</v>
      </c>
      <c r="BL31" s="27" t="n">
        <v>2.08</v>
      </c>
      <c r="BM31" s="28" t="n">
        <v>0.480769</v>
      </c>
      <c r="BN31" s="28" t="n">
        <v>0.477612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352566a371184051</t>
        </is>
      </c>
      <c r="B32" s="24" t="inlineStr">
        <is>
          <t>2026-07-30T17:36:41.418998Z</t>
        </is>
      </c>
      <c r="C32" s="24" t="inlineStr">
        <is>
          <t>2026-07-30T23:10Z</t>
        </is>
      </c>
      <c r="D32" s="24" t="inlineStr">
        <is>
          <t>401816322</t>
        </is>
      </c>
      <c r="E32" s="24" t="inlineStr">
        <is>
          <t>MLB</t>
        </is>
      </c>
      <c r="F32" s="24" t="inlineStr">
        <is>
          <t>Miami Marlins</t>
        </is>
      </c>
      <c r="G32" s="24" t="inlineStr">
        <is>
          <t>New York Mets</t>
        </is>
      </c>
      <c r="H32" s="24" t="inlineStr">
        <is>
          <t>spread</t>
        </is>
      </c>
      <c r="I32" s="24" t="inlineStr">
        <is>
          <t>away</t>
        </is>
      </c>
      <c r="J32" s="25" t="n">
        <v>1.5</v>
      </c>
      <c r="K32" s="24" t="inlineStr">
        <is>
          <t>polymarket_us</t>
        </is>
      </c>
      <c r="L32" s="26" t="n">
        <v>-190</v>
      </c>
      <c r="M32" s="27" t="n">
        <v>1.526316</v>
      </c>
      <c r="N32" s="28" t="n">
        <v>0.655172</v>
      </c>
      <c r="O32" s="28" t="n">
        <v>0.551885</v>
      </c>
      <c r="P32" s="28" t="n">
        <v>0.042131</v>
      </c>
      <c r="Q32" s="28" t="n">
        <v>-0.103287</v>
      </c>
      <c r="R32" s="26" t="n">
        <v>0</v>
      </c>
      <c r="S32" s="29" t="n">
        <v>0</v>
      </c>
      <c r="T32" s="24" t="inlineStr">
        <is>
          <t>measured-edge-margin-v1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Measured Edge Margin: Trend Engine projected 4.06-4.35; raw selected-side p=0.6529, calibrated p=0.5519.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mlb-mia</t>
        </is>
      </c>
      <c r="AQ32" s="24" t="inlineStr">
        <is>
          <t>Miami Marlins</t>
        </is>
      </c>
      <c r="AR32" s="24" t="inlineStr">
        <is>
          <t>Miami Marlins</t>
        </is>
      </c>
      <c r="AS32" s="24" t="inlineStr">
        <is>
          <t>mlb-nym</t>
        </is>
      </c>
      <c r="AT32" s="24" t="inlineStr">
        <is>
          <t>New York Mets</t>
        </is>
      </c>
      <c r="AU32" s="24" t="inlineStr">
        <is>
          <t>New York Mets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2bc2ce55b0d39a20103f724bbddbde5394909acd49297f52665b596a0ae3ae8b</t>
        </is>
      </c>
      <c r="BB32" s="24" t="inlineStr">
        <is>
          <t>flat_probability_shrinkage_toward_half</t>
        </is>
      </c>
      <c r="BC32" s="24" t="inlineStr">
        <is>
          <t>measured-edge-margin-v1</t>
        </is>
      </c>
      <c r="BD32" s="24" t="inlineStr">
        <is>
          <t>2bc2ce55b0d39a20103f724bbddbde5394909acd49297f52665b596a0ae3ae8b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2026-07-30T17:36:41.418998Z</t>
        </is>
      </c>
      <c r="BI32" s="24" t="inlineStr">
        <is>
          <t>["same_event","same_team_same_day","same_league_same_day"]</t>
        </is>
      </c>
      <c r="BJ32" s="25" t="n">
        <v>1.5</v>
      </c>
      <c r="BK32" s="26" t="n">
        <v>-190</v>
      </c>
      <c r="BL32" s="27" t="n">
        <v>1.526316</v>
      </c>
      <c r="BM32" s="28" t="n">
        <v>0.655172</v>
      </c>
      <c r="BN32" s="28" t="n">
        <v>0.651741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a98d4331a06540a7</t>
        </is>
      </c>
      <c r="B33" s="24" t="inlineStr">
        <is>
          <t>2026-07-30T17:36:41.418998Z</t>
        </is>
      </c>
      <c r="C33" s="24" t="inlineStr">
        <is>
          <t>2026-07-30T23:10Z</t>
        </is>
      </c>
      <c r="D33" s="24" t="inlineStr">
        <is>
          <t>401816322</t>
        </is>
      </c>
      <c r="E33" s="24" t="inlineStr">
        <is>
          <t>MLB</t>
        </is>
      </c>
      <c r="F33" s="24" t="inlineStr">
        <is>
          <t>Miami Marlins</t>
        </is>
      </c>
      <c r="G33" s="24" t="inlineStr">
        <is>
          <t>New York Mets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122</v>
      </c>
      <c r="M33" s="27" t="n">
        <v>2.22</v>
      </c>
      <c r="N33" s="28" t="n">
        <v>0.45045</v>
      </c>
      <c r="O33" s="28" t="n">
        <v>0.51797</v>
      </c>
      <c r="P33" s="28" t="n">
        <v>0.042131</v>
      </c>
      <c r="Q33" s="28" t="n">
        <v>0.06752</v>
      </c>
      <c r="R33" s="26" t="n">
        <v>58</v>
      </c>
      <c r="S33" s="29" t="n">
        <v>0</v>
      </c>
      <c r="T33" s="24" t="inlineStr">
        <is>
          <t>measured-edge-totals-v1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Measured Edge Totals: Trend Engine projected 4.06-4.35; raw selected-side p=0.5344, calibrated p=0.5180.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mlb-mia</t>
        </is>
      </c>
      <c r="AQ33" s="24" t="inlineStr">
        <is>
          <t>Miami Marlins</t>
        </is>
      </c>
      <c r="AR33" s="24" t="inlineStr">
        <is>
          <t>Miami Marlins</t>
        </is>
      </c>
      <c r="AS33" s="24" t="inlineStr">
        <is>
          <t>mlb-nym</t>
        </is>
      </c>
      <c r="AT33" s="24" t="inlineStr">
        <is>
          <t>New York Mets</t>
        </is>
      </c>
      <c r="AU33" s="24" t="inlineStr">
        <is>
          <t>New York Mets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cbc2c9bf5a9569a49e1902c816d96556d704cf10819ca3a9e927721685757d0b</t>
        </is>
      </c>
      <c r="BB33" s="24" t="inlineStr">
        <is>
          <t>flat_probability_shrinkage_toward_half</t>
        </is>
      </c>
      <c r="BC33" s="24" t="inlineStr">
        <is>
          <t>measured-edge-totals-v1</t>
        </is>
      </c>
      <c r="BD33" s="24" t="inlineStr">
        <is>
          <t>cbc2c9bf5a9569a49e1902c816d96556d704cf10819ca3a9e927721685757d0b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2026-07-30T17:36:41.418998Z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122</v>
      </c>
      <c r="BL33" s="27" t="n">
        <v>2.22</v>
      </c>
      <c r="BM33" s="28" t="n">
        <v>0.45045</v>
      </c>
      <c r="BN33" s="28" t="n">
        <v>0.447761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c2a31243c46a4c16</t>
        </is>
      </c>
      <c r="B34" s="24" t="inlineStr">
        <is>
          <t>2026-07-30T17:36:41.418998Z</t>
        </is>
      </c>
      <c r="C34" s="24" t="inlineStr">
        <is>
          <t>2026-07-30T23:10Z</t>
        </is>
      </c>
      <c r="D34" s="24" t="inlineStr">
        <is>
          <t>401816323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Cincinnati Reds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0.548436</v>
      </c>
      <c r="P34" s="28" t="n">
        <v>0.042131</v>
      </c>
      <c r="Q34" s="28" t="n">
        <v>-0.041728</v>
      </c>
      <c r="R34" s="26" t="n">
        <v>4</v>
      </c>
      <c r="S34" s="29" t="n">
        <v>0</v>
      </c>
      <c r="T34" s="24" t="inlineStr">
        <is>
          <t>measured-edge-margin-v1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Measured Edge Margin: Trend Engine projected 4.87-4.53; raw selected-side p=0.6353, calibrated p=0.5484.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mlb-cin</t>
        </is>
      </c>
      <c r="AT34" s="24" t="inlineStr">
        <is>
          <t>Cincinnati Reds</t>
        </is>
      </c>
      <c r="AU34" s="24" t="inlineStr">
        <is>
          <t>Cincinnati Reds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2026-07-30T17:36:41.418998Z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-144</v>
      </c>
      <c r="BL34" s="27" t="n">
        <v>1.694444</v>
      </c>
      <c r="BM34" s="28" t="n">
        <v>0.590164</v>
      </c>
      <c r="BN34" s="28" t="n">
        <v>0.5870649999999999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cfc66be27ba44376</t>
        </is>
      </c>
      <c r="B35" s="24" t="inlineStr">
        <is>
          <t>2026-07-30T17:36:41.418998Z</t>
        </is>
      </c>
      <c r="C35" s="24" t="inlineStr">
        <is>
          <t>2026-07-30T23:10Z</t>
        </is>
      </c>
      <c r="D35" s="24" t="inlineStr">
        <is>
          <t>401816323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Cincinnati Reds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104</v>
      </c>
      <c r="M35" s="27" t="n">
        <v>2.04</v>
      </c>
      <c r="N35" s="28" t="n">
        <v>0.490196</v>
      </c>
      <c r="O35" s="28" t="n">
        <v>0.54683</v>
      </c>
      <c r="P35" s="28" t="n">
        <v>0.042131</v>
      </c>
      <c r="Q35" s="28" t="n">
        <v>0.056634</v>
      </c>
      <c r="R35" s="26" t="n">
        <v>53</v>
      </c>
      <c r="S35" s="29" t="n">
        <v>0</v>
      </c>
      <c r="T35" s="24" t="inlineStr">
        <is>
          <t>measured-edge-totals-v1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Measured Edge Totals: Trend Engine projected 4.87-4.53; raw selected-side p=0.5642, calibrated p=0.5468.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mlb-cin</t>
        </is>
      </c>
      <c r="AT35" s="24" t="inlineStr">
        <is>
          <t>Cincinnati Reds</t>
        </is>
      </c>
      <c r="AU35" s="24" t="inlineStr">
        <is>
          <t>Cincinnati Reds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2026-07-30T17:36:41.418998Z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104</v>
      </c>
      <c r="BL35" s="27" t="n">
        <v>2.04</v>
      </c>
      <c r="BM35" s="28" t="n">
        <v>0.490196</v>
      </c>
      <c r="BN35" s="28" t="n">
        <v>0.487562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ce5a73aaf9164402</t>
        </is>
      </c>
      <c r="B36" s="24" t="inlineStr">
        <is>
          <t>2026-07-30T17:36:41.418998Z</t>
        </is>
      </c>
      <c r="C36" s="24" t="inlineStr">
        <is>
          <t>2026-07-31T01:40Z</t>
        </is>
      </c>
      <c r="D36" s="24" t="inlineStr">
        <is>
          <t>401816329</t>
        </is>
      </c>
      <c r="E36" s="24" t="inlineStr">
        <is>
          <t>MLB</t>
        </is>
      </c>
      <c r="F36" s="24" t="inlineStr">
        <is>
          <t>Boston Red Sox</t>
        </is>
      </c>
      <c r="G36" s="24" t="inlineStr">
        <is>
          <t>Athletics</t>
        </is>
      </c>
      <c r="H36" s="24" t="inlineStr">
        <is>
          <t>spread</t>
        </is>
      </c>
      <c r="I36" s="24" t="inlineStr">
        <is>
          <t>home</t>
        </is>
      </c>
      <c r="J36" s="25" t="n">
        <v>1.5</v>
      </c>
      <c r="K36" s="24" t="inlineStr">
        <is>
          <t>polymarket_us</t>
        </is>
      </c>
      <c r="L36" s="26" t="n">
        <v>102</v>
      </c>
      <c r="M36" s="27" t="n">
        <v>2.02</v>
      </c>
      <c r="N36" s="28" t="n">
        <v>0.49505</v>
      </c>
      <c r="O36" s="28" t="n">
        <v>0.544801</v>
      </c>
      <c r="P36" s="28" t="n">
        <v>0.042131</v>
      </c>
      <c r="Q36" s="28" t="n">
        <v>0.049751</v>
      </c>
      <c r="R36" s="26" t="n">
        <v>50</v>
      </c>
      <c r="S36" s="29" t="n">
        <v>0</v>
      </c>
      <c r="T36" s="24" t="inlineStr">
        <is>
          <t>measured-edge-margin-v1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Measured Edge Margin: Trend Engine projected 5.03-4.48; raw selected-side p=0.6168, calibrated p=0.5448.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mlb-bos</t>
        </is>
      </c>
      <c r="AQ36" s="24" t="inlineStr">
        <is>
          <t>Boston Red Sox</t>
        </is>
      </c>
      <c r="AR36" s="24" t="inlineStr">
        <is>
          <t>Boston Red Sox</t>
        </is>
      </c>
      <c r="AS36" s="24" t="inlineStr">
        <is>
          <t>mlb-ath</t>
        </is>
      </c>
      <c r="AT36" s="24" t="inlineStr">
        <is>
          <t>Athletics</t>
        </is>
      </c>
      <c r="AU36" s="24" t="inlineStr">
        <is>
          <t>Athletics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2026-07-30T17:36:41.418998Z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102</v>
      </c>
      <c r="BL36" s="27" t="n">
        <v>2.02</v>
      </c>
      <c r="BM36" s="28" t="n">
        <v>0.49505</v>
      </c>
      <c r="BN36" s="28" t="n">
        <v>0.492537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182dc01bc38040c2</t>
        </is>
      </c>
      <c r="B37" s="24" t="inlineStr">
        <is>
          <t>2026-07-30T17:36:41.418998Z</t>
        </is>
      </c>
      <c r="C37" s="24" t="inlineStr">
        <is>
          <t>2026-07-31T01:40Z</t>
        </is>
      </c>
      <c r="D37" s="24" t="inlineStr">
        <is>
          <t>401816329</t>
        </is>
      </c>
      <c r="E37" s="24" t="inlineStr">
        <is>
          <t>MLB</t>
        </is>
      </c>
      <c r="F37" s="24" t="inlineStr">
        <is>
          <t>Boston Red Sox</t>
        </is>
      </c>
      <c r="G37" s="24" t="inlineStr">
        <is>
          <t>Athletics</t>
        </is>
      </c>
      <c r="H37" s="24" t="inlineStr">
        <is>
          <t>total</t>
        </is>
      </c>
      <c r="I37" s="24" t="inlineStr">
        <is>
          <t>under</t>
        </is>
      </c>
      <c r="J37" s="25" t="n">
        <v>10.5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0.60329</v>
      </c>
      <c r="P37" s="28" t="n">
        <v>0.042131</v>
      </c>
      <c r="Q37" s="28" t="n">
        <v>0.06840599999999999</v>
      </c>
      <c r="R37" s="26" t="n">
        <v>59</v>
      </c>
      <c r="S37" s="29" t="n">
        <v>0</v>
      </c>
      <c r="T37" s="24" t="inlineStr">
        <is>
          <t>measured-edge-totals-v1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Measured Edge Totals: Trend Engine projected 5.03-4.48; raw selected-side p=0.6224, calibrated p=0.6033.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mlb-bos</t>
        </is>
      </c>
      <c r="AQ37" s="24" t="inlineStr">
        <is>
          <t>Boston Red Sox</t>
        </is>
      </c>
      <c r="AR37" s="24" t="inlineStr">
        <is>
          <t>Boston Red Sox</t>
        </is>
      </c>
      <c r="AS37" s="24" t="inlineStr">
        <is>
          <t>mlb-ath</t>
        </is>
      </c>
      <c r="AT37" s="24" t="inlineStr">
        <is>
          <t>Athletics</t>
        </is>
      </c>
      <c r="AU37" s="24" t="inlineStr">
        <is>
          <t>Athletics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cbc2c9bf5a9569a49e1902c816d96556d704cf10819ca3a9e927721685757d0b</t>
        </is>
      </c>
      <c r="BB37" s="24" t="inlineStr">
        <is>
          <t>flat_probability_shrinkage_toward_half</t>
        </is>
      </c>
      <c r="BC37" s="24" t="inlineStr">
        <is>
          <t>measured-edge-totals-v1</t>
        </is>
      </c>
      <c r="BD37" s="24" t="inlineStr">
        <is>
          <t>cbc2c9bf5a9569a49e1902c816d96556d704cf10819ca3a9e927721685757d0b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2026-07-30T17:36:41.418998Z</t>
        </is>
      </c>
      <c r="BI37" s="24" t="inlineStr">
        <is>
          <t>["same_event","same_team_same_day","same_league_same_day"]</t>
        </is>
      </c>
      <c r="BJ37" s="25" t="n">
        <v>10.5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9fee0946d450487e</t>
        </is>
      </c>
      <c r="B38" s="24" t="inlineStr">
        <is>
          <t>2026-07-30T17:36:41.418998Z</t>
        </is>
      </c>
      <c r="C38" s="24" t="inlineStr">
        <is>
          <t>2026-07-31T01:40Z</t>
        </is>
      </c>
      <c r="D38" s="24" t="inlineStr">
        <is>
          <t>401816331</t>
        </is>
      </c>
      <c r="E38" s="24" t="inlineStr">
        <is>
          <t>MLB</t>
        </is>
      </c>
      <c r="F38" s="24" t="inlineStr">
        <is>
          <t>San Francisco Giants</t>
        </is>
      </c>
      <c r="G38" s="24" t="inlineStr">
        <is>
          <t>San Diego Padres</t>
        </is>
      </c>
      <c r="H38" s="24" t="inlineStr">
        <is>
          <t>spread</t>
        </is>
      </c>
      <c r="I38" s="24" t="inlineStr">
        <is>
          <t>away</t>
        </is>
      </c>
      <c r="J38" s="25" t="n">
        <v>1.5</v>
      </c>
      <c r="K38" s="24" t="inlineStr">
        <is>
          <t>polymarket_us</t>
        </is>
      </c>
      <c r="L38" s="26" t="n">
        <v>-153</v>
      </c>
      <c r="M38" s="27" t="n">
        <v>1.653595</v>
      </c>
      <c r="N38" s="28" t="n">
        <v>0.604743</v>
      </c>
      <c r="O38" s="28" t="n">
        <v>0.55947</v>
      </c>
      <c r="P38" s="28" t="n">
        <v>0.05172</v>
      </c>
      <c r="Q38" s="28" t="n">
        <v>-0.045273</v>
      </c>
      <c r="R38" s="26" t="n">
        <v>0</v>
      </c>
      <c r="S38" s="29" t="n">
        <v>0</v>
      </c>
      <c r="T38" s="24" t="inlineStr">
        <is>
          <t>measured-edge-margin-v1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Measured Edge Margin: Trend Engine projected 4.48-4.27; raw selected-side p=0.6915, calibrated p=0.5595.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mlb-sf</t>
        </is>
      </c>
      <c r="AQ38" s="24" t="inlineStr">
        <is>
          <t>San Francisco Giants</t>
        </is>
      </c>
      <c r="AR38" s="24" t="inlineStr">
        <is>
          <t>San Francisco Giants</t>
        </is>
      </c>
      <c r="AS38" s="24" t="inlineStr">
        <is>
          <t>mlb-sd</t>
        </is>
      </c>
      <c r="AT38" s="24" t="inlineStr">
        <is>
          <t>San Diego Padres</t>
        </is>
      </c>
      <c r="AU38" s="24" t="inlineStr">
        <is>
          <t>San Diego Padres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2bc2ce55b0d39a20103f724bbddbde5394909acd49297f52665b596a0ae3ae8b</t>
        </is>
      </c>
      <c r="BB38" s="24" t="inlineStr">
        <is>
          <t>flat_probability_shrinkage_toward_half</t>
        </is>
      </c>
      <c r="BC38" s="24" t="inlineStr">
        <is>
          <t>measured-edge-margin-v1</t>
        </is>
      </c>
      <c r="BD38" s="24" t="inlineStr">
        <is>
          <t>2bc2ce55b0d39a20103f724bbddbde5394909acd49297f52665b596a0ae3ae8b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2026-07-30T17:36:41.418998Z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-153</v>
      </c>
      <c r="BL38" s="27" t="n">
        <v>1.653595</v>
      </c>
      <c r="BM38" s="28" t="n">
        <v>0.604743</v>
      </c>
      <c r="BN38" s="28" t="n">
        <v>0.60199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bf3262fcec7d4e69</t>
        </is>
      </c>
      <c r="B39" s="24" t="inlineStr">
        <is>
          <t>2026-07-30T17:36:41.418998Z</t>
        </is>
      </c>
      <c r="C39" s="24" t="inlineStr">
        <is>
          <t>2026-07-31T01:40Z</t>
        </is>
      </c>
      <c r="D39" s="24" t="inlineStr">
        <is>
          <t>401816331</t>
        </is>
      </c>
      <c r="E39" s="24" t="inlineStr">
        <is>
          <t>MLB</t>
        </is>
      </c>
      <c r="F39" s="24" t="inlineStr">
        <is>
          <t>San Francisco Giants</t>
        </is>
      </c>
      <c r="G39" s="24" t="inlineStr">
        <is>
          <t>San Diego Padres</t>
        </is>
      </c>
      <c r="H39" s="24" t="inlineStr">
        <is>
          <t>total</t>
        </is>
      </c>
      <c r="I39" s="24" t="inlineStr">
        <is>
          <t>over</t>
        </is>
      </c>
      <c r="J39" s="25" t="n">
        <v>8.5</v>
      </c>
      <c r="K39" s="24" t="inlineStr">
        <is>
          <t>polymarket_us</t>
        </is>
      </c>
      <c r="L39" s="26" t="n">
        <v>108</v>
      </c>
      <c r="M39" s="27" t="n">
        <v>2.08</v>
      </c>
      <c r="N39" s="28" t="n">
        <v>0.480769</v>
      </c>
      <c r="O39" s="28" t="n">
        <v>0.474412</v>
      </c>
      <c r="P39" s="28" t="n">
        <v>0.05172</v>
      </c>
      <c r="Q39" s="28" t="n">
        <v>-0.006357</v>
      </c>
      <c r="R39" s="26" t="n">
        <v>16</v>
      </c>
      <c r="S39" s="29" t="n">
        <v>0</v>
      </c>
      <c r="T39" s="24" t="inlineStr">
        <is>
          <t>measured-edge-totals-v1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Measured Edge Totals: Trend Engine projected 4.48-4.27; raw selected-side p=0.4895, calibrated p=0.4744.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mlb-sf</t>
        </is>
      </c>
      <c r="AQ39" s="24" t="inlineStr">
        <is>
          <t>San Francisco Giants</t>
        </is>
      </c>
      <c r="AR39" s="24" t="inlineStr">
        <is>
          <t>San Francisco Giants</t>
        </is>
      </c>
      <c r="AS39" s="24" t="inlineStr">
        <is>
          <t>mlb-sd</t>
        </is>
      </c>
      <c r="AT39" s="24" t="inlineStr">
        <is>
          <t>San Diego Padres</t>
        </is>
      </c>
      <c r="AU39" s="24" t="inlineStr">
        <is>
          <t>San Diego Padres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cbc2c9bf5a9569a49e1902c816d96556d704cf10819ca3a9e927721685757d0b</t>
        </is>
      </c>
      <c r="BB39" s="24" t="inlineStr">
        <is>
          <t>flat_probability_shrinkage_toward_half</t>
        </is>
      </c>
      <c r="BC39" s="24" t="inlineStr">
        <is>
          <t>measured-edge-totals-v1</t>
        </is>
      </c>
      <c r="BD39" s="24" t="inlineStr">
        <is>
          <t>cbc2c9bf5a9569a49e1902c816d96556d704cf10819ca3a9e927721685757d0b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2026-07-30T17:36:41.418998Z</t>
        </is>
      </c>
      <c r="BI39" s="24" t="inlineStr">
        <is>
          <t>["same_event","same_team_same_day","same_league_same_day"]</t>
        </is>
      </c>
      <c r="BJ39" s="25" t="n">
        <v>8.5</v>
      </c>
      <c r="BK39" s="26" t="n">
        <v>108</v>
      </c>
      <c r="BL39" s="27" t="n">
        <v>2.08</v>
      </c>
      <c r="BM39" s="28" t="n">
        <v>0.480769</v>
      </c>
      <c r="BN39" s="28" t="n">
        <v>0.477612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9f8d56c5e8a7470f</t>
        </is>
      </c>
      <c r="B40" s="24" t="inlineStr">
        <is>
          <t>2026-07-30T17:36:41.418998Z</t>
        </is>
      </c>
      <c r="C40" s="24" t="inlineStr">
        <is>
          <t>2026-07-31T02:10Z</t>
        </is>
      </c>
      <c r="D40" s="24" t="inlineStr">
        <is>
          <t>401816330</t>
        </is>
      </c>
      <c r="E40" s="24" t="inlineStr">
        <is>
          <t>MLB</t>
        </is>
      </c>
      <c r="F40" s="24" t="inlineStr">
        <is>
          <t>Seattle Mariners</t>
        </is>
      </c>
      <c r="G40" s="24" t="inlineStr">
        <is>
          <t>Los Angeles Dodgers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-141</v>
      </c>
      <c r="M40" s="27" t="n">
        <v>1.70922</v>
      </c>
      <c r="N40" s="28" t="n">
        <v>0.585062</v>
      </c>
      <c r="O40" s="28" t="n">
        <v>0.54937</v>
      </c>
      <c r="P40" s="28" t="n">
        <v>0.042131</v>
      </c>
      <c r="Q40" s="28" t="n">
        <v>-0.035692</v>
      </c>
      <c r="R40" s="26" t="n">
        <v>7</v>
      </c>
      <c r="S40" s="29" t="n">
        <v>0</v>
      </c>
      <c r="T40" s="24" t="inlineStr">
        <is>
          <t>measured-edge-margin-v1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Measured Edge Margin: Trend Engine projected 4.65-4.92; raw selected-side p=0.6401, calibrated p=0.5494.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mlb-sea</t>
        </is>
      </c>
      <c r="AQ40" s="24" t="inlineStr">
        <is>
          <t>Seattle Mariners</t>
        </is>
      </c>
      <c r="AR40" s="24" t="inlineStr">
        <is>
          <t>Seattle Mariners</t>
        </is>
      </c>
      <c r="AS40" s="24" t="inlineStr">
        <is>
          <t>mlb-lad</t>
        </is>
      </c>
      <c r="AT40" s="24" t="inlineStr">
        <is>
          <t>Los Angeles Dodgers</t>
        </is>
      </c>
      <c r="AU40" s="24" t="inlineStr">
        <is>
          <t>Los Angeles Dodgers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2026-07-30T17:36:41.418998Z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-141</v>
      </c>
      <c r="BL40" s="27" t="n">
        <v>1.70922</v>
      </c>
      <c r="BM40" s="28" t="n">
        <v>0.585062</v>
      </c>
      <c r="BN40" s="28" t="n">
        <v>0.58209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097c5c0ee3544fc6</t>
        </is>
      </c>
      <c r="B41" s="24" t="inlineStr">
        <is>
          <t>2026-07-30T17:36:41.418998Z</t>
        </is>
      </c>
      <c r="C41" s="24" t="inlineStr">
        <is>
          <t>2026-07-31T02:10Z</t>
        </is>
      </c>
      <c r="D41" s="24" t="inlineStr">
        <is>
          <t>401816330</t>
        </is>
      </c>
      <c r="E41" s="24" t="inlineStr">
        <is>
          <t>MLB</t>
        </is>
      </c>
      <c r="F41" s="24" t="inlineStr">
        <is>
          <t>Seattle Mariners</t>
        </is>
      </c>
      <c r="G41" s="24" t="inlineStr">
        <is>
          <t>Los Angeles Dodgers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-115</v>
      </c>
      <c r="M41" s="27" t="n">
        <v>1.869565</v>
      </c>
      <c r="N41" s="28" t="n">
        <v>0.534884</v>
      </c>
      <c r="O41" s="28" t="n">
        <v>0.5411550000000001</v>
      </c>
      <c r="P41" s="28" t="n">
        <v>0.042131</v>
      </c>
      <c r="Q41" s="28" t="n">
        <v>0.006271</v>
      </c>
      <c r="R41" s="26" t="n">
        <v>28</v>
      </c>
      <c r="S41" s="29" t="n">
        <v>0</v>
      </c>
      <c r="T41" s="24" t="inlineStr">
        <is>
          <t>measured-edge-totals-v1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Measured Edge Totals: Trend Engine projected 4.65-4.92; raw selected-side p=0.5584, calibrated p=0.5412.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mlb-sea</t>
        </is>
      </c>
      <c r="AQ41" s="24" t="inlineStr">
        <is>
          <t>Seattle Mariners</t>
        </is>
      </c>
      <c r="AR41" s="24" t="inlineStr">
        <is>
          <t>Seattle Mariners</t>
        </is>
      </c>
      <c r="AS41" s="24" t="inlineStr">
        <is>
          <t>mlb-lad</t>
        </is>
      </c>
      <c r="AT41" s="24" t="inlineStr">
        <is>
          <t>Los Angeles Dodgers</t>
        </is>
      </c>
      <c r="AU41" s="24" t="inlineStr">
        <is>
          <t>Los Angeles Dodgers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2026-07-30T17:36:41.418998Z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-115</v>
      </c>
      <c r="BL41" s="27" t="n">
        <v>1.869565</v>
      </c>
      <c r="BM41" s="28" t="n">
        <v>0.534884</v>
      </c>
      <c r="BN41" s="28" t="n">
        <v>0.532338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2026-07-30T17:37:31Z</dcterms:created>
  <dcterms:modified xsi:type="dcterms:W3CDTF">2026-07-30T17:37:31Z</dcterms:modified>
</cp:coreProperties>
</file>