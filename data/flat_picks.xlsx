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122" headerRowCount="1">
  <autoFilter ref="A1:CA122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COUNTA('Picks'!$A$2:$A$122)</f>
        <v/>
      </c>
      <c r="C4" s="6">
        <f>COUNTIF('Picks'!$U$2:$U$122,"open")</f>
        <v/>
      </c>
      <c r="E4" s="6">
        <f>COUNTIF('Picks'!$U$2:$U$122,"settled")</f>
        <v/>
      </c>
      <c r="G4" s="6">
        <f>IF(COUNTIFS('Picks'!$U$2:$U$122,"settled",'Picks'!$V$2:$V$122,"win")+COUNTIFS('Picks'!$U$2:$U$122,"settled",'Picks'!$V$2:$V$122,"loss")&gt;=$L$2,"Ready","Insufficient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COUNTIF('Picks'!$BX$2:$BX$122,"&gt;0")</f>
        <v/>
      </c>
      <c r="C7" s="6">
        <f>COUNTIFS('Picks'!$BX$2:$BX$122,"&gt;0",'Picks'!$V$2:$V$122,"win")&amp;"-"&amp;COUNTIFS('Picks'!$BX$2:$BX$122,"&gt;0",'Picks'!$V$2:$V$122,"loss")</f>
        <v/>
      </c>
      <c r="E7" s="7">
        <f>IFERROR(COUNTIFS('Picks'!$BX$2:$BX$122,"&gt;0",'Picks'!$V$2:$V$122,"win")/(COUNTIFS('Picks'!$BX$2:$BX$122,"&gt;0",'Picks'!$V$2:$V$122,"win")+COUNTIFS('Picks'!$BX$2:$BX$122,"&gt;0",'Picks'!$V$2:$V$122,"loss")),0)</f>
        <v/>
      </c>
      <c r="G7" s="7">
        <f>IFERROR(SUM('Picks'!$BY$2:$BY$122)/SUM('Picks'!$BX$2:$BX$122),0)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SUM('Picks'!$BY$2:$BY$122)</f>
        <v/>
      </c>
      <c r="C10" s="9">
        <f>IFERROR(AVERAGEIF('Picks'!$AB$2:$AB$122,"&lt;&gt;",'Picks'!$AB$2:$AB$122),0)</f>
        <v/>
      </c>
      <c r="E10" s="6">
        <f>COUNTIFS('Picks'!$AM$2:$AM$122,"QUALIFIED_SHADOW_CALL",'Picks'!$U$2:$U$122,"settled")</f>
        <v/>
      </c>
      <c r="G10" s="8">
        <f>SUMIFS('Picks'!$AC$2:$AC$122,'Picks'!$AM$2:$AM$122,"QUALIFIED_SHADOW_CALL")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COUNTIFS('Picks'!$H$2:$H$122,$A14,'Picks'!$U$2:$U$122,"settled")</f>
        <v/>
      </c>
      <c r="C14" s="13">
        <f>COUNTIFS('Picks'!$H$2:$H$122,$A14,'Picks'!$U$2:$U$122,"settled",'Picks'!$V$2:$V$122,"win")</f>
        <v/>
      </c>
      <c r="D14" s="13">
        <f>COUNTIFS('Picks'!$H$2:$H$122,$A14,'Picks'!$U$2:$U$122,"settled",'Picks'!$V$2:$V$122,"loss")</f>
        <v/>
      </c>
      <c r="E14" s="14">
        <f>IFERROR(C14/(C14+D14),0)</f>
        <v/>
      </c>
      <c r="F14" s="15">
        <f>SUMIFS('Picks'!$BY$2:$BY$122,'Picks'!$H$2:$H$122,$A14)</f>
        <v/>
      </c>
      <c r="G14" s="16">
        <f>IFERROR(AVERAGEIFS('Picks'!$AB$2:$AB$122,'Picks'!$H$2:$H$122,$A14,'Picks'!$U$2:$U$122,"settled"),0)</f>
        <v/>
      </c>
    </row>
    <row r="15">
      <c r="A15" s="17" t="inlineStr">
        <is>
          <t>spread</t>
        </is>
      </c>
      <c r="B15" s="18">
        <f>COUNTIFS('Picks'!$H$2:$H$122,$A15,'Picks'!$U$2:$U$122,"settled")</f>
        <v/>
      </c>
      <c r="C15" s="18">
        <f>COUNTIFS('Picks'!$H$2:$H$122,$A15,'Picks'!$U$2:$U$122,"settled",'Picks'!$V$2:$V$122,"win")</f>
        <v/>
      </c>
      <c r="D15" s="18">
        <f>COUNTIFS('Picks'!$H$2:$H$122,$A15,'Picks'!$U$2:$U$122,"settled",'Picks'!$V$2:$V$122,"loss")</f>
        <v/>
      </c>
      <c r="E15" s="19">
        <f>IFERROR(C15/(C15+D15),0)</f>
        <v/>
      </c>
      <c r="F15" s="20">
        <f>SUMIFS('Picks'!$BY$2:$BY$122,'Picks'!$H$2:$H$122,$A15)</f>
        <v/>
      </c>
      <c r="G15" s="21">
        <f>IFERROR(AVERAGEIFS('Picks'!$AB$2:$AB$122,'Picks'!$H$2:$H$122,$A15,'Picks'!$U$2:$U$122,"settled"),0)</f>
        <v/>
      </c>
    </row>
    <row r="16">
      <c r="A16" s="12" t="inlineStr">
        <is>
          <t>total</t>
        </is>
      </c>
      <c r="B16" s="13">
        <f>COUNTIFS('Picks'!$H$2:$H$122,$A16,'Picks'!$U$2:$U$122,"settled")</f>
        <v/>
      </c>
      <c r="C16" s="13">
        <f>COUNTIFS('Picks'!$H$2:$H$122,$A16,'Picks'!$U$2:$U$122,"settled",'Picks'!$V$2:$V$122,"win")</f>
        <v/>
      </c>
      <c r="D16" s="13">
        <f>COUNTIFS('Picks'!$H$2:$H$122,$A16,'Picks'!$U$2:$U$122,"settled",'Picks'!$V$2:$V$122,"loss")</f>
        <v/>
      </c>
      <c r="E16" s="14">
        <f>IFERROR(C16/(C16+D16),0)</f>
        <v/>
      </c>
      <c r="F16" s="15">
        <f>SUMIFS('Picks'!$BY$2:$BY$122,'Picks'!$H$2:$H$122,$A16)</f>
        <v/>
      </c>
      <c r="G16" s="16">
        <f>IFERROR(AVERAGEIFS('Picks'!$AB$2:$AB$122,'Picks'!$H$2:$H$122,$A16,'Picks'!$U$2:$U$122,"settled"),0)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2fe604a809ed46d5</t>
        </is>
      </c>
      <c r="B15" s="24" t="inlineStr">
        <is>
          <t>2026-07-19T10:49:38.448695+00:00</t>
        </is>
      </c>
      <c r="C15" s="24" t="inlineStr">
        <is>
          <t>2026-07-17T13:35:00-0400</t>
        </is>
      </c>
      <c r="D15" s="24" t="inlineStr">
        <is>
          <t>Tamp-Bost-2026-07-17-G1</t>
        </is>
      </c>
      <c r="E15" s="24" t="inlineStr">
        <is>
          <t>MLB</t>
        </is>
      </c>
      <c r="F15" s="24" t="inlineStr">
        <is>
          <t>Tampa Bay Rays</t>
        </is>
      </c>
      <c r="G15" s="24" t="inlineStr">
        <is>
          <t>Boston Red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</t>
        </is>
      </c>
      <c r="L15" s="26" t="n">
        <v>-106</v>
      </c>
      <c r="M15" s="27" t="n">
        <v>1.943396</v>
      </c>
      <c r="N15" s="28" t="n">
        <v>0.514563</v>
      </c>
      <c r="O15" s="28" t="n">
        <v>0.550333</v>
      </c>
      <c r="P15" s="28" t="n">
        <v>0.05</v>
      </c>
      <c r="Q15" s="28" t="n">
        <v>0.03577</v>
      </c>
      <c r="R15" s="26" t="n">
        <v>35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10</v>
      </c>
      <c r="Y15" s="25" t="n"/>
      <c r="Z15" s="26" t="n"/>
      <c r="AA15" s="28" t="n"/>
      <c r="AB15" s="28" t="n"/>
      <c r="AC15" s="30" t="n">
        <v>0.9434</v>
      </c>
      <c r="AD15" s="24" t="inlineStr">
        <is>
          <t>2026-07-19T12:18:56.423740+00:00</t>
        </is>
      </c>
      <c r="AE15" s="31" t="inlineStr">
        <is>
          <t>backtest</t>
        </is>
      </c>
      <c r="AF15" s="31" t="n"/>
      <c r="AG15" s="24" t="n"/>
      <c r="AH15" s="24" t="n"/>
      <c r="AI15" s="31" t="n"/>
      <c r="AJ15" s="31" t="n"/>
      <c r="AK15" s="24" t="n"/>
      <c r="AL15" s="26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inlineStr">
        <is>
          <t>5224fb6ffbc9ddf8fa517627b830ac851192da94d241963d556945393a42bb9d</t>
        </is>
      </c>
      <c r="BB15" s="24" t="n"/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n"/>
      <c r="BF15" s="24" t="n"/>
      <c r="BG15" s="24" t="n"/>
      <c r="BH15" s="24" t="inlineStr">
        <is>
          <t>2026-07-17T16:26:03.970000Z</t>
        </is>
      </c>
      <c r="BI15" s="24" t="n"/>
      <c r="BJ15" s="25" t="n"/>
      <c r="BK15" s="26" t="n">
        <v>-106</v>
      </c>
      <c r="BL15" s="27" t="n">
        <v>1.943396</v>
      </c>
      <c r="BM15" s="28" t="n">
        <v>0.514563</v>
      </c>
      <c r="BN15" s="28" t="n">
        <v>0.5124379999999999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</row>
    <row r="16" ht="36" customHeight="1">
      <c r="A16" s="24" t="inlineStr">
        <is>
          <t>47dbb1641a0a4833</t>
        </is>
      </c>
      <c r="B16" s="24" t="inlineStr">
        <is>
          <t>2026-07-19T10:49:38.448695+00:00</t>
        </is>
      </c>
      <c r="C16" s="24" t="inlineStr">
        <is>
          <t>2026-07-17T19:10:00-0400</t>
        </is>
      </c>
      <c r="D16" s="24" t="inlineStr">
        <is>
          <t>Tamp-Bost-2026-07-17-G2</t>
        </is>
      </c>
      <c r="E16" s="24" t="inlineStr">
        <is>
          <t>MLB</t>
        </is>
      </c>
      <c r="F16" s="24" t="inlineStr">
        <is>
          <t>Tampa Bay Rays</t>
        </is>
      </c>
      <c r="G16" s="24" t="inlineStr">
        <is>
          <t>Boston Red Sox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</t>
        </is>
      </c>
      <c r="L16" s="26" t="n">
        <v>-106</v>
      </c>
      <c r="M16" s="27" t="n">
        <v>1.943396</v>
      </c>
      <c r="N16" s="28" t="n">
        <v>0.514563</v>
      </c>
      <c r="O16" s="28" t="n">
        <v>0.550333</v>
      </c>
      <c r="P16" s="28" t="n">
        <v>0.05</v>
      </c>
      <c r="Q16" s="28" t="n">
        <v>0.03577</v>
      </c>
      <c r="R16" s="26" t="n">
        <v>35</v>
      </c>
      <c r="S16" s="29" t="n">
        <v>1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3</v>
      </c>
      <c r="X16" s="26" t="n">
        <v>5</v>
      </c>
      <c r="Y16" s="25" t="n"/>
      <c r="Z16" s="26" t="n"/>
      <c r="AA16" s="28" t="n"/>
      <c r="AB16" s="28" t="n"/>
      <c r="AC16" s="30" t="n">
        <v>0.9434</v>
      </c>
      <c r="AD16" s="24" t="inlineStr">
        <is>
          <t>2026-07-19T12:18:56.423961+00:00</t>
        </is>
      </c>
      <c r="AE16" s="31" t="inlineStr">
        <is>
          <t>backtest</t>
        </is>
      </c>
      <c r="AF16" s="31" t="n"/>
      <c r="AG16" s="24" t="n"/>
      <c r="AH16" s="24" t="n"/>
      <c r="AI16" s="31" t="n"/>
      <c r="AJ16" s="31" t="n"/>
      <c r="AK16" s="24" t="n"/>
      <c r="AL16" s="26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inlineStr">
        <is>
          <t>5224fb6ffbc9ddf8fa517627b830ac851192da94d241963d556945393a42bb9d</t>
        </is>
      </c>
      <c r="BB16" s="24" t="n"/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n"/>
      <c r="BF16" s="24" t="n"/>
      <c r="BG16" s="24" t="n"/>
      <c r="BH16" s="24" t="inlineStr">
        <is>
          <t>2026-07-17T16:26:03.970000Z</t>
        </is>
      </c>
      <c r="BI16" s="24" t="n"/>
      <c r="BJ16" s="25" t="n"/>
      <c r="BK16" s="26" t="n">
        <v>-106</v>
      </c>
      <c r="BL16" s="27" t="n">
        <v>1.943396</v>
      </c>
      <c r="BM16" s="28" t="n">
        <v>0.514563</v>
      </c>
      <c r="BN16" s="28" t="n">
        <v>0.5124379999999999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</row>
    <row r="17" ht="36" customHeight="1">
      <c r="A17" s="24" t="inlineStr">
        <is>
          <t>baee116aa2834b53</t>
        </is>
      </c>
      <c r="B17" s="24" t="inlineStr">
        <is>
          <t>2026-07-19T10:49:38.448695+00:00</t>
        </is>
      </c>
      <c r="C17" s="24" t="inlineStr">
        <is>
          <t>2026-07-17T19:40:00-0400</t>
        </is>
      </c>
      <c r="D17" s="24" t="inlineStr">
        <is>
          <t>Miam-Milw-2026-07-17</t>
        </is>
      </c>
      <c r="E17" s="24" t="inlineStr">
        <is>
          <t>MLB</t>
        </is>
      </c>
      <c r="F17" s="24" t="inlineStr">
        <is>
          <t>Miami Marlins</t>
        </is>
      </c>
      <c r="G17" s="24" t="inlineStr">
        <is>
          <t>Milwaukee Brewers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</t>
        </is>
      </c>
      <c r="L17" s="26" t="n">
        <v>-141</v>
      </c>
      <c r="M17" s="27" t="n">
        <v>1.70922</v>
      </c>
      <c r="N17" s="28" t="n">
        <v>0.585062</v>
      </c>
      <c r="O17" s="28" t="n">
        <v>0.616198</v>
      </c>
      <c r="P17" s="28" t="n">
        <v>0.05</v>
      </c>
      <c r="Q17" s="28" t="n">
        <v>0.031136</v>
      </c>
      <c r="R17" s="26" t="n">
        <v>31</v>
      </c>
      <c r="S17" s="29" t="n">
        <v>1.75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2</v>
      </c>
      <c r="Y17" s="25" t="n"/>
      <c r="Z17" s="26" t="n"/>
      <c r="AA17" s="28" t="n"/>
      <c r="AB17" s="28" t="n"/>
      <c r="AC17" s="30" t="n">
        <v>1.2411</v>
      </c>
      <c r="AD17" s="24" t="inlineStr">
        <is>
          <t>2026-07-19T12:18:56.424573+00:00</t>
        </is>
      </c>
      <c r="AE17" s="31" t="inlineStr">
        <is>
          <t>backtest</t>
        </is>
      </c>
      <c r="AF17" s="31" t="n"/>
      <c r="AG17" s="24" t="n"/>
      <c r="AH17" s="24" t="n"/>
      <c r="AI17" s="31" t="n"/>
      <c r="AJ17" s="31" t="n"/>
      <c r="AK17" s="24" t="n"/>
      <c r="AL17" s="26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inlineStr">
        <is>
          <t>5224fb6ffbc9ddf8fa517627b830ac851192da94d241963d556945393a42bb9d</t>
        </is>
      </c>
      <c r="BB17" s="24" t="n"/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n"/>
      <c r="BF17" s="24" t="n"/>
      <c r="BG17" s="24" t="n"/>
      <c r="BH17" s="24" t="inlineStr">
        <is>
          <t>2026-07-17T17:12:44.293402Z</t>
        </is>
      </c>
      <c r="BI17" s="24" t="n"/>
      <c r="BJ17" s="25" t="n"/>
      <c r="BK17" s="26" t="n">
        <v>-141</v>
      </c>
      <c r="BL17" s="27" t="n">
        <v>1.70922</v>
      </c>
      <c r="BM17" s="28" t="n">
        <v>0.585062</v>
      </c>
      <c r="BN17" s="28" t="n">
        <v>0.58209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</row>
    <row r="18" ht="36" customHeight="1">
      <c r="A18" s="24" t="inlineStr">
        <is>
          <t>509252032f1947b8</t>
        </is>
      </c>
      <c r="B18" s="24" t="inlineStr">
        <is>
          <t>2026-07-19T10:49:38.448695+00:00</t>
        </is>
      </c>
      <c r="C18" s="24" t="inlineStr">
        <is>
          <t>2026-07-17T20:05:00-0400</t>
        </is>
      </c>
      <c r="D18" s="24" t="inlineStr">
        <is>
          <t>Minn-Chic-2026-07-17</t>
        </is>
      </c>
      <c r="E18" s="24" t="inlineStr">
        <is>
          <t>MLB</t>
        </is>
      </c>
      <c r="F18" s="24" t="inlineStr">
        <is>
          <t>Minnesota Twins</t>
        </is>
      </c>
      <c r="G18" s="24" t="inlineStr">
        <is>
          <t>Chicago Cubs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</t>
        </is>
      </c>
      <c r="L18" s="26" t="n">
        <v>-133</v>
      </c>
      <c r="M18" s="27" t="n">
        <v>1.75188</v>
      </c>
      <c r="N18" s="28" t="n">
        <v>0.570815</v>
      </c>
      <c r="O18" s="28" t="n">
        <v>0.60271</v>
      </c>
      <c r="P18" s="28" t="n">
        <v>0.05</v>
      </c>
      <c r="Q18" s="28" t="n">
        <v>0.031895</v>
      </c>
      <c r="R18" s="26" t="n">
        <v>31</v>
      </c>
      <c r="S18" s="29" t="n">
        <v>1.5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5</v>
      </c>
      <c r="X18" s="26" t="n">
        <v>2</v>
      </c>
      <c r="Y18" s="25" t="n"/>
      <c r="Z18" s="26" t="n"/>
      <c r="AA18" s="28" t="n"/>
      <c r="AB18" s="28" t="n"/>
      <c r="AC18" s="30" t="n">
        <v>-1.5</v>
      </c>
      <c r="AD18" s="24" t="inlineStr">
        <is>
          <t>2026-07-19T12:18:56.424770+00:00</t>
        </is>
      </c>
      <c r="AE18" s="31" t="inlineStr">
        <is>
          <t>backtest</t>
        </is>
      </c>
      <c r="AF18" s="31" t="n"/>
      <c r="AG18" s="24" t="n"/>
      <c r="AH18" s="24" t="n"/>
      <c r="AI18" s="31" t="n"/>
      <c r="AJ18" s="31" t="n"/>
      <c r="AK18" s="24" t="n"/>
      <c r="AL18" s="26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inlineStr">
        <is>
          <t>5224fb6ffbc9ddf8fa517627b830ac851192da94d241963d556945393a42bb9d</t>
        </is>
      </c>
      <c r="BB18" s="24" t="n"/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n"/>
      <c r="BF18" s="24" t="n"/>
      <c r="BG18" s="24" t="n"/>
      <c r="BH18" s="24" t="inlineStr">
        <is>
          <t>2026-07-17T17:12:44.967723Z</t>
        </is>
      </c>
      <c r="BI18" s="24" t="n"/>
      <c r="BJ18" s="25" t="n"/>
      <c r="BK18" s="26" t="n">
        <v>-133</v>
      </c>
      <c r="BL18" s="27" t="n">
        <v>1.75188</v>
      </c>
      <c r="BM18" s="28" t="n">
        <v>0.570815</v>
      </c>
      <c r="BN18" s="28" t="n">
        <v>0.567164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</row>
    <row r="19" ht="36" customHeight="1">
      <c r="A19" s="24" t="inlineStr">
        <is>
          <t>19647b771ec94081</t>
        </is>
      </c>
      <c r="B19" s="24" t="inlineStr">
        <is>
          <t>2026-07-19T10:49:38.448695+00:00</t>
        </is>
      </c>
      <c r="C19" s="24" t="inlineStr">
        <is>
          <t>2026-07-17T20:40:00-0400</t>
        </is>
      </c>
      <c r="D19" s="24" t="inlineStr">
        <is>
          <t>Cinc-Colo-2026-07-17</t>
        </is>
      </c>
      <c r="E19" s="24" t="inlineStr">
        <is>
          <t>MLB</t>
        </is>
      </c>
      <c r="F19" s="24" t="inlineStr">
        <is>
          <t>Cincinnati Reds</t>
        </is>
      </c>
      <c r="G19" s="24" t="inlineStr">
        <is>
          <t>Colorado Rockies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</t>
        </is>
      </c>
      <c r="L19" s="26" t="n">
        <v>104</v>
      </c>
      <c r="M19" s="27" t="n">
        <v>2.04</v>
      </c>
      <c r="N19" s="28" t="n">
        <v>0.490196</v>
      </c>
      <c r="O19" s="28" t="n">
        <v>0.582862</v>
      </c>
      <c r="P19" s="28" t="n">
        <v>0.05</v>
      </c>
      <c r="Q19" s="28" t="n">
        <v>0.092666</v>
      </c>
      <c r="R19" s="26" t="n">
        <v>92</v>
      </c>
      <c r="S19" s="29" t="n">
        <v>1.25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7</v>
      </c>
      <c r="X19" s="26" t="n">
        <v>2</v>
      </c>
      <c r="Y19" s="25" t="n"/>
      <c r="Z19" s="26" t="n"/>
      <c r="AA19" s="28" t="n"/>
      <c r="AB19" s="28" t="n"/>
      <c r="AC19" s="30" t="n">
        <v>1.3</v>
      </c>
      <c r="AD19" s="24" t="inlineStr">
        <is>
          <t>2026-07-19T12:18:56.425382+00:00</t>
        </is>
      </c>
      <c r="AE19" s="31" t="inlineStr">
        <is>
          <t>backtest</t>
        </is>
      </c>
      <c r="AF19" s="31" t="n"/>
      <c r="AG19" s="24" t="n"/>
      <c r="AH19" s="24" t="n"/>
      <c r="AI19" s="31" t="n"/>
      <c r="AJ19" s="31" t="n"/>
      <c r="AK19" s="24" t="n"/>
      <c r="AL19" s="26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inlineStr">
        <is>
          <t>5224fb6ffbc9ddf8fa517627b830ac851192da94d241963d556945393a42bb9d</t>
        </is>
      </c>
      <c r="BB19" s="24" t="n"/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n"/>
      <c r="BF19" s="24" t="n"/>
      <c r="BG19" s="24" t="n"/>
      <c r="BH19" s="24" t="inlineStr">
        <is>
          <t>2026-07-17T16:26:11.935150Z</t>
        </is>
      </c>
      <c r="BI19" s="24" t="n"/>
      <c r="BJ19" s="25" t="n"/>
      <c r="BK19" s="26" t="n">
        <v>104</v>
      </c>
      <c r="BL19" s="27" t="n">
        <v>2.04</v>
      </c>
      <c r="BM19" s="28" t="n">
        <v>0.490196</v>
      </c>
      <c r="BN19" s="28" t="n">
        <v>0.487562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</row>
    <row r="20" ht="36" customHeight="1">
      <c r="A20" s="24" t="inlineStr">
        <is>
          <t>632575e6d24b409b</t>
        </is>
      </c>
      <c r="B20" s="24" t="inlineStr">
        <is>
          <t>2026-07-19T10:49:38.448695+00:00</t>
        </is>
      </c>
      <c r="C20" s="24" t="inlineStr">
        <is>
          <t>2026-07-17T21:38:00-0400</t>
        </is>
      </c>
      <c r="D20" s="24" t="inlineStr">
        <is>
          <t>Detr-LosA-2026-07-17</t>
        </is>
      </c>
      <c r="E20" s="24" t="inlineStr">
        <is>
          <t>MLB</t>
        </is>
      </c>
      <c r="F20" s="24" t="inlineStr">
        <is>
          <t>Detroit Tigers</t>
        </is>
      </c>
      <c r="G20" s="24" t="inlineStr">
        <is>
          <t>Los Angeles Angels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</t>
        </is>
      </c>
      <c r="L20" s="26" t="n">
        <v>-104</v>
      </c>
      <c r="M20" s="27" t="n">
        <v>1.961538</v>
      </c>
      <c r="N20" s="28" t="n">
        <v>0.509804</v>
      </c>
      <c r="O20" s="28" t="n">
        <v>0.550233</v>
      </c>
      <c r="P20" s="28" t="n">
        <v>0.05</v>
      </c>
      <c r="Q20" s="28" t="n">
        <v>0.040429</v>
      </c>
      <c r="R20" s="26" t="n">
        <v>40</v>
      </c>
      <c r="S20" s="29" t="n">
        <v>1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1</v>
      </c>
      <c r="Y20" s="25" t="n"/>
      <c r="Z20" s="26" t="n"/>
      <c r="AA20" s="28" t="n"/>
      <c r="AB20" s="28" t="n"/>
      <c r="AC20" s="30" t="n">
        <v>0.9615</v>
      </c>
      <c r="AD20" s="24" t="inlineStr">
        <is>
          <t>2026-07-19T12:18:56.425591+00:00</t>
        </is>
      </c>
      <c r="AE20" s="31" t="inlineStr">
        <is>
          <t>backtest</t>
        </is>
      </c>
      <c r="AF20" s="31" t="n"/>
      <c r="AG20" s="24" t="n"/>
      <c r="AH20" s="24" t="n"/>
      <c r="AI20" s="31" t="n"/>
      <c r="AJ20" s="31" t="n"/>
      <c r="AK20" s="24" t="n"/>
      <c r="AL20" s="26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inlineStr">
        <is>
          <t>5224fb6ffbc9ddf8fa517627b830ac851192da94d241963d556945393a42bb9d</t>
        </is>
      </c>
      <c r="BB20" s="24" t="n"/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n"/>
      <c r="BF20" s="24" t="n"/>
      <c r="BG20" s="24" t="n"/>
      <c r="BH20" s="24" t="inlineStr">
        <is>
          <t>2026-07-17T16:26:12.761758Z</t>
        </is>
      </c>
      <c r="BI20" s="24" t="n"/>
      <c r="BJ20" s="25" t="n"/>
      <c r="BK20" s="26" t="n">
        <v>-104</v>
      </c>
      <c r="BL20" s="27" t="n">
        <v>1.961538</v>
      </c>
      <c r="BM20" s="28" t="n">
        <v>0.509804</v>
      </c>
      <c r="BN20" s="28" t="n">
        <v>0.507463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</row>
    <row r="21" ht="36" customHeight="1">
      <c r="A21" s="24" t="inlineStr">
        <is>
          <t>673ea47c54654f7f</t>
        </is>
      </c>
      <c r="B21" s="24" t="inlineStr">
        <is>
          <t>2026-07-19T10:49:38.448695+00:00</t>
        </is>
      </c>
      <c r="C21" s="24" t="inlineStr">
        <is>
          <t>2026-07-17T21:40:00-0400</t>
        </is>
      </c>
      <c r="D21" s="24" t="inlineStr">
        <is>
          <t>Wash-Athl-2026-07-17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120</v>
      </c>
      <c r="M21" s="27" t="n">
        <v>2.2</v>
      </c>
      <c r="N21" s="28" t="n">
        <v>0.454545</v>
      </c>
      <c r="O21" s="28" t="n">
        <v>0.530299</v>
      </c>
      <c r="P21" s="28" t="n">
        <v>0.05</v>
      </c>
      <c r="Q21" s="28" t="n">
        <v>0.075754</v>
      </c>
      <c r="R21" s="26" t="n">
        <v>75</v>
      </c>
      <c r="S21" s="29" t="n">
        <v>0.75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23</v>
      </c>
      <c r="X21" s="26" t="n">
        <v>4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2026-07-19T12:18:56.425781+00:00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2026-07-17T16:26:14.658660Z</t>
        </is>
      </c>
      <c r="BI21" s="24" t="n"/>
      <c r="BJ21" s="25" t="n"/>
      <c r="BK21" s="26" t="n">
        <v>120</v>
      </c>
      <c r="BL21" s="27" t="n">
        <v>2.2</v>
      </c>
      <c r="BM21" s="28" t="n">
        <v>0.454545</v>
      </c>
      <c r="BN21" s="28" t="n">
        <v>0.452736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f7bfb70dfae84f8f</t>
        </is>
      </c>
      <c r="B22" s="24" t="inlineStr">
        <is>
          <t>2026-07-19T10:49:38.448695+00:00</t>
        </is>
      </c>
      <c r="C22" s="24" t="inlineStr">
        <is>
          <t>2026-07-17T21:40:00-0400</t>
        </is>
      </c>
      <c r="D22" s="24" t="inlineStr">
        <is>
          <t>St.L-Ariz-2026-07-17</t>
        </is>
      </c>
      <c r="E22" s="24" t="inlineStr">
        <is>
          <t>MLB</t>
        </is>
      </c>
      <c r="F22" s="24" t="inlineStr">
        <is>
          <t>St. Louis Cardinals</t>
        </is>
      </c>
      <c r="G22" s="24" t="inlineStr">
        <is>
          <t>Arizona Diamondbacks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100</v>
      </c>
      <c r="M22" s="27" t="n">
        <v>2</v>
      </c>
      <c r="N22" s="28" t="n">
        <v>0.5</v>
      </c>
      <c r="O22" s="28" t="n">
        <v>0.525388</v>
      </c>
      <c r="P22" s="28" t="n">
        <v>0.05</v>
      </c>
      <c r="Q22" s="28" t="n">
        <v>0.025388</v>
      </c>
      <c r="R22" s="26" t="n">
        <v>25</v>
      </c>
      <c r="S22" s="29" t="n">
        <v>0.75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loss</t>
        </is>
      </c>
      <c r="W22" s="26" t="n">
        <v>5</v>
      </c>
      <c r="X22" s="26" t="n">
        <v>4</v>
      </c>
      <c r="Y22" s="25" t="n"/>
      <c r="Z22" s="26" t="n"/>
      <c r="AA22" s="28" t="n"/>
      <c r="AB22" s="28" t="n"/>
      <c r="AC22" s="30" t="n">
        <v>-0.75</v>
      </c>
      <c r="AD22" s="24" t="inlineStr">
        <is>
          <t>2026-07-19T12:18:56.425985+00:00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2026-07-17T16:26:13.837104Z</t>
        </is>
      </c>
      <c r="BI22" s="24" t="n"/>
      <c r="BJ22" s="25" t="n"/>
      <c r="BK22" s="26" t="n">
        <v>100</v>
      </c>
      <c r="BL22" s="27" t="n">
        <v>2</v>
      </c>
      <c r="BM22" s="28" t="n">
        <v>0.5</v>
      </c>
      <c r="BN22" s="28" t="n">
        <v>0.497512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121539248eb44830</t>
        </is>
      </c>
      <c r="B23" s="24" t="inlineStr">
        <is>
          <t>2026-07-19T13:23:06.843442Z</t>
        </is>
      </c>
      <c r="C23" s="24" t="inlineStr">
        <is>
          <t>2026-07-19T17:35Z</t>
        </is>
      </c>
      <c r="D23" s="24" t="inlineStr">
        <is>
          <t>401816176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Atlanta Braves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0.480769</v>
      </c>
      <c r="O23" s="28" t="n">
        <v>0.566738</v>
      </c>
      <c r="P23" s="28" t="n"/>
      <c r="Q23" s="28" t="n">
        <v>0.085969</v>
      </c>
      <c r="R23" s="26" t="n">
        <v>85</v>
      </c>
      <c r="S23" s="29" t="n">
        <v>1.25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5</v>
      </c>
      <c r="X23" s="26" t="n">
        <v>8</v>
      </c>
      <c r="Y23" s="25" t="n"/>
      <c r="Z23" s="26" t="n"/>
      <c r="AA23" s="28" t="n"/>
      <c r="AB23" s="28" t="n"/>
      <c r="AC23" s="30" t="n">
        <v>1.35</v>
      </c>
      <c r="AD23" s="24" t="inlineStr">
        <is>
          <t>2026-07-19T21:31:35.621312Z</t>
        </is>
      </c>
      <c r="AE23" s="31" t="inlineStr">
        <is>
          <t>Learned LR call at threshold 0.5150; executable ask 0.4800 (aec-mlb-tex-atl-2026-07-19).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mlb-tex</t>
        </is>
      </c>
      <c r="AQ23" s="24" t="inlineStr">
        <is>
          <t>Texas Rangers</t>
        </is>
      </c>
      <c r="AR23" s="24" t="inlineStr">
        <is>
          <t>Texas Rangers</t>
        </is>
      </c>
      <c r="AS23" s="24" t="inlineStr">
        <is>
          <t>mlb-atl</t>
        </is>
      </c>
      <c r="AT23" s="24" t="inlineStr">
        <is>
          <t>Atlanta Braves</t>
        </is>
      </c>
      <c r="AU23" s="24" t="inlineStr">
        <is>
          <t>Atlanta Braves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5224fb6ffbc9ddf8fa517627b830ac851192da94d241963d556945393a42bb9d</t>
        </is>
      </c>
      <c r="BB23" s="24" t="inlineStr">
        <is>
          <t>learned_lr</t>
        </is>
      </c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inlineStr">
        <is>
          <t>94b28766e76410c6</t>
        </is>
      </c>
      <c r="BF23" s="24" t="inlineStr">
        <is>
          <t>1</t>
        </is>
      </c>
      <c r="BG23" s="24" t="inlineStr">
        <is>
          <t>mlb-elo-trend-lr-v3</t>
        </is>
      </c>
      <c r="BH23" s="24" t="inlineStr">
        <is>
          <t>2026-07-19T13:22:02.614593Z</t>
        </is>
      </c>
      <c r="BI23" s="24" t="inlineStr">
        <is>
          <t>["same_event","same_team_same_day","same_league_same_day"]</t>
        </is>
      </c>
      <c r="BJ23" s="25" t="n"/>
      <c r="BK23" s="26" t="n">
        <v>108</v>
      </c>
      <c r="BL23" s="27" t="n">
        <v>2.08</v>
      </c>
      <c r="BM23" s="28" t="n">
        <v>0.480769</v>
      </c>
      <c r="BN23" s="28" t="n">
        <v>0.477612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>
        <v>1</v>
      </c>
      <c r="BY23" s="27" t="n">
        <v>1.08</v>
      </c>
      <c r="BZ23" s="24" t="inlineStr">
        <is>
          <t>2026-07-19T21:31:35.621312Z</t>
        </is>
      </c>
      <c r="CA23" s="31" t="inlineStr">
        <is>
          <t>fixed one-unit hypothetical scoring; no real exposure or execution</t>
        </is>
      </c>
    </row>
    <row r="24" ht="36" customHeight="1">
      <c r="A24" s="24" t="inlineStr">
        <is>
          <t>4ee0f5bbef6b4559</t>
        </is>
      </c>
      <c r="B24" s="24" t="inlineStr">
        <is>
          <t>2026-07-19T13:23:06.843442Z</t>
        </is>
      </c>
      <c r="C24" s="24" t="inlineStr">
        <is>
          <t>2026-07-19T19:10Z</t>
        </is>
      </c>
      <c r="D24" s="24" t="inlineStr">
        <is>
          <t>401816181</t>
        </is>
      </c>
      <c r="E24" s="24" t="inlineStr">
        <is>
          <t>MLB</t>
        </is>
      </c>
      <c r="F24" s="24" t="inlineStr">
        <is>
          <t>Cincinnati Reds</t>
        </is>
      </c>
      <c r="G24" s="24" t="inlineStr">
        <is>
          <t>Colorado Rockies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-133</v>
      </c>
      <c r="M24" s="27" t="n">
        <v>1.75188</v>
      </c>
      <c r="N24" s="28" t="n">
        <v>0.570815</v>
      </c>
      <c r="O24" s="28" t="n">
        <v>0.600425</v>
      </c>
      <c r="P24" s="28" t="n"/>
      <c r="Q24" s="28" t="n">
        <v>0.02961</v>
      </c>
      <c r="R24" s="26" t="n">
        <v>29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9</v>
      </c>
      <c r="X24" s="26" t="n">
        <v>6</v>
      </c>
      <c r="Y24" s="25" t="n"/>
      <c r="Z24" s="26" t="n"/>
      <c r="AA24" s="28" t="n"/>
      <c r="AB24" s="28" t="n"/>
      <c r="AC24" s="30" t="n">
        <v>1.1278</v>
      </c>
      <c r="AD24" s="24" t="inlineStr">
        <is>
          <t>2026-07-19T22:14:31.386508Z</t>
        </is>
      </c>
      <c r="AE24" s="31" t="inlineStr">
        <is>
          <t>Learned LR call at threshold 0.5150; executable ask 0.5700 (aec-mlb-cin-col-2026-07-19).</t>
        </is>
      </c>
      <c r="AF24" s="31" t="inlineStr">
        <is>
          <t>Learned model; promotion gate not yet open; zero-unit research until review.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mlb-cin</t>
        </is>
      </c>
      <c r="AQ24" s="24" t="inlineStr">
        <is>
          <t>Cincinnati Reds</t>
        </is>
      </c>
      <c r="AR24" s="24" t="inlineStr">
        <is>
          <t>Cincinnati Reds</t>
        </is>
      </c>
      <c r="AS24" s="24" t="inlineStr">
        <is>
          <t>mlb-col</t>
        </is>
      </c>
      <c r="AT24" s="24" t="inlineStr">
        <is>
          <t>Colorado Rockies</t>
        </is>
      </c>
      <c r="AU24" s="24" t="inlineStr">
        <is>
          <t>Colorado Rockies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5224fb6ffbc9ddf8fa517627b830ac851192da94d241963d556945393a42bb9d</t>
        </is>
      </c>
      <c r="BB24" s="24" t="inlineStr">
        <is>
          <t>learned_lr</t>
        </is>
      </c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inlineStr">
        <is>
          <t>b8bf91edb90bdfcb</t>
        </is>
      </c>
      <c r="BF24" s="24" t="inlineStr">
        <is>
          <t>1</t>
        </is>
      </c>
      <c r="BG24" s="24" t="inlineStr">
        <is>
          <t>mlb-elo-trend-lr-v3</t>
        </is>
      </c>
      <c r="BH24" s="24" t="inlineStr">
        <is>
          <t>2026-07-19T13:22:13.486376Z</t>
        </is>
      </c>
      <c r="BI24" s="24" t="inlineStr">
        <is>
          <t>["same_event","same_team_same_day","same_league_same_day"]</t>
        </is>
      </c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0.75188</v>
      </c>
      <c r="BZ24" s="24" t="inlineStr">
        <is>
          <t>2026-07-19T22:14:31.386508Z</t>
        </is>
      </c>
      <c r="CA24" s="31" t="inlineStr">
        <is>
          <t>fixed one-unit hypothetical scoring; no real exposure or execution</t>
        </is>
      </c>
    </row>
    <row r="25" ht="36" customHeight="1">
      <c r="A25" s="24" t="inlineStr">
        <is>
          <t>35cfaddd8fa54724</t>
        </is>
      </c>
      <c r="B25" s="24" t="inlineStr">
        <is>
          <t>2026-07-19T13:23:06.843442Z</t>
        </is>
      </c>
      <c r="C25" s="24" t="inlineStr">
        <is>
          <t>2026-07-19T20:05Z</t>
        </is>
      </c>
      <c r="D25" s="24" t="inlineStr">
        <is>
          <t>401816185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Athletics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130</v>
      </c>
      <c r="M25" s="27" t="n">
        <v>2.3</v>
      </c>
      <c r="N25" s="28" t="n">
        <v>0.434783</v>
      </c>
      <c r="O25" s="28" t="n">
        <v>0.556646</v>
      </c>
      <c r="P25" s="28" t="n"/>
      <c r="Q25" s="28" t="n">
        <v>0.121863</v>
      </c>
      <c r="R25" s="26" t="n">
        <v>100</v>
      </c>
      <c r="S25" s="29" t="n">
        <v>1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loss</t>
        </is>
      </c>
      <c r="W25" s="26" t="n">
        <v>5</v>
      </c>
      <c r="X25" s="26" t="n">
        <v>2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2026-07-19T23:07:45.507453Z</t>
        </is>
      </c>
      <c r="AE25" s="31" t="inlineStr">
        <is>
          <t>Learned LR call at threshold 0.5150; executable ask 0.4350 (aec-mlb-wsh-ath-2026-07-19).</t>
        </is>
      </c>
      <c r="AF25" s="31" t="inlineStr">
        <is>
          <t>Learned model; promotion gate not yet open; zero-unit research until review.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mlb-ath</t>
        </is>
      </c>
      <c r="AT25" s="24" t="inlineStr">
        <is>
          <t>Athletics</t>
        </is>
      </c>
      <c r="AU25" s="24" t="inlineStr">
        <is>
          <t>Athletics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5224fb6ffbc9ddf8fa517627b830ac851192da94d241963d556945393a42bb9d</t>
        </is>
      </c>
      <c r="BB25" s="24" t="inlineStr">
        <is>
          <t>learned_lr</t>
        </is>
      </c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inlineStr">
        <is>
          <t>47154d07c5727d94</t>
        </is>
      </c>
      <c r="BF25" s="24" t="inlineStr">
        <is>
          <t>1</t>
        </is>
      </c>
      <c r="BG25" s="24" t="inlineStr">
        <is>
          <t>mlb-elo-trend-lr-v3</t>
        </is>
      </c>
      <c r="BH25" s="24" t="inlineStr">
        <is>
          <t>2026-07-19T13:22:14.970065Z</t>
        </is>
      </c>
      <c r="BI25" s="24" t="inlineStr">
        <is>
          <t>["same_event","same_team_same_day","same_league_same_day"]</t>
        </is>
      </c>
      <c r="BJ25" s="25" t="n"/>
      <c r="BK25" s="26" t="n">
        <v>130</v>
      </c>
      <c r="BL25" s="27" t="n">
        <v>2.3</v>
      </c>
      <c r="BM25" s="28" t="n">
        <v>0.434783</v>
      </c>
      <c r="BN25" s="28" t="n">
        <v>0.432836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-1</v>
      </c>
      <c r="BZ25" s="24" t="inlineStr">
        <is>
          <t>2026-07-19T23:07:45.507453Z</t>
        </is>
      </c>
      <c r="CA25" s="31" t="inlineStr">
        <is>
          <t>fixed one-unit hypothetical scoring; no real exposure or execution</t>
        </is>
      </c>
    </row>
    <row r="26" ht="36" customHeight="1">
      <c r="A26" s="24" t="inlineStr">
        <is>
          <t>f036fa1150dd4319</t>
        </is>
      </c>
      <c r="B26" s="24" t="inlineStr">
        <is>
          <t>2026-07-19T12:54:59.612626Z</t>
        </is>
      </c>
      <c r="C26" s="24" t="inlineStr">
        <is>
          <t>2026-07-19T16:15Z</t>
        </is>
      </c>
      <c r="D26" s="24" t="inlineStr">
        <is>
          <t>401816171</t>
        </is>
      </c>
      <c r="E26" s="24" t="inlineStr">
        <is>
          <t>MLB</t>
        </is>
      </c>
      <c r="F26" s="24" t="inlineStr">
        <is>
          <t>Chicago White Sox</t>
        </is>
      </c>
      <c r="G26" s="24" t="inlineStr">
        <is>
          <t>Toronto Blue Jays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0.490196</v>
      </c>
      <c r="O26" s="28" t="n">
        <v>0.552013</v>
      </c>
      <c r="P26" s="28" t="n"/>
      <c r="Q26" s="28" t="n">
        <v>0.061817</v>
      </c>
      <c r="R26" s="26" t="n">
        <v>61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3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2026-07-19T23:12:43.225807Z</t>
        </is>
      </c>
      <c r="AE26" s="31" t="inlineStr">
        <is>
          <t>Learned LR call at threshold 0.5150; executable ask 0.4900 (aec-mlb-cws-tor-2026-07-19).</t>
        </is>
      </c>
      <c r="AF26" s="31" t="inlineStr">
        <is>
          <t>Learned model; promotion gate not yet open; zero-unit research until review.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mlb-cws</t>
        </is>
      </c>
      <c r="AQ26" s="24" t="inlineStr">
        <is>
          <t>Chicago White Sox</t>
        </is>
      </c>
      <c r="AR26" s="24" t="inlineStr">
        <is>
          <t>Chicago White Sox</t>
        </is>
      </c>
      <c r="AS26" s="24" t="inlineStr">
        <is>
          <t>mlb-tor</t>
        </is>
      </c>
      <c r="AT26" s="24" t="inlineStr">
        <is>
          <t>Toronto Blue Jays</t>
        </is>
      </c>
      <c r="AU26" s="24" t="inlineStr">
        <is>
          <t>Toronto Blue Jays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5224fb6ffbc9ddf8fa517627b830ac851192da94d241963d556945393a42bb9d</t>
        </is>
      </c>
      <c r="BB26" s="24" t="inlineStr">
        <is>
          <t>learned_lr</t>
        </is>
      </c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inlineStr">
        <is>
          <t>097339aadf4c669a</t>
        </is>
      </c>
      <c r="BF26" s="24" t="inlineStr">
        <is>
          <t>1</t>
        </is>
      </c>
      <c r="BG26" s="24" t="inlineStr">
        <is>
          <t>mlb-elo-trend-lr-v3</t>
        </is>
      </c>
      <c r="BH26" s="24" t="inlineStr">
        <is>
          <t>2026-07-19T12:20:33.531222Z</t>
        </is>
      </c>
      <c r="BI26" s="24" t="inlineStr">
        <is>
          <t>["same_event","same_team_same_day","same_league_same_day"]</t>
        </is>
      </c>
      <c r="BJ26" s="25" t="n"/>
      <c r="BK26" s="26" t="n">
        <v>104</v>
      </c>
      <c r="BL26" s="27" t="n">
        <v>2.04</v>
      </c>
      <c r="BM26" s="28" t="n">
        <v>0.490196</v>
      </c>
      <c r="BN26" s="28" t="n">
        <v>0.487562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7b496571632f4a03</t>
        </is>
      </c>
      <c r="B27" s="24" t="inlineStr">
        <is>
          <t>2026-07-19T12:54:59.612626Z</t>
        </is>
      </c>
      <c r="C27" s="24" t="inlineStr">
        <is>
          <t>2026-07-19T17:35Z</t>
        </is>
      </c>
      <c r="D27" s="24" t="inlineStr">
        <is>
          <t>401816173</t>
        </is>
      </c>
      <c r="E27" s="24" t="inlineStr">
        <is>
          <t>MLB</t>
        </is>
      </c>
      <c r="F27" s="24" t="inlineStr">
        <is>
          <t>New York Mets</t>
        </is>
      </c>
      <c r="G27" s="24" t="inlineStr">
        <is>
          <t>Philadelphia Phillies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117</v>
      </c>
      <c r="M27" s="27" t="n">
        <v>2.17</v>
      </c>
      <c r="N27" s="28" t="n">
        <v>0.460829</v>
      </c>
      <c r="O27" s="28" t="n">
        <v>0.6153690000000001</v>
      </c>
      <c r="P27" s="28" t="n"/>
      <c r="Q27" s="28" t="n">
        <v>0.15454</v>
      </c>
      <c r="R27" s="26" t="n">
        <v>100</v>
      </c>
      <c r="S27" s="29" t="n">
        <v>1.75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6</v>
      </c>
      <c r="X27" s="26" t="n">
        <v>1</v>
      </c>
      <c r="Y27" s="25" t="n"/>
      <c r="Z27" s="26" t="n"/>
      <c r="AA27" s="28" t="n"/>
      <c r="AB27" s="28" t="n"/>
      <c r="AC27" s="30" t="n">
        <v>-1.75</v>
      </c>
      <c r="AD27" s="24" t="inlineStr">
        <is>
          <t>2026-07-19T23:12:43.477592Z</t>
        </is>
      </c>
      <c r="AE27" s="31" t="inlineStr">
        <is>
          <t>Learned LR call at threshold 0.5150; executable ask 0.4600 (aec-mlb-nym-phi-2026-07-19).</t>
        </is>
      </c>
      <c r="AF27" s="31" t="inlineStr">
        <is>
          <t>Learned model; promotion gate not yet open; zero-unit research until review.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mlb-nym</t>
        </is>
      </c>
      <c r="AQ27" s="24" t="inlineStr">
        <is>
          <t>New York Mets</t>
        </is>
      </c>
      <c r="AR27" s="24" t="inlineStr">
        <is>
          <t>New York Mets</t>
        </is>
      </c>
      <c r="AS27" s="24" t="inlineStr">
        <is>
          <t>mlb-phi</t>
        </is>
      </c>
      <c r="AT27" s="24" t="inlineStr">
        <is>
          <t>Philadelphia Phillies</t>
        </is>
      </c>
      <c r="AU27" s="24" t="inlineStr">
        <is>
          <t>Philadelphia Phillies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5224fb6ffbc9ddf8fa517627b830ac851192da94d241963d556945393a42bb9d</t>
        </is>
      </c>
      <c r="BB27" s="24" t="inlineStr">
        <is>
          <t>learned_lr</t>
        </is>
      </c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inlineStr">
        <is>
          <t>f5f93a0e01a0b4e1</t>
        </is>
      </c>
      <c r="BF27" s="24" t="inlineStr">
        <is>
          <t>1</t>
        </is>
      </c>
      <c r="BG27" s="24" t="inlineStr">
        <is>
          <t>mlb-elo-trend-lr-v3</t>
        </is>
      </c>
      <c r="BH27" s="24" t="inlineStr">
        <is>
          <t>2026-07-19T12:20:37.335421Z</t>
        </is>
      </c>
      <c r="BI27" s="24" t="inlineStr">
        <is>
          <t>["same_event","same_team_same_day","same_league_same_day"]</t>
        </is>
      </c>
      <c r="BJ27" s="25" t="n"/>
      <c r="BK27" s="26" t="n">
        <v>117</v>
      </c>
      <c r="BL27" s="27" t="n">
        <v>2.17</v>
      </c>
      <c r="BM27" s="28" t="n">
        <v>0.460829</v>
      </c>
      <c r="BN27" s="28" t="n">
        <v>0.457711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661bb12e4b834336</t>
        </is>
      </c>
      <c r="B28" s="24" t="inlineStr">
        <is>
          <t>2026-07-19T12:54:59.612626Z</t>
        </is>
      </c>
      <c r="C28" s="24" t="inlineStr">
        <is>
          <t>2026-07-19T17:35Z</t>
        </is>
      </c>
      <c r="D28" s="24" t="inlineStr">
        <is>
          <t>401816175</t>
        </is>
      </c>
      <c r="E28" s="24" t="inlineStr">
        <is>
          <t>MLB</t>
        </is>
      </c>
      <c r="F28" s="24" t="inlineStr">
        <is>
          <t>Tampa Bay Rays</t>
        </is>
      </c>
      <c r="G28" s="24" t="inlineStr">
        <is>
          <t>Boston Red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0.5530080000000001</v>
      </c>
      <c r="P28" s="28" t="n"/>
      <c r="Q28" s="28" t="n">
        <v>0.013837</v>
      </c>
      <c r="R28" s="26" t="n">
        <v>13</v>
      </c>
      <c r="S28" s="29" t="n">
        <v>1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6</v>
      </c>
      <c r="Y28" s="25" t="n"/>
      <c r="Z28" s="26" t="n"/>
      <c r="AA28" s="28" t="n"/>
      <c r="AB28" s="28" t="n"/>
      <c r="AC28" s="30" t="n">
        <v>0.8547</v>
      </c>
      <c r="AD28" s="24" t="inlineStr">
        <is>
          <t>2026-07-19T23:12:43.720828Z</t>
        </is>
      </c>
      <c r="AE28" s="31" t="inlineStr">
        <is>
          <t>Learned LR call at threshold 0.5150; executable ask 0.5400 (aec-mlb-tb-bos-2026-07-19).</t>
        </is>
      </c>
      <c r="AF28" s="31" t="inlineStr">
        <is>
          <t>Learned model; promotion gate not yet open; zero-unit research until review.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mlb-tb</t>
        </is>
      </c>
      <c r="AQ28" s="24" t="inlineStr">
        <is>
          <t>Tampa Bay Rays</t>
        </is>
      </c>
      <c r="AR28" s="24" t="inlineStr">
        <is>
          <t>Tampa Bay Rays</t>
        </is>
      </c>
      <c r="AS28" s="24" t="inlineStr">
        <is>
          <t>mlb-bos</t>
        </is>
      </c>
      <c r="AT28" s="24" t="inlineStr">
        <is>
          <t>Boston Red Sox</t>
        </is>
      </c>
      <c r="AU28" s="24" t="inlineStr">
        <is>
          <t>Boston Red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5224fb6ffbc9ddf8fa517627b830ac851192da94d241963d556945393a42bb9d</t>
        </is>
      </c>
      <c r="BB28" s="24" t="inlineStr">
        <is>
          <t>learned_lr</t>
        </is>
      </c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inlineStr">
        <is>
          <t>d975b9b26847e04d</t>
        </is>
      </c>
      <c r="BF28" s="24" t="inlineStr">
        <is>
          <t>1</t>
        </is>
      </c>
      <c r="BG28" s="24" t="inlineStr">
        <is>
          <t>mlb-elo-trend-lr-v3</t>
        </is>
      </c>
      <c r="BH28" s="24" t="inlineStr">
        <is>
          <t>2026-07-19T12:20:38.787831Z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adbbe8982e7c4a22</t>
        </is>
      </c>
      <c r="B29" s="24" t="inlineStr">
        <is>
          <t>2026-07-19T12:54:59.612626Z</t>
        </is>
      </c>
      <c r="C29" s="24" t="inlineStr">
        <is>
          <t>2026-07-19T17:40Z</t>
        </is>
      </c>
      <c r="D29" s="24" t="inlineStr">
        <is>
          <t>401816174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Cleveland Guardians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117</v>
      </c>
      <c r="M29" s="27" t="n">
        <v>2.17</v>
      </c>
      <c r="N29" s="28" t="n">
        <v>0.460829</v>
      </c>
      <c r="O29" s="28" t="n">
        <v>0.560582</v>
      </c>
      <c r="P29" s="28" t="n"/>
      <c r="Q29" s="28" t="n">
        <v>0.09975299999999999</v>
      </c>
      <c r="R29" s="26" t="n">
        <v>99</v>
      </c>
      <c r="S29" s="29" t="n">
        <v>1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7</v>
      </c>
      <c r="X29" s="26" t="n">
        <v>1</v>
      </c>
      <c r="Y29" s="25" t="n"/>
      <c r="Z29" s="26" t="n"/>
      <c r="AA29" s="28" t="n"/>
      <c r="AB29" s="28" t="n"/>
      <c r="AC29" s="30" t="n">
        <v>-1</v>
      </c>
      <c r="AD29" s="24" t="inlineStr">
        <is>
          <t>2026-07-19T23:12:43.966052Z</t>
        </is>
      </c>
      <c r="AE29" s="31" t="inlineStr">
        <is>
          <t>Learned LR call at threshold 0.5150; executable ask 0.4600 (aec-mlb-pit-cle-2026-07-19).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mlb-cle</t>
        </is>
      </c>
      <c r="AT29" s="24" t="inlineStr">
        <is>
          <t>Cleveland Guardians</t>
        </is>
      </c>
      <c r="AU29" s="24" t="inlineStr">
        <is>
          <t>Cleveland Guardians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1ea7c40ec20aaa1c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2026-07-19T12:20:39.567439Z</t>
        </is>
      </c>
      <c r="BI29" s="24" t="inlineStr">
        <is>
          <t>["same_event","same_team_same_day","same_league_same_day"]</t>
        </is>
      </c>
      <c r="BJ29" s="25" t="n"/>
      <c r="BK29" s="26" t="n">
        <v>117</v>
      </c>
      <c r="BL29" s="27" t="n">
        <v>2.17</v>
      </c>
      <c r="BM29" s="28" t="n">
        <v>0.460829</v>
      </c>
      <c r="BN29" s="28" t="n">
        <v>0.457711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</row>
    <row r="30" ht="36" customHeight="1">
      <c r="A30" s="24" t="inlineStr">
        <is>
          <t>244750b2034f4f13</t>
        </is>
      </c>
      <c r="B30" s="24" t="inlineStr">
        <is>
          <t>2026-07-19T12:54:59.612626Z</t>
        </is>
      </c>
      <c r="C30" s="24" t="inlineStr">
        <is>
          <t>2026-07-19T18:10Z</t>
        </is>
      </c>
      <c r="D30" s="24" t="inlineStr">
        <is>
          <t>401816177</t>
        </is>
      </c>
      <c r="E30" s="24" t="inlineStr">
        <is>
          <t>MLB</t>
        </is>
      </c>
      <c r="F30" s="24" t="inlineStr">
        <is>
          <t>Baltimore Orioles</t>
        </is>
      </c>
      <c r="G30" s="24" t="inlineStr">
        <is>
          <t>Houston Astros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-106</v>
      </c>
      <c r="M30" s="27" t="n">
        <v>1.943396</v>
      </c>
      <c r="N30" s="28" t="n">
        <v>0.514563</v>
      </c>
      <c r="O30" s="28" t="n">
        <v>0.518824</v>
      </c>
      <c r="P30" s="28" t="n"/>
      <c r="Q30" s="28" t="n">
        <v>0.004261</v>
      </c>
      <c r="R30" s="26" t="n">
        <v>4</v>
      </c>
      <c r="S30" s="29" t="n">
        <v>0.75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5</v>
      </c>
      <c r="X30" s="26" t="n">
        <v>2</v>
      </c>
      <c r="Y30" s="25" t="n"/>
      <c r="Z30" s="26" t="n"/>
      <c r="AA30" s="28" t="n"/>
      <c r="AB30" s="28" t="n"/>
      <c r="AC30" s="30" t="n">
        <v>-0.75</v>
      </c>
      <c r="AD30" s="24" t="inlineStr">
        <is>
          <t>2026-07-19T23:12:44.208798Z</t>
        </is>
      </c>
      <c r="AE30" s="31" t="inlineStr">
        <is>
          <t>Learned LR call at threshold 0.5150; executable ask 0.5150 (aec-mlb-bal-hou-2026-07-19).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mlb-bal</t>
        </is>
      </c>
      <c r="AQ30" s="24" t="inlineStr">
        <is>
          <t>Baltimore Orioles</t>
        </is>
      </c>
      <c r="AR30" s="24" t="inlineStr">
        <is>
          <t>Baltimore Orioles</t>
        </is>
      </c>
      <c r="AS30" s="24" t="inlineStr">
        <is>
          <t>mlb-hou</t>
        </is>
      </c>
      <c r="AT30" s="24" t="inlineStr">
        <is>
          <t>Houston Astros</t>
        </is>
      </c>
      <c r="AU30" s="24" t="inlineStr">
        <is>
          <t>Houston Astros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fb65fbe93d283ddf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2026-07-19T12:20:40.690565Z</t>
        </is>
      </c>
      <c r="BI30" s="24" t="inlineStr">
        <is>
          <t>["same_event","same_team_same_day","same_league_same_day"]</t>
        </is>
      </c>
      <c r="BJ30" s="25" t="n"/>
      <c r="BK30" s="26" t="n">
        <v>-106</v>
      </c>
      <c r="BL30" s="27" t="n">
        <v>1.943396</v>
      </c>
      <c r="BM30" s="28" t="n">
        <v>0.514563</v>
      </c>
      <c r="BN30" s="28" t="n">
        <v>0.5124379999999999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</row>
    <row r="31" ht="36" customHeight="1">
      <c r="A31" s="24" t="inlineStr">
        <is>
          <t>24dc5460b71f4e79</t>
        </is>
      </c>
      <c r="B31" s="24" t="inlineStr">
        <is>
          <t>2026-07-19T12:54:59.612626Z</t>
        </is>
      </c>
      <c r="C31" s="24" t="inlineStr">
        <is>
          <t>2026-07-19T18:10Z</t>
        </is>
      </c>
      <c r="D31" s="24" t="inlineStr">
        <is>
          <t>401816178</t>
        </is>
      </c>
      <c r="E31" s="24" t="inlineStr">
        <is>
          <t>MLB</t>
        </is>
      </c>
      <c r="F31" s="24" t="inlineStr">
        <is>
          <t>Miami Marlins</t>
        </is>
      </c>
      <c r="G31" s="24" t="inlineStr">
        <is>
          <t>Milwaukee Brewers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-122</v>
      </c>
      <c r="M31" s="27" t="n">
        <v>1.819672</v>
      </c>
      <c r="N31" s="28" t="n">
        <v>0.54955</v>
      </c>
      <c r="O31" s="28" t="n">
        <v>0.6307700000000001</v>
      </c>
      <c r="P31" s="28" t="n"/>
      <c r="Q31" s="28" t="n">
        <v>0.08122</v>
      </c>
      <c r="R31" s="26" t="n">
        <v>81</v>
      </c>
      <c r="S31" s="29" t="n">
        <v>1.75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3</v>
      </c>
      <c r="Y31" s="25" t="n"/>
      <c r="Z31" s="26" t="n"/>
      <c r="AA31" s="28" t="n"/>
      <c r="AB31" s="28" t="n"/>
      <c r="AC31" s="30" t="n">
        <v>1.4344</v>
      </c>
      <c r="AD31" s="24" t="inlineStr">
        <is>
          <t>2026-07-19T23:12:44.452287Z</t>
        </is>
      </c>
      <c r="AE31" s="31" t="inlineStr">
        <is>
          <t>Learned LR call at threshold 0.5150; executable ask 0.5500 (aec-mlb-mia-mil-2026-07-19).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mlb-mia</t>
        </is>
      </c>
      <c r="AQ31" s="24" t="inlineStr">
        <is>
          <t>Miami Marlins</t>
        </is>
      </c>
      <c r="AR31" s="24" t="inlineStr">
        <is>
          <t>Miami Marlins</t>
        </is>
      </c>
      <c r="AS31" s="24" t="inlineStr">
        <is>
          <t>mlb-mil</t>
        </is>
      </c>
      <c r="AT31" s="24" t="inlineStr">
        <is>
          <t>Milwaukee Brewers</t>
        </is>
      </c>
      <c r="AU31" s="24" t="inlineStr">
        <is>
          <t>Milwaukee Brewers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8fb0cba25307b5b8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2026-07-19T12:20:42.218493Z</t>
        </is>
      </c>
      <c r="BI31" s="24" t="inlineStr">
        <is>
          <t>["same_event","same_team_same_day","same_league_same_day"]</t>
        </is>
      </c>
      <c r="BJ31" s="25" t="n"/>
      <c r="BK31" s="26" t="n">
        <v>-122</v>
      </c>
      <c r="BL31" s="27" t="n">
        <v>1.819672</v>
      </c>
      <c r="BM31" s="28" t="n">
        <v>0.54955</v>
      </c>
      <c r="BN31" s="28" t="n">
        <v>0.547264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</row>
    <row r="32" ht="36" customHeight="1">
      <c r="A32" s="24" t="inlineStr">
        <is>
          <t>a41133c348d04e51</t>
        </is>
      </c>
      <c r="B32" s="24" t="inlineStr">
        <is>
          <t>2026-07-19T12:54:59.612626Z</t>
        </is>
      </c>
      <c r="C32" s="24" t="inlineStr">
        <is>
          <t>2026-07-19T18:10Z</t>
        </is>
      </c>
      <c r="D32" s="24" t="inlineStr">
        <is>
          <t>401816180</t>
        </is>
      </c>
      <c r="E32" s="24" t="inlineStr">
        <is>
          <t>MLB</t>
        </is>
      </c>
      <c r="F32" s="24" t="inlineStr">
        <is>
          <t>San Diego Padres</t>
        </is>
      </c>
      <c r="G32" s="24" t="inlineStr">
        <is>
          <t>Kansas City Royals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115</v>
      </c>
      <c r="M32" s="27" t="n">
        <v>2.15</v>
      </c>
      <c r="N32" s="28" t="n">
        <v>0.465116</v>
      </c>
      <c r="O32" s="28" t="n">
        <v>0.520718</v>
      </c>
      <c r="P32" s="28" t="n"/>
      <c r="Q32" s="28" t="n">
        <v>0.055602</v>
      </c>
      <c r="R32" s="26" t="n">
        <v>55</v>
      </c>
      <c r="S32" s="29" t="n">
        <v>0.75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19</v>
      </c>
      <c r="X32" s="26" t="n">
        <v>2</v>
      </c>
      <c r="Y32" s="25" t="n"/>
      <c r="Z32" s="26" t="n"/>
      <c r="AA32" s="28" t="n"/>
      <c r="AB32" s="28" t="n"/>
      <c r="AC32" s="30" t="n">
        <v>0.8625</v>
      </c>
      <c r="AD32" s="24" t="inlineStr">
        <is>
          <t>2026-07-19T23:12:44.698613Z</t>
        </is>
      </c>
      <c r="AE32" s="31" t="inlineStr">
        <is>
          <t>Learned LR call at threshold 0.5150; executable ask 0.4650 (aec-mlb-sd-kc-2026-07-19).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mlb-sd</t>
        </is>
      </c>
      <c r="AQ32" s="24" t="inlineStr">
        <is>
          <t>San Diego Padres</t>
        </is>
      </c>
      <c r="AR32" s="24" t="inlineStr">
        <is>
          <t>San Diego Padres</t>
        </is>
      </c>
      <c r="AS32" s="24" t="inlineStr">
        <is>
          <t>mlb-kc</t>
        </is>
      </c>
      <c r="AT32" s="24" t="inlineStr">
        <is>
          <t>Kansas City Royals</t>
        </is>
      </c>
      <c r="AU32" s="24" t="inlineStr">
        <is>
          <t>Kansas City Royals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fce46e57be25f762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2026-07-19T12:20:43.564485Z</t>
        </is>
      </c>
      <c r="BI32" s="24" t="inlineStr">
        <is>
          <t>["same_event","same_team_same_day","same_league_same_day"]</t>
        </is>
      </c>
      <c r="BJ32" s="25" t="n"/>
      <c r="BK32" s="26" t="n">
        <v>115</v>
      </c>
      <c r="BL32" s="27" t="n">
        <v>2.15</v>
      </c>
      <c r="BM32" s="28" t="n">
        <v>0.465116</v>
      </c>
      <c r="BN32" s="28" t="n">
        <v>0.462687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381bf45d8dc64de8</t>
        </is>
      </c>
      <c r="B33" s="24" t="inlineStr">
        <is>
          <t>2026-07-19T12:54:59.612626Z</t>
        </is>
      </c>
      <c r="C33" s="24" t="inlineStr">
        <is>
          <t>2026-07-19T18:20Z</t>
        </is>
      </c>
      <c r="D33" s="24" t="inlineStr">
        <is>
          <t>401816179</t>
        </is>
      </c>
      <c r="E33" s="24" t="inlineStr">
        <is>
          <t>MLB</t>
        </is>
      </c>
      <c r="F33" s="24" t="inlineStr">
        <is>
          <t>Minnesota Twins</t>
        </is>
      </c>
      <c r="G33" s="24" t="inlineStr">
        <is>
          <t>Chicago Cubs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-150</v>
      </c>
      <c r="M33" s="27" t="n">
        <v>1.666667</v>
      </c>
      <c r="N33" s="28" t="n">
        <v>0.6</v>
      </c>
      <c r="O33" s="28" t="n">
        <v>0.599047</v>
      </c>
      <c r="P33" s="28" t="n"/>
      <c r="Q33" s="28" t="n">
        <v>-0.000953</v>
      </c>
      <c r="R33" s="26" t="n">
        <v>99</v>
      </c>
      <c r="S33" s="29" t="n">
        <v>1.5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10</v>
      </c>
      <c r="Y33" s="25" t="n"/>
      <c r="Z33" s="26" t="n"/>
      <c r="AA33" s="28" t="n"/>
      <c r="AB33" s="28" t="n"/>
      <c r="AC33" s="30" t="n">
        <v>1</v>
      </c>
      <c r="AD33" s="24" t="inlineStr">
        <is>
          <t>2026-07-19T23:12:44.944082Z</t>
        </is>
      </c>
      <c r="AE33" s="31" t="inlineStr">
        <is>
          <t>Learned LR call at threshold 0.5150; executable ask 0.6000 (aec-mlb-min-chc-2026-07-19).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mlb-min</t>
        </is>
      </c>
      <c r="AQ33" s="24" t="inlineStr">
        <is>
          <t>Minnesota Twins</t>
        </is>
      </c>
      <c r="AR33" s="24" t="inlineStr">
        <is>
          <t>Minnesota Twins</t>
        </is>
      </c>
      <c r="AS33" s="24" t="inlineStr">
        <is>
          <t>mlb-chc</t>
        </is>
      </c>
      <c r="AT33" s="24" t="inlineStr">
        <is>
          <t>Chicago Cubs</t>
        </is>
      </c>
      <c r="AU33" s="24" t="inlineStr">
        <is>
          <t>Chicago Cubs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a5e44fbf125c8b8d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2026-07-19T12:20:44.784549Z</t>
        </is>
      </c>
      <c r="BI33" s="24" t="inlineStr">
        <is>
          <t>["same_event","same_team_same_day","same_league_same_day"]</t>
        </is>
      </c>
      <c r="BJ33" s="25" t="n"/>
      <c r="BK33" s="26" t="n">
        <v>-150</v>
      </c>
      <c r="BL33" s="27" t="n">
        <v>1.666667</v>
      </c>
      <c r="BM33" s="28" t="n">
        <v>0.6</v>
      </c>
      <c r="BN33" s="28" t="n">
        <v>0.597015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4efa6372827f49d2</t>
        </is>
      </c>
      <c r="B34" s="24" t="inlineStr">
        <is>
          <t>2026-07-19T12:54:59.612626Z</t>
        </is>
      </c>
      <c r="C34" s="24" t="inlineStr">
        <is>
          <t>2026-07-19T20:07Z</t>
        </is>
      </c>
      <c r="D34" s="24" t="inlineStr">
        <is>
          <t>401816182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Los Angeles Angels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-141</v>
      </c>
      <c r="M34" s="27" t="n">
        <v>1.70922</v>
      </c>
      <c r="N34" s="28" t="n">
        <v>0.585062</v>
      </c>
      <c r="O34" s="28" t="n">
        <v>0.526852</v>
      </c>
      <c r="P34" s="28" t="n"/>
      <c r="Q34" s="28" t="n">
        <v>-0.05821</v>
      </c>
      <c r="R34" s="26" t="n">
        <v>41</v>
      </c>
      <c r="S34" s="29" t="n">
        <v>0.75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loss</t>
        </is>
      </c>
      <c r="W34" s="26" t="n">
        <v>2</v>
      </c>
      <c r="X34" s="26" t="n">
        <v>3</v>
      </c>
      <c r="Y34" s="25" t="n"/>
      <c r="Z34" s="26" t="n"/>
      <c r="AA34" s="28" t="n"/>
      <c r="AB34" s="28" t="n"/>
      <c r="AC34" s="30" t="n">
        <v>-0.75</v>
      </c>
      <c r="AD34" s="24" t="inlineStr">
        <is>
          <t>2026-07-19T23:12:45.192018Z</t>
        </is>
      </c>
      <c r="AE34" s="31" t="inlineStr">
        <is>
          <t>Learned LR call at threshold 0.5150; executable ask 0.5850 (aec-mlb-det-laa-2026-07-19).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mlb-laa</t>
        </is>
      </c>
      <c r="AT34" s="24" t="inlineStr">
        <is>
          <t>Los Angeles Angels</t>
        </is>
      </c>
      <c r="AU34" s="24" t="inlineStr">
        <is>
          <t>Los Angeles Angels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116e26539f29a0c8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2026-07-19T12:20:47.368573Z</t>
        </is>
      </c>
      <c r="BI34" s="24" t="inlineStr">
        <is>
          <t>["same_event","same_team_same_day","same_league_same_day"]</t>
        </is>
      </c>
      <c r="BJ34" s="25" t="n"/>
      <c r="BK34" s="26" t="n">
        <v>-141</v>
      </c>
      <c r="BL34" s="27" t="n">
        <v>1.70922</v>
      </c>
      <c r="BM34" s="28" t="n">
        <v>0.585062</v>
      </c>
      <c r="BN34" s="28" t="n">
        <v>0.58209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8a8510fe3d5e43d4</t>
        </is>
      </c>
      <c r="B35" s="24" t="inlineStr">
        <is>
          <t>2026-07-19T12:54:59.612626Z</t>
        </is>
      </c>
      <c r="C35" s="24" t="inlineStr">
        <is>
          <t>2026-07-19T20:10Z</t>
        </is>
      </c>
      <c r="D35" s="24" t="inlineStr">
        <is>
          <t>401816183</t>
        </is>
      </c>
      <c r="E35" s="24" t="inlineStr">
        <is>
          <t>MLB</t>
        </is>
      </c>
      <c r="F35" s="24" t="inlineStr">
        <is>
          <t>San Francisco Giants</t>
        </is>
      </c>
      <c r="G35" s="24" t="inlineStr">
        <is>
          <t>Seattle Mariners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-163</v>
      </c>
      <c r="M35" s="27" t="n">
        <v>1.613497</v>
      </c>
      <c r="N35" s="28" t="n">
        <v>0.619772</v>
      </c>
      <c r="O35" s="28" t="n">
        <v>0.595469</v>
      </c>
      <c r="P35" s="28" t="n"/>
      <c r="Q35" s="28" t="n">
        <v>-0.024303</v>
      </c>
      <c r="R35" s="26" t="n">
        <v>75</v>
      </c>
      <c r="S35" s="29" t="n">
        <v>1.5</v>
      </c>
      <c r="T35" s="24" t="inlineStr">
        <is>
          <t>mlb-elo-trend-lr-v4</t>
        </is>
      </c>
      <c r="U35" s="24" t="inlineStr">
        <is>
          <t>settled</t>
        </is>
      </c>
      <c r="V35" s="24" t="inlineStr">
        <is>
          <t>win</t>
        </is>
      </c>
      <c r="W35" s="26" t="n">
        <v>3</v>
      </c>
      <c r="X35" s="26" t="n">
        <v>6</v>
      </c>
      <c r="Y35" s="25" t="n"/>
      <c r="Z35" s="26" t="n"/>
      <c r="AA35" s="28" t="n"/>
      <c r="AB35" s="28" t="n"/>
      <c r="AC35" s="30" t="n">
        <v>0.9202</v>
      </c>
      <c r="AD35" s="24" t="inlineStr">
        <is>
          <t>2026-07-19T23:12:45.440735Z</t>
        </is>
      </c>
      <c r="AE35" s="31" t="inlineStr">
        <is>
          <t>Learned LR call at threshold 0.5150; executable ask 0.6200 (aec-mlb-sf-sea-2026-07-19).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mlb-sf</t>
        </is>
      </c>
      <c r="AQ35" s="24" t="inlineStr">
        <is>
          <t>San Francisco Giants</t>
        </is>
      </c>
      <c r="AR35" s="24" t="inlineStr">
        <is>
          <t>San Francisco Giants</t>
        </is>
      </c>
      <c r="AS35" s="24" t="inlineStr">
        <is>
          <t>mlb-sea</t>
        </is>
      </c>
      <c r="AT35" s="24" t="inlineStr">
        <is>
          <t>Seattle Mariners</t>
        </is>
      </c>
      <c r="AU35" s="24" t="inlineStr">
        <is>
          <t>Seattle Mariners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56bcde9b031bb310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2026-07-19T12:20:48.978861Z</t>
        </is>
      </c>
      <c r="BI35" s="24" t="inlineStr">
        <is>
          <t>["same_event","same_team_same_day","same_league_same_day"]</t>
        </is>
      </c>
      <c r="BJ35" s="25" t="n"/>
      <c r="BK35" s="26" t="n">
        <v>-163</v>
      </c>
      <c r="BL35" s="27" t="n">
        <v>1.613497</v>
      </c>
      <c r="BM35" s="28" t="n">
        <v>0.619772</v>
      </c>
      <c r="BN35" s="28" t="n">
        <v>0.616915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437e59320f8e4a43</t>
        </is>
      </c>
      <c r="B36" s="24" t="inlineStr">
        <is>
          <t>2026-07-19T12:54:59.612626Z</t>
        </is>
      </c>
      <c r="C36" s="24" t="inlineStr">
        <is>
          <t>2026-07-19T20:10Z</t>
        </is>
      </c>
      <c r="D36" s="24" t="inlineStr">
        <is>
          <t>401816184</t>
        </is>
      </c>
      <c r="E36" s="24" t="inlineStr">
        <is>
          <t>MLB</t>
        </is>
      </c>
      <c r="F36" s="24" t="inlineStr">
        <is>
          <t>St. Louis Cardinals</t>
        </is>
      </c>
      <c r="G36" s="24" t="inlineStr">
        <is>
          <t>Arizona Diamondbacks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-111</v>
      </c>
      <c r="M36" s="27" t="n">
        <v>1.900901</v>
      </c>
      <c r="N36" s="28" t="n">
        <v>0.526066</v>
      </c>
      <c r="O36" s="28" t="n">
        <v>0.518517</v>
      </c>
      <c r="P36" s="28" t="n"/>
      <c r="Q36" s="28" t="n">
        <v>-0.007549</v>
      </c>
      <c r="R36" s="26" t="n">
        <v>92</v>
      </c>
      <c r="S36" s="29" t="n">
        <v>0.75</v>
      </c>
      <c r="T36" s="24" t="inlineStr">
        <is>
          <t>mlb-elo-trend-lr-v4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7</v>
      </c>
      <c r="X36" s="26" t="n">
        <v>8</v>
      </c>
      <c r="Y36" s="25" t="n"/>
      <c r="Z36" s="26" t="n"/>
      <c r="AA36" s="28" t="n"/>
      <c r="AB36" s="28" t="n"/>
      <c r="AC36" s="30" t="n">
        <v>0.6757</v>
      </c>
      <c r="AD36" s="24" t="inlineStr">
        <is>
          <t>2026-07-19T23:51:12.968396Z</t>
        </is>
      </c>
      <c r="AE36" s="31" t="inlineStr">
        <is>
          <t>Learned LR call at threshold 0.5150; executable ask 0.5250 (aec-mlb-stl-az-2026-07-19).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mlb-stl</t>
        </is>
      </c>
      <c r="AQ36" s="24" t="inlineStr">
        <is>
          <t>St. Louis Cardinals</t>
        </is>
      </c>
      <c r="AR36" s="24" t="inlineStr">
        <is>
          <t>St. Louis Cardinals</t>
        </is>
      </c>
      <c r="AS36" s="24" t="inlineStr">
        <is>
          <t>mlb-ari</t>
        </is>
      </c>
      <c r="AT36" s="24" t="inlineStr">
        <is>
          <t>Arizona Diamondbacks</t>
        </is>
      </c>
      <c r="AU36" s="24" t="inlineStr">
        <is>
          <t>Arizona Diamondbacks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c892d911f3a93b8b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2026-07-19T12:20:49.926170Z</t>
        </is>
      </c>
      <c r="BI36" s="24" t="inlineStr">
        <is>
          <t>["same_event","same_team_same_day","same_league_same_day"]</t>
        </is>
      </c>
      <c r="BJ36" s="25" t="n"/>
      <c r="BK36" s="26" t="n">
        <v>-111</v>
      </c>
      <c r="BL36" s="27" t="n">
        <v>1.900901</v>
      </c>
      <c r="BM36" s="28" t="n">
        <v>0.526066</v>
      </c>
      <c r="BN36" s="28" t="n">
        <v>0.522388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4c364c0842444748</t>
        </is>
      </c>
      <c r="B37" s="24" t="inlineStr">
        <is>
          <t>2026-07-19T12:54:59.612626Z</t>
        </is>
      </c>
      <c r="C37" s="24" t="inlineStr">
        <is>
          <t>2026-07-19T23:20Z</t>
        </is>
      </c>
      <c r="D37" s="24" t="inlineStr">
        <is>
          <t>401816172</t>
        </is>
      </c>
      <c r="E37" s="24" t="inlineStr">
        <is>
          <t>MLB</t>
        </is>
      </c>
      <c r="F37" s="24" t="inlineStr">
        <is>
          <t>Los Angeles Dodgers</t>
        </is>
      </c>
      <c r="G37" s="24" t="inlineStr">
        <is>
          <t>New York Yankees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0.518236</v>
      </c>
      <c r="P37" s="28" t="n"/>
      <c r="Q37" s="28" t="n">
        <v>-0.000995</v>
      </c>
      <c r="R37" s="26" t="n">
        <v>99</v>
      </c>
      <c r="S37" s="29" t="n">
        <v>0.75</v>
      </c>
      <c r="T37" s="24" t="inlineStr">
        <is>
          <t>mlb-elo-trend-lr-v4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-0.75</v>
      </c>
      <c r="AD37" s="24" t="inlineStr">
        <is>
          <t>2026-07-20T07:27:21.588181Z</t>
        </is>
      </c>
      <c r="AE37" s="31" t="inlineStr">
        <is>
          <t>Learned LR call at threshold 0.5150; executable ask 0.5200 (aec-mlb-lad-nyy-2026-07-19).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mlb-lad</t>
        </is>
      </c>
      <c r="AQ37" s="24" t="inlineStr">
        <is>
          <t>Los Angeles Dodgers</t>
        </is>
      </c>
      <c r="AR37" s="24" t="inlineStr">
        <is>
          <t>Los Angeles Dodgers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3d0e5a17bc5bf87f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2026-07-19T12:20:50.977544Z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>
        <v>0.517413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660d896695654e99</t>
        </is>
      </c>
      <c r="B38" s="24" t="inlineStr">
        <is>
          <t>2026-07-19T12:55:04.872783Z</t>
        </is>
      </c>
      <c r="C38" s="24" t="inlineStr">
        <is>
          <t>2026-07-19T17:00Z</t>
        </is>
      </c>
      <c r="D38" s="24" t="inlineStr">
        <is>
          <t>401857080</t>
        </is>
      </c>
      <c r="E38" s="24" t="inlineStr">
        <is>
          <t>WNBA</t>
        </is>
      </c>
      <c r="F38" s="24" t="inlineStr">
        <is>
          <t>Los Angeles Sparks</t>
        </is>
      </c>
      <c r="G38" s="24" t="inlineStr">
        <is>
          <t>Dallas Wings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-400</v>
      </c>
      <c r="M38" s="27" t="n">
        <v>1.25</v>
      </c>
      <c r="N38" s="28" t="n">
        <v>0.8</v>
      </c>
      <c r="O38" s="28" t="n">
        <v>0.7509749999999999</v>
      </c>
      <c r="P38" s="28" t="n"/>
      <c r="Q38" s="28" t="n">
        <v>-0.049025</v>
      </c>
      <c r="R38" s="26" t="n">
        <v>25</v>
      </c>
      <c r="S38" s="29" t="n">
        <v>2</v>
      </c>
      <c r="T38" s="24" t="inlineStr">
        <is>
          <t>wnba-elo-trend-lr-v3</t>
        </is>
      </c>
      <c r="U38" s="24" t="inlineStr">
        <is>
          <t>settled</t>
        </is>
      </c>
      <c r="V38" s="24" t="inlineStr">
        <is>
          <t>win</t>
        </is>
      </c>
      <c r="W38" s="26" t="n">
        <v>82</v>
      </c>
      <c r="X38" s="26" t="n">
        <v>90</v>
      </c>
      <c r="Y38" s="25" t="n"/>
      <c r="Z38" s="26" t="n"/>
      <c r="AA38" s="28" t="n"/>
      <c r="AB38" s="28" t="n"/>
      <c r="AC38" s="30" t="n">
        <v>0.5</v>
      </c>
      <c r="AD38" s="24" t="inlineStr">
        <is>
          <t>2026-07-19T23:12:45.958826Z</t>
        </is>
      </c>
      <c r="AE38" s="31" t="inlineStr">
        <is>
          <t>Learned LR call at threshold 0.5000; executable ask 0.8000 (aec-wnba-la-dal-2026-07-19).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wnba-las</t>
        </is>
      </c>
      <c r="AQ38" s="24" t="inlineStr">
        <is>
          <t>Los Angeles Sparks</t>
        </is>
      </c>
      <c r="AR38" s="24" t="inlineStr">
        <is>
          <t>Los Angeles Sparks</t>
        </is>
      </c>
      <c r="AS38" s="24" t="inlineStr">
        <is>
          <t>wnba-dal</t>
        </is>
      </c>
      <c r="AT38" s="24" t="inlineStr">
        <is>
          <t>Dallas Wings</t>
        </is>
      </c>
      <c r="AU38" s="24" t="inlineStr">
        <is>
          <t>Dallas Wings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d339198b196cb3fcd02950ed5efbdd4cefbeb95b2cd63cd756e77f99dc483719</t>
        </is>
      </c>
      <c r="BB38" s="24" t="inlineStr">
        <is>
          <t>learned_lr</t>
        </is>
      </c>
      <c r="BC38" s="24" t="inlineStr">
        <is>
          <t>wnba-elo-trend-lr-v3</t>
        </is>
      </c>
      <c r="BD38" s="24" t="inlineStr">
        <is>
          <t>d339198b196cb3fcd02950ed5efbdd4cefbeb95b2cd63cd756e77f99dc483719</t>
        </is>
      </c>
      <c r="BE38" s="24" t="inlineStr">
        <is>
          <t>1105570c96caae80</t>
        </is>
      </c>
      <c r="BF38" s="24" t="inlineStr">
        <is>
          <t>1</t>
        </is>
      </c>
      <c r="BG38" s="24" t="inlineStr">
        <is>
          <t>wnba-elo-trend-lr-v3</t>
        </is>
      </c>
      <c r="BH38" s="24" t="inlineStr">
        <is>
          <t>2026-07-19T12:20:54.245538Z</t>
        </is>
      </c>
      <c r="BI38" s="24" t="inlineStr">
        <is>
          <t>["same_event","same_team_same_day","same_league_same_day"]</t>
        </is>
      </c>
      <c r="BJ38" s="25" t="n"/>
      <c r="BK38" s="26" t="n">
        <v>-400</v>
      </c>
      <c r="BL38" s="27" t="n">
        <v>1.25</v>
      </c>
      <c r="BM38" s="28" t="n">
        <v>0.8</v>
      </c>
      <c r="BN38" s="28" t="n">
        <v>0.792079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9f52810e7f374e1c</t>
        </is>
      </c>
      <c r="B39" s="24" t="inlineStr">
        <is>
          <t>2026-07-19T12:55:04.872783Z</t>
        </is>
      </c>
      <c r="C39" s="24" t="inlineStr">
        <is>
          <t>2026-07-19T20:00Z</t>
        </is>
      </c>
      <c r="D39" s="24" t="inlineStr">
        <is>
          <t>401857081</t>
        </is>
      </c>
      <c r="E39" s="24" t="inlineStr">
        <is>
          <t>WNBA</t>
        </is>
      </c>
      <c r="F39" s="24" t="inlineStr">
        <is>
          <t>Chicago Sky</t>
        </is>
      </c>
      <c r="G39" s="24" t="inlineStr">
        <is>
          <t>Atlanta Dream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-426</v>
      </c>
      <c r="M39" s="27" t="n">
        <v>1.234742</v>
      </c>
      <c r="N39" s="28" t="n">
        <v>0.809886</v>
      </c>
      <c r="O39" s="28" t="n">
        <v>0.675714</v>
      </c>
      <c r="P39" s="28" t="n"/>
      <c r="Q39" s="28" t="n">
        <v>-0.134172</v>
      </c>
      <c r="R39" s="26" t="n">
        <v>0</v>
      </c>
      <c r="S39" s="29" t="n">
        <v>2</v>
      </c>
      <c r="T39" s="24" t="inlineStr">
        <is>
          <t>wnba-elo-trend-lr-v3</t>
        </is>
      </c>
      <c r="U39" s="24" t="inlineStr">
        <is>
          <t>settled</t>
        </is>
      </c>
      <c r="V39" s="24" t="inlineStr">
        <is>
          <t>win</t>
        </is>
      </c>
      <c r="W39" s="26" t="n">
        <v>91</v>
      </c>
      <c r="X39" s="26" t="n">
        <v>93</v>
      </c>
      <c r="Y39" s="25" t="n"/>
      <c r="Z39" s="26" t="n"/>
      <c r="AA39" s="28" t="n"/>
      <c r="AB39" s="28" t="n"/>
      <c r="AC39" s="30" t="n">
        <v>0.4695</v>
      </c>
      <c r="AD39" s="24" t="inlineStr">
        <is>
          <t>2026-07-19T23:12:46.205387Z</t>
        </is>
      </c>
      <c r="AE39" s="31" t="inlineStr">
        <is>
          <t>Learned LR call at threshold 0.5000; executable ask 0.8100 (aec-wnba-chi-atl-2026-07-19).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wnba-chi</t>
        </is>
      </c>
      <c r="AQ39" s="24" t="inlineStr">
        <is>
          <t>Chicago Sky</t>
        </is>
      </c>
      <c r="AR39" s="24" t="inlineStr">
        <is>
          <t>Chicago Sky</t>
        </is>
      </c>
      <c r="AS39" s="24" t="inlineStr">
        <is>
          <t>wnba-atl</t>
        </is>
      </c>
      <c r="AT39" s="24" t="inlineStr">
        <is>
          <t>Atlanta Dream</t>
        </is>
      </c>
      <c r="AU39" s="24" t="inlineStr">
        <is>
          <t>Atlanta Dream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d339198b196cb3fcd02950ed5efbdd4cefbeb95b2cd63cd756e77f99dc483719</t>
        </is>
      </c>
      <c r="BB39" s="24" t="inlineStr">
        <is>
          <t>learned_lr</t>
        </is>
      </c>
      <c r="BC39" s="24" t="inlineStr">
        <is>
          <t>wnba-elo-trend-lr-v3</t>
        </is>
      </c>
      <c r="BD39" s="24" t="inlineStr">
        <is>
          <t>d339198b196cb3fcd02950ed5efbdd4cefbeb95b2cd63cd756e77f99dc483719</t>
        </is>
      </c>
      <c r="BE39" s="24" t="inlineStr">
        <is>
          <t>6a68fc6e2a5a0b4a</t>
        </is>
      </c>
      <c r="BF39" s="24" t="inlineStr">
        <is>
          <t>1</t>
        </is>
      </c>
      <c r="BG39" s="24" t="inlineStr">
        <is>
          <t>wnba-elo-trend-lr-v3</t>
        </is>
      </c>
      <c r="BH39" s="24" t="inlineStr">
        <is>
          <t>2026-07-19T12:20:55.900740Z</t>
        </is>
      </c>
      <c r="BI39" s="24" t="inlineStr">
        <is>
          <t>["same_event","same_team_same_day","same_league_same_day"]</t>
        </is>
      </c>
      <c r="BJ39" s="25" t="n"/>
      <c r="BK39" s="26" t="n">
        <v>-426</v>
      </c>
      <c r="BL39" s="27" t="n">
        <v>1.234742</v>
      </c>
      <c r="BM39" s="28" t="n">
        <v>0.809886</v>
      </c>
      <c r="BN39" s="28" t="n">
        <v>0.80198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  <row r="40" ht="36" customHeight="1">
      <c r="A40" s="24" t="inlineStr">
        <is>
          <t>44eda71121684cc1</t>
        </is>
      </c>
      <c r="B40" s="24" t="inlineStr">
        <is>
          <t>2026-07-19T12:55:04.872783Z</t>
        </is>
      </c>
      <c r="C40" s="24" t="inlineStr">
        <is>
          <t>2026-07-19T23:00Z</t>
        </is>
      </c>
      <c r="D40" s="24" t="inlineStr">
        <is>
          <t>401857082</t>
        </is>
      </c>
      <c r="E40" s="24" t="inlineStr">
        <is>
          <t>WNBA</t>
        </is>
      </c>
      <c r="F40" s="24" t="inlineStr">
        <is>
          <t>Connecticut Sun</t>
        </is>
      </c>
      <c r="G40" s="24" t="inlineStr">
        <is>
          <t>Phoenix Mercury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0.565769</v>
      </c>
      <c r="P40" s="28" t="n"/>
      <c r="Q40" s="28" t="n">
        <v>-0.043606</v>
      </c>
      <c r="R40" s="26" t="n">
        <v>28</v>
      </c>
      <c r="S40" s="29" t="n">
        <v>1.25</v>
      </c>
      <c r="T40" s="24" t="inlineStr">
        <is>
          <t>wnba-elo-trend-lr-v3</t>
        </is>
      </c>
      <c r="U40" s="24" t="inlineStr">
        <is>
          <t>settled</t>
        </is>
      </c>
      <c r="V40" s="24" t="inlineStr">
        <is>
          <t>win</t>
        </is>
      </c>
      <c r="W40" s="26" t="n">
        <v>63</v>
      </c>
      <c r="X40" s="26" t="n">
        <v>72</v>
      </c>
      <c r="Y40" s="25" t="n"/>
      <c r="Z40" s="26" t="n"/>
      <c r="AA40" s="28" t="n"/>
      <c r="AB40" s="28" t="n"/>
      <c r="AC40" s="30" t="n">
        <v>0.8013</v>
      </c>
      <c r="AD40" s="24" t="inlineStr">
        <is>
          <t>2026-07-20T07:27:22.185310Z</t>
        </is>
      </c>
      <c r="AE40" s="31" t="inlineStr">
        <is>
          <t>Learned LR call at threshold 0.5000; executable ask 0.6100 (aec-wnba-conn-phx-2026-07-19).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wnba-con</t>
        </is>
      </c>
      <c r="AQ40" s="24" t="inlineStr">
        <is>
          <t>Connecticut Sun</t>
        </is>
      </c>
      <c r="AR40" s="24" t="inlineStr">
        <is>
          <t>Connecticut Sun</t>
        </is>
      </c>
      <c r="AS40" s="24" t="inlineStr">
        <is>
          <t>wnba-phx</t>
        </is>
      </c>
      <c r="AT40" s="24" t="inlineStr">
        <is>
          <t>Phoenix Mercury</t>
        </is>
      </c>
      <c r="AU40" s="24" t="inlineStr">
        <is>
          <t>Phoenix Mercury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d339198b196cb3fcd02950ed5efbdd4cefbeb95b2cd63cd756e77f99dc483719</t>
        </is>
      </c>
      <c r="BB40" s="24" t="inlineStr">
        <is>
          <t>learned_lr</t>
        </is>
      </c>
      <c r="BC40" s="24" t="inlineStr">
        <is>
          <t>wnba-elo-trend-lr-v3</t>
        </is>
      </c>
      <c r="BD40" s="24" t="inlineStr">
        <is>
          <t>d339198b196cb3fcd02950ed5efbdd4cefbeb95b2cd63cd756e77f99dc483719</t>
        </is>
      </c>
      <c r="BE40" s="24" t="inlineStr">
        <is>
          <t>25b3f96c5c4591d1</t>
        </is>
      </c>
      <c r="BF40" s="24" t="inlineStr">
        <is>
          <t>1</t>
        </is>
      </c>
      <c r="BG40" s="24" t="inlineStr">
        <is>
          <t>wnba-elo-trend-lr-v3</t>
        </is>
      </c>
      <c r="BH40" s="24" t="inlineStr">
        <is>
          <t>2026-07-19T12:20:56.954791Z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0.6039600000000001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</row>
    <row r="41" ht="18" customHeight="1">
      <c r="A41" s="24" t="inlineStr">
        <is>
          <t>607e61329ed3424c</t>
        </is>
      </c>
      <c r="B41" s="24" t="inlineStr">
        <is>
          <t>2026-07-17T14:02:17Z</t>
        </is>
      </c>
      <c r="C41" s="24" t="inlineStr">
        <is>
          <t>2026-07-18T19:30:00-0400</t>
        </is>
      </c>
      <c r="D41" s="24" t="inlineStr">
        <is>
          <t>401857073</t>
        </is>
      </c>
      <c r="E41" s="24" t="inlineStr">
        <is>
          <t>WNBA</t>
        </is>
      </c>
      <c r="F41" s="24" t="inlineStr">
        <is>
          <t>Seattle Storm</t>
        </is>
      </c>
      <c r="G41" s="24" t="inlineStr">
        <is>
          <t>Indiana Fever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-354</v>
      </c>
      <c r="M41" s="27" t="n">
        <v>1.282486</v>
      </c>
      <c r="N41" s="28" t="n">
        <v>0.779736</v>
      </c>
      <c r="O41" s="28" t="n">
        <v>0.6207</v>
      </c>
      <c r="P41" s="28" t="n"/>
      <c r="Q41" s="28" t="n">
        <v>-0.159036</v>
      </c>
      <c r="R41" s="26" t="n"/>
      <c r="S41" s="29" t="n">
        <v>1.75</v>
      </c>
      <c r="T41" s="24" t="inlineStr">
        <is>
          <t>wnba-elo-trend-lr-v3</t>
        </is>
      </c>
      <c r="U41" s="24" t="inlineStr">
        <is>
          <t>settled</t>
        </is>
      </c>
      <c r="V41" s="24" t="inlineStr">
        <is>
          <t>win</t>
        </is>
      </c>
      <c r="W41" s="26" t="n">
        <v>107</v>
      </c>
      <c r="X41" s="26" t="n">
        <v>110</v>
      </c>
      <c r="Y41" s="25" t="n"/>
      <c r="Z41" s="26" t="n"/>
      <c r="AA41" s="28" t="n"/>
      <c r="AB41" s="28" t="n"/>
      <c r="AC41" s="30" t="n">
        <v>0.4944</v>
      </c>
      <c r="AD41" s="24" t="inlineStr">
        <is>
          <t>2026-07-18T14:36:00Z</t>
        </is>
      </c>
      <c r="AE41" s="31" t="n"/>
      <c r="AF41" s="31" t="n"/>
      <c r="AG41" s="24" t="n"/>
      <c r="AH41" s="24" t="n"/>
      <c r="AI41" s="31" t="n"/>
      <c r="AJ41" s="31" t="n"/>
      <c r="AK41" s="24" t="inlineStr">
        <is>
          <t>QUALIFIED_SHADOW_CALL</t>
        </is>
      </c>
      <c r="AL41" s="26" t="n">
        <v>1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CALL_LEARNED_CONFIDENCE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inlineStr">
        <is>
          <t>learned</t>
        </is>
      </c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5" t="n"/>
      <c r="BK41" s="26" t="n">
        <v>-354</v>
      </c>
      <c r="BL41" s="27" t="n">
        <v>1.282486</v>
      </c>
      <c r="BM41" s="28" t="n">
        <v>0.779736</v>
      </c>
      <c r="BN41" s="28" t="n">
        <v>0.779736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</row>
    <row r="42" ht="36" customHeight="1">
      <c r="A42" s="24" t="inlineStr">
        <is>
          <t>ba6d8918b5e04b6c</t>
        </is>
      </c>
      <c r="B42" s="24" t="inlineStr">
        <is>
          <t>2026-07-19T10:49:38.448695+00:00</t>
        </is>
      </c>
      <c r="C42" s="24" t="inlineStr">
        <is>
          <t>2026-07-17T14:00:00-0400</t>
        </is>
      </c>
      <c r="D42" s="24" t="inlineStr">
        <is>
          <t>Texa-Atla-2026-07-17</t>
        </is>
      </c>
      <c r="E42" s="24" t="inlineStr">
        <is>
          <t>MLB</t>
        </is>
      </c>
      <c r="F42" s="24" t="inlineStr">
        <is>
          <t>Texas Rangers</t>
        </is>
      </c>
      <c r="G42" s="24" t="inlineStr">
        <is>
          <t>Atlanta Braves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</t>
        </is>
      </c>
      <c r="L42" s="26" t="n">
        <v>-194</v>
      </c>
      <c r="M42" s="27" t="n">
        <v>1.515464</v>
      </c>
      <c r="N42" s="28" t="n">
        <v>0.659864</v>
      </c>
      <c r="O42" s="28" t="n">
        <v>0.577396</v>
      </c>
      <c r="P42" s="28" t="n">
        <v>0.05</v>
      </c>
      <c r="Q42" s="28" t="n">
        <v>-0.082468</v>
      </c>
      <c r="R42" s="26" t="n">
        <v>17</v>
      </c>
      <c r="S42" s="29" t="n">
        <v>1.25</v>
      </c>
      <c r="T42" s="24" t="inlineStr">
        <is>
          <t>mlb-elo-trend-lr-v4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15</v>
      </c>
      <c r="Y42" s="25" t="n"/>
      <c r="Z42" s="26" t="n"/>
      <c r="AA42" s="28" t="n"/>
      <c r="AB42" s="28" t="n"/>
      <c r="AC42" s="30" t="n">
        <v>0.6443</v>
      </c>
      <c r="AD42" s="24" t="inlineStr">
        <is>
          <t>2026-07-19T12:18:56.424168+00:00</t>
        </is>
      </c>
      <c r="AE42" s="31" t="inlineStr">
        <is>
          <t>backtest</t>
        </is>
      </c>
      <c r="AF42" s="31" t="n"/>
      <c r="AG42" s="24" t="n"/>
      <c r="AH42" s="24" t="n"/>
      <c r="AI42" s="31" t="n"/>
      <c r="AJ42" s="31" t="n"/>
      <c r="AK42" s="24" t="n"/>
      <c r="AL42" s="26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inlineStr">
        <is>
          <t>5224fb6ffbc9ddf8fa517627b830ac851192da94d241963d556945393a42bb9d</t>
        </is>
      </c>
      <c r="BB42" s="24" t="n"/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n"/>
      <c r="BF42" s="24" t="n"/>
      <c r="BG42" s="24" t="n"/>
      <c r="BH42" s="24" t="inlineStr">
        <is>
          <t>2026-07-17T16:26:07.030893Z</t>
        </is>
      </c>
      <c r="BI42" s="24" t="n"/>
      <c r="BJ42" s="25" t="n"/>
      <c r="BK42" s="26" t="n">
        <v>-194</v>
      </c>
      <c r="BL42" s="27" t="n">
        <v>1.515464</v>
      </c>
      <c r="BM42" s="28" t="n">
        <v>0.659864</v>
      </c>
      <c r="BN42" s="28" t="n">
        <v>0.656716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</row>
    <row r="43" ht="36" customHeight="1">
      <c r="A43" s="24" t="inlineStr">
        <is>
          <t>713f57aaeede4418</t>
        </is>
      </c>
      <c r="B43" s="24" t="inlineStr">
        <is>
          <t>2026-07-19T10:49:38.448695+00:00</t>
        </is>
      </c>
      <c r="C43" s="24" t="inlineStr">
        <is>
          <t>2026-07-17T14:00:00-0400</t>
        </is>
      </c>
      <c r="D43" s="24" t="inlineStr">
        <is>
          <t>Chic-Toro-2026-07-17</t>
        </is>
      </c>
      <c r="E43" s="24" t="inlineStr">
        <is>
          <t>MLB</t>
        </is>
      </c>
      <c r="F43" s="24" t="inlineStr">
        <is>
          <t>Chicago White Sox</t>
        </is>
      </c>
      <c r="G43" s="24" t="inlineStr">
        <is>
          <t>Toronto Blue Jays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</t>
        </is>
      </c>
      <c r="L43" s="26" t="n">
        <v>-122</v>
      </c>
      <c r="M43" s="27" t="n">
        <v>1.819672</v>
      </c>
      <c r="N43" s="28" t="n">
        <v>0.54955</v>
      </c>
      <c r="O43" s="28" t="n">
        <v>0.551581</v>
      </c>
      <c r="P43" s="28" t="n">
        <v>0.05</v>
      </c>
      <c r="Q43" s="28" t="n">
        <v>0.002031</v>
      </c>
      <c r="R43" s="26" t="n">
        <v>2</v>
      </c>
      <c r="S43" s="29" t="n">
        <v>1</v>
      </c>
      <c r="T43" s="24" t="inlineStr">
        <is>
          <t>mlb-elo-trend-lr-v4</t>
        </is>
      </c>
      <c r="U43" s="24" t="inlineStr">
        <is>
          <t>settled</t>
        </is>
      </c>
      <c r="V43" s="24" t="inlineStr">
        <is>
          <t>loss</t>
        </is>
      </c>
      <c r="W43" s="26" t="n">
        <v>12</v>
      </c>
      <c r="X43" s="26" t="n">
        <v>4</v>
      </c>
      <c r="Y43" s="25" t="n"/>
      <c r="Z43" s="26" t="n"/>
      <c r="AA43" s="28" t="n"/>
      <c r="AB43" s="28" t="n"/>
      <c r="AC43" s="30" t="n">
        <v>-1</v>
      </c>
      <c r="AD43" s="24" t="inlineStr">
        <is>
          <t>2026-07-19T12:18:56.424376+00:00</t>
        </is>
      </c>
      <c r="AE43" s="31" t="inlineStr">
        <is>
          <t>backtest</t>
        </is>
      </c>
      <c r="AF43" s="31" t="n"/>
      <c r="AG43" s="24" t="n"/>
      <c r="AH43" s="24" t="n"/>
      <c r="AI43" s="31" t="n"/>
      <c r="AJ43" s="31" t="n"/>
      <c r="AK43" s="24" t="n"/>
      <c r="AL43" s="26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inlineStr">
        <is>
          <t>5224fb6ffbc9ddf8fa517627b830ac851192da94d241963d556945393a42bb9d</t>
        </is>
      </c>
      <c r="BB43" s="24" t="n"/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n"/>
      <c r="BF43" s="24" t="n"/>
      <c r="BG43" s="24" t="n"/>
      <c r="BH43" s="24" t="inlineStr">
        <is>
          <t>2026-07-17T16:26:05.906965Z</t>
        </is>
      </c>
      <c r="BI43" s="24" t="n"/>
      <c r="BJ43" s="25" t="n"/>
      <c r="BK43" s="26" t="n">
        <v>-122</v>
      </c>
      <c r="BL43" s="27" t="n">
        <v>1.819672</v>
      </c>
      <c r="BM43" s="28" t="n">
        <v>0.54955</v>
      </c>
      <c r="BN43" s="28" t="n">
        <v>0.547264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4224d3689d5b44ed</t>
        </is>
      </c>
      <c r="B44" s="24" t="inlineStr">
        <is>
          <t>2026-07-19T10:49:38.448695+00:00</t>
        </is>
      </c>
      <c r="C44" s="24" t="inlineStr">
        <is>
          <t>2026-07-17T14:00:00-0400</t>
        </is>
      </c>
      <c r="D44" s="24" t="inlineStr">
        <is>
          <t>SanD-Kans-2026-07-17</t>
        </is>
      </c>
      <c r="E44" s="24" t="inlineStr">
        <is>
          <t>MLB</t>
        </is>
      </c>
      <c r="F44" s="24" t="inlineStr">
        <is>
          <t>San Diego Padres</t>
        </is>
      </c>
      <c r="G44" s="24" t="inlineStr">
        <is>
          <t>Kansas City Royals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</t>
        </is>
      </c>
      <c r="L44" s="26" t="n">
        <v>-113</v>
      </c>
      <c r="M44" s="27" t="n">
        <v>1.884956</v>
      </c>
      <c r="N44" s="28" t="n">
        <v>0.530516</v>
      </c>
      <c r="O44" s="28" t="n">
        <v>0.521172</v>
      </c>
      <c r="P44" s="28" t="n">
        <v>0.05</v>
      </c>
      <c r="Q44" s="28" t="n">
        <v>-0.009344</v>
      </c>
      <c r="R44" s="26" t="n">
        <v>90</v>
      </c>
      <c r="S44" s="29" t="n">
        <v>0.75</v>
      </c>
      <c r="T44" s="24" t="inlineStr">
        <is>
          <t>mlb-elo-trend-lr-v4</t>
        </is>
      </c>
      <c r="U44" s="24" t="inlineStr">
        <is>
          <t>settled</t>
        </is>
      </c>
      <c r="V44" s="24" t="inlineStr">
        <is>
          <t>loss</t>
        </is>
      </c>
      <c r="W44" s="26" t="n">
        <v>6</v>
      </c>
      <c r="X44" s="26" t="n">
        <v>7</v>
      </c>
      <c r="Y44" s="25" t="n"/>
      <c r="Z44" s="26" t="n"/>
      <c r="AA44" s="28" t="n"/>
      <c r="AB44" s="28" t="n"/>
      <c r="AC44" s="30" t="n">
        <v>-0.75</v>
      </c>
      <c r="AD44" s="24" t="inlineStr">
        <is>
          <t>2026-07-19T12:18:56.424980+00:00</t>
        </is>
      </c>
      <c r="AE44" s="31" t="inlineStr">
        <is>
          <t>backtest</t>
        </is>
      </c>
      <c r="AF44" s="31" t="n"/>
      <c r="AG44" s="24" t="n"/>
      <c r="AH44" s="24" t="n"/>
      <c r="AI44" s="31" t="n"/>
      <c r="AJ44" s="31" t="n"/>
      <c r="AK44" s="24" t="n"/>
      <c r="AL44" s="26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inlineStr">
        <is>
          <t>5224fb6ffbc9ddf8fa517627b830ac851192da94d241963d556945393a42bb9d</t>
        </is>
      </c>
      <c r="BB44" s="24" t="n"/>
      <c r="BC44" s="24" t="inlineStr">
        <is>
          <t>mlb-elo-trend-lr-v4</t>
        </is>
      </c>
      <c r="BD44" s="24" t="inlineStr">
        <is>
          <t>5224fb6ffbc9ddf8fa517627b830ac851192da94d241963d556945393a42bb9d</t>
        </is>
      </c>
      <c r="BE44" s="24" t="n"/>
      <c r="BF44" s="24" t="n"/>
      <c r="BG44" s="24" t="n"/>
      <c r="BH44" s="24" t="inlineStr">
        <is>
          <t>2026-07-17T16:26:09.836107Z</t>
        </is>
      </c>
      <c r="BI44" s="24" t="n"/>
      <c r="BJ44" s="25" t="n"/>
      <c r="BK44" s="26" t="n">
        <v>-113</v>
      </c>
      <c r="BL44" s="27" t="n">
        <v>1.884956</v>
      </c>
      <c r="BM44" s="28" t="n">
        <v>0.530516</v>
      </c>
      <c r="BN44" s="28" t="n">
        <v>0.527363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caa582b839304286</t>
        </is>
      </c>
      <c r="B45" s="24" t="inlineStr">
        <is>
          <t>2026-07-19T10:49:38.448695+00:00</t>
        </is>
      </c>
      <c r="C45" s="24" t="inlineStr">
        <is>
          <t>2026-07-17T14:00:00-0400</t>
        </is>
      </c>
      <c r="D45" s="24" t="inlineStr">
        <is>
          <t>Balt-Hous-2026-07-17</t>
        </is>
      </c>
      <c r="E45" s="24" t="inlineStr">
        <is>
          <t>MLB</t>
        </is>
      </c>
      <c r="F45" s="24" t="inlineStr">
        <is>
          <t>Baltimore Orioles</t>
        </is>
      </c>
      <c r="G45" s="24" t="inlineStr">
        <is>
          <t>Houston Astros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</t>
        </is>
      </c>
      <c r="L45" s="26" t="n">
        <v>-106</v>
      </c>
      <c r="M45" s="27" t="n">
        <v>1.943396</v>
      </c>
      <c r="N45" s="28" t="n">
        <v>0.514563</v>
      </c>
      <c r="O45" s="28" t="n">
        <v>0.524624</v>
      </c>
      <c r="P45" s="28" t="n">
        <v>0.05</v>
      </c>
      <c r="Q45" s="28" t="n">
        <v>0.010061</v>
      </c>
      <c r="R45" s="26" t="n">
        <v>10</v>
      </c>
      <c r="S45" s="29" t="n">
        <v>0.75</v>
      </c>
      <c r="T45" s="24" t="inlineStr">
        <is>
          <t>mlb-elo-trend-lr-v4</t>
        </is>
      </c>
      <c r="U45" s="24" t="inlineStr">
        <is>
          <t>settled</t>
        </is>
      </c>
      <c r="V45" s="24" t="inlineStr">
        <is>
          <t>loss</t>
        </is>
      </c>
      <c r="W45" s="26" t="n">
        <v>3</v>
      </c>
      <c r="X45" s="26" t="n">
        <v>2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2026-07-19T12:18:56.425183+00:00</t>
        </is>
      </c>
      <c r="AE45" s="31" t="inlineStr">
        <is>
          <t>backtest</t>
        </is>
      </c>
      <c r="AF45" s="31" t="n"/>
      <c r="AG45" s="24" t="n"/>
      <c r="AH45" s="24" t="n"/>
      <c r="AI45" s="31" t="n"/>
      <c r="AJ45" s="31" t="n"/>
      <c r="AK45" s="24" t="n"/>
      <c r="AL45" s="26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inlineStr">
        <is>
          <t>5224fb6ffbc9ddf8fa517627b830ac851192da94d241963d556945393a42bb9d</t>
        </is>
      </c>
      <c r="BB45" s="24" t="n"/>
      <c r="BC45" s="24" t="inlineStr">
        <is>
          <t>mlb-elo-trend-lr-v4</t>
        </is>
      </c>
      <c r="BD45" s="24" t="inlineStr">
        <is>
          <t>5224fb6ffbc9ddf8fa517627b830ac851192da94d241963d556945393a42bb9d</t>
        </is>
      </c>
      <c r="BE45" s="24" t="n"/>
      <c r="BF45" s="24" t="n"/>
      <c r="BG45" s="24" t="n"/>
      <c r="BH45" s="24" t="inlineStr">
        <is>
          <t>2026-07-17T16:26:10.857493Z</t>
        </is>
      </c>
      <c r="BI45" s="24" t="n"/>
      <c r="BJ45" s="25" t="n"/>
      <c r="BK45" s="26" t="n">
        <v>-106</v>
      </c>
      <c r="BL45" s="27" t="n">
        <v>1.943396</v>
      </c>
      <c r="BM45" s="28" t="n">
        <v>0.514563</v>
      </c>
      <c r="BN45" s="28" t="n">
        <v>0.5124379999999999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cebdc679239c4a7e</t>
        </is>
      </c>
      <c r="B46" s="24" t="inlineStr">
        <is>
          <t>2026-07-19T10:49:38.448695+00:00</t>
        </is>
      </c>
      <c r="C46" s="24" t="inlineStr">
        <is>
          <t>2026-07-17T14:00:00-0400</t>
        </is>
      </c>
      <c r="D46" s="24" t="inlineStr">
        <is>
          <t>SanF-Seat-2026-07-17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</t>
        </is>
      </c>
      <c r="L46" s="26" t="n">
        <v>-174</v>
      </c>
      <c r="M46" s="27" t="n">
        <v>1.574713</v>
      </c>
      <c r="N46" s="28" t="n">
        <v>0.635036</v>
      </c>
      <c r="O46" s="28" t="n">
        <v>0.597575</v>
      </c>
      <c r="P46" s="28" t="n">
        <v>0.05</v>
      </c>
      <c r="Q46" s="28" t="n">
        <v>-0.037461</v>
      </c>
      <c r="R46" s="26" t="n">
        <v>62</v>
      </c>
      <c r="S46" s="29" t="n">
        <v>1.5</v>
      </c>
      <c r="T46" s="24" t="inlineStr">
        <is>
          <t>mlb-elo-trend-lr-v4</t>
        </is>
      </c>
      <c r="U46" s="24" t="inlineStr">
        <is>
          <t>settled</t>
        </is>
      </c>
      <c r="V46" s="24" t="inlineStr">
        <is>
          <t>loss</t>
        </is>
      </c>
      <c r="W46" s="26" t="n">
        <v>7</v>
      </c>
      <c r="X46" s="26" t="n">
        <v>0</v>
      </c>
      <c r="Y46" s="25" t="n"/>
      <c r="Z46" s="26" t="n"/>
      <c r="AA46" s="28" t="n"/>
      <c r="AB46" s="28" t="n"/>
      <c r="AC46" s="30" t="n">
        <v>-1.5</v>
      </c>
      <c r="AD46" s="24" t="inlineStr">
        <is>
          <t>2026-07-19T12:18:56.426191+00:00</t>
        </is>
      </c>
      <c r="AE46" s="31" t="inlineStr">
        <is>
          <t>backtest</t>
        </is>
      </c>
      <c r="AF46" s="31" t="n"/>
      <c r="AG46" s="24" t="n"/>
      <c r="AH46" s="24" t="n"/>
      <c r="AI46" s="31" t="n"/>
      <c r="AJ46" s="31" t="n"/>
      <c r="AK46" s="24" t="n"/>
      <c r="AL46" s="26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inlineStr">
        <is>
          <t>5224fb6ffbc9ddf8fa517627b830ac851192da94d241963d556945393a42bb9d</t>
        </is>
      </c>
      <c r="BB46" s="24" t="n"/>
      <c r="BC46" s="24" t="inlineStr">
        <is>
          <t>mlb-elo-trend-lr-v4</t>
        </is>
      </c>
      <c r="BD46" s="24" t="inlineStr">
        <is>
          <t>5224fb6ffbc9ddf8fa517627b830ac851192da94d241963d556945393a42bb9d</t>
        </is>
      </c>
      <c r="BE46" s="24" t="n"/>
      <c r="BF46" s="24" t="n"/>
      <c r="BG46" s="24" t="n"/>
      <c r="BH46" s="24" t="inlineStr">
        <is>
          <t>2026-07-17T16:26:16.071100Z</t>
        </is>
      </c>
      <c r="BI46" s="24" t="n"/>
      <c r="BJ46" s="25" t="n"/>
      <c r="BK46" s="26" t="n">
        <v>-174</v>
      </c>
      <c r="BL46" s="27" t="n">
        <v>1.574713</v>
      </c>
      <c r="BM46" s="28" t="n">
        <v>0.635036</v>
      </c>
      <c r="BN46" s="28" t="n">
        <v>0.631841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36" customHeight="1">
      <c r="A47" s="24" t="inlineStr">
        <is>
          <t>deb68aa7d25042de</t>
        </is>
      </c>
      <c r="B47" s="24" t="inlineStr">
        <is>
          <t>2026-07-19T10:49:38.448695+00:00</t>
        </is>
      </c>
      <c r="C47" s="24" t="inlineStr">
        <is>
          <t>2026-07-17T14:00:00-0400</t>
        </is>
      </c>
      <c r="D47" s="24" t="inlineStr">
        <is>
          <t>Atla-Toro-2026-07-17</t>
        </is>
      </c>
      <c r="E47" s="24" t="inlineStr">
        <is>
          <t>WNBA</t>
        </is>
      </c>
      <c r="F47" s="24" t="inlineStr">
        <is>
          <t>Atlanta Dream</t>
        </is>
      </c>
      <c r="G47" s="24" t="inlineStr">
        <is>
          <t>Toronto Tempo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</t>
        </is>
      </c>
      <c r="L47" s="26" t="n">
        <v>-376</v>
      </c>
      <c r="M47" s="27" t="n">
        <v>1.265957</v>
      </c>
      <c r="N47" s="28" t="n">
        <v>0.789916</v>
      </c>
      <c r="O47" s="28" t="n">
        <v>0.534506</v>
      </c>
      <c r="P47" s="28" t="n">
        <v>0.05</v>
      </c>
      <c r="Q47" s="28" t="n">
        <v>-0.25541</v>
      </c>
      <c r="R47" s="26" t="n"/>
      <c r="S47" s="29" t="n">
        <v>0.75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111</v>
      </c>
      <c r="X47" s="26" t="n">
        <v>92</v>
      </c>
      <c r="Y47" s="25" t="n"/>
      <c r="Z47" s="26" t="n"/>
      <c r="AA47" s="28" t="n"/>
      <c r="AB47" s="28" t="n"/>
      <c r="AC47" s="30" t="n">
        <v>0.1995</v>
      </c>
      <c r="AD47" s="24" t="inlineStr">
        <is>
          <t>2026-07-19T12:18:56.426270+00:00</t>
        </is>
      </c>
      <c r="AE47" s="31" t="inlineStr">
        <is>
          <t>backtest</t>
        </is>
      </c>
      <c r="AF47" s="31" t="n"/>
      <c r="AG47" s="24" t="n"/>
      <c r="AH47" s="24" t="n"/>
      <c r="AI47" s="31" t="n"/>
      <c r="AJ47" s="31" t="n"/>
      <c r="AK47" s="24" t="n"/>
      <c r="AL47" s="26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inlineStr">
        <is>
          <t>2026-07-17T16:26:18.670439Z</t>
        </is>
      </c>
      <c r="BI47" s="24" t="n"/>
      <c r="BJ47" s="25" t="n"/>
      <c r="BK47" s="26" t="n">
        <v>-376</v>
      </c>
      <c r="BL47" s="27" t="n">
        <v>1.265957</v>
      </c>
      <c r="BM47" s="28" t="n">
        <v>0.789916</v>
      </c>
      <c r="BN47" s="28" t="n">
        <v>0.782178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9d42b77cda3d44a7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LosA-Chic-2026-07-17</t>
        </is>
      </c>
      <c r="E48" s="24" t="inlineStr">
        <is>
          <t>WNBA</t>
        </is>
      </c>
      <c r="F48" s="24" t="inlineStr">
        <is>
          <t>Los Angeles Sparks</t>
        </is>
      </c>
      <c r="G48" s="24" t="inlineStr">
        <is>
          <t>Chicago Sky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</t>
        </is>
      </c>
      <c r="L48" s="26" t="n">
        <v>-113</v>
      </c>
      <c r="M48" s="27" t="n">
        <v>1.884956</v>
      </c>
      <c r="N48" s="28" t="n">
        <v>0.530516</v>
      </c>
      <c r="O48" s="28" t="n">
        <v>0.505358</v>
      </c>
      <c r="P48" s="28" t="n">
        <v>0.05</v>
      </c>
      <c r="Q48" s="28" t="n">
        <v>-0.025158</v>
      </c>
      <c r="R48" s="26" t="n"/>
      <c r="S48" s="29" t="n">
        <v>0.5</v>
      </c>
      <c r="T48" s="24" t="inlineStr">
        <is>
          <t>wnba-elo-trend-lr-v3</t>
        </is>
      </c>
      <c r="U48" s="24" t="inlineStr">
        <is>
          <t>settled</t>
        </is>
      </c>
      <c r="V48" s="24" t="inlineStr">
        <is>
          <t>win</t>
        </is>
      </c>
      <c r="W48" s="26" t="n">
        <v>82</v>
      </c>
      <c r="X48" s="26" t="n">
        <v>96</v>
      </c>
      <c r="Y48" s="25" t="n"/>
      <c r="Z48" s="26" t="n"/>
      <c r="AA48" s="28" t="n"/>
      <c r="AB48" s="28" t="n"/>
      <c r="AC48" s="30" t="n">
        <v>0.4425</v>
      </c>
      <c r="AD48" s="24" t="inlineStr">
        <is>
          <t>2026-07-19T12:18:56.426343+00:00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inlineStr">
        <is>
          <t>2026-07-17T17:12:46.881853Z</t>
        </is>
      </c>
      <c r="BI48" s="24" t="n"/>
      <c r="BJ48" s="25" t="n"/>
      <c r="BK48" s="26" t="n">
        <v>-113</v>
      </c>
      <c r="BL48" s="27" t="n">
        <v>1.884956</v>
      </c>
      <c r="BM48" s="28" t="n">
        <v>0.530516</v>
      </c>
      <c r="BN48" s="28" t="n">
        <v>0.524752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33934bb67697420b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Conn-Phoe-2026-07-17</t>
        </is>
      </c>
      <c r="E49" s="24" t="inlineStr">
        <is>
          <t>WNBA</t>
        </is>
      </c>
      <c r="F49" s="24" t="inlineStr">
        <is>
          <t>Connecticut Sun</t>
        </is>
      </c>
      <c r="G49" s="24" t="inlineStr">
        <is>
          <t>Phoenix Mercury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</t>
        </is>
      </c>
      <c r="L49" s="26" t="n">
        <v>-178</v>
      </c>
      <c r="M49" s="27" t="n">
        <v>1.561798</v>
      </c>
      <c r="N49" s="28" t="n">
        <v>0.640288</v>
      </c>
      <c r="O49" s="28" t="n">
        <v>0.637935</v>
      </c>
      <c r="P49" s="28" t="n">
        <v>0.05</v>
      </c>
      <c r="Q49" s="28" t="n">
        <v>-0.002353</v>
      </c>
      <c r="R49" s="26" t="n"/>
      <c r="S49" s="29" t="n">
        <v>2</v>
      </c>
      <c r="T49" s="24" t="inlineStr">
        <is>
          <t>wnba-elo-trend-lr-v3</t>
        </is>
      </c>
      <c r="U49" s="24" t="inlineStr">
        <is>
          <t>settled</t>
        </is>
      </c>
      <c r="V49" s="24" t="inlineStr">
        <is>
          <t>loss</t>
        </is>
      </c>
      <c r="W49" s="26" t="n">
        <v>96</v>
      </c>
      <c r="X49" s="26" t="n">
        <v>83</v>
      </c>
      <c r="Y49" s="25" t="n"/>
      <c r="Z49" s="26" t="n"/>
      <c r="AA49" s="28" t="n"/>
      <c r="AB49" s="28" t="n"/>
      <c r="AC49" s="30" t="n">
        <v>-2</v>
      </c>
      <c r="AD49" s="24" t="inlineStr">
        <is>
          <t>2026-07-19T12:18:56.426414+00:00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inlineStr">
        <is>
          <t>2026-07-17T17:12:46.282679Z</t>
        </is>
      </c>
      <c r="BI49" s="24" t="n"/>
      <c r="BJ49" s="25" t="n"/>
      <c r="BK49" s="26" t="n">
        <v>-178</v>
      </c>
      <c r="BL49" s="27" t="n">
        <v>1.561798</v>
      </c>
      <c r="BM49" s="28" t="n">
        <v>0.640288</v>
      </c>
      <c r="BN49" s="28" t="n">
        <v>0.633663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</row>
    <row r="50" ht="36" customHeight="1">
      <c r="A50" s="24" t="inlineStr">
        <is>
          <t>9e5a3c9d33b2497b</t>
        </is>
      </c>
      <c r="B50" s="24" t="inlineStr">
        <is>
          <t>2026-07-19T10:49:38.448695+00:00</t>
        </is>
      </c>
      <c r="C50" s="24" t="inlineStr">
        <is>
          <t>2026-07-18T14:00:00-0400</t>
        </is>
      </c>
      <c r="D50" s="24" t="inlineStr">
        <is>
          <t>NewY-Phil-2026-07-18</t>
        </is>
      </c>
      <c r="E50" s="24" t="inlineStr">
        <is>
          <t>MLB</t>
        </is>
      </c>
      <c r="F50" s="24" t="inlineStr">
        <is>
          <t>New York Mets</t>
        </is>
      </c>
      <c r="G50" s="24" t="inlineStr">
        <is>
          <t>Philadelphia Phillies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</t>
        </is>
      </c>
      <c r="L50" s="26" t="n">
        <v>-163</v>
      </c>
      <c r="M50" s="27" t="n">
        <v>1.613497</v>
      </c>
      <c r="N50" s="28" t="n">
        <v>0.619772</v>
      </c>
      <c r="O50" s="28" t="n">
        <v>0.611768</v>
      </c>
      <c r="P50" s="28" t="n">
        <v>0.05</v>
      </c>
      <c r="Q50" s="28" t="n">
        <v>-0.008004000000000001</v>
      </c>
      <c r="R50" s="26" t="n">
        <v>91</v>
      </c>
      <c r="S50" s="29" t="n">
        <v>1.5</v>
      </c>
      <c r="T50" s="24" t="inlineStr">
        <is>
          <t>mlb-elo-trend-lr-v4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6</v>
      </c>
      <c r="Y50" s="25" t="n"/>
      <c r="Z50" s="26" t="n"/>
      <c r="AA50" s="28" t="n"/>
      <c r="AB50" s="28" t="n"/>
      <c r="AC50" s="30" t="n">
        <v>0.9202</v>
      </c>
      <c r="AD50" s="24" t="inlineStr">
        <is>
          <t>2026-07-19T12:18:56.426817+00:00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inlineStr">
        <is>
          <t>5224fb6ffbc9ddf8fa517627b830ac851192da94d241963d556945393a42bb9d</t>
        </is>
      </c>
      <c r="BB50" s="24" t="n"/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n"/>
      <c r="BF50" s="24" t="n"/>
      <c r="BG50" s="24" t="n"/>
      <c r="BH50" s="24" t="inlineStr">
        <is>
          <t>2026-07-18T17:33:12.199724Z</t>
        </is>
      </c>
      <c r="BI50" s="24" t="n"/>
      <c r="BJ50" s="25" t="n"/>
      <c r="BK50" s="26" t="n">
        <v>-163</v>
      </c>
      <c r="BL50" s="27" t="n">
        <v>1.613497</v>
      </c>
      <c r="BM50" s="28" t="n">
        <v>0.619772</v>
      </c>
      <c r="BN50" s="28" t="n">
        <v>0.616915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</row>
    <row r="51" ht="36" customHeight="1">
      <c r="A51" s="24" t="inlineStr">
        <is>
          <t>f8293c8d16d748f5</t>
        </is>
      </c>
      <c r="B51" s="24" t="inlineStr">
        <is>
          <t>2026-07-19T10:49:38.448695+00:00</t>
        </is>
      </c>
      <c r="C51" s="24" t="inlineStr">
        <is>
          <t>2026-07-18T14:00:00-0400</t>
        </is>
      </c>
      <c r="D51" s="24" t="inlineStr">
        <is>
          <t>St.L-Ariz-2026-07-18</t>
        </is>
      </c>
      <c r="E51" s="24" t="inlineStr">
        <is>
          <t>MLB</t>
        </is>
      </c>
      <c r="F51" s="24" t="inlineStr">
        <is>
          <t>St. Louis Cardinals</t>
        </is>
      </c>
      <c r="G51" s="24" t="inlineStr">
        <is>
          <t>Arizona Diamondbacks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</t>
        </is>
      </c>
      <c r="L51" s="26" t="n">
        <v>-111</v>
      </c>
      <c r="M51" s="27" t="n">
        <v>1.900901</v>
      </c>
      <c r="N51" s="28" t="n">
        <v>0.526066</v>
      </c>
      <c r="O51" s="28" t="n">
        <v>0.525388</v>
      </c>
      <c r="P51" s="28" t="n">
        <v>0.05</v>
      </c>
      <c r="Q51" s="28" t="n">
        <v>-0.000678</v>
      </c>
      <c r="R51" s="26" t="n">
        <v>99</v>
      </c>
      <c r="S51" s="29" t="n">
        <v>0.75</v>
      </c>
      <c r="T51" s="24" t="inlineStr">
        <is>
          <t>mlb-elo-trend-lr-v4</t>
        </is>
      </c>
      <c r="U51" s="24" t="inlineStr">
        <is>
          <t>settled</t>
        </is>
      </c>
      <c r="V51" s="24" t="inlineStr">
        <is>
          <t>win</t>
        </is>
      </c>
      <c r="W51" s="26" t="n">
        <v>3</v>
      </c>
      <c r="X51" s="26" t="n">
        <v>5</v>
      </c>
      <c r="Y51" s="25" t="n"/>
      <c r="Z51" s="26" t="n"/>
      <c r="AA51" s="28" t="n"/>
      <c r="AB51" s="28" t="n"/>
      <c r="AC51" s="30" t="n">
        <v>0.6757</v>
      </c>
      <c r="AD51" s="24" t="inlineStr">
        <is>
          <t>2026-07-19T12:18:56.427204+00:00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inlineStr">
        <is>
          <t>5224fb6ffbc9ddf8fa517627b830ac851192da94d241963d556945393a42bb9d</t>
        </is>
      </c>
      <c r="BB51" s="24" t="n"/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n"/>
      <c r="BF51" s="24" t="n"/>
      <c r="BG51" s="24" t="n"/>
      <c r="BH51" s="24" t="inlineStr">
        <is>
          <t>2026-07-18T17:33:15.460034Z</t>
        </is>
      </c>
      <c r="BI51" s="24" t="n"/>
      <c r="BJ51" s="25" t="n"/>
      <c r="BK51" s="26" t="n">
        <v>-111</v>
      </c>
      <c r="BL51" s="27" t="n">
        <v>1.900901</v>
      </c>
      <c r="BM51" s="28" t="n">
        <v>0.526066</v>
      </c>
      <c r="BN51" s="28" t="n">
        <v>0.522388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</row>
    <row r="52" ht="36" customHeight="1">
      <c r="A52" s="24" t="inlineStr">
        <is>
          <t>f1019aa0671049ee</t>
        </is>
      </c>
      <c r="B52" s="24" t="inlineStr">
        <is>
          <t>2026-07-19T10:49:38.448695+00:00</t>
        </is>
      </c>
      <c r="C52" s="24" t="inlineStr">
        <is>
          <t>2026-07-18T14:00:00-0400</t>
        </is>
      </c>
      <c r="D52" s="24" t="inlineStr">
        <is>
          <t>SanF-Seat-2026-07-18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</t>
        </is>
      </c>
      <c r="L52" s="26" t="n">
        <v>-138</v>
      </c>
      <c r="M52" s="27" t="n">
        <v>1.724638</v>
      </c>
      <c r="N52" s="28" t="n">
        <v>0.579832</v>
      </c>
      <c r="O52" s="28" t="n">
        <v>0.597575</v>
      </c>
      <c r="P52" s="28" t="n">
        <v>0.05</v>
      </c>
      <c r="Q52" s="28" t="n">
        <v>0.017743</v>
      </c>
      <c r="R52" s="26" t="n">
        <v>17</v>
      </c>
      <c r="S52" s="29" t="n">
        <v>1.5</v>
      </c>
      <c r="T52" s="24" t="inlineStr">
        <is>
          <t>mlb-elo-trend-lr-v4</t>
        </is>
      </c>
      <c r="U52" s="24" t="inlineStr">
        <is>
          <t>settled</t>
        </is>
      </c>
      <c r="V52" s="24" t="inlineStr">
        <is>
          <t>win</t>
        </is>
      </c>
      <c r="W52" s="26" t="n">
        <v>3</v>
      </c>
      <c r="X52" s="26" t="n">
        <v>4</v>
      </c>
      <c r="Y52" s="25" t="n"/>
      <c r="Z52" s="26" t="n"/>
      <c r="AA52" s="28" t="n"/>
      <c r="AB52" s="28" t="n"/>
      <c r="AC52" s="30" t="n">
        <v>1.087</v>
      </c>
      <c r="AD52" s="24" t="inlineStr">
        <is>
          <t>2026-07-19T12:18:56.427590+00:00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inlineStr">
        <is>
          <t>5224fb6ffbc9ddf8fa517627b830ac851192da94d241963d556945393a42bb9d</t>
        </is>
      </c>
      <c r="BB52" s="24" t="n"/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n"/>
      <c r="BF52" s="24" t="n"/>
      <c r="BG52" s="24" t="n"/>
      <c r="BH52" s="24" t="inlineStr">
        <is>
          <t>2026-07-18T17:35:05.699206Z</t>
        </is>
      </c>
      <c r="BI52" s="24" t="n"/>
      <c r="BJ52" s="25" t="n"/>
      <c r="BK52" s="26" t="n">
        <v>-138</v>
      </c>
      <c r="BL52" s="27" t="n">
        <v>1.724638</v>
      </c>
      <c r="BM52" s="28" t="n">
        <v>0.579832</v>
      </c>
      <c r="BN52" s="28" t="n">
        <v>0.577114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</row>
    <row r="53" ht="36" customHeight="1">
      <c r="A53" s="24" t="inlineStr">
        <is>
          <t>7e8754f391d2475e</t>
        </is>
      </c>
      <c r="B53" s="24" t="inlineStr">
        <is>
          <t>2026-07-19T10:49:38.448695+00:00</t>
        </is>
      </c>
      <c r="C53" s="24" t="inlineStr">
        <is>
          <t>2026-07-18T14:00:00-0400</t>
        </is>
      </c>
      <c r="D53" s="24" t="inlineStr">
        <is>
          <t>Detr-LosA-2026-07-18</t>
        </is>
      </c>
      <c r="E53" s="24" t="inlineStr">
        <is>
          <t>MLB</t>
        </is>
      </c>
      <c r="F53" s="24" t="inlineStr">
        <is>
          <t>Detroit Tigers</t>
        </is>
      </c>
      <c r="G53" s="24" t="inlineStr">
        <is>
          <t>Los Angeles Angels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</t>
        </is>
      </c>
      <c r="L53" s="26" t="n">
        <v>-178</v>
      </c>
      <c r="M53" s="27" t="n">
        <v>1.561798</v>
      </c>
      <c r="N53" s="28" t="n">
        <v>0.640288</v>
      </c>
      <c r="O53" s="28" t="n">
        <v>0.550233</v>
      </c>
      <c r="P53" s="28" t="n">
        <v>0.05</v>
      </c>
      <c r="Q53" s="28" t="n">
        <v>-0.090055</v>
      </c>
      <c r="R53" s="26" t="n">
        <v>9</v>
      </c>
      <c r="S53" s="29" t="n">
        <v>1</v>
      </c>
      <c r="T53" s="24" t="inlineStr">
        <is>
          <t>mlb-elo-trend-lr-v4</t>
        </is>
      </c>
      <c r="U53" s="24" t="inlineStr">
        <is>
          <t>settled</t>
        </is>
      </c>
      <c r="V53" s="24" t="inlineStr">
        <is>
          <t>win</t>
        </is>
      </c>
      <c r="W53" s="26" t="n">
        <v>7</v>
      </c>
      <c r="X53" s="26" t="n">
        <v>0</v>
      </c>
      <c r="Y53" s="25" t="n"/>
      <c r="Z53" s="26" t="n"/>
      <c r="AA53" s="28" t="n"/>
      <c r="AB53" s="28" t="n"/>
      <c r="AC53" s="30" t="n">
        <v>0.5618</v>
      </c>
      <c r="AD53" s="24" t="inlineStr">
        <is>
          <t>2026-07-19T12:18:56.428327+00:00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inlineStr">
        <is>
          <t>5224fb6ffbc9ddf8fa517627b830ac851192da94d241963d556945393a42bb9d</t>
        </is>
      </c>
      <c r="BB53" s="24" t="n"/>
      <c r="BC53" s="24" t="inlineStr">
        <is>
          <t>mlb-elo-trend-lr-v4</t>
        </is>
      </c>
      <c r="BD53" s="24" t="inlineStr">
        <is>
          <t>5224fb6ffbc9ddf8fa517627b830ac851192da94d241963d556945393a42bb9d</t>
        </is>
      </c>
      <c r="BE53" s="24" t="n"/>
      <c r="BF53" s="24" t="n"/>
      <c r="BG53" s="24" t="n"/>
      <c r="BH53" s="24" t="inlineStr">
        <is>
          <t>2026-07-18T17:33:26.013189Z</t>
        </is>
      </c>
      <c r="BI53" s="24" t="n"/>
      <c r="BJ53" s="25" t="n"/>
      <c r="BK53" s="26" t="n">
        <v>-178</v>
      </c>
      <c r="BL53" s="27" t="n">
        <v>1.561798</v>
      </c>
      <c r="BM53" s="28" t="n">
        <v>0.640288</v>
      </c>
      <c r="BN53" s="28" t="n">
        <v>0.636816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</row>
    <row r="54" ht="36" customHeight="1">
      <c r="A54" s="24" t="inlineStr">
        <is>
          <t>5c32fca0897f4465</t>
        </is>
      </c>
      <c r="B54" s="24" t="inlineStr">
        <is>
          <t>2026-07-19T10:49:38.448695+00:00</t>
        </is>
      </c>
      <c r="C54" s="24" t="inlineStr">
        <is>
          <t>2026-07-18T14:00:00-0400</t>
        </is>
      </c>
      <c r="D54" s="24" t="inlineStr">
        <is>
          <t>Port-Minn-2026-07-18</t>
        </is>
      </c>
      <c r="E54" s="24" t="inlineStr">
        <is>
          <t>WNBA</t>
        </is>
      </c>
      <c r="F54" s="24" t="inlineStr">
        <is>
          <t>Portland Fire</t>
        </is>
      </c>
      <c r="G54" s="24" t="inlineStr">
        <is>
          <t>Minnesota Lynx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</t>
        </is>
      </c>
      <c r="L54" s="26" t="n">
        <v>-669</v>
      </c>
      <c r="M54" s="27" t="n">
        <v>1.149477</v>
      </c>
      <c r="N54" s="28" t="n">
        <v>0.869961</v>
      </c>
      <c r="O54" s="28" t="n">
        <v>0.741703</v>
      </c>
      <c r="P54" s="28" t="n">
        <v>0.05</v>
      </c>
      <c r="Q54" s="28" t="n">
        <v>-0.128258</v>
      </c>
      <c r="R54" s="26" t="n"/>
      <c r="S54" s="29" t="n">
        <v>2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93</v>
      </c>
      <c r="X54" s="26" t="n">
        <v>101</v>
      </c>
      <c r="Y54" s="25" t="n"/>
      <c r="Z54" s="26" t="n"/>
      <c r="AA54" s="28" t="n"/>
      <c r="AB54" s="28" t="n"/>
      <c r="AC54" s="30" t="n">
        <v>0.299</v>
      </c>
      <c r="AD54" s="24" t="inlineStr">
        <is>
          <t>2026-07-19T12:18:56.428398+00:00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2026-07-18T17:33:30.250960Z</t>
        </is>
      </c>
      <c r="BI54" s="24" t="n"/>
      <c r="BJ54" s="25" t="n"/>
      <c r="BK54" s="26" t="n">
        <v>-669</v>
      </c>
      <c r="BL54" s="27" t="n">
        <v>1.149477</v>
      </c>
      <c r="BM54" s="28" t="n">
        <v>0.869961</v>
      </c>
      <c r="BN54" s="28" t="n">
        <v>0.861386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</row>
    <row r="55" ht="36" customHeight="1">
      <c r="A55" s="24" t="inlineStr">
        <is>
          <t>413a2bc86aab48de</t>
        </is>
      </c>
      <c r="B55" s="24" t="inlineStr">
        <is>
          <t>2026-07-19T10:49:38.448695+00:00</t>
        </is>
      </c>
      <c r="C55" s="24" t="inlineStr">
        <is>
          <t>2026-07-18T14:00:00-0400</t>
        </is>
      </c>
      <c r="D55" s="24" t="inlineStr">
        <is>
          <t>Wash-Gold-2026-07-18</t>
        </is>
      </c>
      <c r="E55" s="24" t="inlineStr">
        <is>
          <t>WNBA</t>
        </is>
      </c>
      <c r="F55" s="24" t="inlineStr">
        <is>
          <t>Washington Mystics</t>
        </is>
      </c>
      <c r="G55" s="24" t="inlineStr">
        <is>
          <t>Golden State Valkyries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</t>
        </is>
      </c>
      <c r="L55" s="26" t="n">
        <v>-355</v>
      </c>
      <c r="M55" s="27" t="n">
        <v>1.28169</v>
      </c>
      <c r="N55" s="28" t="n">
        <v>0.78022</v>
      </c>
      <c r="O55" s="28" t="n">
        <v>0.743891</v>
      </c>
      <c r="P55" s="28" t="n">
        <v>0.05</v>
      </c>
      <c r="Q55" s="28" t="n">
        <v>-0.036329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win</t>
        </is>
      </c>
      <c r="W55" s="26" t="n">
        <v>69</v>
      </c>
      <c r="X55" s="26" t="n">
        <v>74</v>
      </c>
      <c r="Y55" s="25" t="n"/>
      <c r="Z55" s="26" t="n"/>
      <c r="AA55" s="28" t="n"/>
      <c r="AB55" s="28" t="n"/>
      <c r="AC55" s="30" t="n">
        <v>0.5634</v>
      </c>
      <c r="AD55" s="24" t="inlineStr">
        <is>
          <t>2026-07-19T12:18:56.428540+00:00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2026-07-18T17:33:31.640957Z</t>
        </is>
      </c>
      <c r="BI55" s="24" t="n"/>
      <c r="BJ55" s="25" t="n"/>
      <c r="BK55" s="26" t="n">
        <v>-355</v>
      </c>
      <c r="BL55" s="27" t="n">
        <v>1.28169</v>
      </c>
      <c r="BM55" s="28" t="n">
        <v>0.78022</v>
      </c>
      <c r="BN55" s="28" t="n">
        <v>0.772277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</row>
    <row r="56" ht="36" customHeight="1">
      <c r="A56" s="24" t="inlineStr">
        <is>
          <t>6decd852a8dd4c0b</t>
        </is>
      </c>
      <c r="B56" s="24" t="inlineStr">
        <is>
          <t>2026-07-20T16:51:22.921041Z</t>
        </is>
      </c>
      <c r="C56" s="24" t="inlineStr">
        <is>
          <t>2026-07-20T18:40:00-0400</t>
        </is>
      </c>
      <c r="D56" s="24" t="inlineStr">
        <is>
          <t>401816188</t>
        </is>
      </c>
      <c r="E56" s="24" t="inlineStr">
        <is>
          <t>MLB</t>
        </is>
      </c>
      <c r="F56" s="24" t="inlineStr">
        <is>
          <t>Minnesota Twins</t>
        </is>
      </c>
      <c r="G56" s="24" t="inlineStr">
        <is>
          <t>Cleveland Guardians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115</v>
      </c>
      <c r="M56" s="27" t="n">
        <v>2.15</v>
      </c>
      <c r="N56" s="28" t="n">
        <v>0.465116</v>
      </c>
      <c r="O56" s="28" t="n">
        <v>0.5726869999999999</v>
      </c>
      <c r="P56" s="28" t="n"/>
      <c r="Q56" s="28" t="n">
        <v>0.107571</v>
      </c>
      <c r="R56" s="26" t="n">
        <v>100</v>
      </c>
      <c r="S56" s="29" t="n">
        <v>1.25</v>
      </c>
      <c r="T56" s="24" t="inlineStr">
        <is>
          <t>mlb-elo-trend-lr-v4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4</v>
      </c>
      <c r="X56" s="26" t="n">
        <v>13</v>
      </c>
      <c r="Y56" s="25" t="n"/>
      <c r="Z56" s="26" t="n"/>
      <c r="AA56" s="28" t="n"/>
      <c r="AB56" s="28" t="n"/>
      <c r="AC56" s="30" t="n">
        <v>1.4375</v>
      </c>
      <c r="AD56" s="24" t="inlineStr">
        <is>
          <t>2026-07-21T03:22:56.453059Z</t>
        </is>
      </c>
      <c r="AE56" s="31" t="inlineStr">
        <is>
          <t>Learned LR call at threshold 0.5500; executable ask 0.4650 (aec-mlb-min-cle-2026-07-20).</t>
        </is>
      </c>
      <c r="AF56" s="31" t="inlineStr">
        <is>
          <t>Learned model; promotion gate not yet open; zero-unit research until review.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NO_CALL_LARGE_DISAGREEMENT_REVIEW</t>
        </is>
      </c>
      <c r="AP56" s="24" t="inlineStr">
        <is>
          <t>mlb-min</t>
        </is>
      </c>
      <c r="AQ56" s="24" t="inlineStr">
        <is>
          <t>Minnesota Twins</t>
        </is>
      </c>
      <c r="AR56" s="24" t="inlineStr">
        <is>
          <t>Minnesota Twins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5224fb6ffbc9ddf8fa517627b830ac851192da94d241963d556945393a42bb9d</t>
        </is>
      </c>
      <c r="BB56" s="24" t="inlineStr">
        <is>
          <t>learned_lr</t>
        </is>
      </c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inlineStr">
        <is>
          <t>2170ac399ced5417</t>
        </is>
      </c>
      <c r="BF56" s="24" t="inlineStr">
        <is>
          <t>1</t>
        </is>
      </c>
      <c r="BG56" s="24" t="inlineStr">
        <is>
          <t>mlb-elo-trend-lr-v4</t>
        </is>
      </c>
      <c r="BH56" s="24" t="inlineStr">
        <is>
          <t>2026-07-20T16:49:43.428041Z</t>
        </is>
      </c>
      <c r="BI56" s="24" t="inlineStr">
        <is>
          <t>["same_event","same_team_same_day","same_league_same_day"]</t>
        </is>
      </c>
      <c r="BJ56" s="25" t="n"/>
      <c r="BK56" s="26" t="n">
        <v>115</v>
      </c>
      <c r="BL56" s="27" t="n">
        <v>2.15</v>
      </c>
      <c r="BM56" s="28" t="n">
        <v>0.465116</v>
      </c>
      <c r="BN56" s="28" t="n">
        <v>0.462687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</row>
    <row r="57" ht="36" customHeight="1">
      <c r="A57" s="24" t="inlineStr">
        <is>
          <t>861a5e055b304313</t>
        </is>
      </c>
      <c r="B57" s="24" t="inlineStr">
        <is>
          <t>2026-07-20T16:51:22.921041Z</t>
        </is>
      </c>
      <c r="C57" s="24" t="inlineStr">
        <is>
          <t>2026-07-20T19:00:00-0400</t>
        </is>
      </c>
      <c r="D57" s="24" t="inlineStr">
        <is>
          <t>401816187</t>
        </is>
      </c>
      <c r="E57" s="24" t="inlineStr">
        <is>
          <t>MLB</t>
        </is>
      </c>
      <c r="F57" s="24" t="inlineStr">
        <is>
          <t>Los Angeles Dodgers</t>
        </is>
      </c>
      <c r="G57" s="24" t="inlineStr">
        <is>
          <t>Philadelphia Phillies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125</v>
      </c>
      <c r="M57" s="27" t="n">
        <v>2.25</v>
      </c>
      <c r="N57" s="28" t="n">
        <v>0.444444</v>
      </c>
      <c r="O57" s="28" t="n">
        <v>0.513332</v>
      </c>
      <c r="P57" s="28" t="n"/>
      <c r="Q57" s="28" t="n">
        <v>0.068888</v>
      </c>
      <c r="R57" s="26" t="n">
        <v>54</v>
      </c>
      <c r="S57" s="29" t="n">
        <v>0.75</v>
      </c>
      <c r="T57" s="24" t="inlineStr">
        <is>
          <t>mlb-elo-trend-lr-v4</t>
        </is>
      </c>
      <c r="U57" s="24" t="inlineStr">
        <is>
          <t>settled</t>
        </is>
      </c>
      <c r="V57" s="24" t="inlineStr">
        <is>
          <t>loss</t>
        </is>
      </c>
      <c r="W57" s="26" t="n">
        <v>7</v>
      </c>
      <c r="X57" s="26" t="n">
        <v>10</v>
      </c>
      <c r="Y57" s="25" t="n"/>
      <c r="Z57" s="26" t="n"/>
      <c r="AA57" s="28" t="n"/>
      <c r="AB57" s="28" t="n"/>
      <c r="AC57" s="30" t="n">
        <v>-0.75</v>
      </c>
      <c r="AD57" s="24" t="inlineStr">
        <is>
          <t>2026-07-21T03:22:56.976964Z</t>
        </is>
      </c>
      <c r="AE57" s="31" t="inlineStr">
        <is>
          <t>Learned LR call at threshold 0.5500; executable ask 0.4450 (aec-mlb-lad-phi-2026-07-20).</t>
        </is>
      </c>
      <c r="AF57" s="31" t="inlineStr">
        <is>
          <t>Learned model; promotion gate not yet open; zero-unit research until review.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mlb-lad</t>
        </is>
      </c>
      <c r="AQ57" s="24" t="inlineStr">
        <is>
          <t>Los Angeles Dodgers</t>
        </is>
      </c>
      <c r="AR57" s="24" t="inlineStr">
        <is>
          <t>Los Angeles Dodgers</t>
        </is>
      </c>
      <c r="AS57" s="24" t="inlineStr">
        <is>
          <t>mlb-phi</t>
        </is>
      </c>
      <c r="AT57" s="24" t="inlineStr">
        <is>
          <t>Philadelphia Phillies</t>
        </is>
      </c>
      <c r="AU57" s="24" t="inlineStr">
        <is>
          <t>Philadelphia Phillies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5224fb6ffbc9ddf8fa517627b830ac851192da94d241963d556945393a42bb9d</t>
        </is>
      </c>
      <c r="BB57" s="24" t="inlineStr">
        <is>
          <t>learned_lr</t>
        </is>
      </c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inlineStr">
        <is>
          <t>bac520e15b938e92</t>
        </is>
      </c>
      <c r="BF57" s="24" t="inlineStr">
        <is>
          <t>1</t>
        </is>
      </c>
      <c r="BG57" s="24" t="inlineStr">
        <is>
          <t>mlb-elo-trend-lr-v4</t>
        </is>
      </c>
      <c r="BH57" s="24" t="inlineStr">
        <is>
          <t>2026-07-20T16:49:49.060953Z</t>
        </is>
      </c>
      <c r="BI57" s="24" t="inlineStr">
        <is>
          <t>["same_event","same_team_same_day","same_league_same_day"]</t>
        </is>
      </c>
      <c r="BJ57" s="25" t="n"/>
      <c r="BK57" s="26" t="n">
        <v>125</v>
      </c>
      <c r="BL57" s="27" t="n">
        <v>2.25</v>
      </c>
      <c r="BM57" s="28" t="n">
        <v>0.444444</v>
      </c>
      <c r="BN57" s="28" t="n">
        <v>0.442786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</row>
    <row r="58" ht="36" customHeight="1">
      <c r="A58" s="24" t="inlineStr">
        <is>
          <t>ece2750201f94d16</t>
        </is>
      </c>
      <c r="B58" s="24" t="inlineStr">
        <is>
          <t>2026-07-20T16:51:22.921041Z</t>
        </is>
      </c>
      <c r="C58" s="24" t="inlineStr">
        <is>
          <t>2026-07-20T19:05:00-0400</t>
        </is>
      </c>
      <c r="D58" s="24" t="inlineStr">
        <is>
          <t>401816189</t>
        </is>
      </c>
      <c r="E58" s="24" t="inlineStr">
        <is>
          <t>MLB</t>
        </is>
      </c>
      <c r="F58" s="24" t="inlineStr">
        <is>
          <t>Pittsburgh Pirates</t>
        </is>
      </c>
      <c r="G58" s="24" t="inlineStr">
        <is>
          <t>New York Yankees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-108</v>
      </c>
      <c r="M58" s="27" t="n">
        <v>1.925926</v>
      </c>
      <c r="N58" s="28" t="n">
        <v>0.519231</v>
      </c>
      <c r="O58" s="28" t="n">
        <v>0.578558</v>
      </c>
      <c r="P58" s="28" t="n"/>
      <c r="Q58" s="28" t="n">
        <v>0.059327</v>
      </c>
      <c r="R58" s="26" t="n">
        <v>50</v>
      </c>
      <c r="S58" s="29" t="n">
        <v>1.25</v>
      </c>
      <c r="T58" s="24" t="inlineStr">
        <is>
          <t>mlb-elo-trend-lr-v4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5</v>
      </c>
      <c r="X58" s="26" t="n">
        <v>8</v>
      </c>
      <c r="Y58" s="25" t="n"/>
      <c r="Z58" s="26" t="n"/>
      <c r="AA58" s="28" t="n"/>
      <c r="AB58" s="28" t="n"/>
      <c r="AC58" s="30" t="n">
        <v>1.1574</v>
      </c>
      <c r="AD58" s="24" t="inlineStr">
        <is>
          <t>2026-07-21T03:22:57.501856Z</t>
        </is>
      </c>
      <c r="AE58" s="31" t="inlineStr">
        <is>
          <t>Learned LR call at threshold 0.5500; executable ask 0.5200 (aec-mlb-pit-nyy-2026-07-20).</t>
        </is>
      </c>
      <c r="AF58" s="31" t="inlineStr">
        <is>
          <t>Learned model; promotion gate not yet open; zero-unit research until review.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mlb-pit</t>
        </is>
      </c>
      <c r="AQ58" s="24" t="inlineStr">
        <is>
          <t>Pittsburgh Pirates</t>
        </is>
      </c>
      <c r="AR58" s="24" t="inlineStr">
        <is>
          <t>Pittsburgh Pirates</t>
        </is>
      </c>
      <c r="AS58" s="24" t="inlineStr">
        <is>
          <t>mlb-nyy</t>
        </is>
      </c>
      <c r="AT58" s="24" t="inlineStr">
        <is>
          <t>New York Yankees</t>
        </is>
      </c>
      <c r="AU58" s="24" t="inlineStr">
        <is>
          <t>New York Yankees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5224fb6ffbc9ddf8fa517627b830ac851192da94d241963d556945393a42bb9d</t>
        </is>
      </c>
      <c r="BB58" s="24" t="inlineStr">
        <is>
          <t>learned_lr</t>
        </is>
      </c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inlineStr">
        <is>
          <t>38ab7db5a3798f0c</t>
        </is>
      </c>
      <c r="BF58" s="24" t="inlineStr">
        <is>
          <t>1</t>
        </is>
      </c>
      <c r="BG58" s="24" t="inlineStr">
        <is>
          <t>mlb-elo-trend-lr-v4</t>
        </is>
      </c>
      <c r="BH58" s="24" t="inlineStr">
        <is>
          <t>2026-07-20T16:49:45.032018Z</t>
        </is>
      </c>
      <c r="BI58" s="24" t="inlineStr">
        <is>
          <t>["same_event","same_team_same_day","same_league_same_day"]</t>
        </is>
      </c>
      <c r="BJ58" s="25" t="n"/>
      <c r="BK58" s="26" t="n">
        <v>-108</v>
      </c>
      <c r="BL58" s="27" t="n">
        <v>1.925926</v>
      </c>
      <c r="BM58" s="28" t="n">
        <v>0.519231</v>
      </c>
      <c r="BN58" s="28" t="n">
        <v>0.517413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</row>
    <row r="59" ht="36" customHeight="1">
      <c r="A59" s="24" t="inlineStr">
        <is>
          <t>cb75d7c2e48146fd</t>
        </is>
      </c>
      <c r="B59" s="24" t="inlineStr">
        <is>
          <t>2026-07-20T16:51:22.921041Z</t>
        </is>
      </c>
      <c r="C59" s="24" t="inlineStr">
        <is>
          <t>2026-07-20T19:07:00-0400</t>
        </is>
      </c>
      <c r="D59" s="24" t="inlineStr">
        <is>
          <t>401816191</t>
        </is>
      </c>
      <c r="E59" s="24" t="inlineStr">
        <is>
          <t>MLB</t>
        </is>
      </c>
      <c r="F59" s="24" t="inlineStr">
        <is>
          <t>Tampa Bay Rays</t>
        </is>
      </c>
      <c r="G59" s="24" t="inlineStr">
        <is>
          <t>Toronto Blue Jays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-147</v>
      </c>
      <c r="M59" s="27" t="n">
        <v>1.680272</v>
      </c>
      <c r="N59" s="28" t="n">
        <v>0.5951419999999999</v>
      </c>
      <c r="O59" s="28" t="n">
        <v>0.530206</v>
      </c>
      <c r="P59" s="28" t="n"/>
      <c r="Q59" s="28" t="n">
        <v>-0.06493599999999999</v>
      </c>
      <c r="R59" s="26" t="n">
        <v>0</v>
      </c>
      <c r="S59" s="29" t="n">
        <v>0.75</v>
      </c>
      <c r="T59" s="24" t="inlineStr">
        <is>
          <t>mlb-elo-trend-lr-v4</t>
        </is>
      </c>
      <c r="U59" s="24" t="inlineStr">
        <is>
          <t>settled</t>
        </is>
      </c>
      <c r="V59" s="24" t="inlineStr">
        <is>
          <t>loss</t>
        </is>
      </c>
      <c r="W59" s="26" t="n">
        <v>7</v>
      </c>
      <c r="X59" s="26" t="n">
        <v>1</v>
      </c>
      <c r="Y59" s="25" t="n"/>
      <c r="Z59" s="26" t="n"/>
      <c r="AA59" s="28" t="n"/>
      <c r="AB59" s="28" t="n"/>
      <c r="AC59" s="30" t="n">
        <v>-0.75</v>
      </c>
      <c r="AD59" s="24" t="inlineStr">
        <is>
          <t>2026-07-21T03:22:58.024771Z</t>
        </is>
      </c>
      <c r="AE59" s="31" t="inlineStr">
        <is>
          <t>Learned LR call at threshold 0.5500; executable ask 0.5950 (aec-mlb-tb-tor-2026-07-20).</t>
        </is>
      </c>
      <c r="AF59" s="31" t="inlineStr">
        <is>
          <t>Learned model; promotion gate not yet open; zero-unit research until review.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mlb-tb</t>
        </is>
      </c>
      <c r="AQ59" s="24" t="inlineStr">
        <is>
          <t>Tampa Bay Rays</t>
        </is>
      </c>
      <c r="AR59" s="24" t="inlineStr">
        <is>
          <t>Tampa Bay Rays</t>
        </is>
      </c>
      <c r="AS59" s="24" t="inlineStr">
        <is>
          <t>mlb-tor</t>
        </is>
      </c>
      <c r="AT59" s="24" t="inlineStr">
        <is>
          <t>Toronto Blue Jays</t>
        </is>
      </c>
      <c r="AU59" s="24" t="inlineStr">
        <is>
          <t>Toronto Blue Jays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5224fb6ffbc9ddf8fa517627b830ac851192da94d241963d556945393a42bb9d</t>
        </is>
      </c>
      <c r="BB59" s="24" t="inlineStr">
        <is>
          <t>learned_lr</t>
        </is>
      </c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inlineStr">
        <is>
          <t>78559912fe10ab9f</t>
        </is>
      </c>
      <c r="BF59" s="24" t="inlineStr">
        <is>
          <t>1</t>
        </is>
      </c>
      <c r="BG59" s="24" t="inlineStr">
        <is>
          <t>mlb-elo-trend-lr-v4</t>
        </is>
      </c>
      <c r="BH59" s="24" t="inlineStr">
        <is>
          <t>2026-07-20T16:49:46.297746Z</t>
        </is>
      </c>
      <c r="BI59" s="24" t="inlineStr">
        <is>
          <t>["same_event","same_team_same_day","same_league_same_day"]</t>
        </is>
      </c>
      <c r="BJ59" s="25" t="n"/>
      <c r="BK59" s="26" t="n">
        <v>-147</v>
      </c>
      <c r="BL59" s="27" t="n">
        <v>1.680272</v>
      </c>
      <c r="BM59" s="28" t="n">
        <v>0.5951419999999999</v>
      </c>
      <c r="BN59" s="28" t="n">
        <v>0.59204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</row>
    <row r="60" ht="36" customHeight="1">
      <c r="A60" s="24" t="inlineStr">
        <is>
          <t>4e0b58352844406f</t>
        </is>
      </c>
      <c r="B60" s="24" t="inlineStr">
        <is>
          <t>2026-07-20T16:51:22.921041Z</t>
        </is>
      </c>
      <c r="C60" s="24" t="inlineStr">
        <is>
          <t>2026-07-20T19:10:00-0400</t>
        </is>
      </c>
      <c r="D60" s="24" t="inlineStr">
        <is>
          <t>401816186</t>
        </is>
      </c>
      <c r="E60" s="24" t="inlineStr">
        <is>
          <t>MLB</t>
        </is>
      </c>
      <c r="F60" s="24" t="inlineStr">
        <is>
          <t>Baltimore Orioles</t>
        </is>
      </c>
      <c r="G60" s="24" t="inlineStr">
        <is>
          <t>Boston Red Sox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-144</v>
      </c>
      <c r="M60" s="27" t="n">
        <v>1.694444</v>
      </c>
      <c r="N60" s="28" t="n">
        <v>0.590164</v>
      </c>
      <c r="O60" s="28" t="n">
        <v>0.565797</v>
      </c>
      <c r="P60" s="28" t="n"/>
      <c r="Q60" s="28" t="n">
        <v>-0.024367</v>
      </c>
      <c r="R60" s="26" t="n">
        <v>8</v>
      </c>
      <c r="S60" s="29" t="n">
        <v>1.25</v>
      </c>
      <c r="T60" s="24" t="inlineStr">
        <is>
          <t>mlb-elo-trend-lr-v4</t>
        </is>
      </c>
      <c r="U60" s="24" t="inlineStr">
        <is>
          <t>settled</t>
        </is>
      </c>
      <c r="V60" s="24" t="inlineStr">
        <is>
          <t>win</t>
        </is>
      </c>
      <c r="W60" s="26" t="n">
        <v>5</v>
      </c>
      <c r="X60" s="26" t="n">
        <v>6</v>
      </c>
      <c r="Y60" s="25" t="n"/>
      <c r="Z60" s="26" t="n"/>
      <c r="AA60" s="28" t="n"/>
      <c r="AB60" s="28" t="n"/>
      <c r="AC60" s="30" t="n">
        <v>0.8681</v>
      </c>
      <c r="AD60" s="24" t="inlineStr">
        <is>
          <t>2026-07-21T03:22:58.604560Z</t>
        </is>
      </c>
      <c r="AE60" s="31" t="inlineStr">
        <is>
          <t>Learned LR call at threshold 0.5500; executable ask 0.5900 (aec-mlb-bal-bos-2026-07-20).</t>
        </is>
      </c>
      <c r="AF60" s="31" t="inlineStr">
        <is>
          <t>Learned model; promotion gate not yet open; zero-unit research until review.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mlb-bal</t>
        </is>
      </c>
      <c r="AQ60" s="24" t="inlineStr">
        <is>
          <t>Baltimore Orioles</t>
        </is>
      </c>
      <c r="AR60" s="24" t="inlineStr">
        <is>
          <t>Baltimore Orioles</t>
        </is>
      </c>
      <c r="AS60" s="24" t="inlineStr">
        <is>
          <t>mlb-bos</t>
        </is>
      </c>
      <c r="AT60" s="24" t="inlineStr">
        <is>
          <t>Boston Red Sox</t>
        </is>
      </c>
      <c r="AU60" s="24" t="inlineStr">
        <is>
          <t>Boston Red Sox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5224fb6ffbc9ddf8fa517627b830ac851192da94d241963d556945393a42bb9d</t>
        </is>
      </c>
      <c r="BB60" s="24" t="inlineStr">
        <is>
          <t>learned_lr</t>
        </is>
      </c>
      <c r="BC60" s="24" t="inlineStr">
        <is>
          <t>mlb-elo-trend-lr-v4</t>
        </is>
      </c>
      <c r="BD60" s="24" t="inlineStr">
        <is>
          <t>5224fb6ffbc9ddf8fa517627b830ac851192da94d241963d556945393a42bb9d</t>
        </is>
      </c>
      <c r="BE60" s="24" t="inlineStr">
        <is>
          <t>9fe2d27778a72dfe</t>
        </is>
      </c>
      <c r="BF60" s="24" t="inlineStr">
        <is>
          <t>1</t>
        </is>
      </c>
      <c r="BG60" s="24" t="inlineStr">
        <is>
          <t>mlb-elo-trend-lr-v4</t>
        </is>
      </c>
      <c r="BH60" s="24" t="inlineStr">
        <is>
          <t>2026-07-20T16:49:47.890533Z</t>
        </is>
      </c>
      <c r="BI60" s="24" t="inlineStr">
        <is>
          <t>["same_event","same_team_same_day","same_league_same_day"]</t>
        </is>
      </c>
      <c r="BJ60" s="25" t="n"/>
      <c r="BK60" s="26" t="n">
        <v>-144</v>
      </c>
      <c r="BL60" s="27" t="n">
        <v>1.694444</v>
      </c>
      <c r="BM60" s="28" t="n">
        <v>0.590164</v>
      </c>
      <c r="BN60" s="28" t="n">
        <v>0.5870649999999999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</row>
    <row r="61" ht="36" customHeight="1">
      <c r="A61" s="24" t="inlineStr">
        <is>
          <t>7d9b0c728f2a41c2</t>
        </is>
      </c>
      <c r="B61" s="24" t="inlineStr">
        <is>
          <t>2026-07-20T16:51:22.921041Z</t>
        </is>
      </c>
      <c r="C61" s="24" t="inlineStr">
        <is>
          <t>2026-07-20T19:15:00-0400</t>
        </is>
      </c>
      <c r="D61" s="24" t="inlineStr">
        <is>
          <t>401816190</t>
        </is>
      </c>
      <c r="E61" s="24" t="inlineStr">
        <is>
          <t>MLB</t>
        </is>
      </c>
      <c r="F61" s="24" t="inlineStr">
        <is>
          <t>San Diego Padres</t>
        </is>
      </c>
      <c r="G61" s="24" t="inlineStr">
        <is>
          <t>Atlanta Braves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-127</v>
      </c>
      <c r="M61" s="27" t="n">
        <v>1.787402</v>
      </c>
      <c r="N61" s="28" t="n">
        <v>0.5594710000000001</v>
      </c>
      <c r="O61" s="28" t="n">
        <v>0.550915</v>
      </c>
      <c r="P61" s="28" t="n"/>
      <c r="Q61" s="28" t="n">
        <v>-0.008555999999999999</v>
      </c>
      <c r="R61" s="26" t="n">
        <v>16</v>
      </c>
      <c r="S61" s="29" t="n">
        <v>1</v>
      </c>
      <c r="T61" s="24" t="inlineStr">
        <is>
          <t>mlb-elo-trend-lr-v4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3</v>
      </c>
      <c r="Y61" s="25" t="n"/>
      <c r="Z61" s="26" t="n"/>
      <c r="AA61" s="28" t="n"/>
      <c r="AB61" s="28" t="n"/>
      <c r="AC61" s="30" t="n">
        <v>0.7874</v>
      </c>
      <c r="AD61" s="24" t="inlineStr">
        <is>
          <t>2026-07-21T03:22:59.127193Z</t>
        </is>
      </c>
      <c r="AE61" s="31" t="inlineStr">
        <is>
          <t>Learned LR call at threshold 0.5500; executable ask 0.5600 (aec-mlb-sd-atl-2026-07-20).</t>
        </is>
      </c>
      <c r="AF61" s="31" t="inlineStr">
        <is>
          <t>Learned model; promotion gate not yet open; zero-unit research until review.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mlb-sd</t>
        </is>
      </c>
      <c r="AQ61" s="24" t="inlineStr">
        <is>
          <t>San Diego Padres</t>
        </is>
      </c>
      <c r="AR61" s="24" t="inlineStr">
        <is>
          <t>San Diego Padres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5224fb6ffbc9ddf8fa517627b830ac851192da94d241963d556945393a42bb9d</t>
        </is>
      </c>
      <c r="BB61" s="24" t="inlineStr">
        <is>
          <t>learned_lr</t>
        </is>
      </c>
      <c r="BC61" s="24" t="inlineStr">
        <is>
          <t>mlb-elo-trend-lr-v4</t>
        </is>
      </c>
      <c r="BD61" s="24" t="inlineStr">
        <is>
          <t>5224fb6ffbc9ddf8fa517627b830ac851192da94d241963d556945393a42bb9d</t>
        </is>
      </c>
      <c r="BE61" s="24" t="inlineStr">
        <is>
          <t>f0b5eac7c97d1146</t>
        </is>
      </c>
      <c r="BF61" s="24" t="inlineStr">
        <is>
          <t>1</t>
        </is>
      </c>
      <c r="BG61" s="24" t="inlineStr">
        <is>
          <t>mlb-elo-trend-lr-v4</t>
        </is>
      </c>
      <c r="BH61" s="24" t="inlineStr">
        <is>
          <t>2026-07-20T16:49:50.749198Z</t>
        </is>
      </c>
      <c r="BI61" s="24" t="inlineStr">
        <is>
          <t>["same_event","same_team_same_day","same_league_same_day"]</t>
        </is>
      </c>
      <c r="BJ61" s="25" t="n"/>
      <c r="BK61" s="26" t="n">
        <v>-127</v>
      </c>
      <c r="BL61" s="27" t="n">
        <v>1.787402</v>
      </c>
      <c r="BM61" s="28" t="n">
        <v>0.5594710000000001</v>
      </c>
      <c r="BN61" s="28" t="n">
        <v>0.557214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</row>
    <row r="62" ht="36" customHeight="1">
      <c r="A62" s="24" t="inlineStr">
        <is>
          <t>bf92a3a0bb864f15</t>
        </is>
      </c>
      <c r="B62" s="24" t="inlineStr">
        <is>
          <t>2026-07-20T16:51:22.921041Z</t>
        </is>
      </c>
      <c r="C62" s="24" t="inlineStr">
        <is>
          <t>2026-07-20T19:40:00-0400</t>
        </is>
      </c>
      <c r="D62" s="24" t="inlineStr">
        <is>
          <t>401816195</t>
        </is>
      </c>
      <c r="E62" s="24" t="inlineStr">
        <is>
          <t>MLB</t>
        </is>
      </c>
      <c r="F62" s="24" t="inlineStr">
        <is>
          <t>New York Mets</t>
        </is>
      </c>
      <c r="G62" s="24" t="inlineStr">
        <is>
          <t>Milwaukee Brewers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-199</v>
      </c>
      <c r="M62" s="27" t="n">
        <v>1.502513</v>
      </c>
      <c r="N62" s="28" t="n">
        <v>0.665552</v>
      </c>
      <c r="O62" s="28" t="n">
        <v>0.640995</v>
      </c>
      <c r="P62" s="28" t="n"/>
      <c r="Q62" s="28" t="n">
        <v>-0.024557</v>
      </c>
      <c r="R62" s="26" t="n">
        <v>8</v>
      </c>
      <c r="S62" s="29" t="n">
        <v>2</v>
      </c>
      <c r="T62" s="24" t="inlineStr">
        <is>
          <t>mlb-elo-trend-lr-v4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8</v>
      </c>
      <c r="Y62" s="25" t="n"/>
      <c r="Z62" s="26" t="n"/>
      <c r="AA62" s="28" t="n"/>
      <c r="AB62" s="28" t="n"/>
      <c r="AC62" s="30" t="n">
        <v>1.005</v>
      </c>
      <c r="AD62" s="24" t="inlineStr">
        <is>
          <t>2026-07-21T03:22:59.646932Z</t>
        </is>
      </c>
      <c r="AE62" s="31" t="inlineStr">
        <is>
          <t>Learned LR call at threshold 0.5500; executable ask 0.6650 (aec-mlb-nym-mil-2026-07-20).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mlb-nym</t>
        </is>
      </c>
      <c r="AQ62" s="24" t="inlineStr">
        <is>
          <t>New York Mets</t>
        </is>
      </c>
      <c r="AR62" s="24" t="inlineStr">
        <is>
          <t>New York Mets</t>
        </is>
      </c>
      <c r="AS62" s="24" t="inlineStr">
        <is>
          <t>mlb-mil</t>
        </is>
      </c>
      <c r="AT62" s="24" t="inlineStr">
        <is>
          <t>Milwaukee Brewers</t>
        </is>
      </c>
      <c r="AU62" s="24" t="inlineStr">
        <is>
          <t>Milwaukee Brewers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6d5f3f5e8f75cb2b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2026-07-20T16:49:52.302406Z</t>
        </is>
      </c>
      <c r="BI62" s="24" t="inlineStr">
        <is>
          <t>["same_event","same_team_same_day","same_league_same_day"]</t>
        </is>
      </c>
      <c r="BJ62" s="25" t="n"/>
      <c r="BK62" s="26" t="n">
        <v>-199</v>
      </c>
      <c r="BL62" s="27" t="n">
        <v>1.502513</v>
      </c>
      <c r="BM62" s="28" t="n">
        <v>0.665552</v>
      </c>
      <c r="BN62" s="28" t="n">
        <v>0.6616919999999999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</row>
    <row r="63" ht="36" customHeight="1">
      <c r="A63" s="24" t="inlineStr">
        <is>
          <t>b94d181b3fce488d</t>
        </is>
      </c>
      <c r="B63" s="24" t="inlineStr">
        <is>
          <t>2026-07-20T16:51:22.921041Z</t>
        </is>
      </c>
      <c r="C63" s="24" t="inlineStr">
        <is>
          <t>2026-07-20T19:40:00-0400</t>
        </is>
      </c>
      <c r="D63" s="24" t="inlineStr">
        <is>
          <t>401816196</t>
        </is>
      </c>
      <c r="E63" s="24" t="inlineStr">
        <is>
          <t>MLB</t>
        </is>
      </c>
      <c r="F63" s="24" t="inlineStr">
        <is>
          <t>San Francisco Giants</t>
        </is>
      </c>
      <c r="G63" s="24" t="inlineStr">
        <is>
          <t>Kansas City Royals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-111</v>
      </c>
      <c r="M63" s="27" t="n">
        <v>1.900901</v>
      </c>
      <c r="N63" s="28" t="n">
        <v>0.526066</v>
      </c>
      <c r="O63" s="28" t="n">
        <v>0.514213</v>
      </c>
      <c r="P63" s="28" t="n"/>
      <c r="Q63" s="28" t="n">
        <v>-0.011853</v>
      </c>
      <c r="R63" s="26" t="n">
        <v>14</v>
      </c>
      <c r="S63" s="29" t="n">
        <v>0.75</v>
      </c>
      <c r="T63" s="24" t="inlineStr">
        <is>
          <t>mlb-elo-trend-lr-v4</t>
        </is>
      </c>
      <c r="U63" s="24" t="inlineStr">
        <is>
          <t>settled</t>
        </is>
      </c>
      <c r="V63" s="24" t="inlineStr">
        <is>
          <t>win</t>
        </is>
      </c>
      <c r="W63" s="26" t="n">
        <v>3</v>
      </c>
      <c r="X63" s="26" t="n">
        <v>4</v>
      </c>
      <c r="Y63" s="25" t="n"/>
      <c r="Z63" s="26" t="n"/>
      <c r="AA63" s="28" t="n"/>
      <c r="AB63" s="28" t="n"/>
      <c r="AC63" s="30" t="n">
        <v>0.6757</v>
      </c>
      <c r="AD63" s="24" t="inlineStr">
        <is>
          <t>2026-07-21T03:23:00.166900Z</t>
        </is>
      </c>
      <c r="AE63" s="31" t="inlineStr">
        <is>
          <t>Learned LR call at threshold 0.5500; executable ask 0.5250 (aec-mlb-sf-kc-2026-07-20).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mlb-sf</t>
        </is>
      </c>
      <c r="AQ63" s="24" t="inlineStr">
        <is>
          <t>San Francisco Giants</t>
        </is>
      </c>
      <c r="AR63" s="24" t="inlineStr">
        <is>
          <t>San Francisco Giants</t>
        </is>
      </c>
      <c r="AS63" s="24" t="inlineStr">
        <is>
          <t>mlb-kc</t>
        </is>
      </c>
      <c r="AT63" s="24" t="inlineStr">
        <is>
          <t>Kansas City Royals</t>
        </is>
      </c>
      <c r="AU63" s="24" t="inlineStr">
        <is>
          <t>Kansas City Royals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9c457d5cc4752804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2026-07-20T16:49:53.625598Z</t>
        </is>
      </c>
      <c r="BI63" s="24" t="inlineStr">
        <is>
          <t>["same_event","same_team_same_day","same_league_same_day"]</t>
        </is>
      </c>
      <c r="BJ63" s="25" t="n"/>
      <c r="BK63" s="26" t="n">
        <v>-111</v>
      </c>
      <c r="BL63" s="27" t="n">
        <v>1.900901</v>
      </c>
      <c r="BM63" s="28" t="n">
        <v>0.526066</v>
      </c>
      <c r="BN63" s="28" t="n">
        <v>0.522388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</row>
    <row r="64" ht="36" customHeight="1">
      <c r="A64" s="24" t="inlineStr">
        <is>
          <t>622d03ff4b5e4bae</t>
        </is>
      </c>
      <c r="B64" s="24" t="inlineStr">
        <is>
          <t>2026-07-20T16:51:22.921041Z</t>
        </is>
      </c>
      <c r="C64" s="24" t="inlineStr">
        <is>
          <t>2026-07-20T20:05:00-0400</t>
        </is>
      </c>
      <c r="D64" s="24" t="inlineStr">
        <is>
          <t>401816192</t>
        </is>
      </c>
      <c r="E64" s="24" t="inlineStr">
        <is>
          <t>MLB</t>
        </is>
      </c>
      <c r="F64" s="24" t="inlineStr">
        <is>
          <t>Chicago White Sox</t>
        </is>
      </c>
      <c r="G64" s="24" t="inlineStr">
        <is>
          <t>Texas Rangers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-160</v>
      </c>
      <c r="M64" s="27" t="n">
        <v>1.625</v>
      </c>
      <c r="N64" s="28" t="n">
        <v>0.615385</v>
      </c>
      <c r="O64" s="28" t="n">
        <v>0.524518</v>
      </c>
      <c r="P64" s="28" t="n"/>
      <c r="Q64" s="28" t="n">
        <v>-0.090867</v>
      </c>
      <c r="R64" s="26" t="n">
        <v>0</v>
      </c>
      <c r="S64" s="29" t="n">
        <v>0.75</v>
      </c>
      <c r="T64" s="24" t="inlineStr">
        <is>
          <t>mlb-elo-trend-lr-v4</t>
        </is>
      </c>
      <c r="U64" s="24" t="inlineStr">
        <is>
          <t>settled</t>
        </is>
      </c>
      <c r="V64" s="24" t="inlineStr">
        <is>
          <t>loss</t>
        </is>
      </c>
      <c r="W64" s="26" t="n">
        <v>10</v>
      </c>
      <c r="X64" s="26" t="n">
        <v>3</v>
      </c>
      <c r="Y64" s="25" t="n"/>
      <c r="Z64" s="26" t="n"/>
      <c r="AA64" s="28" t="n"/>
      <c r="AB64" s="28" t="n"/>
      <c r="AC64" s="30" t="n">
        <v>-0.75</v>
      </c>
      <c r="AD64" s="24" t="inlineStr">
        <is>
          <t>2026-07-21T03:23:00.689939Z</t>
        </is>
      </c>
      <c r="AE64" s="31" t="inlineStr">
        <is>
          <t>Learned LR call at threshold 0.5500; executable ask 0.6150 (aec-mlb-cws-tex-2026-07-20).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mlb-cws</t>
        </is>
      </c>
      <c r="AQ64" s="24" t="inlineStr">
        <is>
          <t>Chicago White Sox</t>
        </is>
      </c>
      <c r="AR64" s="24" t="inlineStr">
        <is>
          <t>Chicago White Sox</t>
        </is>
      </c>
      <c r="AS64" s="24" t="inlineStr">
        <is>
          <t>mlb-tex</t>
        </is>
      </c>
      <c r="AT64" s="24" t="inlineStr">
        <is>
          <t>Texas Rangers</t>
        </is>
      </c>
      <c r="AU64" s="24" t="inlineStr">
        <is>
          <t>Texas Rangers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87e15ff2f82f8974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2026-07-20T16:49:54.280329Z</t>
        </is>
      </c>
      <c r="BI64" s="24" t="inlineStr">
        <is>
          <t>["same_event","same_team_same_day","same_league_same_day"]</t>
        </is>
      </c>
      <c r="BJ64" s="25" t="n"/>
      <c r="BK64" s="26" t="n">
        <v>-160</v>
      </c>
      <c r="BL64" s="27" t="n">
        <v>1.625</v>
      </c>
      <c r="BM64" s="28" t="n">
        <v>0.615385</v>
      </c>
      <c r="BN64" s="28" t="n">
        <v>0.61194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</row>
    <row r="65" ht="36" customHeight="1">
      <c r="A65" s="24" t="inlineStr">
        <is>
          <t>7618df835a764a49</t>
        </is>
      </c>
      <c r="B65" s="24" t="inlineStr">
        <is>
          <t>2026-07-20T16:51:22.921041Z</t>
        </is>
      </c>
      <c r="C65" s="24" t="inlineStr">
        <is>
          <t>2026-07-20T20:05:00-0400</t>
        </is>
      </c>
      <c r="D65" s="24" t="inlineStr">
        <is>
          <t>401816193</t>
        </is>
      </c>
      <c r="E65" s="24" t="inlineStr">
        <is>
          <t>MLB</t>
        </is>
      </c>
      <c r="F65" s="24" t="inlineStr">
        <is>
          <t>Detroit Tigers</t>
        </is>
      </c>
      <c r="G65" s="24" t="inlineStr">
        <is>
          <t>Chicago Cubs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-106</v>
      </c>
      <c r="M65" s="27" t="n">
        <v>1.943396</v>
      </c>
      <c r="N65" s="28" t="n">
        <v>0.514563</v>
      </c>
      <c r="O65" s="28" t="n">
        <v>0.566967</v>
      </c>
      <c r="P65" s="28" t="n"/>
      <c r="Q65" s="28" t="n">
        <v>0.052404</v>
      </c>
      <c r="R65" s="26" t="n">
        <v>46</v>
      </c>
      <c r="S65" s="29" t="n">
        <v>1.25</v>
      </c>
      <c r="T65" s="24" t="inlineStr">
        <is>
          <t>mlb-elo-trend-lr-v4</t>
        </is>
      </c>
      <c r="U65" s="24" t="inlineStr">
        <is>
          <t>settled</t>
        </is>
      </c>
      <c r="V65" s="24" t="inlineStr">
        <is>
          <t>loss</t>
        </is>
      </c>
      <c r="W65" s="26" t="n">
        <v>8</v>
      </c>
      <c r="X65" s="26" t="n">
        <v>6</v>
      </c>
      <c r="Y65" s="25" t="n"/>
      <c r="Z65" s="26" t="n"/>
      <c r="AA65" s="28" t="n"/>
      <c r="AB65" s="28" t="n"/>
      <c r="AC65" s="30" t="n">
        <v>-1.25</v>
      </c>
      <c r="AD65" s="24" t="inlineStr">
        <is>
          <t>2026-07-21T04:41:13.078708Z</t>
        </is>
      </c>
      <c r="AE65" s="31" t="inlineStr">
        <is>
          <t>Learned LR call at threshold 0.5500; executable ask 0.5150 (aec-mlb-det-chc-2026-07-20).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mlb-det</t>
        </is>
      </c>
      <c r="AQ65" s="24" t="inlineStr">
        <is>
          <t>Detroit Tigers</t>
        </is>
      </c>
      <c r="AR65" s="24" t="inlineStr">
        <is>
          <t>Detroit Tigers</t>
        </is>
      </c>
      <c r="AS65" s="24" t="inlineStr">
        <is>
          <t>mlb-chc</t>
        </is>
      </c>
      <c r="AT65" s="24" t="inlineStr">
        <is>
          <t>Chicago Cubs</t>
        </is>
      </c>
      <c r="AU65" s="24" t="inlineStr">
        <is>
          <t>Chicago Cubs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b84afb2c70e14d93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2026-07-20T16:49:55.275935Z</t>
        </is>
      </c>
      <c r="BI65" s="24" t="inlineStr">
        <is>
          <t>["same_event","same_team_same_day","same_league_same_day"]</t>
        </is>
      </c>
      <c r="BJ65" s="25" t="n"/>
      <c r="BK65" s="26" t="n">
        <v>-106</v>
      </c>
      <c r="BL65" s="27" t="n">
        <v>1.943396</v>
      </c>
      <c r="BM65" s="28" t="n">
        <v>0.514563</v>
      </c>
      <c r="BN65" s="28" t="n">
        <v>0.5124379999999999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</row>
    <row r="66" ht="36" customHeight="1">
      <c r="A66" s="24" t="inlineStr">
        <is>
          <t>72ce2bb793db4274</t>
        </is>
      </c>
      <c r="B66" s="24" t="inlineStr">
        <is>
          <t>2026-07-20T16:51:22.921041Z</t>
        </is>
      </c>
      <c r="C66" s="24" t="inlineStr">
        <is>
          <t>2026-07-20T20:10:00-0400</t>
        </is>
      </c>
      <c r="D66" s="24" t="inlineStr">
        <is>
          <t>401816194</t>
        </is>
      </c>
      <c r="E66" s="24" t="inlineStr">
        <is>
          <t>MLB</t>
        </is>
      </c>
      <c r="F66" s="24" t="inlineStr">
        <is>
          <t>Miami Marlins</t>
        </is>
      </c>
      <c r="G66" s="24" t="inlineStr">
        <is>
          <t>Houston Astros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-115</v>
      </c>
      <c r="M66" s="27" t="n">
        <v>1.869565</v>
      </c>
      <c r="N66" s="28" t="n">
        <v>0.534884</v>
      </c>
      <c r="O66" s="28" t="n">
        <v>0.512555</v>
      </c>
      <c r="P66" s="28" t="n"/>
      <c r="Q66" s="28" t="n">
        <v>-0.022329</v>
      </c>
      <c r="R66" s="26" t="n">
        <v>9</v>
      </c>
      <c r="S66" s="29" t="n">
        <v>0.75</v>
      </c>
      <c r="T66" s="24" t="inlineStr">
        <is>
          <t>mlb-elo-trend-lr-v4</t>
        </is>
      </c>
      <c r="U66" s="24" t="inlineStr">
        <is>
          <t>settled</t>
        </is>
      </c>
      <c r="V66" s="24" t="inlineStr">
        <is>
          <t>win</t>
        </is>
      </c>
      <c r="W66" s="26" t="n">
        <v>5</v>
      </c>
      <c r="X66" s="26" t="n">
        <v>8</v>
      </c>
      <c r="Y66" s="25" t="n"/>
      <c r="Z66" s="26" t="n"/>
      <c r="AA66" s="28" t="n"/>
      <c r="AB66" s="28" t="n"/>
      <c r="AC66" s="30" t="n">
        <v>0.6522</v>
      </c>
      <c r="AD66" s="24" t="inlineStr">
        <is>
          <t>2026-07-21T03:23:01.217645Z</t>
        </is>
      </c>
      <c r="AE66" s="31" t="inlineStr">
        <is>
          <t>Learned LR call at threshold 0.5500; executable ask 0.5350 (aec-mlb-mia-hou-2026-07-20).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mlb-mia</t>
        </is>
      </c>
      <c r="AQ66" s="24" t="inlineStr">
        <is>
          <t>Miami Marlins</t>
        </is>
      </c>
      <c r="AR66" s="24" t="inlineStr">
        <is>
          <t>Miami Marlins</t>
        </is>
      </c>
      <c r="AS66" s="24" t="inlineStr">
        <is>
          <t>mlb-hou</t>
        </is>
      </c>
      <c r="AT66" s="24" t="inlineStr">
        <is>
          <t>Houston Astros</t>
        </is>
      </c>
      <c r="AU66" s="24" t="inlineStr">
        <is>
          <t>Houston Astros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ba8ef6f8648f77b7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2026-07-20T16:49:57.999184Z</t>
        </is>
      </c>
      <c r="BI66" s="24" t="inlineStr">
        <is>
          <t>["same_event","same_team_same_day","same_league_same_day"]</t>
        </is>
      </c>
      <c r="BJ66" s="25" t="n"/>
      <c r="BK66" s="26" t="n">
        <v>-115</v>
      </c>
      <c r="BL66" s="27" t="n">
        <v>1.869565</v>
      </c>
      <c r="BM66" s="28" t="n">
        <v>0.534884</v>
      </c>
      <c r="BN66" s="28" t="n">
        <v>0.532338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</row>
    <row r="67" ht="36" customHeight="1">
      <c r="A67" s="24" t="inlineStr">
        <is>
          <t>f81ea303cbeb49b7</t>
        </is>
      </c>
      <c r="B67" s="24" t="inlineStr">
        <is>
          <t>2026-07-20T16:51:22.921041Z</t>
        </is>
      </c>
      <c r="C67" s="24" t="inlineStr">
        <is>
          <t>2026-07-20T20:40:00-0400</t>
        </is>
      </c>
      <c r="D67" s="24" t="inlineStr">
        <is>
          <t>401816197</t>
        </is>
      </c>
      <c r="E67" s="24" t="inlineStr">
        <is>
          <t>MLB</t>
        </is>
      </c>
      <c r="F67" s="24" t="inlineStr">
        <is>
          <t>Washington Nationals</t>
        </is>
      </c>
      <c r="G67" s="24" t="inlineStr">
        <is>
          <t>Colorado Rockies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-117</v>
      </c>
      <c r="M67" s="27" t="n">
        <v>1.854701</v>
      </c>
      <c r="N67" s="28" t="n">
        <v>0.539171</v>
      </c>
      <c r="O67" s="28" t="n">
        <v>0.5563709999999999</v>
      </c>
      <c r="P67" s="28" t="n"/>
      <c r="Q67" s="28" t="n">
        <v>0.0172</v>
      </c>
      <c r="R67" s="26" t="n">
        <v>29</v>
      </c>
      <c r="S67" s="29" t="n">
        <v>1</v>
      </c>
      <c r="T67" s="24" t="inlineStr">
        <is>
          <t>mlb-elo-trend-lr-v4</t>
        </is>
      </c>
      <c r="U67" s="24" t="inlineStr">
        <is>
          <t>settled</t>
        </is>
      </c>
      <c r="V67" s="24" t="inlineStr">
        <is>
          <t>win</t>
        </is>
      </c>
      <c r="W67" s="26" t="n">
        <v>7</v>
      </c>
      <c r="X67" s="26" t="n">
        <v>3</v>
      </c>
      <c r="Y67" s="25" t="n"/>
      <c r="Z67" s="26" t="n"/>
      <c r="AA67" s="28" t="n"/>
      <c r="AB67" s="28" t="n"/>
      <c r="AC67" s="30" t="n">
        <v>0.8547</v>
      </c>
      <c r="AD67" s="24" t="inlineStr">
        <is>
          <t>2026-07-21T03:23:01.741923Z</t>
        </is>
      </c>
      <c r="AE67" s="31" t="inlineStr">
        <is>
          <t>Learned LR call at threshold 0.5500; executable ask 0.5400 (aec-mlb-wsh-col-2026-07-20).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mlb-wsh</t>
        </is>
      </c>
      <c r="AQ67" s="24" t="inlineStr">
        <is>
          <t>Washington Nationals</t>
        </is>
      </c>
      <c r="AR67" s="24" t="inlineStr">
        <is>
          <t>Washington Nationals</t>
        </is>
      </c>
      <c r="AS67" s="24" t="inlineStr">
        <is>
          <t>mlb-col</t>
        </is>
      </c>
      <c r="AT67" s="24" t="inlineStr">
        <is>
          <t>Colorado Rockies</t>
        </is>
      </c>
      <c r="AU67" s="24" t="inlineStr">
        <is>
          <t>Colorado Rockies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a2f336c1cee8c92e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2026-07-20T16:49:57.889100Z</t>
        </is>
      </c>
      <c r="BI67" s="24" t="inlineStr">
        <is>
          <t>["same_event","same_team_same_day","same_league_same_day"]</t>
        </is>
      </c>
      <c r="BJ67" s="25" t="n"/>
      <c r="BK67" s="26" t="n">
        <v>-117</v>
      </c>
      <c r="BL67" s="27" t="n">
        <v>1.854701</v>
      </c>
      <c r="BM67" s="28" t="n">
        <v>0.539171</v>
      </c>
      <c r="BN67" s="28" t="n">
        <v>0.537313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</row>
    <row r="68" ht="36" customHeight="1">
      <c r="A68" s="24" t="inlineStr">
        <is>
          <t>8c04d5d23e3b43ce</t>
        </is>
      </c>
      <c r="B68" s="24" t="inlineStr">
        <is>
          <t>2026-07-20T16:51:22.921041Z</t>
        </is>
      </c>
      <c r="C68" s="24" t="inlineStr">
        <is>
          <t>2026-07-20T21:40:00-0400</t>
        </is>
      </c>
      <c r="D68" s="24" t="inlineStr">
        <is>
          <t>401816198</t>
        </is>
      </c>
      <c r="E68" s="24" t="inlineStr">
        <is>
          <t>MLB</t>
        </is>
      </c>
      <c r="F68" s="24" t="inlineStr">
        <is>
          <t>Athletics</t>
        </is>
      </c>
      <c r="G68" s="24" t="inlineStr">
        <is>
          <t>Arizona Diamondbacks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-141</v>
      </c>
      <c r="M68" s="27" t="n">
        <v>1.70922</v>
      </c>
      <c r="N68" s="28" t="n">
        <v>0.585062</v>
      </c>
      <c r="O68" s="28" t="n">
        <v>0.58189</v>
      </c>
      <c r="P68" s="28" t="n"/>
      <c r="Q68" s="28" t="n">
        <v>-0.003172</v>
      </c>
      <c r="R68" s="26" t="n">
        <v>18</v>
      </c>
      <c r="S68" s="29" t="n">
        <v>1.25</v>
      </c>
      <c r="T68" s="24" t="inlineStr">
        <is>
          <t>mlb-elo-trend-lr-v4</t>
        </is>
      </c>
      <c r="U68" s="24" t="inlineStr">
        <is>
          <t>settled</t>
        </is>
      </c>
      <c r="V68" s="24" t="inlineStr">
        <is>
          <t>loss</t>
        </is>
      </c>
      <c r="W68" s="26" t="n">
        <v>5</v>
      </c>
      <c r="X68" s="26" t="n">
        <v>2</v>
      </c>
      <c r="Y68" s="25" t="n"/>
      <c r="Z68" s="26" t="n"/>
      <c r="AA68" s="28" t="n"/>
      <c r="AB68" s="28" t="n"/>
      <c r="AC68" s="30" t="n">
        <v>-1.25</v>
      </c>
      <c r="AD68" s="24" t="inlineStr">
        <is>
          <t>2026-07-21T05:20:47.162425Z</t>
        </is>
      </c>
      <c r="AE68" s="31" t="inlineStr">
        <is>
          <t>Learned LR call at threshold 0.5500; executable ask 0.5850 (aec-mlb-ath-az-2026-07-20).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mlb-ath</t>
        </is>
      </c>
      <c r="AQ68" s="24" t="inlineStr">
        <is>
          <t>Athletics</t>
        </is>
      </c>
      <c r="AR68" s="24" t="inlineStr">
        <is>
          <t>Athletics</t>
        </is>
      </c>
      <c r="AS68" s="24" t="inlineStr">
        <is>
          <t>mlb-ari</t>
        </is>
      </c>
      <c r="AT68" s="24" t="inlineStr">
        <is>
          <t>Arizona Diamondbacks</t>
        </is>
      </c>
      <c r="AU68" s="24" t="inlineStr">
        <is>
          <t>Arizona Diamondbacks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7b682aa5da86e2a4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2026-07-20T16:49:59.810461Z</t>
        </is>
      </c>
      <c r="BI68" s="24" t="inlineStr">
        <is>
          <t>["same_event","same_team_same_day","same_league_same_day"]</t>
        </is>
      </c>
      <c r="BJ68" s="25" t="n"/>
      <c r="BK68" s="26" t="n">
        <v>-141</v>
      </c>
      <c r="BL68" s="27" t="n">
        <v>1.70922</v>
      </c>
      <c r="BM68" s="28" t="n">
        <v>0.585062</v>
      </c>
      <c r="BN68" s="28" t="n">
        <v>0.58209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</row>
    <row r="69" ht="36" customHeight="1">
      <c r="A69" s="24" t="inlineStr">
        <is>
          <t>7cb37a4f69df4942</t>
        </is>
      </c>
      <c r="B69" s="24" t="inlineStr">
        <is>
          <t>2026-07-20T16:51:22.921041Z</t>
        </is>
      </c>
      <c r="C69" s="24" t="inlineStr">
        <is>
          <t>2026-07-20T21:40:00-0400</t>
        </is>
      </c>
      <c r="D69" s="24" t="inlineStr">
        <is>
          <t>401816199</t>
        </is>
      </c>
      <c r="E69" s="24" t="inlineStr">
        <is>
          <t>MLB</t>
        </is>
      </c>
      <c r="F69" s="24" t="inlineStr">
        <is>
          <t>Cincinnati Reds</t>
        </is>
      </c>
      <c r="G69" s="24" t="inlineStr">
        <is>
          <t>Seattle Mariners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-141</v>
      </c>
      <c r="M69" s="27" t="n">
        <v>1.70922</v>
      </c>
      <c r="N69" s="28" t="n">
        <v>0.585062</v>
      </c>
      <c r="O69" s="28" t="n">
        <v>0.592852</v>
      </c>
      <c r="P69" s="28" t="n"/>
      <c r="Q69" s="28" t="n">
        <v>0.00779</v>
      </c>
      <c r="R69" s="26" t="n">
        <v>24</v>
      </c>
      <c r="S69" s="29" t="n">
        <v>1.5</v>
      </c>
      <c r="T69" s="24" t="inlineStr">
        <is>
          <t>mlb-elo-trend-lr-v4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8</v>
      </c>
      <c r="Y69" s="25" t="n"/>
      <c r="Z69" s="26" t="n"/>
      <c r="AA69" s="28" t="n"/>
      <c r="AB69" s="28" t="n"/>
      <c r="AC69" s="30" t="n">
        <v>1.0638</v>
      </c>
      <c r="AD69" s="24" t="inlineStr">
        <is>
          <t>2026-07-21T04:41:13.678089Z</t>
        </is>
      </c>
      <c r="AE69" s="31" t="inlineStr">
        <is>
          <t>Learned LR call at threshold 0.5500; executable ask 0.5850 (aec-mlb-cin-sea-2026-07-20).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mlb-cin</t>
        </is>
      </c>
      <c r="AQ69" s="24" t="inlineStr">
        <is>
          <t>Cincinnati Reds</t>
        </is>
      </c>
      <c r="AR69" s="24" t="inlineStr">
        <is>
          <t>Cincinnati Reds</t>
        </is>
      </c>
      <c r="AS69" s="24" t="inlineStr">
        <is>
          <t>mlb-sea</t>
        </is>
      </c>
      <c r="AT69" s="24" t="inlineStr">
        <is>
          <t>Seattle Mariners</t>
        </is>
      </c>
      <c r="AU69" s="24" t="inlineStr">
        <is>
          <t>Seattle Mariners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af7ccafcacf69681</t>
        </is>
      </c>
      <c r="BF69" s="24" t="inlineStr">
        <is>
          <t>1</t>
        </is>
      </c>
      <c r="BG69" s="24" t="inlineStr">
        <is>
          <t>mlb-elo-trend-lr-v4</t>
        </is>
      </c>
      <c r="BH69" s="24" t="inlineStr">
        <is>
          <t>2026-07-20T16:50:00.666883Z</t>
        </is>
      </c>
      <c r="BI69" s="24" t="inlineStr">
        <is>
          <t>["same_event","same_team_same_day","same_league_same_day"]</t>
        </is>
      </c>
      <c r="BJ69" s="25" t="n"/>
      <c r="BK69" s="26" t="n">
        <v>-141</v>
      </c>
      <c r="BL69" s="27" t="n">
        <v>1.70922</v>
      </c>
      <c r="BM69" s="28" t="n">
        <v>0.585062</v>
      </c>
      <c r="BN69" s="28" t="n">
        <v>0.58209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</row>
    <row r="70" ht="36" customHeight="1">
      <c r="A70" s="24" t="inlineStr">
        <is>
          <t>94e10378aa314fd4</t>
        </is>
      </c>
      <c r="B70" s="24" t="inlineStr">
        <is>
          <t>2026-07-20T16:51:22.921041Z</t>
        </is>
      </c>
      <c r="C70" s="24" t="inlineStr">
        <is>
          <t>2026-07-20T22:00:00-0400</t>
        </is>
      </c>
      <c r="D70" s="24" t="inlineStr">
        <is>
          <t>401816200</t>
        </is>
      </c>
      <c r="E70" s="24" t="inlineStr">
        <is>
          <t>MLB</t>
        </is>
      </c>
      <c r="F70" s="24" t="inlineStr">
        <is>
          <t>St. Louis Cardinals</t>
        </is>
      </c>
      <c r="G70" s="24" t="inlineStr">
        <is>
          <t>Los Angeles Angels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102</v>
      </c>
      <c r="M70" s="27" t="n">
        <v>2.02</v>
      </c>
      <c r="N70" s="28" t="n">
        <v>0.49505</v>
      </c>
      <c r="O70" s="28" t="n">
        <v>0.52919</v>
      </c>
      <c r="P70" s="28" t="n"/>
      <c r="Q70" s="28" t="n">
        <v>0.03414</v>
      </c>
      <c r="R70" s="26" t="n">
        <v>37</v>
      </c>
      <c r="S70" s="29" t="n">
        <v>0.75</v>
      </c>
      <c r="T70" s="24" t="inlineStr">
        <is>
          <t>mlb-elo-trend-lr-v4</t>
        </is>
      </c>
      <c r="U70" s="24" t="inlineStr">
        <is>
          <t>settled</t>
        </is>
      </c>
      <c r="V70" s="24" t="inlineStr">
        <is>
          <t>loss</t>
        </is>
      </c>
      <c r="W70" s="26" t="n">
        <v>2</v>
      </c>
      <c r="X70" s="26" t="n">
        <v>3</v>
      </c>
      <c r="Y70" s="25" t="n"/>
      <c r="Z70" s="26" t="n"/>
      <c r="AA70" s="28" t="n"/>
      <c r="AB70" s="28" t="n"/>
      <c r="AC70" s="30" t="n">
        <v>-0.75</v>
      </c>
      <c r="AD70" s="24" t="inlineStr">
        <is>
          <t>2026-07-21T04:45:45.695602Z</t>
        </is>
      </c>
      <c r="AE70" s="31" t="inlineStr">
        <is>
          <t>Learned LR call at threshold 0.5500; executable ask 0.4950 (aec-mlb-stl-laa-2026-07-20).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mlb-stl</t>
        </is>
      </c>
      <c r="AQ70" s="24" t="inlineStr">
        <is>
          <t>St. Louis Cardinals</t>
        </is>
      </c>
      <c r="AR70" s="24" t="inlineStr">
        <is>
          <t>St. Louis Cardinals</t>
        </is>
      </c>
      <c r="AS70" s="24" t="inlineStr">
        <is>
          <t>mlb-laa</t>
        </is>
      </c>
      <c r="AT70" s="24" t="inlineStr">
        <is>
          <t>Los Angeles Angels</t>
        </is>
      </c>
      <c r="AU70" s="24" t="inlineStr">
        <is>
          <t>Los Angeles Angels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e8de503e18ea775f</t>
        </is>
      </c>
      <c r="BF70" s="24" t="inlineStr">
        <is>
          <t>1</t>
        </is>
      </c>
      <c r="BG70" s="24" t="inlineStr">
        <is>
          <t>mlb-elo-trend-lr-v4</t>
        </is>
      </c>
      <c r="BH70" s="24" t="inlineStr">
        <is>
          <t>2026-07-20T16:50:01.882720Z</t>
        </is>
      </c>
      <c r="BI70" s="24" t="inlineStr">
        <is>
          <t>["same_event","same_team_same_day","same_league_same_day"]</t>
        </is>
      </c>
      <c r="BJ70" s="25" t="n"/>
      <c r="BK70" s="26" t="n">
        <v>102</v>
      </c>
      <c r="BL70" s="27" t="n">
        <v>2.02</v>
      </c>
      <c r="BM70" s="28" t="n">
        <v>0.49505</v>
      </c>
      <c r="BN70" s="28" t="n">
        <v>0.492537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</row>
    <row r="71" ht="36" customHeight="1">
      <c r="A71" s="24" t="inlineStr">
        <is>
          <t>8e32ac1402eb48d9</t>
        </is>
      </c>
      <c r="B71" s="24" t="inlineStr">
        <is>
          <t>2026-07-20T16:51:29.251336Z</t>
        </is>
      </c>
      <c r="C71" s="24" t="inlineStr">
        <is>
          <t>2026-07-20T20:00:00-0400</t>
        </is>
      </c>
      <c r="D71" s="24" t="inlineStr">
        <is>
          <t>401857083</t>
        </is>
      </c>
      <c r="E71" s="24" t="inlineStr">
        <is>
          <t>WNBA</t>
        </is>
      </c>
      <c r="F71" s="24" t="inlineStr">
        <is>
          <t>Las Vegas Aces</t>
        </is>
      </c>
      <c r="G71" s="24" t="inlineStr">
        <is>
          <t>Toronto Tempo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-488</v>
      </c>
      <c r="M71" s="27" t="n">
        <v>1.204918</v>
      </c>
      <c r="N71" s="28" t="n">
        <v>0.829932</v>
      </c>
      <c r="O71" s="28" t="n">
        <v>0.6572210000000001</v>
      </c>
      <c r="P71" s="28" t="n"/>
      <c r="Q71" s="28" t="n">
        <v>-0.172711</v>
      </c>
      <c r="R71" s="26" t="n">
        <v>0</v>
      </c>
      <c r="S71" s="29" t="n">
        <v>2</v>
      </c>
      <c r="T71" s="24" t="inlineStr">
        <is>
          <t>wnba-elo-trend-lr-v3</t>
        </is>
      </c>
      <c r="U71" s="24" t="inlineStr">
        <is>
          <t>settled</t>
        </is>
      </c>
      <c r="V71" s="24" t="inlineStr">
        <is>
          <t>win</t>
        </is>
      </c>
      <c r="W71" s="26" t="n">
        <v>109</v>
      </c>
      <c r="X71" s="26" t="n">
        <v>83</v>
      </c>
      <c r="Y71" s="25" t="n"/>
      <c r="Z71" s="26" t="n"/>
      <c r="AA71" s="28" t="n"/>
      <c r="AB71" s="28" t="n"/>
      <c r="AC71" s="30" t="n">
        <v>0.4098</v>
      </c>
      <c r="AD71" s="24" t="inlineStr">
        <is>
          <t>2026-07-21T03:23:02.722081Z</t>
        </is>
      </c>
      <c r="AE71" s="31" t="inlineStr">
        <is>
          <t>Learned LR call at threshold 0.5051; executable ask 0.8300 (aec-wnba-lv-tor-2026-07-20).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NO_CALL_LARGE_DISAGREEMENT_REVIEW</t>
        </is>
      </c>
      <c r="AP71" s="24" t="inlineStr">
        <is>
          <t>wnba-lva</t>
        </is>
      </c>
      <c r="AQ71" s="24" t="inlineStr">
        <is>
          <t>Las Vegas Aces</t>
        </is>
      </c>
      <c r="AR71" s="24" t="inlineStr">
        <is>
          <t>Las Vegas Aces</t>
        </is>
      </c>
      <c r="AS71" s="24" t="inlineStr">
        <is>
          <t>wnba-tor</t>
        </is>
      </c>
      <c r="AT71" s="24" t="inlineStr">
        <is>
          <t>Toronto Tempo</t>
        </is>
      </c>
      <c r="AU71" s="24" t="inlineStr">
        <is>
          <t>Toronto Tempo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43ee2f84f025c10f83f80a8c22d49c35c420734a8a730b5f272287225cceee4b</t>
        </is>
      </c>
      <c r="BB71" s="24" t="inlineStr">
        <is>
          <t>learned_lr</t>
        </is>
      </c>
      <c r="BC71" s="24" t="inlineStr">
        <is>
          <t>wnba-elo-trend-lr-v3</t>
        </is>
      </c>
      <c r="BD71" s="24" t="inlineStr">
        <is>
          <t>43ee2f84f025c10f83f80a8c22d49c35c420734a8a730b5f272287225cceee4b</t>
        </is>
      </c>
      <c r="BE71" s="24" t="inlineStr">
        <is>
          <t>32740a9f4976946d</t>
        </is>
      </c>
      <c r="BF71" s="24" t="inlineStr">
        <is>
          <t>1</t>
        </is>
      </c>
      <c r="BG71" s="24" t="inlineStr">
        <is>
          <t>wnba-elo-trend-lr-v3</t>
        </is>
      </c>
      <c r="BH71" s="24" t="inlineStr">
        <is>
          <t>2026-07-20T16:50:03.139284Z</t>
        </is>
      </c>
      <c r="BI71" s="24" t="inlineStr">
        <is>
          <t>["same_event","same_team_same_day","same_league_same_day"]</t>
        </is>
      </c>
      <c r="BJ71" s="25" t="n"/>
      <c r="BK71" s="26" t="n">
        <v>-488</v>
      </c>
      <c r="BL71" s="27" t="n">
        <v>1.204918</v>
      </c>
      <c r="BM71" s="28" t="n">
        <v>0.829932</v>
      </c>
      <c r="BN71" s="28" t="n">
        <v>0.821782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</row>
    <row r="72" ht="36" customHeight="1">
      <c r="A72" s="24" t="inlineStr">
        <is>
          <t>bad6de5495784c26</t>
        </is>
      </c>
      <c r="B72" s="24" t="inlineStr">
        <is>
          <t>2026-07-20T16:51:29.251336Z</t>
        </is>
      </c>
      <c r="C72" s="24" t="inlineStr">
        <is>
          <t>2026-07-20T20:00:00-0400</t>
        </is>
      </c>
      <c r="D72" s="24" t="inlineStr">
        <is>
          <t>401892393</t>
        </is>
      </c>
      <c r="E72" s="24" t="inlineStr">
        <is>
          <t>WNBA</t>
        </is>
      </c>
      <c r="F72" s="24" t="inlineStr">
        <is>
          <t>New York Liberty</t>
        </is>
      </c>
      <c r="G72" s="24" t="inlineStr">
        <is>
          <t>Dallas Wings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150</v>
      </c>
      <c r="M72" s="27" t="n">
        <v>2.5</v>
      </c>
      <c r="N72" s="28" t="n">
        <v>0.4</v>
      </c>
      <c r="O72" s="28" t="n">
        <v>0.751217</v>
      </c>
      <c r="P72" s="28" t="n"/>
      <c r="Q72" s="28" t="n">
        <v>0.351217</v>
      </c>
      <c r="R72" s="26" t="n">
        <v>100</v>
      </c>
      <c r="S72" s="29" t="n">
        <v>2</v>
      </c>
      <c r="T72" s="24" t="inlineStr">
        <is>
          <t>wnba-elo-trend-lr-v3</t>
        </is>
      </c>
      <c r="U72" s="24" t="inlineStr">
        <is>
          <t>settled</t>
        </is>
      </c>
      <c r="V72" s="24" t="inlineStr">
        <is>
          <t>loss</t>
        </is>
      </c>
      <c r="W72" s="26" t="n">
        <v>99</v>
      </c>
      <c r="X72" s="26" t="n">
        <v>98</v>
      </c>
      <c r="Y72" s="25" t="n"/>
      <c r="Z72" s="26" t="n"/>
      <c r="AA72" s="28" t="n"/>
      <c r="AB72" s="28" t="n"/>
      <c r="AC72" s="30" t="n">
        <v>-2</v>
      </c>
      <c r="AD72" s="24" t="inlineStr">
        <is>
          <t>2026-07-21T03:23:03.319616Z</t>
        </is>
      </c>
      <c r="AE72" s="31" t="inlineStr">
        <is>
          <t>Learned LR call at threshold 0.5051; executable ask 0.4000 (aec-wnba-ny-dal-2026-07-20).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NO_CALL_LARGE_DISAGREEMENT_REVIEW</t>
        </is>
      </c>
      <c r="AP72" s="24" t="inlineStr">
        <is>
          <t>wnba-nyl</t>
        </is>
      </c>
      <c r="AQ72" s="24" t="inlineStr">
        <is>
          <t>New York Liberty</t>
        </is>
      </c>
      <c r="AR72" s="24" t="inlineStr">
        <is>
          <t>New York Liberty</t>
        </is>
      </c>
      <c r="AS72" s="24" t="inlineStr">
        <is>
          <t>wnba-dal</t>
        </is>
      </c>
      <c r="AT72" s="24" t="inlineStr">
        <is>
          <t>Dallas Wings</t>
        </is>
      </c>
      <c r="AU72" s="24" t="inlineStr">
        <is>
          <t>Dallas Wings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43ee2f84f025c10f83f80a8c22d49c35c420734a8a730b5f272287225cceee4b</t>
        </is>
      </c>
      <c r="BB72" s="24" t="inlineStr">
        <is>
          <t>learned_lr</t>
        </is>
      </c>
      <c r="BC72" s="24" t="inlineStr">
        <is>
          <t>wnba-elo-trend-lr-v3</t>
        </is>
      </c>
      <c r="BD72" s="24" t="inlineStr">
        <is>
          <t>43ee2f84f025c10f83f80a8c22d49c35c420734a8a730b5f272287225cceee4b</t>
        </is>
      </c>
      <c r="BE72" s="24" t="inlineStr">
        <is>
          <t>3b474aa853a60d81</t>
        </is>
      </c>
      <c r="BF72" s="24" t="inlineStr">
        <is>
          <t>1</t>
        </is>
      </c>
      <c r="BG72" s="24" t="inlineStr">
        <is>
          <t>wnba-elo-trend-lr-v3</t>
        </is>
      </c>
      <c r="BH72" s="24" t="inlineStr">
        <is>
          <t>2026-07-20T16:50:05.640054Z</t>
        </is>
      </c>
      <c r="BI72" s="24" t="inlineStr">
        <is>
          <t>["same_event","same_team_same_day","same_league_same_day"]</t>
        </is>
      </c>
      <c r="BJ72" s="25" t="n"/>
      <c r="BK72" s="26" t="n">
        <v>150</v>
      </c>
      <c r="BL72" s="27" t="n">
        <v>2.5</v>
      </c>
      <c r="BM72" s="28" t="n">
        <v>0.4</v>
      </c>
      <c r="BN72" s="28" t="n">
        <v>0.39604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</row>
    <row r="73" ht="36" customHeight="1">
      <c r="A73" s="24" t="inlineStr">
        <is>
          <t>1448d26963064074</t>
        </is>
      </c>
      <c r="B73" s="24" t="inlineStr">
        <is>
          <t>2026-07-20T16:51:29.251336Z</t>
        </is>
      </c>
      <c r="C73" s="24" t="inlineStr">
        <is>
          <t>2026-07-20T22:00:00-0400</t>
        </is>
      </c>
      <c r="D73" s="24" t="inlineStr">
        <is>
          <t>401857084</t>
        </is>
      </c>
      <c r="E73" s="24" t="inlineStr">
        <is>
          <t>WNBA</t>
        </is>
      </c>
      <c r="F73" s="24" t="inlineStr">
        <is>
          <t>Washington Mystics</t>
        </is>
      </c>
      <c r="G73" s="24" t="inlineStr">
        <is>
          <t>Golden State Valkyries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-317</v>
      </c>
      <c r="M73" s="27" t="n">
        <v>1.315457</v>
      </c>
      <c r="N73" s="28" t="n">
        <v>0.760192</v>
      </c>
      <c r="O73" s="28" t="n">
        <v>0.750463</v>
      </c>
      <c r="P73" s="28" t="n"/>
      <c r="Q73" s="28" t="n">
        <v>-0.009729</v>
      </c>
      <c r="R73" s="26" t="n">
        <v>15</v>
      </c>
      <c r="S73" s="29" t="n">
        <v>2</v>
      </c>
      <c r="T73" s="24" t="inlineStr">
        <is>
          <t>wnba-elo-trend-lr-v3</t>
        </is>
      </c>
      <c r="U73" s="24" t="inlineStr">
        <is>
          <t>settled</t>
        </is>
      </c>
      <c r="V73" s="24" t="inlineStr">
        <is>
          <t>loss</t>
        </is>
      </c>
      <c r="W73" s="26" t="n">
        <v>90</v>
      </c>
      <c r="X73" s="26" t="n">
        <v>82</v>
      </c>
      <c r="Y73" s="25" t="n"/>
      <c r="Z73" s="26" t="n"/>
      <c r="AA73" s="28" t="n"/>
      <c r="AB73" s="28" t="n"/>
      <c r="AC73" s="30" t="n">
        <v>-2</v>
      </c>
      <c r="AD73" s="24" t="inlineStr">
        <is>
          <t>2026-07-21T04:41:14.522877Z</t>
        </is>
      </c>
      <c r="AE73" s="31" t="inlineStr">
        <is>
          <t>Learned LR call at threshold 0.5051; executable ask 0.7600 (aec-wnba-wsh-gsv-2026-07-20).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wnba-was</t>
        </is>
      </c>
      <c r="AQ73" s="24" t="inlineStr">
        <is>
          <t>Washington Mystics</t>
        </is>
      </c>
      <c r="AR73" s="24" t="inlineStr">
        <is>
          <t>Washington Mystics</t>
        </is>
      </c>
      <c r="AS73" s="24" t="inlineStr">
        <is>
          <t>wnba-gsv</t>
        </is>
      </c>
      <c r="AT73" s="24" t="inlineStr">
        <is>
          <t>Golden State Valkyries</t>
        </is>
      </c>
      <c r="AU73" s="24" t="inlineStr">
        <is>
          <t>Golden State Valkyries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43ee2f84f025c10f83f80a8c22d49c35c420734a8a730b5f272287225cceee4b</t>
        </is>
      </c>
      <c r="BB73" s="24" t="inlineStr">
        <is>
          <t>learned_lr</t>
        </is>
      </c>
      <c r="BC73" s="24" t="inlineStr">
        <is>
          <t>wnba-elo-trend-lr-v3</t>
        </is>
      </c>
      <c r="BD73" s="24" t="inlineStr">
        <is>
          <t>43ee2f84f025c10f83f80a8c22d49c35c420734a8a730b5f272287225cceee4b</t>
        </is>
      </c>
      <c r="BE73" s="24" t="inlineStr">
        <is>
          <t>a82314f65618b567</t>
        </is>
      </c>
      <c r="BF73" s="24" t="inlineStr">
        <is>
          <t>1</t>
        </is>
      </c>
      <c r="BG73" s="24" t="inlineStr">
        <is>
          <t>wnba-elo-trend-lr-v3</t>
        </is>
      </c>
      <c r="BH73" s="24" t="inlineStr">
        <is>
          <t>2026-07-20T16:50:08.487466Z</t>
        </is>
      </c>
      <c r="BI73" s="24" t="inlineStr">
        <is>
          <t>["same_event","same_team_same_day","same_league_same_day"]</t>
        </is>
      </c>
      <c r="BJ73" s="25" t="n"/>
      <c r="BK73" s="26" t="n">
        <v>-317</v>
      </c>
      <c r="BL73" s="27" t="n">
        <v>1.315457</v>
      </c>
      <c r="BM73" s="28" t="n">
        <v>0.760192</v>
      </c>
      <c r="BN73" s="28" t="n">
        <v>0.752475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</row>
    <row r="74" ht="36" customHeight="1">
      <c r="A74" s="24" t="inlineStr">
        <is>
          <t>88b26afefe2f4e23</t>
        </is>
      </c>
      <c r="B74" s="24" t="inlineStr">
        <is>
          <t>2026-07-20T16:51:29.251336Z</t>
        </is>
      </c>
      <c r="C74" s="24" t="inlineStr">
        <is>
          <t>2026-07-20T22:00:00-0400</t>
        </is>
      </c>
      <c r="D74" s="24" t="inlineStr">
        <is>
          <t>401857085</t>
        </is>
      </c>
      <c r="E74" s="24" t="inlineStr">
        <is>
          <t>WNBA</t>
        </is>
      </c>
      <c r="F74" s="24" t="inlineStr">
        <is>
          <t>Minnesota Lynx</t>
        </is>
      </c>
      <c r="G74" s="24" t="inlineStr">
        <is>
          <t>Seattle Storm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-426</v>
      </c>
      <c r="M74" s="27" t="n">
        <v>1.234742</v>
      </c>
      <c r="N74" s="28" t="n">
        <v>0.809886</v>
      </c>
      <c r="O74" s="28" t="n">
        <v>0.738843</v>
      </c>
      <c r="P74" s="28" t="n"/>
      <c r="Q74" s="28" t="n">
        <v>-0.071043</v>
      </c>
      <c r="R74" s="26" t="n">
        <v>0</v>
      </c>
      <c r="S74" s="29" t="n">
        <v>2</v>
      </c>
      <c r="T74" s="24" t="inlineStr">
        <is>
          <t>wnba-elo-trend-lr-v3</t>
        </is>
      </c>
      <c r="U74" s="24" t="inlineStr">
        <is>
          <t>settled</t>
        </is>
      </c>
      <c r="V74" s="24" t="inlineStr">
        <is>
          <t>win</t>
        </is>
      </c>
      <c r="W74" s="26" t="n">
        <v>105</v>
      </c>
      <c r="X74" s="26" t="n">
        <v>102</v>
      </c>
      <c r="Y74" s="25" t="n"/>
      <c r="Z74" s="26" t="n"/>
      <c r="AA74" s="28" t="n"/>
      <c r="AB74" s="28" t="n"/>
      <c r="AC74" s="30" t="n">
        <v>0.4695</v>
      </c>
      <c r="AD74" s="24" t="inlineStr">
        <is>
          <t>2026-07-21T04:41:15.120452Z</t>
        </is>
      </c>
      <c r="AE74" s="31" t="inlineStr">
        <is>
          <t>Learned LR call at threshold 0.5051; executable ask 0.8100 (aec-wnba-min-sea-2026-07-20).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wnba-min</t>
        </is>
      </c>
      <c r="AQ74" s="24" t="inlineStr">
        <is>
          <t>Minnesota Lynx</t>
        </is>
      </c>
      <c r="AR74" s="24" t="inlineStr">
        <is>
          <t>Minnesota Lynx</t>
        </is>
      </c>
      <c r="AS74" s="24" t="inlineStr">
        <is>
          <t>wnba-sea</t>
        </is>
      </c>
      <c r="AT74" s="24" t="inlineStr">
        <is>
          <t>Seattle Storm</t>
        </is>
      </c>
      <c r="AU74" s="24" t="inlineStr">
        <is>
          <t>Seattle Storm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43ee2f84f025c10f83f80a8c22d49c35c420734a8a730b5f272287225cceee4b</t>
        </is>
      </c>
      <c r="BB74" s="24" t="inlineStr">
        <is>
          <t>learned_lr</t>
        </is>
      </c>
      <c r="BC74" s="24" t="inlineStr">
        <is>
          <t>wnba-elo-trend-lr-v3</t>
        </is>
      </c>
      <c r="BD74" s="24" t="inlineStr">
        <is>
          <t>43ee2f84f025c10f83f80a8c22d49c35c420734a8a730b5f272287225cceee4b</t>
        </is>
      </c>
      <c r="BE74" s="24" t="inlineStr">
        <is>
          <t>c7928758cc04b6e5</t>
        </is>
      </c>
      <c r="BF74" s="24" t="inlineStr">
        <is>
          <t>1</t>
        </is>
      </c>
      <c r="BG74" s="24" t="inlineStr">
        <is>
          <t>wnba-elo-trend-lr-v3</t>
        </is>
      </c>
      <c r="BH74" s="24" t="inlineStr">
        <is>
          <t>2026-07-20T16:50:09.431257Z</t>
        </is>
      </c>
      <c r="BI74" s="24" t="inlineStr">
        <is>
          <t>["same_event","same_team_same_day","same_league_same_day"]</t>
        </is>
      </c>
      <c r="BJ74" s="25" t="n"/>
      <c r="BK74" s="26" t="n">
        <v>-426</v>
      </c>
      <c r="BL74" s="27" t="n">
        <v>1.234742</v>
      </c>
      <c r="BM74" s="28" t="n">
        <v>0.809886</v>
      </c>
      <c r="BN74" s="28" t="n">
        <v>0.80198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</row>
    <row r="75" ht="36" customHeight="1">
      <c r="A75" s="24" t="inlineStr">
        <is>
          <t>2fbc2b79245d4053</t>
        </is>
      </c>
      <c r="B75" s="24" t="inlineStr">
        <is>
          <t>2026-07-21T08:28:27.770993Z</t>
        </is>
      </c>
      <c r="C75" s="24" t="inlineStr">
        <is>
          <t>2026-07-21T18:40:00-0400</t>
        </is>
      </c>
      <c r="D75" s="24" t="inlineStr">
        <is>
          <t>401816202</t>
        </is>
      </c>
      <c r="E75" s="24" t="inlineStr">
        <is>
          <t>MLB</t>
        </is>
      </c>
      <c r="F75" s="24" t="inlineStr">
        <is>
          <t>Los Angeles Dodgers</t>
        </is>
      </c>
      <c r="G75" s="24" t="inlineStr">
        <is>
          <t>Philadelphia Phillies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122</v>
      </c>
      <c r="M75" s="27" t="n">
        <v>2.22</v>
      </c>
      <c r="N75" s="28" t="n">
        <v>0.45045</v>
      </c>
      <c r="O75" s="28" t="n">
        <v>0.513332</v>
      </c>
      <c r="P75" s="28" t="n"/>
      <c r="Q75" s="28" t="n">
        <v>0.06288199999999999</v>
      </c>
      <c r="R75" s="26" t="n">
        <v>51</v>
      </c>
      <c r="S75" s="29" t="n">
        <v>0.75</v>
      </c>
      <c r="T75" s="24" t="inlineStr">
        <is>
          <t>mlb-elo-trend-lr-v4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0.5500; executable ask 0.4500 (aec-mlb-lad-phi-2026-07-21).</t>
        </is>
      </c>
      <c r="AF75" s="31" t="inlineStr">
        <is>
          <t>Learned model; promotion gate not yet open; zero-unit research until review.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mlb-lad</t>
        </is>
      </c>
      <c r="AQ75" s="24" t="inlineStr">
        <is>
          <t>Los Angeles Dodgers</t>
        </is>
      </c>
      <c r="AR75" s="24" t="inlineStr">
        <is>
          <t>Los Angeles Dodgers</t>
        </is>
      </c>
      <c r="AS75" s="24" t="inlineStr">
        <is>
          <t>mlb-phi</t>
        </is>
      </c>
      <c r="AT75" s="24" t="inlineStr">
        <is>
          <t>Philadelphia Phillies</t>
        </is>
      </c>
      <c r="AU75" s="24" t="inlineStr">
        <is>
          <t>Philadelphia Phillies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learned_lr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cc29cdcc7ec0bfcf</t>
        </is>
      </c>
      <c r="BF75" s="24" t="inlineStr">
        <is>
          <t>1</t>
        </is>
      </c>
      <c r="BG75" s="24" t="inlineStr">
        <is>
          <t>mlb-elo-trend-lr-v4</t>
        </is>
      </c>
      <c r="BH75" s="24" t="inlineStr">
        <is>
          <t>2026-07-21T08:27:39.252448Z</t>
        </is>
      </c>
      <c r="BI75" s="24" t="inlineStr">
        <is>
          <t>["same_event","same_team_same_day","same_league_same_day"]</t>
        </is>
      </c>
      <c r="BJ75" s="25" t="n"/>
      <c r="BK75" s="26" t="n">
        <v>122</v>
      </c>
      <c r="BL75" s="27" t="n">
        <v>2.22</v>
      </c>
      <c r="BM75" s="28" t="n">
        <v>0.45045</v>
      </c>
      <c r="BN75" s="28" t="n">
        <v>0.447761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</row>
    <row r="76" ht="36" customHeight="1">
      <c r="A76" s="24" t="inlineStr">
        <is>
          <t>e53ba00de9384c94</t>
        </is>
      </c>
      <c r="B76" s="24" t="inlineStr">
        <is>
          <t>2026-07-21T08:28:27.770993Z</t>
        </is>
      </c>
      <c r="C76" s="24" t="inlineStr">
        <is>
          <t>2026-07-21T18:40:00-0400</t>
        </is>
      </c>
      <c r="D76" s="24" t="inlineStr">
        <is>
          <t>401816203</t>
        </is>
      </c>
      <c r="E76" s="24" t="inlineStr">
        <is>
          <t>MLB</t>
        </is>
      </c>
      <c r="F76" s="24" t="inlineStr">
        <is>
          <t>Minnesota Twins</t>
        </is>
      </c>
      <c r="G76" s="24" t="inlineStr">
        <is>
          <t>Cleveland Guardians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-135</v>
      </c>
      <c r="M76" s="27" t="n">
        <v>1.740741</v>
      </c>
      <c r="N76" s="28" t="n">
        <v>0.574468</v>
      </c>
      <c r="O76" s="28" t="n">
        <v>0.5726869999999999</v>
      </c>
      <c r="P76" s="28" t="n"/>
      <c r="Q76" s="28" t="n">
        <v>-0.001781</v>
      </c>
      <c r="R76" s="26" t="n">
        <v>19</v>
      </c>
      <c r="S76" s="29" t="n">
        <v>1.25</v>
      </c>
      <c r="T76" s="24" t="inlineStr">
        <is>
          <t>mlb-elo-trend-lr-v4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0.5500; executable ask 0.5750 (aec-mlb-min-cle-2026-07-21).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mlb-min</t>
        </is>
      </c>
      <c r="AQ76" s="24" t="inlineStr">
        <is>
          <t>Minnesota Twins</t>
        </is>
      </c>
      <c r="AR76" s="24" t="inlineStr">
        <is>
          <t>Minnesota Twins</t>
        </is>
      </c>
      <c r="AS76" s="24" t="inlineStr">
        <is>
          <t>mlb-cle</t>
        </is>
      </c>
      <c r="AT76" s="24" t="inlineStr">
        <is>
          <t>Cleveland Guardians</t>
        </is>
      </c>
      <c r="AU76" s="24" t="inlineStr">
        <is>
          <t>Cleveland Guardians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learned_lr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b2d94e21762e8b04</t>
        </is>
      </c>
      <c r="BF76" s="24" t="inlineStr">
        <is>
          <t>1</t>
        </is>
      </c>
      <c r="BG76" s="24" t="inlineStr">
        <is>
          <t>mlb-elo-trend-lr-v4</t>
        </is>
      </c>
      <c r="BH76" s="24" t="inlineStr">
        <is>
          <t>2026-07-21T08:27:41.060704Z</t>
        </is>
      </c>
      <c r="BI76" s="24" t="inlineStr">
        <is>
          <t>["same_event","same_team_same_day","same_league_same_day"]</t>
        </is>
      </c>
      <c r="BJ76" s="25" t="n"/>
      <c r="BK76" s="26" t="n">
        <v>-135</v>
      </c>
      <c r="BL76" s="27" t="n">
        <v>1.740741</v>
      </c>
      <c r="BM76" s="28" t="n">
        <v>0.574468</v>
      </c>
      <c r="BN76" s="28" t="n">
        <v>0.572139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</row>
    <row r="77" ht="36" customHeight="1">
      <c r="A77" s="24" t="inlineStr">
        <is>
          <t>9d86268c14a64d05</t>
        </is>
      </c>
      <c r="B77" s="24" t="inlineStr">
        <is>
          <t>2026-07-21T08:28:27.770993Z</t>
        </is>
      </c>
      <c r="C77" s="24" t="inlineStr">
        <is>
          <t>2026-07-21T19:05:00-0400</t>
        </is>
      </c>
      <c r="D77" s="24" t="inlineStr">
        <is>
          <t>401816204</t>
        </is>
      </c>
      <c r="E77" s="24" t="inlineStr">
        <is>
          <t>MLB</t>
        </is>
      </c>
      <c r="F77" s="24" t="inlineStr">
        <is>
          <t>Pittsburgh Pirates</t>
        </is>
      </c>
      <c r="G77" s="24" t="inlineStr">
        <is>
          <t>New York Yankees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-138</v>
      </c>
      <c r="M77" s="27" t="n">
        <v>1.724638</v>
      </c>
      <c r="N77" s="28" t="n">
        <v>0.579832</v>
      </c>
      <c r="O77" s="28" t="n">
        <v>0.578558</v>
      </c>
      <c r="P77" s="28" t="n"/>
      <c r="Q77" s="28" t="n">
        <v>-0.001274</v>
      </c>
      <c r="R77" s="26" t="n">
        <v>19</v>
      </c>
      <c r="S77" s="29" t="n">
        <v>1.25</v>
      </c>
      <c r="T77" s="24" t="inlineStr">
        <is>
          <t>mlb-elo-trend-lr-v4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Learned LR call at threshold 0.5500; executable ask 0.5800 (aec-mlb-pit-nyy-2026-07-21).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mlb-pit</t>
        </is>
      </c>
      <c r="AQ77" s="24" t="inlineStr">
        <is>
          <t>Pittsburgh Pirates</t>
        </is>
      </c>
      <c r="AR77" s="24" t="inlineStr">
        <is>
          <t>Pittsburgh Pirates</t>
        </is>
      </c>
      <c r="AS77" s="24" t="inlineStr">
        <is>
          <t>mlb-nyy</t>
        </is>
      </c>
      <c r="AT77" s="24" t="inlineStr">
        <is>
          <t>New York Yankees</t>
        </is>
      </c>
      <c r="AU77" s="24" t="inlineStr">
        <is>
          <t>New York Yankees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5224fb6ffbc9ddf8fa517627b830ac851192da94d241963d556945393a42bb9d</t>
        </is>
      </c>
      <c r="BB77" s="24" t="inlineStr">
        <is>
          <t>learned_lr</t>
        </is>
      </c>
      <c r="BC77" s="24" t="inlineStr">
        <is>
          <t>mlb-elo-trend-lr-v4</t>
        </is>
      </c>
      <c r="BD77" s="24" t="inlineStr">
        <is>
          <t>5224fb6ffbc9ddf8fa517627b830ac851192da94d241963d556945393a42bb9d</t>
        </is>
      </c>
      <c r="BE77" s="24" t="inlineStr">
        <is>
          <t>bbfea681245ee8a0</t>
        </is>
      </c>
      <c r="BF77" s="24" t="inlineStr">
        <is>
          <t>1</t>
        </is>
      </c>
      <c r="BG77" s="24" t="inlineStr">
        <is>
          <t>mlb-elo-trend-lr-v4</t>
        </is>
      </c>
      <c r="BH77" s="24" t="inlineStr">
        <is>
          <t>2026-07-21T08:27:42.785839Z</t>
        </is>
      </c>
      <c r="BI77" s="24" t="inlineStr">
        <is>
          <t>["same_event","same_team_same_day","same_league_same_day"]</t>
        </is>
      </c>
      <c r="BJ77" s="25" t="n"/>
      <c r="BK77" s="26" t="n">
        <v>-138</v>
      </c>
      <c r="BL77" s="27" t="n">
        <v>1.724638</v>
      </c>
      <c r="BM77" s="28" t="n">
        <v>0.579832</v>
      </c>
      <c r="BN77" s="28" t="n">
        <v>0.577114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</row>
    <row r="78" ht="36" customHeight="1">
      <c r="A78" s="24" t="inlineStr">
        <is>
          <t>4ba01e9000de466e</t>
        </is>
      </c>
      <c r="B78" s="24" t="inlineStr">
        <is>
          <t>2026-07-21T08:28:27.770993Z</t>
        </is>
      </c>
      <c r="C78" s="24" t="inlineStr">
        <is>
          <t>2026-07-21T19:07:00-0400</t>
        </is>
      </c>
      <c r="D78" s="24" t="inlineStr">
        <is>
          <t>401816206</t>
        </is>
      </c>
      <c r="E78" s="24" t="inlineStr">
        <is>
          <t>MLB</t>
        </is>
      </c>
      <c r="F78" s="24" t="inlineStr">
        <is>
          <t>Tampa Bay Rays</t>
        </is>
      </c>
      <c r="G78" s="24" t="inlineStr">
        <is>
          <t>Toronto Blue Jays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104</v>
      </c>
      <c r="M78" s="27" t="n">
        <v>2.04</v>
      </c>
      <c r="N78" s="28" t="n">
        <v>0.490196</v>
      </c>
      <c r="O78" s="28" t="n">
        <v>0.530206</v>
      </c>
      <c r="P78" s="28" t="n"/>
      <c r="Q78" s="28" t="n">
        <v>0.04001</v>
      </c>
      <c r="R78" s="26" t="n">
        <v>40</v>
      </c>
      <c r="S78" s="29" t="n">
        <v>0.75</v>
      </c>
      <c r="T78" s="24" t="inlineStr">
        <is>
          <t>mlb-elo-trend-lr-v4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Learned LR call at threshold 0.5500; executable ask 0.4900 (aec-mlb-tb-tor-2026-07-21).</t>
        </is>
      </c>
      <c r="AF78" s="31" t="inlineStr">
        <is>
          <t>Learned model; promotion gate not yet open; zero-unit research until review.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mlb-tb</t>
        </is>
      </c>
      <c r="AQ78" s="24" t="inlineStr">
        <is>
          <t>Tampa Bay Rays</t>
        </is>
      </c>
      <c r="AR78" s="24" t="inlineStr">
        <is>
          <t>Tampa Bay Rays</t>
        </is>
      </c>
      <c r="AS78" s="24" t="inlineStr">
        <is>
          <t>mlb-tor</t>
        </is>
      </c>
      <c r="AT78" s="24" t="inlineStr">
        <is>
          <t>Toronto Blue Jays</t>
        </is>
      </c>
      <c r="AU78" s="24" t="inlineStr">
        <is>
          <t>Toronto Blue Jays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5224fb6ffbc9ddf8fa517627b830ac851192da94d241963d556945393a42bb9d</t>
        </is>
      </c>
      <c r="BB78" s="24" t="inlineStr">
        <is>
          <t>learned_lr</t>
        </is>
      </c>
      <c r="BC78" s="24" t="inlineStr">
        <is>
          <t>mlb-elo-trend-lr-v4</t>
        </is>
      </c>
      <c r="BD78" s="24" t="inlineStr">
        <is>
          <t>5224fb6ffbc9ddf8fa517627b830ac851192da94d241963d556945393a42bb9d</t>
        </is>
      </c>
      <c r="BE78" s="24" t="inlineStr">
        <is>
          <t>57b255d9a4df2ad7</t>
        </is>
      </c>
      <c r="BF78" s="24" t="inlineStr">
        <is>
          <t>1</t>
        </is>
      </c>
      <c r="BG78" s="24" t="inlineStr">
        <is>
          <t>mlb-elo-trend-lr-v4</t>
        </is>
      </c>
      <c r="BH78" s="24" t="inlineStr">
        <is>
          <t>2026-07-21T08:27:44.297321Z</t>
        </is>
      </c>
      <c r="BI78" s="24" t="inlineStr">
        <is>
          <t>["same_event","same_team_same_day","same_league_same_day"]</t>
        </is>
      </c>
      <c r="BJ78" s="25" t="n"/>
      <c r="BK78" s="26" t="n">
        <v>104</v>
      </c>
      <c r="BL78" s="27" t="n">
        <v>2.04</v>
      </c>
      <c r="BM78" s="28" t="n">
        <v>0.490196</v>
      </c>
      <c r="BN78" s="28" t="n">
        <v>0.487562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</row>
    <row r="79" ht="36" customHeight="1">
      <c r="A79" s="24" t="inlineStr">
        <is>
          <t>31e5100d6eb34c2d</t>
        </is>
      </c>
      <c r="B79" s="24" t="inlineStr">
        <is>
          <t>2026-07-21T08:28:27.770993Z</t>
        </is>
      </c>
      <c r="C79" s="24" t="inlineStr">
        <is>
          <t>2026-07-21T19:10:00-0400</t>
        </is>
      </c>
      <c r="D79" s="24" t="inlineStr">
        <is>
          <t>401816201</t>
        </is>
      </c>
      <c r="E79" s="24" t="inlineStr">
        <is>
          <t>MLB</t>
        </is>
      </c>
      <c r="F79" s="24" t="inlineStr">
        <is>
          <t>Baltimore Orioles</t>
        </is>
      </c>
      <c r="G79" s="24" t="inlineStr">
        <is>
          <t>Boston Red Sox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-130</v>
      </c>
      <c r="M79" s="27" t="n">
        <v>1.769231</v>
      </c>
      <c r="N79" s="28" t="n">
        <v>0.565217</v>
      </c>
      <c r="O79" s="28" t="n">
        <v>0.565797</v>
      </c>
      <c r="P79" s="28" t="n"/>
      <c r="Q79" s="28" t="n">
        <v>0.00058</v>
      </c>
      <c r="R79" s="26" t="n">
        <v>20</v>
      </c>
      <c r="S79" s="29" t="n">
        <v>1.25</v>
      </c>
      <c r="T79" s="24" t="inlineStr">
        <is>
          <t>mlb-elo-trend-lr-v4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0.5500; executable ask 0.5650 (aec-mlb-bal-bos-2026-07-21).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mlb-bal</t>
        </is>
      </c>
      <c r="AQ79" s="24" t="inlineStr">
        <is>
          <t>Baltimore Orioles</t>
        </is>
      </c>
      <c r="AR79" s="24" t="inlineStr">
        <is>
          <t>Baltimore Orioles</t>
        </is>
      </c>
      <c r="AS79" s="24" t="inlineStr">
        <is>
          <t>mlb-bos</t>
        </is>
      </c>
      <c r="AT79" s="24" t="inlineStr">
        <is>
          <t>Boston Red Sox</t>
        </is>
      </c>
      <c r="AU79" s="24" t="inlineStr">
        <is>
          <t>Boston Red Sox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5224fb6ffbc9ddf8fa517627b830ac851192da94d241963d556945393a42bb9d</t>
        </is>
      </c>
      <c r="BB79" s="24" t="inlineStr">
        <is>
          <t>learned_lr</t>
        </is>
      </c>
      <c r="BC79" s="24" t="inlineStr">
        <is>
          <t>mlb-elo-trend-lr-v4</t>
        </is>
      </c>
      <c r="BD79" s="24" t="inlineStr">
        <is>
          <t>5224fb6ffbc9ddf8fa517627b830ac851192da94d241963d556945393a42bb9d</t>
        </is>
      </c>
      <c r="BE79" s="24" t="inlineStr">
        <is>
          <t>ecacfea8d3f2b657</t>
        </is>
      </c>
      <c r="BF79" s="24" t="inlineStr">
        <is>
          <t>1</t>
        </is>
      </c>
      <c r="BG79" s="24" t="inlineStr">
        <is>
          <t>mlb-elo-trend-lr-v4</t>
        </is>
      </c>
      <c r="BH79" s="24" t="inlineStr">
        <is>
          <t>2026-07-21T08:27:45.937227Z</t>
        </is>
      </c>
      <c r="BI79" s="24" t="inlineStr">
        <is>
          <t>["same_event","same_team_same_day","same_league_same_day"]</t>
        </is>
      </c>
      <c r="BJ79" s="25" t="n"/>
      <c r="BK79" s="26" t="n">
        <v>-130</v>
      </c>
      <c r="BL79" s="27" t="n">
        <v>1.769231</v>
      </c>
      <c r="BM79" s="28" t="n">
        <v>0.565217</v>
      </c>
      <c r="BN79" s="28" t="n">
        <v>0.562189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</row>
    <row r="80" ht="36" customHeight="1">
      <c r="A80" s="24" t="inlineStr">
        <is>
          <t>d0f48e6da3aa4da7</t>
        </is>
      </c>
      <c r="B80" s="24" t="inlineStr">
        <is>
          <t>2026-07-21T08:28:27.770993Z</t>
        </is>
      </c>
      <c r="C80" s="24" t="inlineStr">
        <is>
          <t>2026-07-21T19:15:00-0400</t>
        </is>
      </c>
      <c r="D80" s="24" t="inlineStr">
        <is>
          <t>401816205</t>
        </is>
      </c>
      <c r="E80" s="24" t="inlineStr">
        <is>
          <t>MLB</t>
        </is>
      </c>
      <c r="F80" s="24" t="inlineStr">
        <is>
          <t>San Diego Padres</t>
        </is>
      </c>
      <c r="G80" s="24" t="inlineStr">
        <is>
          <t>Atlanta Braves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-130</v>
      </c>
      <c r="M80" s="27" t="n">
        <v>1.769231</v>
      </c>
      <c r="N80" s="28" t="n">
        <v>0.565217</v>
      </c>
      <c r="O80" s="28" t="n">
        <v>0.550915</v>
      </c>
      <c r="P80" s="28" t="n"/>
      <c r="Q80" s="28" t="n">
        <v>-0.014302</v>
      </c>
      <c r="R80" s="26" t="n">
        <v>13</v>
      </c>
      <c r="S80" s="29" t="n">
        <v>1</v>
      </c>
      <c r="T80" s="24" t="inlineStr">
        <is>
          <t>mlb-elo-trend-lr-v4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0.5500; executable ask 0.5650 (aec-mlb-sd-atl-2026-07-21).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mlb-sd</t>
        </is>
      </c>
      <c r="AQ80" s="24" t="inlineStr">
        <is>
          <t>San Diego Padres</t>
        </is>
      </c>
      <c r="AR80" s="24" t="inlineStr">
        <is>
          <t>San Diego Padres</t>
        </is>
      </c>
      <c r="AS80" s="24" t="inlineStr">
        <is>
          <t>mlb-atl</t>
        </is>
      </c>
      <c r="AT80" s="24" t="inlineStr">
        <is>
          <t>Atlanta Braves</t>
        </is>
      </c>
      <c r="AU80" s="24" t="inlineStr">
        <is>
          <t>Atlanta Braves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5224fb6ffbc9ddf8fa517627b830ac851192da94d241963d556945393a42bb9d</t>
        </is>
      </c>
      <c r="BB80" s="24" t="inlineStr">
        <is>
          <t>learned_lr</t>
        </is>
      </c>
      <c r="BC80" s="24" t="inlineStr">
        <is>
          <t>mlb-elo-trend-lr-v4</t>
        </is>
      </c>
      <c r="BD80" s="24" t="inlineStr">
        <is>
          <t>5224fb6ffbc9ddf8fa517627b830ac851192da94d241963d556945393a42bb9d</t>
        </is>
      </c>
      <c r="BE80" s="24" t="inlineStr">
        <is>
          <t>6a07387c2a050dcb</t>
        </is>
      </c>
      <c r="BF80" s="24" t="inlineStr">
        <is>
          <t>1</t>
        </is>
      </c>
      <c r="BG80" s="24" t="inlineStr">
        <is>
          <t>mlb-elo-trend-lr-v4</t>
        </is>
      </c>
      <c r="BH80" s="24" t="inlineStr">
        <is>
          <t>2026-07-21T08:27:47.463312Z</t>
        </is>
      </c>
      <c r="BI80" s="24" t="inlineStr">
        <is>
          <t>["same_event","same_team_same_day","same_league_same_day"]</t>
        </is>
      </c>
      <c r="BJ80" s="25" t="n"/>
      <c r="BK80" s="26" t="n">
        <v>-130</v>
      </c>
      <c r="BL80" s="27" t="n">
        <v>1.769231</v>
      </c>
      <c r="BM80" s="28" t="n">
        <v>0.565217</v>
      </c>
      <c r="BN80" s="28" t="n">
        <v>0.562189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</row>
    <row r="81" ht="36" customHeight="1">
      <c r="A81" s="24" t="inlineStr">
        <is>
          <t>c4ffd820db69431c</t>
        </is>
      </c>
      <c r="B81" s="24" t="inlineStr">
        <is>
          <t>2026-07-21T08:28:27.770993Z</t>
        </is>
      </c>
      <c r="C81" s="24" t="inlineStr">
        <is>
          <t>2026-07-21T19:40:00-0400</t>
        </is>
      </c>
      <c r="D81" s="24" t="inlineStr">
        <is>
          <t>401816210</t>
        </is>
      </c>
      <c r="E81" s="24" t="inlineStr">
        <is>
          <t>MLB</t>
        </is>
      </c>
      <c r="F81" s="24" t="inlineStr">
        <is>
          <t>New York Mets</t>
        </is>
      </c>
      <c r="G81" s="24" t="inlineStr">
        <is>
          <t>Milwaukee Brewers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-133</v>
      </c>
      <c r="M81" s="27" t="n">
        <v>1.75188</v>
      </c>
      <c r="N81" s="28" t="n">
        <v>0.570815</v>
      </c>
      <c r="O81" s="28" t="n">
        <v>0.640995</v>
      </c>
      <c r="P81" s="28" t="n"/>
      <c r="Q81" s="28" t="n">
        <v>0.07018000000000001</v>
      </c>
      <c r="R81" s="26" t="n">
        <v>55</v>
      </c>
      <c r="S81" s="29" t="n">
        <v>2</v>
      </c>
      <c r="T81" s="24" t="inlineStr">
        <is>
          <t>mlb-elo-trend-lr-v4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Learned LR call at threshold 0.5500; executable ask 0.5700 (aec-mlb-nym-mil-2026-07-21).</t>
        </is>
      </c>
      <c r="AF81" s="31" t="inlineStr">
        <is>
          <t>Learned model; promotion gate not yet open; zero-unit research until review.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mlb-nym</t>
        </is>
      </c>
      <c r="AQ81" s="24" t="inlineStr">
        <is>
          <t>New York Mets</t>
        </is>
      </c>
      <c r="AR81" s="24" t="inlineStr">
        <is>
          <t>New York Mets</t>
        </is>
      </c>
      <c r="AS81" s="24" t="inlineStr">
        <is>
          <t>mlb-mil</t>
        </is>
      </c>
      <c r="AT81" s="24" t="inlineStr">
        <is>
          <t>Milwaukee Brewers</t>
        </is>
      </c>
      <c r="AU81" s="24" t="inlineStr">
        <is>
          <t>Milwaukee Brewers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5224fb6ffbc9ddf8fa517627b830ac851192da94d241963d556945393a42bb9d</t>
        </is>
      </c>
      <c r="BB81" s="24" t="inlineStr">
        <is>
          <t>learned_lr</t>
        </is>
      </c>
      <c r="BC81" s="24" t="inlineStr">
        <is>
          <t>mlb-elo-trend-lr-v4</t>
        </is>
      </c>
      <c r="BD81" s="24" t="inlineStr">
        <is>
          <t>5224fb6ffbc9ddf8fa517627b830ac851192da94d241963d556945393a42bb9d</t>
        </is>
      </c>
      <c r="BE81" s="24" t="inlineStr">
        <is>
          <t>b3842f29fc9906ce</t>
        </is>
      </c>
      <c r="BF81" s="24" t="inlineStr">
        <is>
          <t>1</t>
        </is>
      </c>
      <c r="BG81" s="24" t="inlineStr">
        <is>
          <t>mlb-elo-trend-lr-v4</t>
        </is>
      </c>
      <c r="BH81" s="24" t="inlineStr">
        <is>
          <t>2026-07-21T08:27:49.015557Z</t>
        </is>
      </c>
      <c r="BI81" s="24" t="inlineStr">
        <is>
          <t>["same_event","same_team_same_day","same_league_same_day"]</t>
        </is>
      </c>
      <c r="BJ81" s="25" t="n"/>
      <c r="BK81" s="26" t="n">
        <v>-133</v>
      </c>
      <c r="BL81" s="27" t="n">
        <v>1.75188</v>
      </c>
      <c r="BM81" s="28" t="n">
        <v>0.570815</v>
      </c>
      <c r="BN81" s="28" t="n">
        <v>0.567164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</row>
    <row r="82" ht="36" customHeight="1">
      <c r="A82" s="24" t="inlineStr">
        <is>
          <t>4e403e074bd74a43</t>
        </is>
      </c>
      <c r="B82" s="24" t="inlineStr">
        <is>
          <t>2026-07-21T08:28:27.770993Z</t>
        </is>
      </c>
      <c r="C82" s="24" t="inlineStr">
        <is>
          <t>2026-07-21T19:40:00-0400</t>
        </is>
      </c>
      <c r="D82" s="24" t="inlineStr">
        <is>
          <t>401816211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Kansas City Royals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-106</v>
      </c>
      <c r="M82" s="27" t="n">
        <v>1.943396</v>
      </c>
      <c r="N82" s="28" t="n">
        <v>0.514563</v>
      </c>
      <c r="O82" s="28" t="n">
        <v>0.514213</v>
      </c>
      <c r="P82" s="28" t="n"/>
      <c r="Q82" s="28" t="n">
        <v>-0.00035</v>
      </c>
      <c r="R82" s="26" t="n">
        <v>20</v>
      </c>
      <c r="S82" s="29" t="n">
        <v>0.75</v>
      </c>
      <c r="T82" s="24" t="inlineStr">
        <is>
          <t>mlb-elo-trend-lr-v4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Learned LR call at threshold 0.5500; executable ask 0.5150 (aec-mlb-sf-kc-2026-07-21).</t>
        </is>
      </c>
      <c r="AF82" s="31" t="inlineStr">
        <is>
          <t>Learned model; promotion gate not yet open; zero-unit research until review.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NO_CALL_LOW_EDGE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mlb-kc</t>
        </is>
      </c>
      <c r="AT82" s="24" t="inlineStr">
        <is>
          <t>Kansas City Royals</t>
        </is>
      </c>
      <c r="AU82" s="24" t="inlineStr">
        <is>
          <t>Kansas City Royals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5224fb6ffbc9ddf8fa517627b830ac851192da94d241963d556945393a42bb9d</t>
        </is>
      </c>
      <c r="BB82" s="24" t="inlineStr">
        <is>
          <t>learned_lr</t>
        </is>
      </c>
      <c r="BC82" s="24" t="inlineStr">
        <is>
          <t>mlb-elo-trend-lr-v4</t>
        </is>
      </c>
      <c r="BD82" s="24" t="inlineStr">
        <is>
          <t>5224fb6ffbc9ddf8fa517627b830ac851192da94d241963d556945393a42bb9d</t>
        </is>
      </c>
      <c r="BE82" s="24" t="inlineStr">
        <is>
          <t>29a2080007e75b97</t>
        </is>
      </c>
      <c r="BF82" s="24" t="inlineStr">
        <is>
          <t>1</t>
        </is>
      </c>
      <c r="BG82" s="24" t="inlineStr">
        <is>
          <t>mlb-elo-trend-lr-v4</t>
        </is>
      </c>
      <c r="BH82" s="24" t="inlineStr">
        <is>
          <t>2026-07-21T08:27:50.680518Z</t>
        </is>
      </c>
      <c r="BI82" s="24" t="inlineStr">
        <is>
          <t>["same_event","same_team_same_day","same_league_same_day"]</t>
        </is>
      </c>
      <c r="BJ82" s="25" t="n"/>
      <c r="BK82" s="26" t="n">
        <v>-106</v>
      </c>
      <c r="BL82" s="27" t="n">
        <v>1.943396</v>
      </c>
      <c r="BM82" s="28" t="n">
        <v>0.514563</v>
      </c>
      <c r="BN82" s="28" t="n">
        <v>0.5124379999999999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</row>
    <row r="83" ht="36" customHeight="1">
      <c r="A83" s="24" t="inlineStr">
        <is>
          <t>91a869537abc4989</t>
        </is>
      </c>
      <c r="B83" s="24" t="inlineStr">
        <is>
          <t>2026-07-21T08:28:27.770993Z</t>
        </is>
      </c>
      <c r="C83" s="24" t="inlineStr">
        <is>
          <t>2026-07-21T20:05:00-0400</t>
        </is>
      </c>
      <c r="D83" s="24" t="inlineStr">
        <is>
          <t>401816207</t>
        </is>
      </c>
      <c r="E83" s="24" t="inlineStr">
        <is>
          <t>MLB</t>
        </is>
      </c>
      <c r="F83" s="24" t="inlineStr">
        <is>
          <t>Chicago White Sox</t>
        </is>
      </c>
      <c r="G83" s="24" t="inlineStr">
        <is>
          <t>Texas Rangers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-113</v>
      </c>
      <c r="M83" s="27" t="n">
        <v>1.884956</v>
      </c>
      <c r="N83" s="28" t="n">
        <v>0.530516</v>
      </c>
      <c r="O83" s="28" t="n">
        <v>0.524518</v>
      </c>
      <c r="P83" s="28" t="n"/>
      <c r="Q83" s="28" t="n">
        <v>-0.005998</v>
      </c>
      <c r="R83" s="26" t="n">
        <v>17</v>
      </c>
      <c r="S83" s="29" t="n">
        <v>0.75</v>
      </c>
      <c r="T83" s="24" t="inlineStr">
        <is>
          <t>mlb-elo-trend-lr-v4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Learned LR call at threshold 0.5500; executable ask 0.5300 (aec-mlb-cws-tex-2026-07-21).</t>
        </is>
      </c>
      <c r="AF83" s="31" t="inlineStr">
        <is>
          <t>Learned model; promotion gate not yet open; zero-unit research until review.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mlb-cws</t>
        </is>
      </c>
      <c r="AQ83" s="24" t="inlineStr">
        <is>
          <t>Chicago White Sox</t>
        </is>
      </c>
      <c r="AR83" s="24" t="inlineStr">
        <is>
          <t>Chicago White Sox</t>
        </is>
      </c>
      <c r="AS83" s="24" t="inlineStr">
        <is>
          <t>mlb-tex</t>
        </is>
      </c>
      <c r="AT83" s="24" t="inlineStr">
        <is>
          <t>Texas Rangers</t>
        </is>
      </c>
      <c r="AU83" s="24" t="inlineStr">
        <is>
          <t>Texas Rangers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5224fb6ffbc9ddf8fa517627b830ac851192da94d241963d556945393a42bb9d</t>
        </is>
      </c>
      <c r="BB83" s="24" t="inlineStr">
        <is>
          <t>learned_lr</t>
        </is>
      </c>
      <c r="BC83" s="24" t="inlineStr">
        <is>
          <t>mlb-elo-trend-lr-v4</t>
        </is>
      </c>
      <c r="BD83" s="24" t="inlineStr">
        <is>
          <t>5224fb6ffbc9ddf8fa517627b830ac851192da94d241963d556945393a42bb9d</t>
        </is>
      </c>
      <c r="BE83" s="24" t="inlineStr">
        <is>
          <t>2692d394921830b1</t>
        </is>
      </c>
      <c r="BF83" s="24" t="inlineStr">
        <is>
          <t>1</t>
        </is>
      </c>
      <c r="BG83" s="24" t="inlineStr">
        <is>
          <t>mlb-elo-trend-lr-v4</t>
        </is>
      </c>
      <c r="BH83" s="24" t="inlineStr">
        <is>
          <t>2026-07-21T08:27:52.646306Z</t>
        </is>
      </c>
      <c r="BI83" s="24" t="inlineStr">
        <is>
          <t>["same_event","same_team_same_day","same_league_same_day"]</t>
        </is>
      </c>
      <c r="BJ83" s="25" t="n"/>
      <c r="BK83" s="26" t="n">
        <v>-113</v>
      </c>
      <c r="BL83" s="27" t="n">
        <v>1.884956</v>
      </c>
      <c r="BM83" s="28" t="n">
        <v>0.530516</v>
      </c>
      <c r="BN83" s="28" t="n">
        <v>0.527363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</row>
    <row r="84" ht="36" customHeight="1">
      <c r="A84" s="24" t="inlineStr">
        <is>
          <t>d746307d834f4dac</t>
        </is>
      </c>
      <c r="B84" s="24" t="inlineStr">
        <is>
          <t>2026-07-21T08:28:27.770993Z</t>
        </is>
      </c>
      <c r="C84" s="24" t="inlineStr">
        <is>
          <t>2026-07-21T20:05:00-0400</t>
        </is>
      </c>
      <c r="D84" s="24" t="inlineStr">
        <is>
          <t>401816208</t>
        </is>
      </c>
      <c r="E84" s="24" t="inlineStr">
        <is>
          <t>MLB</t>
        </is>
      </c>
      <c r="F84" s="24" t="inlineStr">
        <is>
          <t>Detroit Tigers</t>
        </is>
      </c>
      <c r="G84" s="24" t="inlineStr">
        <is>
          <t>Chicago Cubs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-111</v>
      </c>
      <c r="M84" s="27" t="n">
        <v>1.900901</v>
      </c>
      <c r="N84" s="28" t="n">
        <v>0.526066</v>
      </c>
      <c r="O84" s="28" t="n">
        <v>0.566967</v>
      </c>
      <c r="P84" s="28" t="n"/>
      <c r="Q84" s="28" t="n">
        <v>0.040901</v>
      </c>
      <c r="R84" s="26" t="n">
        <v>40</v>
      </c>
      <c r="S84" s="29" t="n">
        <v>1.25</v>
      </c>
      <c r="T84" s="24" t="inlineStr">
        <is>
          <t>mlb-elo-trend-lr-v4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Learned LR call at threshold 0.5500; executable ask 0.5250 (aec-mlb-det-chc-2026-07-21).</t>
        </is>
      </c>
      <c r="AF84" s="31" t="inlineStr">
        <is>
          <t>Learned model; promotion gate not yet open; zero-unit research until review.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mlb-det</t>
        </is>
      </c>
      <c r="AQ84" s="24" t="inlineStr">
        <is>
          <t>Detroit Tigers</t>
        </is>
      </c>
      <c r="AR84" s="24" t="inlineStr">
        <is>
          <t>Detroit Tigers</t>
        </is>
      </c>
      <c r="AS84" s="24" t="inlineStr">
        <is>
          <t>mlb-chc</t>
        </is>
      </c>
      <c r="AT84" s="24" t="inlineStr">
        <is>
          <t>Chicago Cubs</t>
        </is>
      </c>
      <c r="AU84" s="24" t="inlineStr">
        <is>
          <t>Chicago Cubs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5224fb6ffbc9ddf8fa517627b830ac851192da94d241963d556945393a42bb9d</t>
        </is>
      </c>
      <c r="BB84" s="24" t="inlineStr">
        <is>
          <t>learned_lr</t>
        </is>
      </c>
      <c r="BC84" s="24" t="inlineStr">
        <is>
          <t>mlb-elo-trend-lr-v4</t>
        </is>
      </c>
      <c r="BD84" s="24" t="inlineStr">
        <is>
          <t>5224fb6ffbc9ddf8fa517627b830ac851192da94d241963d556945393a42bb9d</t>
        </is>
      </c>
      <c r="BE84" s="24" t="inlineStr">
        <is>
          <t>ac77cab6921e81d4</t>
        </is>
      </c>
      <c r="BF84" s="24" t="inlineStr">
        <is>
          <t>1</t>
        </is>
      </c>
      <c r="BG84" s="24" t="inlineStr">
        <is>
          <t>mlb-elo-trend-lr-v4</t>
        </is>
      </c>
      <c r="BH84" s="24" t="inlineStr">
        <is>
          <t>2026-07-21T08:27:54.312105Z</t>
        </is>
      </c>
      <c r="BI84" s="24" t="inlineStr">
        <is>
          <t>["same_event","same_team_same_day","same_league_same_day"]</t>
        </is>
      </c>
      <c r="BJ84" s="25" t="n"/>
      <c r="BK84" s="26" t="n">
        <v>-111</v>
      </c>
      <c r="BL84" s="27" t="n">
        <v>1.900901</v>
      </c>
      <c r="BM84" s="28" t="n">
        <v>0.526066</v>
      </c>
      <c r="BN84" s="28" t="n">
        <v>0.522388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</row>
    <row r="85" ht="36" customHeight="1">
      <c r="A85" s="24" t="inlineStr">
        <is>
          <t>17abbf9f17504070</t>
        </is>
      </c>
      <c r="B85" s="24" t="inlineStr">
        <is>
          <t>2026-07-21T08:28:27.770993Z</t>
        </is>
      </c>
      <c r="C85" s="24" t="inlineStr">
        <is>
          <t>2026-07-21T20:10:00-0400</t>
        </is>
      </c>
      <c r="D85" s="24" t="inlineStr">
        <is>
          <t>401816209</t>
        </is>
      </c>
      <c r="E85" s="24" t="inlineStr">
        <is>
          <t>MLB</t>
        </is>
      </c>
      <c r="F85" s="24" t="inlineStr">
        <is>
          <t>Miami Marlins</t>
        </is>
      </c>
      <c r="G85" s="24" t="inlineStr">
        <is>
          <t>Houston Astros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-115</v>
      </c>
      <c r="M85" s="27" t="n">
        <v>1.869565</v>
      </c>
      <c r="N85" s="28" t="n">
        <v>0.534884</v>
      </c>
      <c r="O85" s="28" t="n">
        <v>0.512555</v>
      </c>
      <c r="P85" s="28" t="n"/>
      <c r="Q85" s="28" t="n">
        <v>-0.022329</v>
      </c>
      <c r="R85" s="26" t="n">
        <v>9</v>
      </c>
      <c r="S85" s="29" t="n">
        <v>0.75</v>
      </c>
      <c r="T85" s="24" t="inlineStr">
        <is>
          <t>mlb-elo-trend-lr-v4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Learned LR call at threshold 0.5500; executable ask 0.5350 (aec-mlb-mia-hou-2026-07-21).</t>
        </is>
      </c>
      <c r="AF85" s="31" t="inlineStr">
        <is>
          <t>Learned model; promotion gate not yet open; zero-unit research until review.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mlb-mia</t>
        </is>
      </c>
      <c r="AQ85" s="24" t="inlineStr">
        <is>
          <t>Miami Marlins</t>
        </is>
      </c>
      <c r="AR85" s="24" t="inlineStr">
        <is>
          <t>Miami Marlins</t>
        </is>
      </c>
      <c r="AS85" s="24" t="inlineStr">
        <is>
          <t>mlb-hou</t>
        </is>
      </c>
      <c r="AT85" s="24" t="inlineStr">
        <is>
          <t>Houston Astros</t>
        </is>
      </c>
      <c r="AU85" s="24" t="inlineStr">
        <is>
          <t>Houston Astros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5224fb6ffbc9ddf8fa517627b830ac851192da94d241963d556945393a42bb9d</t>
        </is>
      </c>
      <c r="BB85" s="24" t="inlineStr">
        <is>
          <t>learned_lr</t>
        </is>
      </c>
      <c r="BC85" s="24" t="inlineStr">
        <is>
          <t>mlb-elo-trend-lr-v4</t>
        </is>
      </c>
      <c r="BD85" s="24" t="inlineStr">
        <is>
          <t>5224fb6ffbc9ddf8fa517627b830ac851192da94d241963d556945393a42bb9d</t>
        </is>
      </c>
      <c r="BE85" s="24" t="inlineStr">
        <is>
          <t>168acecbab0875f0</t>
        </is>
      </c>
      <c r="BF85" s="24" t="inlineStr">
        <is>
          <t>1</t>
        </is>
      </c>
      <c r="BG85" s="24" t="inlineStr">
        <is>
          <t>mlb-elo-trend-lr-v4</t>
        </is>
      </c>
      <c r="BH85" s="24" t="inlineStr">
        <is>
          <t>2026-07-21T08:27:55.983500Z</t>
        </is>
      </c>
      <c r="BI85" s="24" t="inlineStr">
        <is>
          <t>["same_event","same_team_same_day","same_league_same_day"]</t>
        </is>
      </c>
      <c r="BJ85" s="25" t="n"/>
      <c r="BK85" s="26" t="n">
        <v>-115</v>
      </c>
      <c r="BL85" s="27" t="n">
        <v>1.869565</v>
      </c>
      <c r="BM85" s="28" t="n">
        <v>0.534884</v>
      </c>
      <c r="BN85" s="28" t="n">
        <v>0.532338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</row>
    <row r="86" ht="36" customHeight="1">
      <c r="A86" s="24" t="inlineStr">
        <is>
          <t>886402b3e1494f68</t>
        </is>
      </c>
      <c r="B86" s="24" t="inlineStr">
        <is>
          <t>2026-07-21T08:28:27.770993Z</t>
        </is>
      </c>
      <c r="C86" s="24" t="inlineStr">
        <is>
          <t>2026-07-21T20:40:00-0400</t>
        </is>
      </c>
      <c r="D86" s="24" t="inlineStr">
        <is>
          <t>401816212</t>
        </is>
      </c>
      <c r="E86" s="24" t="inlineStr">
        <is>
          <t>MLB</t>
        </is>
      </c>
      <c r="F86" s="24" t="inlineStr">
        <is>
          <t>Washington Nationals</t>
        </is>
      </c>
      <c r="G86" s="24" t="inlineStr">
        <is>
          <t>Colorado Rockies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-102</v>
      </c>
      <c r="M86" s="27" t="n">
        <v>1.980392</v>
      </c>
      <c r="N86" s="28" t="n">
        <v>0.50495</v>
      </c>
      <c r="O86" s="28" t="n">
        <v>0.5563709999999999</v>
      </c>
      <c r="P86" s="28" t="n"/>
      <c r="Q86" s="28" t="n">
        <v>0.051421</v>
      </c>
      <c r="R86" s="26" t="n">
        <v>46</v>
      </c>
      <c r="S86" s="29" t="n">
        <v>1</v>
      </c>
      <c r="T86" s="24" t="inlineStr">
        <is>
          <t>mlb-elo-trend-lr-v4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Learned LR call at threshold 0.5500; executable ask 0.5050 (aec-mlb-wsh-col-2026-07-21).</t>
        </is>
      </c>
      <c r="AF86" s="31" t="inlineStr">
        <is>
          <t>Learned model; promotion gate not yet open; zero-unit research until review.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NO_CALL_LOW_EDGE</t>
        </is>
      </c>
      <c r="AP86" s="24" t="inlineStr">
        <is>
          <t>mlb-wsh</t>
        </is>
      </c>
      <c r="AQ86" s="24" t="inlineStr">
        <is>
          <t>Washington Nationals</t>
        </is>
      </c>
      <c r="AR86" s="24" t="inlineStr">
        <is>
          <t>Washington Nationals</t>
        </is>
      </c>
      <c r="AS86" s="24" t="inlineStr">
        <is>
          <t>mlb-col</t>
        </is>
      </c>
      <c r="AT86" s="24" t="inlineStr">
        <is>
          <t>Colorado Rockies</t>
        </is>
      </c>
      <c r="AU86" s="24" t="inlineStr">
        <is>
          <t>Colorado Rockies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5224fb6ffbc9ddf8fa517627b830ac851192da94d241963d556945393a42bb9d</t>
        </is>
      </c>
      <c r="BB86" s="24" t="inlineStr">
        <is>
          <t>learned_lr</t>
        </is>
      </c>
      <c r="BC86" s="24" t="inlineStr">
        <is>
          <t>mlb-elo-trend-lr-v4</t>
        </is>
      </c>
      <c r="BD86" s="24" t="inlineStr">
        <is>
          <t>5224fb6ffbc9ddf8fa517627b830ac851192da94d241963d556945393a42bb9d</t>
        </is>
      </c>
      <c r="BE86" s="24" t="inlineStr">
        <is>
          <t>398815bb9dc03ea8</t>
        </is>
      </c>
      <c r="BF86" s="24" t="inlineStr">
        <is>
          <t>1</t>
        </is>
      </c>
      <c r="BG86" s="24" t="inlineStr">
        <is>
          <t>mlb-elo-trend-lr-v4</t>
        </is>
      </c>
      <c r="BH86" s="24" t="inlineStr">
        <is>
          <t>2026-07-21T08:27:57.788476Z</t>
        </is>
      </c>
      <c r="BI86" s="24" t="inlineStr">
        <is>
          <t>["same_event","same_team_same_day","same_league_same_day"]</t>
        </is>
      </c>
      <c r="BJ86" s="25" t="n"/>
      <c r="BK86" s="26" t="n">
        <v>-102</v>
      </c>
      <c r="BL86" s="27" t="n">
        <v>1.980392</v>
      </c>
      <c r="BM86" s="28" t="n">
        <v>0.50495</v>
      </c>
      <c r="BN86" s="28" t="n">
        <v>0.502488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</row>
    <row r="87" ht="36" customHeight="1">
      <c r="A87" s="24" t="inlineStr">
        <is>
          <t>e024e6f6c9c24593</t>
        </is>
      </c>
      <c r="B87" s="24" t="inlineStr">
        <is>
          <t>2026-07-21T08:28:27.770993Z</t>
        </is>
      </c>
      <c r="C87" s="24" t="inlineStr">
        <is>
          <t>2026-07-21T21:38:00-0400</t>
        </is>
      </c>
      <c r="D87" s="24" t="inlineStr">
        <is>
          <t>401816215</t>
        </is>
      </c>
      <c r="E87" s="24" t="inlineStr">
        <is>
          <t>MLB</t>
        </is>
      </c>
      <c r="F87" s="24" t="inlineStr">
        <is>
          <t>St. Louis Cardinals</t>
        </is>
      </c>
      <c r="G87" s="24" t="inlineStr">
        <is>
          <t>Los Angeles Angels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-104</v>
      </c>
      <c r="M87" s="27" t="n">
        <v>1.961538</v>
      </c>
      <c r="N87" s="28" t="n">
        <v>0.509804</v>
      </c>
      <c r="O87" s="28" t="n">
        <v>0.52919</v>
      </c>
      <c r="P87" s="28" t="n"/>
      <c r="Q87" s="28" t="n">
        <v>0.019386</v>
      </c>
      <c r="R87" s="26" t="n">
        <v>30</v>
      </c>
      <c r="S87" s="29" t="n">
        <v>0.75</v>
      </c>
      <c r="T87" s="24" t="inlineStr">
        <is>
          <t>mlb-elo-trend-lr-v4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Learned LR call at threshold 0.5500; executable ask 0.5100 (aec-mlb-stl-laa-2026-07-21).</t>
        </is>
      </c>
      <c r="AF87" s="31" t="inlineStr">
        <is>
          <t>Learned model; promotion gate not yet open; zero-unit research until review.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mlb-stl</t>
        </is>
      </c>
      <c r="AQ87" s="24" t="inlineStr">
        <is>
          <t>St. Louis Cardinals</t>
        </is>
      </c>
      <c r="AR87" s="24" t="inlineStr">
        <is>
          <t>St. Louis Cardinals</t>
        </is>
      </c>
      <c r="AS87" s="24" t="inlineStr">
        <is>
          <t>mlb-laa</t>
        </is>
      </c>
      <c r="AT87" s="24" t="inlineStr">
        <is>
          <t>Los Angeles Angels</t>
        </is>
      </c>
      <c r="AU87" s="24" t="inlineStr">
        <is>
          <t>Los Angeles Angels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5224fb6ffbc9ddf8fa517627b830ac851192da94d241963d556945393a42bb9d</t>
        </is>
      </c>
      <c r="BB87" s="24" t="inlineStr">
        <is>
          <t>learned_lr</t>
        </is>
      </c>
      <c r="BC87" s="24" t="inlineStr">
        <is>
          <t>mlb-elo-trend-lr-v4</t>
        </is>
      </c>
      <c r="BD87" s="24" t="inlineStr">
        <is>
          <t>5224fb6ffbc9ddf8fa517627b830ac851192da94d241963d556945393a42bb9d</t>
        </is>
      </c>
      <c r="BE87" s="24" t="inlineStr">
        <is>
          <t>07baf0661607548f</t>
        </is>
      </c>
      <c r="BF87" s="24" t="inlineStr">
        <is>
          <t>1</t>
        </is>
      </c>
      <c r="BG87" s="24" t="inlineStr">
        <is>
          <t>mlb-elo-trend-lr-v4</t>
        </is>
      </c>
      <c r="BH87" s="24" t="inlineStr">
        <is>
          <t>2026-07-21T08:27:59.139085Z</t>
        </is>
      </c>
      <c r="BI87" s="24" t="inlineStr">
        <is>
          <t>["same_event","same_team_same_day","same_league_same_day"]</t>
        </is>
      </c>
      <c r="BJ87" s="25" t="n"/>
      <c r="BK87" s="26" t="n">
        <v>-104</v>
      </c>
      <c r="BL87" s="27" t="n">
        <v>1.961538</v>
      </c>
      <c r="BM87" s="28" t="n">
        <v>0.509804</v>
      </c>
      <c r="BN87" s="28" t="n">
        <v>0.507463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</row>
    <row r="88" ht="36" customHeight="1">
      <c r="A88" s="24" t="inlineStr">
        <is>
          <t>4ac865f1b7bb4b11</t>
        </is>
      </c>
      <c r="B88" s="24" t="inlineStr">
        <is>
          <t>2026-07-21T08:28:27.770993Z</t>
        </is>
      </c>
      <c r="C88" s="24" t="inlineStr">
        <is>
          <t>2026-07-21T21:40:00-0400</t>
        </is>
      </c>
      <c r="D88" s="24" t="inlineStr">
        <is>
          <t>401816213</t>
        </is>
      </c>
      <c r="E88" s="24" t="inlineStr">
        <is>
          <t>MLB</t>
        </is>
      </c>
      <c r="F88" s="24" t="inlineStr">
        <is>
          <t>Athletics</t>
        </is>
      </c>
      <c r="G88" s="24" t="inlineStr">
        <is>
          <t>Arizona Diamondbacks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-127</v>
      </c>
      <c r="M88" s="27" t="n">
        <v>1.787402</v>
      </c>
      <c r="N88" s="28" t="n">
        <v>0.5594710000000001</v>
      </c>
      <c r="O88" s="28" t="n">
        <v>0.58189</v>
      </c>
      <c r="P88" s="28" t="n"/>
      <c r="Q88" s="28" t="n">
        <v>0.022419</v>
      </c>
      <c r="R88" s="26" t="n">
        <v>31</v>
      </c>
      <c r="S88" s="29" t="n">
        <v>1.25</v>
      </c>
      <c r="T88" s="24" t="inlineStr">
        <is>
          <t>mlb-elo-trend-lr-v4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Learned LR call at threshold 0.5500; executable ask 0.5600 (aec-mlb-ath-az-2026-07-21).</t>
        </is>
      </c>
      <c r="AF88" s="31" t="inlineStr">
        <is>
          <t>Learned model; promotion gate not yet open; zero-unit research until review.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mlb-ath</t>
        </is>
      </c>
      <c r="AQ88" s="24" t="inlineStr">
        <is>
          <t>Athletics</t>
        </is>
      </c>
      <c r="AR88" s="24" t="inlineStr">
        <is>
          <t>Athletics</t>
        </is>
      </c>
      <c r="AS88" s="24" t="inlineStr">
        <is>
          <t>mlb-ari</t>
        </is>
      </c>
      <c r="AT88" s="24" t="inlineStr">
        <is>
          <t>Arizona Diamondbacks</t>
        </is>
      </c>
      <c r="AU88" s="24" t="inlineStr">
        <is>
          <t>Arizona Diamondbacks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5224fb6ffbc9ddf8fa517627b830ac851192da94d241963d556945393a42bb9d</t>
        </is>
      </c>
      <c r="BB88" s="24" t="inlineStr">
        <is>
          <t>learned_lr</t>
        </is>
      </c>
      <c r="BC88" s="24" t="inlineStr">
        <is>
          <t>mlb-elo-trend-lr-v4</t>
        </is>
      </c>
      <c r="BD88" s="24" t="inlineStr">
        <is>
          <t>5224fb6ffbc9ddf8fa517627b830ac851192da94d241963d556945393a42bb9d</t>
        </is>
      </c>
      <c r="BE88" s="24" t="inlineStr">
        <is>
          <t>9892b2a76fbe9db3</t>
        </is>
      </c>
      <c r="BF88" s="24" t="inlineStr">
        <is>
          <t>1</t>
        </is>
      </c>
      <c r="BG88" s="24" t="inlineStr">
        <is>
          <t>mlb-elo-trend-lr-v4</t>
        </is>
      </c>
      <c r="BH88" s="24" t="inlineStr">
        <is>
          <t>2026-07-21T08:28:01.055923Z</t>
        </is>
      </c>
      <c r="BI88" s="24" t="inlineStr">
        <is>
          <t>["same_event","same_team_same_day","same_league_same_day"]</t>
        </is>
      </c>
      <c r="BJ88" s="25" t="n"/>
      <c r="BK88" s="26" t="n">
        <v>-127</v>
      </c>
      <c r="BL88" s="27" t="n">
        <v>1.787402</v>
      </c>
      <c r="BM88" s="28" t="n">
        <v>0.5594710000000001</v>
      </c>
      <c r="BN88" s="28" t="n">
        <v>0.557214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</row>
    <row r="89" ht="36" customHeight="1">
      <c r="A89" s="24" t="inlineStr">
        <is>
          <t>98dd5d19fc0c480e</t>
        </is>
      </c>
      <c r="B89" s="24" t="inlineStr">
        <is>
          <t>2026-07-21T08:28:27.770993Z</t>
        </is>
      </c>
      <c r="C89" s="24" t="inlineStr">
        <is>
          <t>2026-07-21T21:40:00-0400</t>
        </is>
      </c>
      <c r="D89" s="24" t="inlineStr">
        <is>
          <t>401816214</t>
        </is>
      </c>
      <c r="E89" s="24" t="inlineStr">
        <is>
          <t>MLB</t>
        </is>
      </c>
      <c r="F89" s="24" t="inlineStr">
        <is>
          <t>Cincinnati Reds</t>
        </is>
      </c>
      <c r="G89" s="24" t="inlineStr">
        <is>
          <t>Seattle Mariners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-106</v>
      </c>
      <c r="M89" s="27" t="n">
        <v>1.943396</v>
      </c>
      <c r="N89" s="28" t="n">
        <v>0.514563</v>
      </c>
      <c r="O89" s="28" t="n">
        <v>0.592852</v>
      </c>
      <c r="P89" s="28" t="n"/>
      <c r="Q89" s="28" t="n">
        <v>0.078289</v>
      </c>
      <c r="R89" s="26" t="n">
        <v>59</v>
      </c>
      <c r="S89" s="29" t="n">
        <v>1</v>
      </c>
      <c r="T89" s="24" t="inlineStr">
        <is>
          <t>mlb-elo-trend-lr-v4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Learned LR call at threshold 0.5500; executable ask 0.5150 (aec-mlb-cin-sea-2026-07-21).</t>
        </is>
      </c>
      <c r="AF89" s="31" t="inlineStr">
        <is>
          <t>Learned model; promotion gate not yet open; zero-unit research until review.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mlb-cin</t>
        </is>
      </c>
      <c r="AQ89" s="24" t="inlineStr">
        <is>
          <t>Cincinnati Reds</t>
        </is>
      </c>
      <c r="AR89" s="24" t="inlineStr">
        <is>
          <t>Cincinnati Reds</t>
        </is>
      </c>
      <c r="AS89" s="24" t="inlineStr">
        <is>
          <t>mlb-sea</t>
        </is>
      </c>
      <c r="AT89" s="24" t="inlineStr">
        <is>
          <t>Seattle Mariners</t>
        </is>
      </c>
      <c r="AU89" s="24" t="inlineStr">
        <is>
          <t>Seattle Mariners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5224fb6ffbc9ddf8fa517627b830ac851192da94d241963d556945393a42bb9d</t>
        </is>
      </c>
      <c r="BB89" s="24" t="inlineStr">
        <is>
          <t>learned_lr</t>
        </is>
      </c>
      <c r="BC89" s="24" t="inlineStr">
        <is>
          <t>mlb-elo-trend-lr-v4</t>
        </is>
      </c>
      <c r="BD89" s="24" t="inlineStr">
        <is>
          <t>5224fb6ffbc9ddf8fa517627b830ac851192da94d241963d556945393a42bb9d</t>
        </is>
      </c>
      <c r="BE89" s="24" t="inlineStr">
        <is>
          <t>5c7208cbf934ad36</t>
        </is>
      </c>
      <c r="BF89" s="24" t="inlineStr">
        <is>
          <t>1</t>
        </is>
      </c>
      <c r="BG89" s="24" t="inlineStr">
        <is>
          <t>mlb-elo-trend-lr-v4</t>
        </is>
      </c>
      <c r="BH89" s="24" t="inlineStr">
        <is>
          <t>2026-07-21T08:28:02.507970Z</t>
        </is>
      </c>
      <c r="BI89" s="24" t="inlineStr">
        <is>
          <t>["same_event","same_team_same_day","same_league_same_day"]</t>
        </is>
      </c>
      <c r="BJ89" s="25" t="n"/>
      <c r="BK89" s="26" t="n">
        <v>-106</v>
      </c>
      <c r="BL89" s="27" t="n">
        <v>1.943396</v>
      </c>
      <c r="BM89" s="28" t="n">
        <v>0.514563</v>
      </c>
      <c r="BN89" s="28" t="n">
        <v>0.5124379999999999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</row>
    <row r="90" ht="36" customHeight="1">
      <c r="A90" s="24" t="inlineStr">
        <is>
          <t>a5e22a03019c4082</t>
        </is>
      </c>
      <c r="B90" s="24" t="inlineStr">
        <is>
          <t>2026-07-21T08:30:07.112719Z</t>
        </is>
      </c>
      <c r="C90" s="24" t="inlineStr">
        <is>
          <t>2026-07-21T10:45:00Z</t>
        </is>
      </c>
      <c r="D90" s="24" t="inlineStr">
        <is>
          <t>54950</t>
        </is>
      </c>
      <c r="E90" s="24" t="inlineStr">
        <is>
          <t>LOL</t>
        </is>
      </c>
      <c r="F90" s="24" t="inlineStr">
        <is>
          <t>Kiwoom DRX</t>
        </is>
      </c>
      <c r="G90" s="24" t="inlineStr">
        <is>
          <t>T1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144</v>
      </c>
      <c r="M90" s="27" t="n">
        <v>2.44</v>
      </c>
      <c r="N90" s="28" t="n">
        <v>0.409836</v>
      </c>
      <c r="O90" s="28" t="n">
        <v>0.7499980000000001</v>
      </c>
      <c r="P90" s="28" t="n"/>
      <c r="Q90" s="28" t="n">
        <v>0.339998</v>
      </c>
      <c r="R90" s="26" t="n">
        <v>100</v>
      </c>
      <c r="S90" s="29" t="n">
        <v>2</v>
      </c>
      <c r="T90" s="24" t="inlineStr">
        <is>
          <t>lol-neutral-series-elo-v1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Neutral Elo baseline; executable ask 0.4100 (aec-lol-t1-krx-2026-07-21).</t>
        </is>
      </c>
      <c r="AF90" s="31" t="inlineStr">
        <is>
          <t>Research baseline; zero-unit shadow until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Kiwoom DRX</t>
        </is>
      </c>
      <c r="AQ90" s="24" t="inlineStr">
        <is>
          <t>Kiwoom DRX</t>
        </is>
      </c>
      <c r="AR90" s="24" t="inlineStr">
        <is>
          <t>Kiwoom DRX</t>
        </is>
      </c>
      <c r="AS90" s="24" t="inlineStr">
        <is>
          <t>T1</t>
        </is>
      </c>
      <c r="AT90" s="24" t="inlineStr">
        <is>
          <t>T1</t>
        </is>
      </c>
      <c r="AU90" s="24" t="inlineStr">
        <is>
          <t>T1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82612f1b27d5065af8d70fd6669509ff00dc1c7e3a91bb423192bf3b0a9736ce</t>
        </is>
      </c>
      <c r="BB90" s="24" t="inlineStr">
        <is>
          <t>neutral_elo</t>
        </is>
      </c>
      <c r="BC90" s="24" t="inlineStr">
        <is>
          <t>lol-neutral-series-elo-v1</t>
        </is>
      </c>
      <c r="BD90" s="24" t="inlineStr">
        <is>
          <t>82612f1b27d5065af8d70fd6669509ff00dc1c7e3a91bb423192bf3b0a9736ce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unknown</t>
        </is>
      </c>
      <c r="BH90" s="24" t="inlineStr">
        <is>
          <t>2026-07-21T08:30:07.112719Z</t>
        </is>
      </c>
      <c r="BI90" s="24" t="inlineStr">
        <is>
          <t>["same_event","same_team_same_day","same_league_same_day"]</t>
        </is>
      </c>
      <c r="BJ90" s="25" t="n"/>
      <c r="BK90" s="26" t="n">
        <v>144</v>
      </c>
      <c r="BL90" s="27" t="n">
        <v>2.44</v>
      </c>
      <c r="BM90" s="28" t="n">
        <v>0.409836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</row>
    <row r="91" ht="36" customHeight="1">
      <c r="A91" s="24" t="inlineStr">
        <is>
          <t>ae3d2668608949f1</t>
        </is>
      </c>
      <c r="B91" s="24" t="inlineStr">
        <is>
          <t>2026-07-21T08:30:07.516232Z</t>
        </is>
      </c>
      <c r="C91" s="24" t="inlineStr">
        <is>
          <t>2026-07-21T11:30:00Z</t>
        </is>
      </c>
      <c r="D91" s="24" t="inlineStr">
        <is>
          <t>54961</t>
        </is>
      </c>
      <c r="E91" s="24" t="inlineStr">
        <is>
          <t>LOL</t>
        </is>
      </c>
      <c r="F91" s="24" t="inlineStr">
        <is>
          <t>DN SOOPers</t>
        </is>
      </c>
      <c r="G91" s="24" t="inlineStr">
        <is>
          <t>Hanwha Life Esports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194</v>
      </c>
      <c r="M91" s="27" t="n">
        <v>2.94</v>
      </c>
      <c r="N91" s="28" t="n">
        <v>0.340136</v>
      </c>
      <c r="O91" s="28" t="n">
        <v>0.75</v>
      </c>
      <c r="P91" s="28" t="n"/>
      <c r="Q91" s="28" t="n">
        <v>0.41</v>
      </c>
      <c r="R91" s="26" t="n">
        <v>100</v>
      </c>
      <c r="S91" s="29" t="n">
        <v>2</v>
      </c>
      <c r="T91" s="24" t="inlineStr">
        <is>
          <t>lol-neutral-series-elo-v1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Neutral Elo baseline; executable ask 0.3400 (aec-lol-hle-dns-2026-07-21).</t>
        </is>
      </c>
      <c r="AF91" s="31" t="inlineStr">
        <is>
          <t>Research baseline; zero-unit shadow until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DN SOOPers</t>
        </is>
      </c>
      <c r="AQ91" s="24" t="inlineStr">
        <is>
          <t>DN SOOPers</t>
        </is>
      </c>
      <c r="AR91" s="24" t="inlineStr">
        <is>
          <t>DN SOOPers</t>
        </is>
      </c>
      <c r="AS91" s="24" t="inlineStr">
        <is>
          <t>Hanwha Life Esports</t>
        </is>
      </c>
      <c r="AT91" s="24" t="inlineStr">
        <is>
          <t>Hanwha Life Esports</t>
        </is>
      </c>
      <c r="AU91" s="24" t="inlineStr">
        <is>
          <t>Hanwha Life Esports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82612f1b27d5065af8d70fd6669509ff00dc1c7e3a91bb423192bf3b0a9736ce</t>
        </is>
      </c>
      <c r="BB91" s="24" t="inlineStr">
        <is>
          <t>neutral_elo</t>
        </is>
      </c>
      <c r="BC91" s="24" t="inlineStr">
        <is>
          <t>lol-neutral-series-elo-v1</t>
        </is>
      </c>
      <c r="BD91" s="24" t="inlineStr">
        <is>
          <t>82612f1b27d5065af8d70fd6669509ff00dc1c7e3a91bb423192bf3b0a9736ce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unknown</t>
        </is>
      </c>
      <c r="BH91" s="24" t="inlineStr">
        <is>
          <t>2026-07-21T08:30:07.516232Z</t>
        </is>
      </c>
      <c r="BI91" s="24" t="inlineStr">
        <is>
          <t>["same_event","same_team_same_day","same_league_same_day"]</t>
        </is>
      </c>
      <c r="BJ91" s="25" t="n"/>
      <c r="BK91" s="26" t="n">
        <v>194</v>
      </c>
      <c r="BL91" s="27" t="n">
        <v>2.94</v>
      </c>
      <c r="BM91" s="28" t="n">
        <v>0.340136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</row>
    <row r="92" ht="36" customHeight="1">
      <c r="A92" s="24" t="inlineStr">
        <is>
          <t>8cb5922c7860424f</t>
        </is>
      </c>
      <c r="B92" s="24" t="inlineStr">
        <is>
          <t>2026-07-21T08:30:07.926214Z</t>
        </is>
      </c>
      <c r="C92" s="24" t="inlineStr">
        <is>
          <t>2026-07-21T16:00:00Z</t>
        </is>
      </c>
      <c r="D92" s="24" t="inlineStr">
        <is>
          <t>56853</t>
        </is>
      </c>
      <c r="E92" s="24" t="inlineStr">
        <is>
          <t>LOL</t>
        </is>
      </c>
      <c r="F92" s="24" t="inlineStr">
        <is>
          <t>Ici Japon Corp. Esport</t>
        </is>
      </c>
      <c r="G92" s="24" t="inlineStr">
        <is>
          <t>TLN Pirates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-144</v>
      </c>
      <c r="M92" s="27" t="n">
        <v>1.694444</v>
      </c>
      <c r="N92" s="28" t="n">
        <v>0.590164</v>
      </c>
      <c r="O92" s="28" t="n">
        <v>0.650242</v>
      </c>
      <c r="P92" s="28" t="n"/>
      <c r="Q92" s="28" t="n">
        <v>0.060242</v>
      </c>
      <c r="R92" s="26" t="n">
        <v>60</v>
      </c>
      <c r="S92" s="29" t="n">
        <v>2</v>
      </c>
      <c r="T92" s="24" t="inlineStr">
        <is>
          <t>lol-neutral-series-elo-v1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Neutral Elo baseline; executable ask 0.5900 (aec-lol-tlnp-ijc-2026-07-21).</t>
        </is>
      </c>
      <c r="AF92" s="31" t="inlineStr">
        <is>
          <t>Research baseline; zero-unit shadow until qualified.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Ici Japon Corp. Esport</t>
        </is>
      </c>
      <c r="AQ92" s="24" t="inlineStr">
        <is>
          <t>Ici Japon Corp. Esport</t>
        </is>
      </c>
      <c r="AR92" s="24" t="inlineStr">
        <is>
          <t>Ici Japon Corp. Esport</t>
        </is>
      </c>
      <c r="AS92" s="24" t="inlineStr">
        <is>
          <t>TLN Pirates</t>
        </is>
      </c>
      <c r="AT92" s="24" t="inlineStr">
        <is>
          <t>TLN Pirates</t>
        </is>
      </c>
      <c r="AU92" s="24" t="inlineStr">
        <is>
          <t>TLN Pirates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82612f1b27d5065af8d70fd6669509ff00dc1c7e3a91bb423192bf3b0a9736ce</t>
        </is>
      </c>
      <c r="BB92" s="24" t="inlineStr">
        <is>
          <t>neutral_elo</t>
        </is>
      </c>
      <c r="BC92" s="24" t="inlineStr">
        <is>
          <t>lol-neutral-series-elo-v1</t>
        </is>
      </c>
      <c r="BD92" s="24" t="inlineStr">
        <is>
          <t>82612f1b27d5065af8d70fd6669509ff00dc1c7e3a91bb423192bf3b0a9736ce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unknown</t>
        </is>
      </c>
      <c r="BH92" s="24" t="inlineStr">
        <is>
          <t>2026-07-21T08:30:07.926214Z</t>
        </is>
      </c>
      <c r="BI92" s="24" t="inlineStr">
        <is>
          <t>["same_event","same_team_same_day","same_league_same_day"]</t>
        </is>
      </c>
      <c r="BJ92" s="25" t="n"/>
      <c r="BK92" s="26" t="n">
        <v>-144</v>
      </c>
      <c r="BL92" s="27" t="n">
        <v>1.694444</v>
      </c>
      <c r="BM92" s="28" t="n">
        <v>0.590164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</row>
    <row r="93" ht="36" customHeight="1">
      <c r="A93" s="24" t="inlineStr">
        <is>
          <t>cb4fb35e52d449cd</t>
        </is>
      </c>
      <c r="B93" s="24" t="inlineStr">
        <is>
          <t>2026-07-21T08:30:08.334204Z</t>
        </is>
      </c>
      <c r="C93" s="24" t="inlineStr">
        <is>
          <t>2026-07-21T17:00:00Z</t>
        </is>
      </c>
      <c r="D93" s="24" t="inlineStr">
        <is>
          <t>55198</t>
        </is>
      </c>
      <c r="E93" s="24" t="inlineStr">
        <is>
          <t>LOL</t>
        </is>
      </c>
      <c r="F93" s="24" t="inlineStr">
        <is>
          <t>Once Upon A Team</t>
        </is>
      </c>
      <c r="G93" s="24" t="inlineStr">
        <is>
          <t>mCon esports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-186</v>
      </c>
      <c r="M93" s="27" t="n">
        <v>1.537634</v>
      </c>
      <c r="N93" s="28" t="n">
        <v>0.65035</v>
      </c>
      <c r="O93" s="28" t="n">
        <v>0.650024</v>
      </c>
      <c r="P93" s="28" t="n"/>
      <c r="Q93" s="28" t="n">
        <v>2.4e-05</v>
      </c>
      <c r="R93" s="26" t="n">
        <v>0</v>
      </c>
      <c r="S93" s="29" t="n">
        <v>2</v>
      </c>
      <c r="T93" s="24" t="inlineStr">
        <is>
          <t>lol-neutral-series-elo-v1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Neutral Elo baseline; executable ask 0.6500 (aec-lol-mcn-ouat-2026-07-21).</t>
        </is>
      </c>
      <c r="AF93" s="31" t="inlineStr">
        <is>
          <t>Research baseline; zero-unit shadow until qualified.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Once Upon A Team</t>
        </is>
      </c>
      <c r="AQ93" s="24" t="inlineStr">
        <is>
          <t>Once Upon A Team</t>
        </is>
      </c>
      <c r="AR93" s="24" t="inlineStr">
        <is>
          <t>Once Upon A Team</t>
        </is>
      </c>
      <c r="AS93" s="24" t="inlineStr">
        <is>
          <t>mCon esports</t>
        </is>
      </c>
      <c r="AT93" s="24" t="inlineStr">
        <is>
          <t>mCon esports</t>
        </is>
      </c>
      <c r="AU93" s="24" t="inlineStr">
        <is>
          <t>mCon esports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82612f1b27d5065af8d70fd6669509ff00dc1c7e3a91bb423192bf3b0a9736ce</t>
        </is>
      </c>
      <c r="BB93" s="24" t="inlineStr">
        <is>
          <t>neutral_elo</t>
        </is>
      </c>
      <c r="BC93" s="24" t="inlineStr">
        <is>
          <t>lol-neutral-series-elo-v1</t>
        </is>
      </c>
      <c r="BD93" s="24" t="inlineStr">
        <is>
          <t>82612f1b27d5065af8d70fd6669509ff00dc1c7e3a91bb423192bf3b0a9736ce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unknown</t>
        </is>
      </c>
      <c r="BH93" s="24" t="inlineStr">
        <is>
          <t>2026-07-21T08:30:08.334204Z</t>
        </is>
      </c>
      <c r="BI93" s="24" t="inlineStr">
        <is>
          <t>["same_event","same_team_same_day","same_league_same_day"]</t>
        </is>
      </c>
      <c r="BJ93" s="25" t="n"/>
      <c r="BK93" s="26" t="n">
        <v>-186</v>
      </c>
      <c r="BL93" s="27" t="n">
        <v>1.537634</v>
      </c>
      <c r="BM93" s="28" t="n">
        <v>0.65035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</row>
    <row r="94" ht="36" customHeight="1">
      <c r="A94" s="24" t="inlineStr">
        <is>
          <t>5985b78f606946dd</t>
        </is>
      </c>
      <c r="B94" s="24" t="inlineStr">
        <is>
          <t>2026-07-21T08:30:08.750906Z</t>
        </is>
      </c>
      <c r="C94" s="24" t="inlineStr">
        <is>
          <t>2026-07-21T18:30:00Z</t>
        </is>
      </c>
      <c r="D94" s="24" t="inlineStr">
        <is>
          <t>57016</t>
        </is>
      </c>
      <c r="E94" s="24" t="inlineStr">
        <is>
          <t>LOL</t>
        </is>
      </c>
      <c r="F94" s="24" t="inlineStr">
        <is>
          <t>Baam Esports</t>
        </is>
      </c>
      <c r="G94" s="24" t="inlineStr">
        <is>
          <t>Pyramid IV Esports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113</v>
      </c>
      <c r="M94" s="27" t="n">
        <v>2.13</v>
      </c>
      <c r="N94" s="28" t="n">
        <v>0.469484</v>
      </c>
      <c r="O94" s="28" t="n">
        <v>0.503502</v>
      </c>
      <c r="P94" s="28" t="n"/>
      <c r="Q94" s="28" t="n">
        <v>0.033502</v>
      </c>
      <c r="R94" s="26" t="n">
        <v>33</v>
      </c>
      <c r="S94" s="29" t="n">
        <v>0.5</v>
      </c>
      <c r="T94" s="24" t="inlineStr">
        <is>
          <t>lol-neutral-series-elo-v1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Neutral Elo baseline; executable ask 0.4700 (aec-lol-piv-bam-2026-07-21).</t>
        </is>
      </c>
      <c r="AF94" s="31" t="inlineStr">
        <is>
          <t>Research baseline; zero-unit shadow until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Baam Esports</t>
        </is>
      </c>
      <c r="AQ94" s="24" t="inlineStr">
        <is>
          <t>Baam Esports</t>
        </is>
      </c>
      <c r="AR94" s="24" t="inlineStr">
        <is>
          <t>Baam Esports</t>
        </is>
      </c>
      <c r="AS94" s="24" t="inlineStr">
        <is>
          <t>Pyramid IV Esports</t>
        </is>
      </c>
      <c r="AT94" s="24" t="inlineStr">
        <is>
          <t>Pyramid IV Esports</t>
        </is>
      </c>
      <c r="AU94" s="24" t="inlineStr">
        <is>
          <t>Pyramid IV Esports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82612f1b27d5065af8d70fd6669509ff00dc1c7e3a91bb423192bf3b0a9736ce</t>
        </is>
      </c>
      <c r="BB94" s="24" t="inlineStr">
        <is>
          <t>neutral_elo</t>
        </is>
      </c>
      <c r="BC94" s="24" t="inlineStr">
        <is>
          <t>lol-neutral-series-elo-v1</t>
        </is>
      </c>
      <c r="BD94" s="24" t="inlineStr">
        <is>
          <t>82612f1b27d5065af8d70fd6669509ff00dc1c7e3a91bb423192bf3b0a9736ce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unknown</t>
        </is>
      </c>
      <c r="BH94" s="24" t="inlineStr">
        <is>
          <t>2026-07-21T08:30:08.750906Z</t>
        </is>
      </c>
      <c r="BI94" s="24" t="inlineStr">
        <is>
          <t>["same_event","same_team_same_day","same_league_same_day"]</t>
        </is>
      </c>
      <c r="BJ94" s="25" t="n"/>
      <c r="BK94" s="26" t="n">
        <v>113</v>
      </c>
      <c r="BL94" s="27" t="n">
        <v>2.13</v>
      </c>
      <c r="BM94" s="28" t="n">
        <v>0.469484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</row>
    <row r="95" ht="36" customHeight="1">
      <c r="A95" s="24" t="inlineStr">
        <is>
          <t>89ced1ad6ac349bb</t>
        </is>
      </c>
      <c r="B95" s="24" t="inlineStr">
        <is>
          <t>2026-07-21T08:30:09.169381Z</t>
        </is>
      </c>
      <c r="C95" s="24" t="inlineStr">
        <is>
          <t>2026-07-21T19:00:00Z</t>
        </is>
      </c>
      <c r="D95" s="24" t="inlineStr">
        <is>
          <t>56856</t>
        </is>
      </c>
      <c r="E95" s="24" t="inlineStr">
        <is>
          <t>LOL</t>
        </is>
      </c>
      <c r="F95" s="24" t="inlineStr">
        <is>
          <t>Joblife</t>
        </is>
      </c>
      <c r="G95" s="24" t="inlineStr">
        <is>
          <t>Galions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-194</v>
      </c>
      <c r="M95" s="27" t="n">
        <v>1.515464</v>
      </c>
      <c r="N95" s="28" t="n">
        <v>0.659864</v>
      </c>
      <c r="O95" s="28" t="n">
        <v>0.748054</v>
      </c>
      <c r="P95" s="28" t="n"/>
      <c r="Q95" s="28" t="n">
        <v>0.08805399999999999</v>
      </c>
      <c r="R95" s="26" t="n">
        <v>88</v>
      </c>
      <c r="S95" s="29" t="n">
        <v>2</v>
      </c>
      <c r="T95" s="24" t="inlineStr">
        <is>
          <t>lol-neutral-series-elo-v1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Neutral Elo baseline; executable ask 0.6600 (aec-lol-gal-jl-2026-07-21).</t>
        </is>
      </c>
      <c r="AF95" s="31" t="inlineStr">
        <is>
          <t>Research baseline; zero-unit shadow until qualified.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Joblife</t>
        </is>
      </c>
      <c r="AQ95" s="24" t="inlineStr">
        <is>
          <t>Joblife</t>
        </is>
      </c>
      <c r="AR95" s="24" t="inlineStr">
        <is>
          <t>Joblife</t>
        </is>
      </c>
      <c r="AS95" s="24" t="inlineStr">
        <is>
          <t>Galions</t>
        </is>
      </c>
      <c r="AT95" s="24" t="inlineStr">
        <is>
          <t>Galions</t>
        </is>
      </c>
      <c r="AU95" s="24" t="inlineStr">
        <is>
          <t>Galions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82612f1b27d5065af8d70fd6669509ff00dc1c7e3a91bb423192bf3b0a9736ce</t>
        </is>
      </c>
      <c r="BB95" s="24" t="inlineStr">
        <is>
          <t>neutral_elo</t>
        </is>
      </c>
      <c r="BC95" s="24" t="inlineStr">
        <is>
          <t>lol-neutral-series-elo-v1</t>
        </is>
      </c>
      <c r="BD95" s="24" t="inlineStr">
        <is>
          <t>82612f1b27d5065af8d70fd6669509ff00dc1c7e3a91bb423192bf3b0a9736ce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unknown</t>
        </is>
      </c>
      <c r="BH95" s="24" t="inlineStr">
        <is>
          <t>2026-07-21T08:30:09.169381Z</t>
        </is>
      </c>
      <c r="BI95" s="24" t="inlineStr">
        <is>
          <t>["same_event","same_team_same_day","same_league_same_day"]</t>
        </is>
      </c>
      <c r="BJ95" s="25" t="n"/>
      <c r="BK95" s="26" t="n">
        <v>-194</v>
      </c>
      <c r="BL95" s="27" t="n">
        <v>1.515464</v>
      </c>
      <c r="BM95" s="28" t="n">
        <v>0.659864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</row>
    <row r="96" ht="36" customHeight="1">
      <c r="A96" s="24" t="inlineStr">
        <is>
          <t>e61dd2ea3da24872</t>
        </is>
      </c>
      <c r="B96" s="24" t="inlineStr">
        <is>
          <t>2026-07-21T08:30:09.587217Z</t>
        </is>
      </c>
      <c r="C96" s="24" t="inlineStr">
        <is>
          <t>2026-07-21T21:00:00Z</t>
        </is>
      </c>
      <c r="D96" s="24" t="inlineStr">
        <is>
          <t>55205</t>
        </is>
      </c>
      <c r="E96" s="24" t="inlineStr">
        <is>
          <t>LOL</t>
        </is>
      </c>
      <c r="F96" s="24" t="inlineStr">
        <is>
          <t>RMD Gaming</t>
        </is>
      </c>
      <c r="G96" s="24" t="inlineStr">
        <is>
          <t>paiN Gaming Academy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-203</v>
      </c>
      <c r="M96" s="27" t="n">
        <v>1.492611</v>
      </c>
      <c r="N96" s="28" t="n">
        <v>0.669967</v>
      </c>
      <c r="O96" s="28" t="n">
        <v>0.731785</v>
      </c>
      <c r="P96" s="28" t="n"/>
      <c r="Q96" s="28" t="n">
        <v>0.061785</v>
      </c>
      <c r="R96" s="26" t="n">
        <v>61</v>
      </c>
      <c r="S96" s="29" t="n">
        <v>2</v>
      </c>
      <c r="T96" s="24" t="inlineStr">
        <is>
          <t>lol-neutral-series-elo-v1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Neutral Elo baseline; executable ask 0.6700 (aec-lol-pnga-rmd-2026-07-21).</t>
        </is>
      </c>
      <c r="AF96" s="31" t="inlineStr">
        <is>
          <t>Research baseline; zero-unit shadow until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RMD Gaming</t>
        </is>
      </c>
      <c r="AQ96" s="24" t="inlineStr">
        <is>
          <t>RMD Gaming</t>
        </is>
      </c>
      <c r="AR96" s="24" t="inlineStr">
        <is>
          <t>RMD Gaming</t>
        </is>
      </c>
      <c r="AS96" s="24" t="inlineStr">
        <is>
          <t>paiN Gaming Academy</t>
        </is>
      </c>
      <c r="AT96" s="24" t="inlineStr">
        <is>
          <t>paiN Gaming Academy</t>
        </is>
      </c>
      <c r="AU96" s="24" t="inlineStr">
        <is>
          <t>paiN Gaming Academy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82612f1b27d5065af8d70fd6669509ff00dc1c7e3a91bb423192bf3b0a9736ce</t>
        </is>
      </c>
      <c r="BB96" s="24" t="inlineStr">
        <is>
          <t>neutral_elo</t>
        </is>
      </c>
      <c r="BC96" s="24" t="inlineStr">
        <is>
          <t>lol-neutral-series-elo-v1</t>
        </is>
      </c>
      <c r="BD96" s="24" t="inlineStr">
        <is>
          <t>82612f1b27d5065af8d70fd6669509ff00dc1c7e3a91bb423192bf3b0a9736ce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unknown</t>
        </is>
      </c>
      <c r="BH96" s="24" t="inlineStr">
        <is>
          <t>2026-07-21T08:30:09.587217Z</t>
        </is>
      </c>
      <c r="BI96" s="24" t="inlineStr">
        <is>
          <t>["same_event","same_team_same_day","same_league_same_day"]</t>
        </is>
      </c>
      <c r="BJ96" s="25" t="n"/>
      <c r="BK96" s="26" t="n">
        <v>-203</v>
      </c>
      <c r="BL96" s="27" t="n">
        <v>1.492611</v>
      </c>
      <c r="BM96" s="28" t="n">
        <v>0.669967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</row>
    <row r="97" ht="36" customHeight="1">
      <c r="A97" s="24" t="inlineStr">
        <is>
          <t>171bce26e273463d</t>
        </is>
      </c>
      <c r="B97" s="24" t="inlineStr">
        <is>
          <t>2026-07-21T08:30:10.070369Z</t>
        </is>
      </c>
      <c r="C97" s="24" t="inlineStr">
        <is>
          <t>2026-07-21T22:00:00Z</t>
        </is>
      </c>
      <c r="D97" s="24" t="inlineStr">
        <is>
          <t>55206</t>
        </is>
      </c>
      <c r="E97" s="24" t="inlineStr">
        <is>
          <t>LOL</t>
        </is>
      </c>
      <c r="F97" s="24" t="inlineStr">
        <is>
          <t>Estral Esports</t>
        </is>
      </c>
      <c r="G97" s="24" t="inlineStr">
        <is>
          <t>KaBuM! Ilha das Lendas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212</v>
      </c>
      <c r="M97" s="27" t="n">
        <v>3.12</v>
      </c>
      <c r="N97" s="28" t="n">
        <v>0.320513</v>
      </c>
      <c r="O97" s="28" t="n">
        <v>0.59232</v>
      </c>
      <c r="P97" s="28" t="n"/>
      <c r="Q97" s="28" t="n">
        <v>0.27232</v>
      </c>
      <c r="R97" s="26" t="n">
        <v>100</v>
      </c>
      <c r="S97" s="29" t="n">
        <v>1.5</v>
      </c>
      <c r="T97" s="24" t="inlineStr">
        <is>
          <t>lol-neutral-series-elo-v1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Neutral Elo baseline; executable ask 0.3200 (aec-lol-kbm-est-2026-07-21).</t>
        </is>
      </c>
      <c r="AF97" s="31" t="inlineStr">
        <is>
          <t>Research baseline; zero-unit shadow until qualified.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Estral Esports</t>
        </is>
      </c>
      <c r="AQ97" s="24" t="inlineStr">
        <is>
          <t>Estral Esports</t>
        </is>
      </c>
      <c r="AR97" s="24" t="inlineStr">
        <is>
          <t>Estral Esports</t>
        </is>
      </c>
      <c r="AS97" s="24" t="inlineStr">
        <is>
          <t>KaBuM! Ilha das Lendas</t>
        </is>
      </c>
      <c r="AT97" s="24" t="inlineStr">
        <is>
          <t>KaBuM! Ilha das Lendas</t>
        </is>
      </c>
      <c r="AU97" s="24" t="inlineStr">
        <is>
          <t>KaBuM! Ilha das Lendas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82612f1b27d5065af8d70fd6669509ff00dc1c7e3a91bb423192bf3b0a9736ce</t>
        </is>
      </c>
      <c r="BB97" s="24" t="inlineStr">
        <is>
          <t>neutral_elo</t>
        </is>
      </c>
      <c r="BC97" s="24" t="inlineStr">
        <is>
          <t>lol-neutral-series-elo-v1</t>
        </is>
      </c>
      <c r="BD97" s="24" t="inlineStr">
        <is>
          <t>82612f1b27d5065af8d70fd6669509ff00dc1c7e3a91bb423192bf3b0a9736ce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unknown</t>
        </is>
      </c>
      <c r="BH97" s="24" t="inlineStr">
        <is>
          <t>2026-07-21T08:30:10.070369Z</t>
        </is>
      </c>
      <c r="BI97" s="24" t="inlineStr">
        <is>
          <t>["same_event","same_team_same_day","same_league_same_day"]</t>
        </is>
      </c>
      <c r="BJ97" s="25" t="n"/>
      <c r="BK97" s="26" t="n">
        <v>212</v>
      </c>
      <c r="BL97" s="27" t="n">
        <v>3.12</v>
      </c>
      <c r="BM97" s="28" t="n">
        <v>0.320513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</row>
    <row r="98" ht="36" customHeight="1">
      <c r="A98" s="24" t="inlineStr">
        <is>
          <t>23354aa9fad94658</t>
        </is>
      </c>
      <c r="B98" s="24" t="inlineStr">
        <is>
          <t>2026-07-21T08:30:10.496331Z</t>
        </is>
      </c>
      <c r="C98" s="24" t="inlineStr">
        <is>
          <t>2026-07-21T23:00:00Z</t>
        </is>
      </c>
      <c r="D98" s="24" t="inlineStr">
        <is>
          <t>55208</t>
        </is>
      </c>
      <c r="E98" s="24" t="inlineStr">
        <is>
          <t>LOL</t>
        </is>
      </c>
      <c r="F98" s="24" t="inlineStr">
        <is>
          <t>Ei Nerd Esports</t>
        </is>
      </c>
      <c r="G98" s="24" t="inlineStr">
        <is>
          <t>Team Solid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-194</v>
      </c>
      <c r="M98" s="27" t="n">
        <v>1.515464</v>
      </c>
      <c r="N98" s="28" t="n">
        <v>0.659864</v>
      </c>
      <c r="O98" s="28" t="n">
        <v>0.603723</v>
      </c>
      <c r="P98" s="28" t="n"/>
      <c r="Q98" s="28" t="n">
        <v>-0.056277</v>
      </c>
      <c r="R98" s="26" t="n">
        <v>0</v>
      </c>
      <c r="S98" s="29" t="n">
        <v>1.5</v>
      </c>
      <c r="T98" s="24" t="inlineStr">
        <is>
          <t>lol-neutral-series-elo-v1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Neutral Elo baseline; executable ask 0.6600 (aec-lol-tse-nerd-2026-07-21).</t>
        </is>
      </c>
      <c r="AF98" s="31" t="inlineStr">
        <is>
          <t>Research baseline; zero-unit shadow until qualified.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Ei Nerd Esports</t>
        </is>
      </c>
      <c r="AQ98" s="24" t="inlineStr">
        <is>
          <t>Ei Nerd Esports</t>
        </is>
      </c>
      <c r="AR98" s="24" t="inlineStr">
        <is>
          <t>Ei Nerd Esports</t>
        </is>
      </c>
      <c r="AS98" s="24" t="inlineStr">
        <is>
          <t>Team Solid</t>
        </is>
      </c>
      <c r="AT98" s="24" t="inlineStr">
        <is>
          <t>Team Solid</t>
        </is>
      </c>
      <c r="AU98" s="24" t="inlineStr">
        <is>
          <t>Team Solid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82612f1b27d5065af8d70fd6669509ff00dc1c7e3a91bb423192bf3b0a9736ce</t>
        </is>
      </c>
      <c r="BB98" s="24" t="inlineStr">
        <is>
          <t>neutral_elo</t>
        </is>
      </c>
      <c r="BC98" s="24" t="inlineStr">
        <is>
          <t>lol-neutral-series-elo-v1</t>
        </is>
      </c>
      <c r="BD98" s="24" t="inlineStr">
        <is>
          <t>82612f1b27d5065af8d70fd6669509ff00dc1c7e3a91bb423192bf3b0a9736ce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unknown</t>
        </is>
      </c>
      <c r="BH98" s="24" t="inlineStr">
        <is>
          <t>2026-07-21T08:30:10.496331Z</t>
        </is>
      </c>
      <c r="BI98" s="24" t="inlineStr">
        <is>
          <t>["same_event","same_team_same_day","same_league_same_day"]</t>
        </is>
      </c>
      <c r="BJ98" s="25" t="n"/>
      <c r="BK98" s="26" t="n">
        <v>-194</v>
      </c>
      <c r="BL98" s="27" t="n">
        <v>1.515464</v>
      </c>
      <c r="BM98" s="28" t="n">
        <v>0.659864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</row>
    <row r="99" ht="36" customHeight="1">
      <c r="A99" s="24" t="inlineStr">
        <is>
          <t>10bb7e438b824bad</t>
        </is>
      </c>
      <c r="B99" s="24" t="inlineStr">
        <is>
          <t>2026-07-21T08:30:10.932567Z</t>
        </is>
      </c>
      <c r="C99" s="24" t="inlineStr">
        <is>
          <t>2026-07-22T00:00:00Z</t>
        </is>
      </c>
      <c r="D99" s="24" t="inlineStr">
        <is>
          <t>55211</t>
        </is>
      </c>
      <c r="E99" s="24" t="inlineStr">
        <is>
          <t>LOL</t>
        </is>
      </c>
      <c r="F99" s="24" t="inlineStr">
        <is>
          <t>7REX</t>
        </is>
      </c>
      <c r="G99" s="24" t="inlineStr">
        <is>
          <t>Vivo Keyd Stars Academy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-233</v>
      </c>
      <c r="M99" s="27" t="n">
        <v>1.429185</v>
      </c>
      <c r="N99" s="28" t="n">
        <v>0.6997</v>
      </c>
      <c r="O99" s="28" t="n">
        <v>0.704201</v>
      </c>
      <c r="P99" s="28" t="n"/>
      <c r="Q99" s="28" t="n">
        <v>0.004201</v>
      </c>
      <c r="R99" s="26" t="n">
        <v>4</v>
      </c>
      <c r="S99" s="29" t="n">
        <v>2</v>
      </c>
      <c r="T99" s="24" t="inlineStr">
        <is>
          <t>lol-neutral-series-elo-v1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Neutral Elo baseline; executable ask 0.7000 (aec-lol-vksa-7rex-2026-07-22).</t>
        </is>
      </c>
      <c r="AF99" s="31" t="inlineStr">
        <is>
          <t>Research baseline; zero-unit shadow until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7REX</t>
        </is>
      </c>
      <c r="AQ99" s="24" t="inlineStr">
        <is>
          <t>7REX</t>
        </is>
      </c>
      <c r="AR99" s="24" t="inlineStr">
        <is>
          <t>7REX</t>
        </is>
      </c>
      <c r="AS99" s="24" t="inlineStr">
        <is>
          <t>Vivo Keyd Stars Academy</t>
        </is>
      </c>
      <c r="AT99" s="24" t="inlineStr">
        <is>
          <t>Vivo Keyd Stars Academy</t>
        </is>
      </c>
      <c r="AU99" s="24" t="inlineStr">
        <is>
          <t>Vivo Keyd Stars Academy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82612f1b27d5065af8d70fd6669509ff00dc1c7e3a91bb423192bf3b0a9736ce</t>
        </is>
      </c>
      <c r="BB99" s="24" t="inlineStr">
        <is>
          <t>neutral_elo</t>
        </is>
      </c>
      <c r="BC99" s="24" t="inlineStr">
        <is>
          <t>lol-neutral-series-elo-v1</t>
        </is>
      </c>
      <c r="BD99" s="24" t="inlineStr">
        <is>
          <t>82612f1b27d5065af8d70fd6669509ff00dc1c7e3a91bb423192bf3b0a9736ce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unknown</t>
        </is>
      </c>
      <c r="BH99" s="24" t="inlineStr">
        <is>
          <t>2026-07-21T08:30:10.932567Z</t>
        </is>
      </c>
      <c r="BI99" s="24" t="inlineStr">
        <is>
          <t>["same_event","same_team_same_day","same_league_same_day"]</t>
        </is>
      </c>
      <c r="BJ99" s="25" t="n"/>
      <c r="BK99" s="26" t="n">
        <v>-233</v>
      </c>
      <c r="BL99" s="27" t="n">
        <v>1.429185</v>
      </c>
      <c r="BM99" s="28" t="n">
        <v>0.6997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</row>
    <row r="100" ht="36" customHeight="1">
      <c r="A100" s="24" t="inlineStr">
        <is>
          <t>a30af399cacd4d41</t>
        </is>
      </c>
      <c r="B100" s="24" t="inlineStr">
        <is>
          <t>2026-07-21T08:30:11.373690Z</t>
        </is>
      </c>
      <c r="C100" s="24" t="inlineStr">
        <is>
          <t>2026-07-22T09:00:00Z</t>
        </is>
      </c>
      <c r="D100" s="24" t="inlineStr">
        <is>
          <t>55954</t>
        </is>
      </c>
      <c r="E100" s="24" t="inlineStr">
        <is>
          <t>LOL</t>
        </is>
      </c>
      <c r="F100" s="24" t="inlineStr">
        <is>
          <t>EDward Gaming</t>
        </is>
      </c>
      <c r="G100" s="24" t="inlineStr">
        <is>
          <t>LGD Gaming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-133</v>
      </c>
      <c r="M100" s="27" t="n">
        <v>1.75188</v>
      </c>
      <c r="N100" s="28" t="n">
        <v>0.570815</v>
      </c>
      <c r="O100" s="28" t="n">
        <v>0.568807</v>
      </c>
      <c r="P100" s="28" t="n"/>
      <c r="Q100" s="28" t="n">
        <v>-0.001193</v>
      </c>
      <c r="R100" s="26" t="n">
        <v>0</v>
      </c>
      <c r="S100" s="29" t="n">
        <v>1.25</v>
      </c>
      <c r="T100" s="24" t="inlineStr">
        <is>
          <t>lol-neutral-series-elo-v1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0.5700 (aec-lol-lgd-edg-2026-07-22).</t>
        </is>
      </c>
      <c r="AF100" s="31" t="inlineStr">
        <is>
          <t>Research baseline; zero-unit shadow until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EDward Gaming</t>
        </is>
      </c>
      <c r="AQ100" s="24" t="inlineStr">
        <is>
          <t>EDward Gaming</t>
        </is>
      </c>
      <c r="AR100" s="24" t="inlineStr">
        <is>
          <t>EDward Gaming</t>
        </is>
      </c>
      <c r="AS100" s="24" t="inlineStr">
        <is>
          <t>LGD Gaming</t>
        </is>
      </c>
      <c r="AT100" s="24" t="inlineStr">
        <is>
          <t>LGD Gaming</t>
        </is>
      </c>
      <c r="AU100" s="24" t="inlineStr">
        <is>
          <t>LGD Gaming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82612f1b27d5065af8d70fd6669509ff00dc1c7e3a91bb423192bf3b0a9736ce</t>
        </is>
      </c>
      <c r="BB100" s="24" t="inlineStr">
        <is>
          <t>neutral_elo</t>
        </is>
      </c>
      <c r="BC100" s="24" t="inlineStr">
        <is>
          <t>lol-neutral-series-elo-v1</t>
        </is>
      </c>
      <c r="BD100" s="24" t="inlineStr">
        <is>
          <t>82612f1b27d5065af8d70fd6669509ff00dc1c7e3a91bb423192bf3b0a9736ce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unknown</t>
        </is>
      </c>
      <c r="BH100" s="24" t="inlineStr">
        <is>
          <t>2026-07-21T08:30:11.373690Z</t>
        </is>
      </c>
      <c r="BI100" s="24" t="inlineStr">
        <is>
          <t>["same_event","same_team_same_day","same_league_same_day"]</t>
        </is>
      </c>
      <c r="BJ100" s="25" t="n"/>
      <c r="BK100" s="26" t="n">
        <v>-133</v>
      </c>
      <c r="BL100" s="27" t="n">
        <v>1.75188</v>
      </c>
      <c r="BM100" s="28" t="n">
        <v>0.570815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</row>
    <row r="101" ht="36" customHeight="1">
      <c r="A101" s="24" t="inlineStr">
        <is>
          <t>db5ab1cd4b33441e</t>
        </is>
      </c>
      <c r="B101" s="24" t="inlineStr">
        <is>
          <t>2026-07-21T08:30:11.818617Z</t>
        </is>
      </c>
      <c r="C101" s="24" t="inlineStr">
        <is>
          <t>2026-07-22T11:00:00Z</t>
        </is>
      </c>
      <c r="D101" s="24" t="inlineStr">
        <is>
          <t>55996</t>
        </is>
      </c>
      <c r="E101" s="24" t="inlineStr">
        <is>
          <t>LOL</t>
        </is>
      </c>
      <c r="F101" s="24" t="inlineStr">
        <is>
          <t>Team WE</t>
        </is>
      </c>
      <c r="G101" s="24" t="inlineStr">
        <is>
          <t>Top Esports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-203</v>
      </c>
      <c r="M101" s="27" t="n">
        <v>1.492611</v>
      </c>
      <c r="N101" s="28" t="n">
        <v>0.669967</v>
      </c>
      <c r="O101" s="28" t="n">
        <v>0.748396</v>
      </c>
      <c r="P101" s="28" t="n"/>
      <c r="Q101" s="28" t="n">
        <v>0.07839599999999999</v>
      </c>
      <c r="R101" s="26" t="n">
        <v>78</v>
      </c>
      <c r="S101" s="29" t="n">
        <v>2</v>
      </c>
      <c r="T101" s="24" t="inlineStr">
        <is>
          <t>lol-neutral-series-elo-v1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0.6700 (aec-lol-tes-we-2026-07-22).</t>
        </is>
      </c>
      <c r="AF101" s="31" t="inlineStr">
        <is>
          <t>Research baseline; zero-unit shadow until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Team WE</t>
        </is>
      </c>
      <c r="AQ101" s="24" t="inlineStr">
        <is>
          <t>Team WE</t>
        </is>
      </c>
      <c r="AR101" s="24" t="inlineStr">
        <is>
          <t>Team WE</t>
        </is>
      </c>
      <c r="AS101" s="24" t="inlineStr">
        <is>
          <t>Top Esports</t>
        </is>
      </c>
      <c r="AT101" s="24" t="inlineStr">
        <is>
          <t>Top Esports</t>
        </is>
      </c>
      <c r="AU101" s="24" t="inlineStr">
        <is>
          <t>Top Esports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82612f1b27d5065af8d70fd6669509ff00dc1c7e3a91bb423192bf3b0a9736ce</t>
        </is>
      </c>
      <c r="BB101" s="24" t="inlineStr">
        <is>
          <t>neutral_elo</t>
        </is>
      </c>
      <c r="BC101" s="24" t="inlineStr">
        <is>
          <t>lol-neutral-series-elo-v1</t>
        </is>
      </c>
      <c r="BD101" s="24" t="inlineStr">
        <is>
          <t>82612f1b27d5065af8d70fd6669509ff00dc1c7e3a91bb423192bf3b0a9736ce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unknown</t>
        </is>
      </c>
      <c r="BH101" s="24" t="inlineStr">
        <is>
          <t>2026-07-21T08:30:11.818617Z</t>
        </is>
      </c>
      <c r="BI101" s="24" t="inlineStr">
        <is>
          <t>["same_event","same_team_same_day","same_league_same_day"]</t>
        </is>
      </c>
      <c r="BJ101" s="25" t="n"/>
      <c r="BK101" s="26" t="n">
        <v>-203</v>
      </c>
      <c r="BL101" s="27" t="n">
        <v>1.492611</v>
      </c>
      <c r="BM101" s="28" t="n">
        <v>0.669967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</row>
    <row r="102" ht="36" customHeight="1">
      <c r="A102" s="24" t="inlineStr">
        <is>
          <t>e9d2e72e59424880</t>
        </is>
      </c>
      <c r="B102" s="24" t="inlineStr">
        <is>
          <t>2026-07-21T08:30:12.262618Z</t>
        </is>
      </c>
      <c r="C102" s="24" t="inlineStr">
        <is>
          <t>2026-07-22T15:00:00Z</t>
        </is>
      </c>
      <c r="D102" s="24" t="inlineStr">
        <is>
          <t>56056</t>
        </is>
      </c>
      <c r="E102" s="24" t="inlineStr">
        <is>
          <t>LOL</t>
        </is>
      </c>
      <c r="F102" s="24" t="inlineStr">
        <is>
          <t>FALKE Esports</t>
        </is>
      </c>
      <c r="G102" s="24" t="inlineStr">
        <is>
          <t>UB Alma Mater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203</v>
      </c>
      <c r="M102" s="27" t="n">
        <v>3.03</v>
      </c>
      <c r="N102" s="28" t="n">
        <v>0.330033</v>
      </c>
      <c r="O102" s="28" t="n">
        <v>0.64693</v>
      </c>
      <c r="P102" s="28" t="n"/>
      <c r="Q102" s="28" t="n">
        <v>0.31693</v>
      </c>
      <c r="R102" s="26" t="n">
        <v>100</v>
      </c>
      <c r="S102" s="29" t="n">
        <v>2</v>
      </c>
      <c r="T102" s="24" t="inlineStr">
        <is>
          <t>lol-neutral-series-elo-v1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0.3300 (aec-lol-ub-flk-2026-07-22).</t>
        </is>
      </c>
      <c r="AF102" s="31" t="inlineStr">
        <is>
          <t>Research baseline; zero-unit shadow until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FALKE Esports</t>
        </is>
      </c>
      <c r="AQ102" s="24" t="inlineStr">
        <is>
          <t>FALKE Esports</t>
        </is>
      </c>
      <c r="AR102" s="24" t="inlineStr">
        <is>
          <t>FALKE Esports</t>
        </is>
      </c>
      <c r="AS102" s="24" t="inlineStr">
        <is>
          <t>UB Alma Mater</t>
        </is>
      </c>
      <c r="AT102" s="24" t="inlineStr">
        <is>
          <t>UB Alma Mater</t>
        </is>
      </c>
      <c r="AU102" s="24" t="inlineStr">
        <is>
          <t>UB Alma Mater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82612f1b27d5065af8d70fd6669509ff00dc1c7e3a91bb423192bf3b0a9736ce</t>
        </is>
      </c>
      <c r="BB102" s="24" t="inlineStr">
        <is>
          <t>neutral_elo</t>
        </is>
      </c>
      <c r="BC102" s="24" t="inlineStr">
        <is>
          <t>lol-neutral-series-elo-v1</t>
        </is>
      </c>
      <c r="BD102" s="24" t="inlineStr">
        <is>
          <t>82612f1b27d5065af8d70fd6669509ff00dc1c7e3a91bb423192bf3b0a9736ce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unknown</t>
        </is>
      </c>
      <c r="BH102" s="24" t="inlineStr">
        <is>
          <t>2026-07-21T08:30:12.262618Z</t>
        </is>
      </c>
      <c r="BI102" s="24" t="inlineStr">
        <is>
          <t>["same_event","same_team_same_day","same_league_same_day"]</t>
        </is>
      </c>
      <c r="BJ102" s="25" t="n"/>
      <c r="BK102" s="26" t="n">
        <v>203</v>
      </c>
      <c r="BL102" s="27" t="n">
        <v>3.03</v>
      </c>
      <c r="BM102" s="28" t="n">
        <v>0.330033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</row>
    <row r="103" ht="36" customHeight="1">
      <c r="A103" s="24" t="inlineStr">
        <is>
          <t>7edb92e272344d4e</t>
        </is>
      </c>
      <c r="B103" s="24" t="inlineStr">
        <is>
          <t>2026-07-21T08:30:12.708089Z</t>
        </is>
      </c>
      <c r="C103" s="24" t="inlineStr">
        <is>
          <t>2026-07-22T17:30:00Z</t>
        </is>
      </c>
      <c r="D103" s="24" t="inlineStr">
        <is>
          <t>56127</t>
        </is>
      </c>
      <c r="E103" s="24" t="inlineStr">
        <is>
          <t>LOL</t>
        </is>
      </c>
      <c r="F103" s="24" t="inlineStr">
        <is>
          <t>UCAM Esports Club</t>
        </is>
      </c>
      <c r="G103" s="24" t="inlineStr">
        <is>
          <t>Barça eSports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-144</v>
      </c>
      <c r="M103" s="27" t="n">
        <v>1.694444</v>
      </c>
      <c r="N103" s="28" t="n">
        <v>0.590164</v>
      </c>
      <c r="O103" s="28" t="n">
        <v>0.6951349999999999</v>
      </c>
      <c r="P103" s="28" t="n"/>
      <c r="Q103" s="28" t="n">
        <v>0.105135</v>
      </c>
      <c r="R103" s="26" t="n">
        <v>100</v>
      </c>
      <c r="S103" s="29" t="n">
        <v>2</v>
      </c>
      <c r="T103" s="24" t="inlineStr">
        <is>
          <t>lol-neutral-series-elo-v1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0.5900 (aec-lol-bar-ucam-2026-07-22).</t>
        </is>
      </c>
      <c r="AF103" s="31" t="inlineStr">
        <is>
          <t>Research baseline; zero-unit shadow until qualified.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UCAM Esports Club</t>
        </is>
      </c>
      <c r="AQ103" s="24" t="inlineStr">
        <is>
          <t>UCAM Esports Club</t>
        </is>
      </c>
      <c r="AR103" s="24" t="inlineStr">
        <is>
          <t>UCAM Esports Club</t>
        </is>
      </c>
      <c r="AS103" s="24" t="inlineStr">
        <is>
          <t>Barça eSports</t>
        </is>
      </c>
      <c r="AT103" s="24" t="inlineStr">
        <is>
          <t>Barça eSports</t>
        </is>
      </c>
      <c r="AU103" s="24" t="inlineStr">
        <is>
          <t>Barça eSports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82612f1b27d5065af8d70fd6669509ff00dc1c7e3a91bb423192bf3b0a9736ce</t>
        </is>
      </c>
      <c r="BB103" s="24" t="inlineStr">
        <is>
          <t>neutral_elo</t>
        </is>
      </c>
      <c r="BC103" s="24" t="inlineStr">
        <is>
          <t>lol-neutral-series-elo-v1</t>
        </is>
      </c>
      <c r="BD103" s="24" t="inlineStr">
        <is>
          <t>82612f1b27d5065af8d70fd6669509ff00dc1c7e3a91bb423192bf3b0a9736ce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unknown</t>
        </is>
      </c>
      <c r="BH103" s="24" t="inlineStr">
        <is>
          <t>2026-07-21T08:30:12.708089Z</t>
        </is>
      </c>
      <c r="BI103" s="24" t="inlineStr">
        <is>
          <t>["same_event","same_team_same_day","same_league_same_day"]</t>
        </is>
      </c>
      <c r="BJ103" s="25" t="n"/>
      <c r="BK103" s="26" t="n">
        <v>-144</v>
      </c>
      <c r="BL103" s="27" t="n">
        <v>1.694444</v>
      </c>
      <c r="BM103" s="28" t="n">
        <v>0.590164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</row>
    <row r="104" ht="36" customHeight="1">
      <c r="A104" s="24" t="inlineStr">
        <is>
          <t>1709cb0290f74e18</t>
        </is>
      </c>
      <c r="B104" s="24" t="inlineStr">
        <is>
          <t>2026-07-21T08:42:02.617232Z</t>
        </is>
      </c>
      <c r="C104" s="24" t="inlineStr">
        <is>
          <t>2026-07-21T10:00:00Z</t>
        </is>
      </c>
      <c r="D104" s="24" t="inlineStr">
        <is>
          <t>54926</t>
        </is>
      </c>
      <c r="E104" s="24" t="inlineStr">
        <is>
          <t>CS2</t>
        </is>
      </c>
      <c r="F104" s="24" t="inlineStr">
        <is>
          <t>NIP</t>
        </is>
      </c>
      <c r="G104" s="24" t="inlineStr">
        <is>
          <t>M80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108</v>
      </c>
      <c r="M104" s="27" t="n">
        <v>2.08</v>
      </c>
      <c r="N104" s="28" t="n">
        <v>0.480769</v>
      </c>
      <c r="O104" s="28" t="n">
        <v>0.670551</v>
      </c>
      <c r="P104" s="28" t="n"/>
      <c r="Q104" s="28" t="n">
        <v>0.190551</v>
      </c>
      <c r="R104" s="26" t="n">
        <v>100</v>
      </c>
      <c r="S104" s="29" t="n">
        <v>2</v>
      </c>
      <c r="T104" s="24" t="inlineStr">
        <is>
          <t>cs2-neutral-series-elo-v1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Neutral Elo baseline; executable ask 0.4800 (aec-cs2-m80-nip-2026-07-21).</t>
        </is>
      </c>
      <c r="AF104" s="31" t="inlineStr">
        <is>
          <t>Research baseline; zero-unit shadow until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NIP</t>
        </is>
      </c>
      <c r="AQ104" s="24" t="inlineStr">
        <is>
          <t>NIP</t>
        </is>
      </c>
      <c r="AR104" s="24" t="inlineStr">
        <is>
          <t>NIP</t>
        </is>
      </c>
      <c r="AS104" s="24" t="inlineStr">
        <is>
          <t>M80</t>
        </is>
      </c>
      <c r="AT104" s="24" t="inlineStr">
        <is>
          <t>M80</t>
        </is>
      </c>
      <c r="AU104" s="24" t="inlineStr">
        <is>
          <t>M80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9dbde86ab8062ac73a51c94b0ad431573ac8b755ccd742d86794849a749958c7</t>
        </is>
      </c>
      <c r="BB104" s="24" t="inlineStr">
        <is>
          <t>neutral_elo</t>
        </is>
      </c>
      <c r="BC104" s="24" t="inlineStr">
        <is>
          <t>cs2-neutral-series-elo-v1</t>
        </is>
      </c>
      <c r="BD104" s="24" t="inlineStr">
        <is>
          <t>9dbde86ab8062ac73a51c94b0ad431573ac8b755ccd742d86794849a749958c7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unknown</t>
        </is>
      </c>
      <c r="BH104" s="24" t="inlineStr">
        <is>
          <t>2026-07-21T08:42:02.617232Z</t>
        </is>
      </c>
      <c r="BI104" s="24" t="inlineStr">
        <is>
          <t>["same_event","same_team_same_day","same_league_same_day"]</t>
        </is>
      </c>
      <c r="BJ104" s="25" t="n"/>
      <c r="BK104" s="26" t="n">
        <v>108</v>
      </c>
      <c r="BL104" s="27" t="n">
        <v>2.08</v>
      </c>
      <c r="BM104" s="28" t="n">
        <v>0.480769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</row>
    <row r="105" ht="36" customHeight="1">
      <c r="A105" s="24" t="inlineStr">
        <is>
          <t>a037d33a498f48a4</t>
        </is>
      </c>
      <c r="B105" s="24" t="inlineStr">
        <is>
          <t>2026-07-21T08:42:03.073727Z</t>
        </is>
      </c>
      <c r="C105" s="24" t="inlineStr">
        <is>
          <t>2026-07-21T10:30:00Z</t>
        </is>
      </c>
      <c r="D105" s="24" t="inlineStr">
        <is>
          <t>56029</t>
        </is>
      </c>
      <c r="E105" s="24" t="inlineStr">
        <is>
          <t>CS2</t>
        </is>
      </c>
      <c r="F105" s="24" t="inlineStr">
        <is>
          <t>CYBERSHOKE Esports</t>
        </is>
      </c>
      <c r="G105" s="24" t="inlineStr">
        <is>
          <t>BET-M 33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156</v>
      </c>
      <c r="M105" s="27" t="n">
        <v>2.56</v>
      </c>
      <c r="N105" s="28" t="n">
        <v>0.390625</v>
      </c>
      <c r="O105" s="28" t="n">
        <v>0.7467510000000001</v>
      </c>
      <c r="P105" s="28" t="n"/>
      <c r="Q105" s="28" t="n">
        <v>0.356751</v>
      </c>
      <c r="R105" s="26" t="n">
        <v>100</v>
      </c>
      <c r="S105" s="29" t="n">
        <v>2</v>
      </c>
      <c r="T105" s="24" t="inlineStr">
        <is>
          <t>cs2-neutral-series-elo-v1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Neutral Elo baseline; executable ask 0.3900 (aec-cs2-33-cs-2026-07-21).</t>
        </is>
      </c>
      <c r="AF105" s="31" t="inlineStr">
        <is>
          <t>Research baseline; zero-unit shadow until qualified.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CYBERSHOKE Esports</t>
        </is>
      </c>
      <c r="AQ105" s="24" t="inlineStr">
        <is>
          <t>CYBERSHOKE Esports</t>
        </is>
      </c>
      <c r="AR105" s="24" t="inlineStr">
        <is>
          <t>CYBERSHOKE Esports</t>
        </is>
      </c>
      <c r="AS105" s="24" t="inlineStr">
        <is>
          <t>BET-M 33</t>
        </is>
      </c>
      <c r="AT105" s="24" t="inlineStr">
        <is>
          <t>BET-M 33</t>
        </is>
      </c>
      <c r="AU105" s="24" t="inlineStr">
        <is>
          <t>BET-M 33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9dbde86ab8062ac73a51c94b0ad431573ac8b755ccd742d86794849a749958c7</t>
        </is>
      </c>
      <c r="BB105" s="24" t="inlineStr">
        <is>
          <t>neutral_elo</t>
        </is>
      </c>
      <c r="BC105" s="24" t="inlineStr">
        <is>
          <t>cs2-neutral-series-elo-v1</t>
        </is>
      </c>
      <c r="BD105" s="24" t="inlineStr">
        <is>
          <t>9dbde86ab8062ac73a51c94b0ad431573ac8b755ccd742d86794849a749958c7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unknown</t>
        </is>
      </c>
      <c r="BH105" s="24" t="inlineStr">
        <is>
          <t>2026-07-21T08:42:03.073727Z</t>
        </is>
      </c>
      <c r="BI105" s="24" t="inlineStr">
        <is>
          <t>["same_event","same_team_same_day","same_league_same_day"]</t>
        </is>
      </c>
      <c r="BJ105" s="25" t="n"/>
      <c r="BK105" s="26" t="n">
        <v>156</v>
      </c>
      <c r="BL105" s="27" t="n">
        <v>2.56</v>
      </c>
      <c r="BM105" s="28" t="n">
        <v>0.390625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</row>
    <row r="106" ht="36" customHeight="1">
      <c r="A106" s="24" t="inlineStr">
        <is>
          <t>e11b56e7627a41de</t>
        </is>
      </c>
      <c r="B106" s="24" t="inlineStr">
        <is>
          <t>2026-07-21T08:42:03.532549Z</t>
        </is>
      </c>
      <c r="C106" s="24" t="inlineStr">
        <is>
          <t>2026-07-21T11:00:00Z</t>
        </is>
      </c>
      <c r="D106" s="24" t="inlineStr">
        <is>
          <t>57524</t>
        </is>
      </c>
      <c r="E106" s="24" t="inlineStr">
        <is>
          <t>CS2</t>
        </is>
      </c>
      <c r="F106" s="24" t="inlineStr">
        <is>
          <t>Entropy</t>
        </is>
      </c>
      <c r="G106" s="24" t="inlineStr">
        <is>
          <t>Esport Academy Copenhagen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0.602113</v>
      </c>
      <c r="P106" s="28" t="n"/>
      <c r="Q106" s="28" t="n">
        <v>0.08211300000000001</v>
      </c>
      <c r="R106" s="26" t="n">
        <v>82</v>
      </c>
      <c r="S106" s="29" t="n">
        <v>1.5</v>
      </c>
      <c r="T106" s="24" t="inlineStr">
        <is>
          <t>cs2-neutral-series-elo-v1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Neutral Elo baseline; executable ask 0.5200 (aec-cs2-eac-ent-2026-07-21).</t>
        </is>
      </c>
      <c r="AF106" s="31" t="inlineStr">
        <is>
          <t>Research baseline; zero-unit shadow until qualified.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Entropy</t>
        </is>
      </c>
      <c r="AQ106" s="24" t="inlineStr">
        <is>
          <t>Entropy</t>
        </is>
      </c>
      <c r="AR106" s="24" t="inlineStr">
        <is>
          <t>Entropy</t>
        </is>
      </c>
      <c r="AS106" s="24" t="inlineStr">
        <is>
          <t>Esport Academy Copenhagen</t>
        </is>
      </c>
      <c r="AT106" s="24" t="inlineStr">
        <is>
          <t>Esport Academy Copenhagen</t>
        </is>
      </c>
      <c r="AU106" s="24" t="inlineStr">
        <is>
          <t>Esport Academy Copenhagen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9dbde86ab8062ac73a51c94b0ad431573ac8b755ccd742d86794849a749958c7</t>
        </is>
      </c>
      <c r="BB106" s="24" t="inlineStr">
        <is>
          <t>neutral_elo</t>
        </is>
      </c>
      <c r="BC106" s="24" t="inlineStr">
        <is>
          <t>cs2-neutral-series-elo-v1</t>
        </is>
      </c>
      <c r="BD106" s="24" t="inlineStr">
        <is>
          <t>9dbde86ab8062ac73a51c94b0ad431573ac8b755ccd742d86794849a749958c7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unknown</t>
        </is>
      </c>
      <c r="BH106" s="24" t="inlineStr">
        <is>
          <t>2026-07-21T08:42:03.532549Z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</row>
    <row r="107" ht="36" customHeight="1">
      <c r="A107" s="24" t="inlineStr">
        <is>
          <t>a54d083f147d48cd</t>
        </is>
      </c>
      <c r="B107" s="24" t="inlineStr">
        <is>
          <t>2026-07-21T08:42:03.993882Z</t>
        </is>
      </c>
      <c r="C107" s="24" t="inlineStr">
        <is>
          <t>2026-07-21T12:30:00Z</t>
        </is>
      </c>
      <c r="D107" s="24" t="inlineStr">
        <is>
          <t>54977</t>
        </is>
      </c>
      <c r="E107" s="24" t="inlineStr">
        <is>
          <t>CS2</t>
        </is>
      </c>
      <c r="F107" s="24" t="inlineStr">
        <is>
          <t>Astralis</t>
        </is>
      </c>
      <c r="G107" s="24" t="inlineStr">
        <is>
          <t>Team Nemesis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-163</v>
      </c>
      <c r="M107" s="27" t="n">
        <v>1.613497</v>
      </c>
      <c r="N107" s="28" t="n">
        <v>0.619772</v>
      </c>
      <c r="O107" s="28" t="n">
        <v>0.511629</v>
      </c>
      <c r="P107" s="28" t="n"/>
      <c r="Q107" s="28" t="n">
        <v>-0.108371</v>
      </c>
      <c r="R107" s="26" t="n">
        <v>0</v>
      </c>
      <c r="S107" s="29" t="n">
        <v>0.5</v>
      </c>
      <c r="T107" s="24" t="inlineStr">
        <is>
          <t>cs2-neutral-series-elo-v1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Neutral Elo baseline; executable ask 0.6200 (aec-cs2-nem-ast-2026-07-21).</t>
        </is>
      </c>
      <c r="AF107" s="31" t="inlineStr">
        <is>
          <t>Research baseline; zero-unit shadow until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Astralis</t>
        </is>
      </c>
      <c r="AQ107" s="24" t="inlineStr">
        <is>
          <t>Astralis</t>
        </is>
      </c>
      <c r="AR107" s="24" t="inlineStr">
        <is>
          <t>Astralis</t>
        </is>
      </c>
      <c r="AS107" s="24" t="inlineStr">
        <is>
          <t>Team Nemesis</t>
        </is>
      </c>
      <c r="AT107" s="24" t="inlineStr">
        <is>
          <t>Team Nemesis</t>
        </is>
      </c>
      <c r="AU107" s="24" t="inlineStr">
        <is>
          <t>Team Nemesis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9dbde86ab8062ac73a51c94b0ad431573ac8b755ccd742d86794849a749958c7</t>
        </is>
      </c>
      <c r="BB107" s="24" t="inlineStr">
        <is>
          <t>neutral_elo</t>
        </is>
      </c>
      <c r="BC107" s="24" t="inlineStr">
        <is>
          <t>cs2-neutral-series-elo-v1</t>
        </is>
      </c>
      <c r="BD107" s="24" t="inlineStr">
        <is>
          <t>9dbde86ab8062ac73a51c94b0ad431573ac8b755ccd742d86794849a749958c7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unknown</t>
        </is>
      </c>
      <c r="BH107" s="24" t="inlineStr">
        <is>
          <t>2026-07-21T08:42:03.993882Z</t>
        </is>
      </c>
      <c r="BI107" s="24" t="inlineStr">
        <is>
          <t>["same_event","same_team_same_day","same_league_same_day"]</t>
        </is>
      </c>
      <c r="BJ107" s="25" t="n"/>
      <c r="BK107" s="26" t="n">
        <v>-163</v>
      </c>
      <c r="BL107" s="27" t="n">
        <v>1.613497</v>
      </c>
      <c r="BM107" s="28" t="n">
        <v>0.619772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</row>
    <row r="108" ht="36" customHeight="1">
      <c r="A108" s="24" t="inlineStr">
        <is>
          <t>b4012dc58ab144a0</t>
        </is>
      </c>
      <c r="B108" s="24" t="inlineStr">
        <is>
          <t>2026-07-21T08:42:04.526061Z</t>
        </is>
      </c>
      <c r="C108" s="24" t="inlineStr">
        <is>
          <t>2026-07-21T13:00:00Z</t>
        </is>
      </c>
      <c r="D108" s="24" t="inlineStr">
        <is>
          <t>56030</t>
        </is>
      </c>
      <c r="E108" s="24" t="inlineStr">
        <is>
          <t>CS2</t>
        </is>
      </c>
      <c r="F108" s="24" t="inlineStr">
        <is>
          <t>Gentle Mates</t>
        </is>
      </c>
      <c r="G108" s="24" t="inlineStr">
        <is>
          <t>3DMAX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122</v>
      </c>
      <c r="M108" s="27" t="n">
        <v>2.22</v>
      </c>
      <c r="N108" s="28" t="n">
        <v>0.45045</v>
      </c>
      <c r="O108" s="28" t="n">
        <v>0.569167</v>
      </c>
      <c r="P108" s="28" t="n"/>
      <c r="Q108" s="28" t="n">
        <v>0.119167</v>
      </c>
      <c r="R108" s="26" t="n">
        <v>100</v>
      </c>
      <c r="S108" s="29" t="n">
        <v>1.25</v>
      </c>
      <c r="T108" s="24" t="inlineStr">
        <is>
          <t>cs2-neutral-series-elo-v1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0.4500 (aec-cs2-3dmax-m8-2026-07-21).</t>
        </is>
      </c>
      <c r="AF108" s="31" t="inlineStr">
        <is>
          <t>Research baseline; zero-unit shadow until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Gentle Mates</t>
        </is>
      </c>
      <c r="AQ108" s="24" t="inlineStr">
        <is>
          <t>Gentle Mates</t>
        </is>
      </c>
      <c r="AR108" s="24" t="inlineStr">
        <is>
          <t>Gentle Mates</t>
        </is>
      </c>
      <c r="AS108" s="24" t="inlineStr">
        <is>
          <t>3DMAX</t>
        </is>
      </c>
      <c r="AT108" s="24" t="inlineStr">
        <is>
          <t>3DMAX</t>
        </is>
      </c>
      <c r="AU108" s="24" t="inlineStr">
        <is>
          <t>3DMAX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9dbde86ab8062ac73a51c94b0ad431573ac8b755ccd742d86794849a749958c7</t>
        </is>
      </c>
      <c r="BB108" s="24" t="inlineStr">
        <is>
          <t>neutral_elo</t>
        </is>
      </c>
      <c r="BC108" s="24" t="inlineStr">
        <is>
          <t>cs2-neutral-series-elo-v1</t>
        </is>
      </c>
      <c r="BD108" s="24" t="inlineStr">
        <is>
          <t>9dbde86ab8062ac73a51c94b0ad431573ac8b755ccd742d86794849a749958c7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unknown</t>
        </is>
      </c>
      <c r="BH108" s="24" t="inlineStr">
        <is>
          <t>2026-07-21T08:42:04.526061Z</t>
        </is>
      </c>
      <c r="BI108" s="24" t="inlineStr">
        <is>
          <t>["same_event","same_team_same_day","same_league_same_day"]</t>
        </is>
      </c>
      <c r="BJ108" s="25" t="n"/>
      <c r="BK108" s="26" t="n">
        <v>122</v>
      </c>
      <c r="BL108" s="27" t="n">
        <v>2.22</v>
      </c>
      <c r="BM108" s="28" t="n">
        <v>0.45045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</row>
    <row r="109" ht="36" customHeight="1">
      <c r="A109" s="24" t="inlineStr">
        <is>
          <t>4a56f15ec9514541</t>
        </is>
      </c>
      <c r="B109" s="24" t="inlineStr">
        <is>
          <t>2026-07-21T08:42:04.995915Z</t>
        </is>
      </c>
      <c r="C109" s="24" t="inlineStr">
        <is>
          <t>2026-07-21T13:00:00Z</t>
        </is>
      </c>
      <c r="D109" s="24" t="inlineStr">
        <is>
          <t>56031</t>
        </is>
      </c>
      <c r="E109" s="24" t="inlineStr">
        <is>
          <t>CS2</t>
        </is>
      </c>
      <c r="F109" s="24" t="inlineStr">
        <is>
          <t>Heroic</t>
        </is>
      </c>
      <c r="G109" s="24" t="inlineStr">
        <is>
          <t>HOTU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-233</v>
      </c>
      <c r="M109" s="27" t="n">
        <v>1.429185</v>
      </c>
      <c r="N109" s="28" t="n">
        <v>0.6997</v>
      </c>
      <c r="O109" s="28" t="n">
        <v>0.5084920000000001</v>
      </c>
      <c r="P109" s="28" t="n"/>
      <c r="Q109" s="28" t="n">
        <v>-0.191508</v>
      </c>
      <c r="R109" s="26" t="n">
        <v>0</v>
      </c>
      <c r="S109" s="29" t="n">
        <v>0.5</v>
      </c>
      <c r="T109" s="24" t="inlineStr">
        <is>
          <t>cs2-neutral-series-elo-v1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0.7000 (aec-cs2-hotu-hero-2026-07-21).</t>
        </is>
      </c>
      <c r="AF109" s="31" t="inlineStr">
        <is>
          <t>Research baseline; zero-unit shadow until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Heroic</t>
        </is>
      </c>
      <c r="AQ109" s="24" t="inlineStr">
        <is>
          <t>Heroic</t>
        </is>
      </c>
      <c r="AR109" s="24" t="inlineStr">
        <is>
          <t>Heroic</t>
        </is>
      </c>
      <c r="AS109" s="24" t="inlineStr">
        <is>
          <t>HOTU</t>
        </is>
      </c>
      <c r="AT109" s="24" t="inlineStr">
        <is>
          <t>HOTU</t>
        </is>
      </c>
      <c r="AU109" s="24" t="inlineStr">
        <is>
          <t>HOTU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9dbde86ab8062ac73a51c94b0ad431573ac8b755ccd742d86794849a749958c7</t>
        </is>
      </c>
      <c r="BB109" s="24" t="inlineStr">
        <is>
          <t>neutral_elo</t>
        </is>
      </c>
      <c r="BC109" s="24" t="inlineStr">
        <is>
          <t>cs2-neutral-series-elo-v1</t>
        </is>
      </c>
      <c r="BD109" s="24" t="inlineStr">
        <is>
          <t>9dbde86ab8062ac73a51c94b0ad431573ac8b755ccd742d86794849a749958c7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unknown</t>
        </is>
      </c>
      <c r="BH109" s="24" t="inlineStr">
        <is>
          <t>2026-07-21T08:42:04.995915Z</t>
        </is>
      </c>
      <c r="BI109" s="24" t="inlineStr">
        <is>
          <t>["same_event","same_team_same_day","same_league_same_day"]</t>
        </is>
      </c>
      <c r="BJ109" s="25" t="n"/>
      <c r="BK109" s="26" t="n">
        <v>-233</v>
      </c>
      <c r="BL109" s="27" t="n">
        <v>1.429185</v>
      </c>
      <c r="BM109" s="28" t="n">
        <v>0.6997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</row>
    <row r="110" ht="36" customHeight="1">
      <c r="A110" s="24" t="inlineStr">
        <is>
          <t>66bb331b686e41de</t>
        </is>
      </c>
      <c r="B110" s="24" t="inlineStr">
        <is>
          <t>2026-07-21T08:42:05.471401Z</t>
        </is>
      </c>
      <c r="C110" s="24" t="inlineStr">
        <is>
          <t>2026-07-21T13:00:00Z</t>
        </is>
      </c>
      <c r="D110" s="24" t="inlineStr">
        <is>
          <t>57526</t>
        </is>
      </c>
      <c r="E110" s="24" t="inlineStr">
        <is>
          <t>CS2</t>
        </is>
      </c>
      <c r="F110" s="24" t="inlineStr">
        <is>
          <t>Misa Esports</t>
        </is>
      </c>
      <c r="G110" s="24" t="inlineStr">
        <is>
          <t>Honvéd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-108</v>
      </c>
      <c r="M110" s="27" t="n">
        <v>1.925926</v>
      </c>
      <c r="N110" s="28" t="n">
        <v>0.519231</v>
      </c>
      <c r="O110" s="28" t="n">
        <v>0.543642</v>
      </c>
      <c r="P110" s="28" t="n"/>
      <c r="Q110" s="28" t="n">
        <v>0.023642</v>
      </c>
      <c r="R110" s="26" t="n">
        <v>23</v>
      </c>
      <c r="S110" s="29" t="n">
        <v>1</v>
      </c>
      <c r="T110" s="24" t="inlineStr">
        <is>
          <t>cs2-neutral-series-elo-v1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0.5200 (aec-cs2-hon-misa-2026-07-21).</t>
        </is>
      </c>
      <c r="AF110" s="31" t="inlineStr">
        <is>
          <t>Research baseline; zero-unit shadow until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Misa Esports</t>
        </is>
      </c>
      <c r="AQ110" s="24" t="inlineStr">
        <is>
          <t>Misa Esports</t>
        </is>
      </c>
      <c r="AR110" s="24" t="inlineStr">
        <is>
          <t>Misa Esports</t>
        </is>
      </c>
      <c r="AS110" s="24" t="inlineStr">
        <is>
          <t>Honvéd</t>
        </is>
      </c>
      <c r="AT110" s="24" t="inlineStr">
        <is>
          <t>Honvéd</t>
        </is>
      </c>
      <c r="AU110" s="24" t="inlineStr">
        <is>
          <t>Honvéd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9dbde86ab8062ac73a51c94b0ad431573ac8b755ccd742d86794849a749958c7</t>
        </is>
      </c>
      <c r="BB110" s="24" t="inlineStr">
        <is>
          <t>neutral_elo</t>
        </is>
      </c>
      <c r="BC110" s="24" t="inlineStr">
        <is>
          <t>cs2-neutral-series-elo-v1</t>
        </is>
      </c>
      <c r="BD110" s="24" t="inlineStr">
        <is>
          <t>9dbde86ab8062ac73a51c94b0ad431573ac8b755ccd742d86794849a749958c7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unknown</t>
        </is>
      </c>
      <c r="BH110" s="24" t="inlineStr">
        <is>
          <t>2026-07-21T08:42:05.471401Z</t>
        </is>
      </c>
      <c r="BI110" s="24" t="inlineStr">
        <is>
          <t>["same_event","same_team_same_day","same_league_same_day"]</t>
        </is>
      </c>
      <c r="BJ110" s="25" t="n"/>
      <c r="BK110" s="26" t="n">
        <v>-108</v>
      </c>
      <c r="BL110" s="27" t="n">
        <v>1.925926</v>
      </c>
      <c r="BM110" s="28" t="n">
        <v>0.519231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</row>
    <row r="111" ht="36" customHeight="1">
      <c r="A111" s="24" t="inlineStr">
        <is>
          <t>0dc815322eab4ae7</t>
        </is>
      </c>
      <c r="B111" s="24" t="inlineStr">
        <is>
          <t>2026-07-21T08:42:05.954502Z</t>
        </is>
      </c>
      <c r="C111" s="24" t="inlineStr">
        <is>
          <t>2026-07-21T14:00:00Z</t>
        </is>
      </c>
      <c r="D111" s="24" t="inlineStr">
        <is>
          <t>56866</t>
        </is>
      </c>
      <c r="E111" s="24" t="inlineStr">
        <is>
          <t>CS2</t>
        </is>
      </c>
      <c r="F111" s="24" t="inlineStr">
        <is>
          <t>QUAZAR</t>
        </is>
      </c>
      <c r="G111" s="24" t="inlineStr">
        <is>
          <t>ENJOY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-213</v>
      </c>
      <c r="M111" s="27" t="n">
        <v>1.469484</v>
      </c>
      <c r="N111" s="28" t="n">
        <v>0.680511</v>
      </c>
      <c r="O111" s="28" t="n">
        <v>0.57243</v>
      </c>
      <c r="P111" s="28" t="n"/>
      <c r="Q111" s="28" t="n">
        <v>-0.10757</v>
      </c>
      <c r="R111" s="26" t="n">
        <v>0</v>
      </c>
      <c r="S111" s="29" t="n">
        <v>1.25</v>
      </c>
      <c r="T111" s="24" t="inlineStr">
        <is>
          <t>cs2-neutral-series-elo-v1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0.6800 (aec-cs2-enjoy-qua-2026-07-21).</t>
        </is>
      </c>
      <c r="AF111" s="31" t="inlineStr">
        <is>
          <t>Research baseline; zero-unit shadow until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QUAZAR</t>
        </is>
      </c>
      <c r="AQ111" s="24" t="inlineStr">
        <is>
          <t>QUAZAR</t>
        </is>
      </c>
      <c r="AR111" s="24" t="inlineStr">
        <is>
          <t>QUAZAR</t>
        </is>
      </c>
      <c r="AS111" s="24" t="inlineStr">
        <is>
          <t>ENJOY</t>
        </is>
      </c>
      <c r="AT111" s="24" t="inlineStr">
        <is>
          <t>ENJOY</t>
        </is>
      </c>
      <c r="AU111" s="24" t="inlineStr">
        <is>
          <t>ENJOY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9dbde86ab8062ac73a51c94b0ad431573ac8b755ccd742d86794849a749958c7</t>
        </is>
      </c>
      <c r="BB111" s="24" t="inlineStr">
        <is>
          <t>neutral_elo</t>
        </is>
      </c>
      <c r="BC111" s="24" t="inlineStr">
        <is>
          <t>cs2-neutral-series-elo-v1</t>
        </is>
      </c>
      <c r="BD111" s="24" t="inlineStr">
        <is>
          <t>9dbde86ab8062ac73a51c94b0ad431573ac8b755ccd742d86794849a749958c7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unknown</t>
        </is>
      </c>
      <c r="BH111" s="24" t="inlineStr">
        <is>
          <t>2026-07-21T08:42:05.954502Z</t>
        </is>
      </c>
      <c r="BI111" s="24" t="inlineStr">
        <is>
          <t>["same_event","same_team_same_day","same_league_same_day"]</t>
        </is>
      </c>
      <c r="BJ111" s="25" t="n"/>
      <c r="BK111" s="26" t="n">
        <v>-213</v>
      </c>
      <c r="BL111" s="27" t="n">
        <v>1.469484</v>
      </c>
      <c r="BM111" s="28" t="n">
        <v>0.680511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</row>
    <row r="112" ht="36" customHeight="1">
      <c r="A112" s="24" t="inlineStr">
        <is>
          <t>c84a788d15a84a97</t>
        </is>
      </c>
      <c r="B112" s="24" t="inlineStr">
        <is>
          <t>2026-07-21T08:42:06.441502Z</t>
        </is>
      </c>
      <c r="C112" s="24" t="inlineStr">
        <is>
          <t>2026-07-21T17:00:00Z</t>
        </is>
      </c>
      <c r="D112" s="24" t="inlineStr">
        <is>
          <t>57988</t>
        </is>
      </c>
      <c r="E112" s="24" t="inlineStr">
        <is>
          <t>CS2</t>
        </is>
      </c>
      <c r="F112" s="24" t="inlineStr">
        <is>
          <t>Just Players</t>
        </is>
      </c>
      <c r="G112" s="24" t="inlineStr">
        <is>
          <t>ex-RUSTEC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-117</v>
      </c>
      <c r="M112" s="27" t="n">
        <v>1.854701</v>
      </c>
      <c r="N112" s="28" t="n">
        <v>0.539171</v>
      </c>
      <c r="O112" s="28" t="n">
        <v>0.6339399999999999</v>
      </c>
      <c r="P112" s="28" t="n"/>
      <c r="Q112" s="28" t="n">
        <v>0.09394</v>
      </c>
      <c r="R112" s="26" t="n">
        <v>93</v>
      </c>
      <c r="S112" s="29" t="n">
        <v>1.75</v>
      </c>
      <c r="T112" s="24" t="inlineStr">
        <is>
          <t>cs2-neutral-series-elo-v1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0.5400 (aec-cs2-erx-jpu-2026-07-21).</t>
        </is>
      </c>
      <c r="AF112" s="31" t="inlineStr">
        <is>
          <t>Research baseline; zero-unit shadow until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Just Players</t>
        </is>
      </c>
      <c r="AQ112" s="24" t="inlineStr">
        <is>
          <t>Just Players</t>
        </is>
      </c>
      <c r="AR112" s="24" t="inlineStr">
        <is>
          <t>Just Players</t>
        </is>
      </c>
      <c r="AS112" s="24" t="inlineStr">
        <is>
          <t>ex-RUSTEC</t>
        </is>
      </c>
      <c r="AT112" s="24" t="inlineStr">
        <is>
          <t>ex-RUSTEC</t>
        </is>
      </c>
      <c r="AU112" s="24" t="inlineStr">
        <is>
          <t>ex-RUSTEC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9dbde86ab8062ac73a51c94b0ad431573ac8b755ccd742d86794849a749958c7</t>
        </is>
      </c>
      <c r="BB112" s="24" t="inlineStr">
        <is>
          <t>neutral_elo</t>
        </is>
      </c>
      <c r="BC112" s="24" t="inlineStr">
        <is>
          <t>cs2-neutral-series-elo-v1</t>
        </is>
      </c>
      <c r="BD112" s="24" t="inlineStr">
        <is>
          <t>9dbde86ab8062ac73a51c94b0ad431573ac8b755ccd742d86794849a749958c7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unknown</t>
        </is>
      </c>
      <c r="BH112" s="24" t="inlineStr">
        <is>
          <t>2026-07-21T08:42:06.441502Z</t>
        </is>
      </c>
      <c r="BI112" s="24" t="inlineStr">
        <is>
          <t>["same_event","same_team_same_day","same_league_same_day"]</t>
        </is>
      </c>
      <c r="BJ112" s="25" t="n"/>
      <c r="BK112" s="26" t="n">
        <v>-117</v>
      </c>
      <c r="BL112" s="27" t="n">
        <v>1.854701</v>
      </c>
      <c r="BM112" s="28" t="n">
        <v>0.539171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</row>
    <row r="113" ht="36" customHeight="1">
      <c r="A113" s="24" t="inlineStr">
        <is>
          <t>50e8f795de6341ad</t>
        </is>
      </c>
      <c r="B113" s="24" t="inlineStr">
        <is>
          <t>2026-07-21T08:42:06.948828Z</t>
        </is>
      </c>
      <c r="C113" s="24" t="inlineStr">
        <is>
          <t>2026-07-21T17:30:00Z</t>
        </is>
      </c>
      <c r="D113" s="24" t="inlineStr">
        <is>
          <t>55178</t>
        </is>
      </c>
      <c r="E113" s="24" t="inlineStr">
        <is>
          <t>CS2</t>
        </is>
      </c>
      <c r="F113" s="24" t="inlineStr">
        <is>
          <t>Wildcard</t>
        </is>
      </c>
      <c r="G113" s="24" t="inlineStr">
        <is>
          <t>Alliance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-178</v>
      </c>
      <c r="M113" s="27" t="n">
        <v>1.561798</v>
      </c>
      <c r="N113" s="28" t="n">
        <v>0.640288</v>
      </c>
      <c r="O113" s="28" t="n">
        <v>0.715788</v>
      </c>
      <c r="P113" s="28" t="n"/>
      <c r="Q113" s="28" t="n">
        <v>0.07578799999999999</v>
      </c>
      <c r="R113" s="26" t="n">
        <v>75</v>
      </c>
      <c r="S113" s="29" t="n">
        <v>2</v>
      </c>
      <c r="T113" s="24" t="inlineStr">
        <is>
          <t>cs2-neutral-series-elo-v1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0.6400 (aec-cs2-all-wc-2026-07-21).</t>
        </is>
      </c>
      <c r="AF113" s="31" t="inlineStr">
        <is>
          <t>Research baseline; zero-unit shadow until qualified.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Wildcard</t>
        </is>
      </c>
      <c r="AQ113" s="24" t="inlineStr">
        <is>
          <t>Wildcard</t>
        </is>
      </c>
      <c r="AR113" s="24" t="inlineStr">
        <is>
          <t>Wildcard</t>
        </is>
      </c>
      <c r="AS113" s="24" t="inlineStr">
        <is>
          <t>Alliance</t>
        </is>
      </c>
      <c r="AT113" s="24" t="inlineStr">
        <is>
          <t>Alliance</t>
        </is>
      </c>
      <c r="AU113" s="24" t="inlineStr">
        <is>
          <t>Alliance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9dbde86ab8062ac73a51c94b0ad431573ac8b755ccd742d86794849a749958c7</t>
        </is>
      </c>
      <c r="BB113" s="24" t="inlineStr">
        <is>
          <t>neutral_elo</t>
        </is>
      </c>
      <c r="BC113" s="24" t="inlineStr">
        <is>
          <t>cs2-neutral-series-elo-v1</t>
        </is>
      </c>
      <c r="BD113" s="24" t="inlineStr">
        <is>
          <t>9dbde86ab8062ac73a51c94b0ad431573ac8b755ccd742d86794849a749958c7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unknown</t>
        </is>
      </c>
      <c r="BH113" s="24" t="inlineStr">
        <is>
          <t>2026-07-21T08:42:06.948828Z</t>
        </is>
      </c>
      <c r="BI113" s="24" t="inlineStr">
        <is>
          <t>["same_event","same_team_same_day","same_league_same_day"]</t>
        </is>
      </c>
      <c r="BJ113" s="25" t="n"/>
      <c r="BK113" s="26" t="n">
        <v>-178</v>
      </c>
      <c r="BL113" s="27" t="n">
        <v>1.561798</v>
      </c>
      <c r="BM113" s="28" t="n">
        <v>0.640288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</row>
    <row r="114" ht="36" customHeight="1">
      <c r="A114" s="24" t="inlineStr">
        <is>
          <t>fcee233635614905</t>
        </is>
      </c>
      <c r="B114" s="24" t="inlineStr">
        <is>
          <t>2026-07-21T08:42:07.508572Z</t>
        </is>
      </c>
      <c r="C114" s="24" t="inlineStr">
        <is>
          <t>2026-07-21T19:00:00Z</t>
        </is>
      </c>
      <c r="D114" s="24" t="inlineStr">
        <is>
          <t>56760</t>
        </is>
      </c>
      <c r="E114" s="24" t="inlineStr">
        <is>
          <t>CS2</t>
        </is>
      </c>
      <c r="F114" s="24" t="inlineStr">
        <is>
          <t>ALKA GAMING</t>
        </is>
      </c>
      <c r="G114" s="24" t="inlineStr">
        <is>
          <t>Procyon Gaming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-133</v>
      </c>
      <c r="M114" s="27" t="n">
        <v>1.75188</v>
      </c>
      <c r="N114" s="28" t="n">
        <v>0.570815</v>
      </c>
      <c r="O114" s="28" t="n">
        <v>0.700612</v>
      </c>
      <c r="P114" s="28" t="n"/>
      <c r="Q114" s="28" t="n">
        <v>0.130612</v>
      </c>
      <c r="R114" s="26" t="n">
        <v>100</v>
      </c>
      <c r="S114" s="29" t="n">
        <v>2</v>
      </c>
      <c r="T114" s="24" t="inlineStr">
        <is>
          <t>cs2-neutral-series-elo-v1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0.5700 (aec-cs2-pcy-alka-2026-07-21).</t>
        </is>
      </c>
      <c r="AF114" s="31" t="inlineStr">
        <is>
          <t>Research baseline; zero-unit shadow until qualified.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ALKA GAMING</t>
        </is>
      </c>
      <c r="AQ114" s="24" t="inlineStr">
        <is>
          <t>ALKA GAMING</t>
        </is>
      </c>
      <c r="AR114" s="24" t="inlineStr">
        <is>
          <t>ALKA GAMING</t>
        </is>
      </c>
      <c r="AS114" s="24" t="inlineStr">
        <is>
          <t>Procyon Gaming</t>
        </is>
      </c>
      <c r="AT114" s="24" t="inlineStr">
        <is>
          <t>Procyon Gaming</t>
        </is>
      </c>
      <c r="AU114" s="24" t="inlineStr">
        <is>
          <t>Procyon Gaming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9dbde86ab8062ac73a51c94b0ad431573ac8b755ccd742d86794849a749958c7</t>
        </is>
      </c>
      <c r="BB114" s="24" t="inlineStr">
        <is>
          <t>neutral_elo</t>
        </is>
      </c>
      <c r="BC114" s="24" t="inlineStr">
        <is>
          <t>cs2-neutral-series-elo-v1</t>
        </is>
      </c>
      <c r="BD114" s="24" t="inlineStr">
        <is>
          <t>9dbde86ab8062ac73a51c94b0ad431573ac8b755ccd742d86794849a749958c7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unknown</t>
        </is>
      </c>
      <c r="BH114" s="24" t="inlineStr">
        <is>
          <t>2026-07-21T08:42:07.508572Z</t>
        </is>
      </c>
      <c r="BI114" s="24" t="inlineStr">
        <is>
          <t>["same_event","same_team_same_day","same_league_same_day"]</t>
        </is>
      </c>
      <c r="BJ114" s="25" t="n"/>
      <c r="BK114" s="26" t="n">
        <v>-133</v>
      </c>
      <c r="BL114" s="27" t="n">
        <v>1.75188</v>
      </c>
      <c r="BM114" s="28" t="n">
        <v>0.570815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</row>
    <row r="115" ht="36" customHeight="1">
      <c r="A115" s="24" t="inlineStr">
        <is>
          <t>9c7e7516c13a4c18</t>
        </is>
      </c>
      <c r="B115" s="24" t="inlineStr">
        <is>
          <t>2026-07-21T08:42:08.055393Z</t>
        </is>
      </c>
      <c r="C115" s="24" t="inlineStr">
        <is>
          <t>2026-07-21T22:00:00Z</t>
        </is>
      </c>
      <c r="D115" s="24" t="inlineStr">
        <is>
          <t>56761</t>
        </is>
      </c>
      <c r="E115" s="24" t="inlineStr">
        <is>
          <t>CS2</t>
        </is>
      </c>
      <c r="F115" s="24" t="inlineStr">
        <is>
          <t>BESTIA Academy</t>
        </is>
      </c>
      <c r="G115" s="24" t="inlineStr">
        <is>
          <t>BORRACHEIROS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0.5961070000000001</v>
      </c>
      <c r="P115" s="28" t="n"/>
      <c r="Q115" s="28" t="n">
        <v>0.006107</v>
      </c>
      <c r="R115" s="26" t="n">
        <v>6</v>
      </c>
      <c r="S115" s="29" t="n">
        <v>1.5</v>
      </c>
      <c r="T115" s="24" t="inlineStr">
        <is>
          <t>cs2-neutral-series-elo-v1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0.5900 (aec-cs2-chama-bsta-2026-07-21).</t>
        </is>
      </c>
      <c r="AF115" s="31" t="inlineStr">
        <is>
          <t>Research baseline; zero-unit shadow until qualified.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BESTIA Academy</t>
        </is>
      </c>
      <c r="AQ115" s="24" t="inlineStr">
        <is>
          <t>BESTIA Academy</t>
        </is>
      </c>
      <c r="AR115" s="24" t="inlineStr">
        <is>
          <t>BESTIA Academy</t>
        </is>
      </c>
      <c r="AS115" s="24" t="inlineStr">
        <is>
          <t>BORRACHEIROS</t>
        </is>
      </c>
      <c r="AT115" s="24" t="inlineStr">
        <is>
          <t>BORRACHEIROS</t>
        </is>
      </c>
      <c r="AU115" s="24" t="inlineStr">
        <is>
          <t>BORRACHEIROS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9dbde86ab8062ac73a51c94b0ad431573ac8b755ccd742d86794849a749958c7</t>
        </is>
      </c>
      <c r="BB115" s="24" t="inlineStr">
        <is>
          <t>neutral_elo</t>
        </is>
      </c>
      <c r="BC115" s="24" t="inlineStr">
        <is>
          <t>cs2-neutral-series-elo-v1</t>
        </is>
      </c>
      <c r="BD115" s="24" t="inlineStr">
        <is>
          <t>9dbde86ab8062ac73a51c94b0ad431573ac8b755ccd742d86794849a749958c7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unknown</t>
        </is>
      </c>
      <c r="BH115" s="24" t="inlineStr">
        <is>
          <t>2026-07-21T08:42:08.055393Z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</row>
    <row r="116" ht="36" customHeight="1">
      <c r="A116" s="24" t="inlineStr">
        <is>
          <t>04b5e0e3d1314f31</t>
        </is>
      </c>
      <c r="B116" s="24" t="inlineStr">
        <is>
          <t>2026-07-21T08:42:08.641268Z</t>
        </is>
      </c>
      <c r="C116" s="24" t="inlineStr">
        <is>
          <t>2026-07-22T08:00:00Z</t>
        </is>
      </c>
      <c r="D116" s="24" t="inlineStr">
        <is>
          <t>57989</t>
        </is>
      </c>
      <c r="E116" s="24" t="inlineStr">
        <is>
          <t>CS2</t>
        </is>
      </c>
      <c r="F116" s="24" t="inlineStr">
        <is>
          <t>Rune Eaters</t>
        </is>
      </c>
      <c r="G116" s="24" t="inlineStr">
        <is>
          <t>Black Phoenix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138</v>
      </c>
      <c r="M116" s="27" t="n">
        <v>2.38</v>
      </c>
      <c r="N116" s="28" t="n">
        <v>0.420168</v>
      </c>
      <c r="O116" s="28" t="n">
        <v>0.629112</v>
      </c>
      <c r="P116" s="28" t="n"/>
      <c r="Q116" s="28" t="n">
        <v>0.209112</v>
      </c>
      <c r="R116" s="26" t="n">
        <v>100</v>
      </c>
      <c r="S116" s="29" t="n">
        <v>1.75</v>
      </c>
      <c r="T116" s="24" t="inlineStr">
        <is>
          <t>cs2-neutral-series-elo-v1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0.4200 (aec-cs2-bpl-re-2026-07-22).</t>
        </is>
      </c>
      <c r="AF116" s="31" t="inlineStr">
        <is>
          <t>Research baseline; zero-unit shadow until qualified.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Rune Eaters</t>
        </is>
      </c>
      <c r="AQ116" s="24" t="inlineStr">
        <is>
          <t>Rune Eaters</t>
        </is>
      </c>
      <c r="AR116" s="24" t="inlineStr">
        <is>
          <t>Rune Eaters</t>
        </is>
      </c>
      <c r="AS116" s="24" t="inlineStr">
        <is>
          <t>Black Phoenix</t>
        </is>
      </c>
      <c r="AT116" s="24" t="inlineStr">
        <is>
          <t>Black Phoenix</t>
        </is>
      </c>
      <c r="AU116" s="24" t="inlineStr">
        <is>
          <t>Black Phoenix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9dbde86ab8062ac73a51c94b0ad431573ac8b755ccd742d86794849a749958c7</t>
        </is>
      </c>
      <c r="BB116" s="24" t="inlineStr">
        <is>
          <t>neutral_elo</t>
        </is>
      </c>
      <c r="BC116" s="24" t="inlineStr">
        <is>
          <t>cs2-neutral-series-elo-v1</t>
        </is>
      </c>
      <c r="BD116" s="24" t="inlineStr">
        <is>
          <t>9dbde86ab8062ac73a51c94b0ad431573ac8b755ccd742d86794849a749958c7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unknown</t>
        </is>
      </c>
      <c r="BH116" s="24" t="inlineStr">
        <is>
          <t>2026-07-21T08:42:08.641268Z</t>
        </is>
      </c>
      <c r="BI116" s="24" t="inlineStr">
        <is>
          <t>["same_event","same_team_same_day","same_league_same_day"]</t>
        </is>
      </c>
      <c r="BJ116" s="25" t="n"/>
      <c r="BK116" s="26" t="n">
        <v>138</v>
      </c>
      <c r="BL116" s="27" t="n">
        <v>2.38</v>
      </c>
      <c r="BM116" s="28" t="n">
        <v>0.420168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</row>
    <row r="117" ht="36" customHeight="1">
      <c r="A117" s="24" t="inlineStr">
        <is>
          <t>e969588ced6a4198</t>
        </is>
      </c>
      <c r="B117" s="24" t="inlineStr">
        <is>
          <t>2026-07-21T08:42:18.412827Z</t>
        </is>
      </c>
      <c r="C117" s="24" t="inlineStr">
        <is>
          <t>2026-07-21T13:00:00Z</t>
        </is>
      </c>
      <c r="D117" s="24" t="inlineStr">
        <is>
          <t>54989</t>
        </is>
      </c>
      <c r="E117" s="24" t="inlineStr">
        <is>
          <t>DOTA2</t>
        </is>
      </c>
      <c r="F117" s="24" t="inlineStr">
        <is>
          <t>Spirit Academy</t>
        </is>
      </c>
      <c r="G117" s="24" t="inlineStr">
        <is>
          <t>Team Lynx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-138</v>
      </c>
      <c r="M117" s="27" t="n">
        <v>1.724638</v>
      </c>
      <c r="N117" s="28" t="n">
        <v>0.579832</v>
      </c>
      <c r="O117" s="28" t="n">
        <v>0.577373</v>
      </c>
      <c r="P117" s="28" t="n"/>
      <c r="Q117" s="28" t="n">
        <v>-0.002627</v>
      </c>
      <c r="R117" s="26" t="n">
        <v>0</v>
      </c>
      <c r="S117" s="29" t="n">
        <v>1.25</v>
      </c>
      <c r="T117" s="24" t="inlineStr">
        <is>
          <t>dota2-neutral-series-elo-v1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0.5800 (aec-dota2-lynx-tsa-2026-07-21).</t>
        </is>
      </c>
      <c r="AF117" s="31" t="inlineStr">
        <is>
          <t>Research baseline; zero-unit shadow until qualified.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Spirit Academy</t>
        </is>
      </c>
      <c r="AQ117" s="24" t="inlineStr">
        <is>
          <t>Spirit Academy</t>
        </is>
      </c>
      <c r="AR117" s="24" t="inlineStr">
        <is>
          <t>Spirit Academy</t>
        </is>
      </c>
      <c r="AS117" s="24" t="inlineStr">
        <is>
          <t>Team Lynx</t>
        </is>
      </c>
      <c r="AT117" s="24" t="inlineStr">
        <is>
          <t>Team Lynx</t>
        </is>
      </c>
      <c r="AU117" s="24" t="inlineStr">
        <is>
          <t>Team Lynx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49f270d8f51f0b2c3b3b0871fcc3d417b066d581a7c8372852b7997baa35bcf0</t>
        </is>
      </c>
      <c r="BB117" s="24" t="inlineStr">
        <is>
          <t>neutral_elo</t>
        </is>
      </c>
      <c r="BC117" s="24" t="inlineStr">
        <is>
          <t>dota2-neutral-series-elo-v1</t>
        </is>
      </c>
      <c r="BD117" s="24" t="inlineStr">
        <is>
          <t>49f270d8f51f0b2c3b3b0871fcc3d417b066d581a7c8372852b7997baa35bcf0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unknown</t>
        </is>
      </c>
      <c r="BH117" s="24" t="inlineStr">
        <is>
          <t>2026-07-21T08:42:18.412827Z</t>
        </is>
      </c>
      <c r="BI117" s="24" t="inlineStr">
        <is>
          <t>["same_event","same_team_same_day","same_league_same_day"]</t>
        </is>
      </c>
      <c r="BJ117" s="25" t="n"/>
      <c r="BK117" s="26" t="n">
        <v>-138</v>
      </c>
      <c r="BL117" s="27" t="n">
        <v>1.724638</v>
      </c>
      <c r="BM117" s="28" t="n">
        <v>0.579832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</row>
    <row r="118" ht="36" customHeight="1">
      <c r="A118" s="24" t="inlineStr">
        <is>
          <t>29a53d5b44f54371</t>
        </is>
      </c>
      <c r="B118" s="24" t="inlineStr">
        <is>
          <t>2026-07-21T08:43:57.711456Z</t>
        </is>
      </c>
      <c r="C118" s="24" t="inlineStr">
        <is>
          <t>2026-07-21T09:00:00Z</t>
        </is>
      </c>
      <c r="D118" s="24" t="inlineStr">
        <is>
          <t>54884</t>
        </is>
      </c>
      <c r="E118" s="24" t="inlineStr">
        <is>
          <t>VALORANT</t>
        </is>
      </c>
      <c r="F118" s="24" t="inlineStr">
        <is>
          <t>Trace Esports</t>
        </is>
      </c>
      <c r="G118" s="24" t="inlineStr">
        <is>
          <t>JD Gaming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</v>
      </c>
      <c r="P118" s="28" t="n"/>
      <c r="Q118" s="28" t="n">
        <v>-0.09</v>
      </c>
      <c r="R118" s="26" t="n">
        <v>0</v>
      </c>
      <c r="S118" s="29" t="n">
        <v>0.5</v>
      </c>
      <c r="T118" s="24" t="inlineStr">
        <is>
          <t>valorant-neutral-series-elo-v1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0.5900 (aec-valorant-jdg-te-2026-07-21).</t>
        </is>
      </c>
      <c r="AF118" s="31" t="inlineStr">
        <is>
          <t>Research baseline; zero-unit shadow until qualified.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Trace Esports</t>
        </is>
      </c>
      <c r="AQ118" s="24" t="inlineStr">
        <is>
          <t>Trace Esports</t>
        </is>
      </c>
      <c r="AR118" s="24" t="inlineStr">
        <is>
          <t>Trace Esports</t>
        </is>
      </c>
      <c r="AS118" s="24" t="inlineStr">
        <is>
          <t>JD Gaming</t>
        </is>
      </c>
      <c r="AT118" s="24" t="inlineStr">
        <is>
          <t>JD Gaming</t>
        </is>
      </c>
      <c r="AU118" s="24" t="inlineStr">
        <is>
          <t>JD Gaming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6b22a3a7ea7c99994f8e21eaff51dd4a0a9fb984bb31dbc7c1021ad6cd7c53a2</t>
        </is>
      </c>
      <c r="BB118" s="24" t="inlineStr">
        <is>
          <t>neutral_elo</t>
        </is>
      </c>
      <c r="BC118" s="24" t="inlineStr">
        <is>
          <t>valorant-neutral-series-elo-v1</t>
        </is>
      </c>
      <c r="BD118" s="24" t="inlineStr">
        <is>
          <t>6b22a3a7ea7c99994f8e21eaff51dd4a0a9fb984bb31dbc7c1021ad6cd7c53a2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unknown</t>
        </is>
      </c>
      <c r="BH118" s="24" t="inlineStr">
        <is>
          <t>2026-07-21T08:43:57.711456Z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</row>
    <row r="119" ht="36" customHeight="1">
      <c r="A119" s="24" t="inlineStr">
        <is>
          <t>513758da13ac4ca0</t>
        </is>
      </c>
      <c r="B119" s="24" t="inlineStr">
        <is>
          <t>2026-07-21T08:43:58.242001Z</t>
        </is>
      </c>
      <c r="C119" s="24" t="inlineStr">
        <is>
          <t>2026-07-21T12:00:00Z</t>
        </is>
      </c>
      <c r="D119" s="24" t="inlineStr">
        <is>
          <t>54974</t>
        </is>
      </c>
      <c r="E119" s="24" t="inlineStr">
        <is>
          <t>VALORANT</t>
        </is>
      </c>
      <c r="F119" s="24" t="inlineStr">
        <is>
          <t>Nova Esports</t>
        </is>
      </c>
      <c r="G119" s="24" t="inlineStr">
        <is>
          <t>EDward Gaming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-223</v>
      </c>
      <c r="M119" s="27" t="n">
        <v>1.44843</v>
      </c>
      <c r="N119" s="28" t="n">
        <v>0.690402</v>
      </c>
      <c r="O119" s="28" t="n">
        <v>0.5</v>
      </c>
      <c r="P119" s="28" t="n"/>
      <c r="Q119" s="28" t="n">
        <v>-0.19</v>
      </c>
      <c r="R119" s="26" t="n">
        <v>0</v>
      </c>
      <c r="S119" s="29" t="n">
        <v>0.5</v>
      </c>
      <c r="T119" s="24" t="inlineStr">
        <is>
          <t>valorant-neutral-series-elo-v1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Neutral Elo baseline; executable ask 0.6900 (aec-valorant-edg-nova-2026-07-21).</t>
        </is>
      </c>
      <c r="AF119" s="31" t="inlineStr">
        <is>
          <t>Research baseline; zero-unit shadow until qualified.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Nova Esports</t>
        </is>
      </c>
      <c r="AQ119" s="24" t="inlineStr">
        <is>
          <t>Nova Esports</t>
        </is>
      </c>
      <c r="AR119" s="24" t="inlineStr">
        <is>
          <t>Nova Esports</t>
        </is>
      </c>
      <c r="AS119" s="24" t="inlineStr">
        <is>
          <t>EDward Gaming</t>
        </is>
      </c>
      <c r="AT119" s="24" t="inlineStr">
        <is>
          <t>EDward Gaming</t>
        </is>
      </c>
      <c r="AU119" s="24" t="inlineStr">
        <is>
          <t>EDward Gaming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6b22a3a7ea7c99994f8e21eaff51dd4a0a9fb984bb31dbc7c1021ad6cd7c53a2</t>
        </is>
      </c>
      <c r="BB119" s="24" t="inlineStr">
        <is>
          <t>neutral_elo</t>
        </is>
      </c>
      <c r="BC119" s="24" t="inlineStr">
        <is>
          <t>valorant-neutral-series-elo-v1</t>
        </is>
      </c>
      <c r="BD119" s="24" t="inlineStr">
        <is>
          <t>6b22a3a7ea7c99994f8e21eaff51dd4a0a9fb984bb31dbc7c1021ad6cd7c53a2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unknown</t>
        </is>
      </c>
      <c r="BH119" s="24" t="inlineStr">
        <is>
          <t>2026-07-21T08:43:58.242001Z</t>
        </is>
      </c>
      <c r="BI119" s="24" t="inlineStr">
        <is>
          <t>["same_event","same_team_same_day","same_league_same_day"]</t>
        </is>
      </c>
      <c r="BJ119" s="25" t="n"/>
      <c r="BK119" s="26" t="n">
        <v>-223</v>
      </c>
      <c r="BL119" s="27" t="n">
        <v>1.44843</v>
      </c>
      <c r="BM119" s="28" t="n">
        <v>0.690402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</row>
    <row r="120" ht="36" customHeight="1">
      <c r="A120" s="24" t="inlineStr">
        <is>
          <t>83056172af034a54</t>
        </is>
      </c>
      <c r="B120" s="24" t="inlineStr">
        <is>
          <t>2026-07-21T08:43:58.759378Z</t>
        </is>
      </c>
      <c r="C120" s="24" t="inlineStr">
        <is>
          <t>2026-07-22T09:00:00Z</t>
        </is>
      </c>
      <c r="D120" s="24" t="inlineStr">
        <is>
          <t>55955</t>
        </is>
      </c>
      <c r="E120" s="24" t="inlineStr">
        <is>
          <t>VALORANT</t>
        </is>
      </c>
      <c r="F120" s="24" t="inlineStr">
        <is>
          <t>Wolves Esports</t>
        </is>
      </c>
      <c r="G120" s="24" t="inlineStr">
        <is>
          <t>XLG Gaming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-203</v>
      </c>
      <c r="M120" s="27" t="n">
        <v>1.492611</v>
      </c>
      <c r="N120" s="28" t="n">
        <v>0.669967</v>
      </c>
      <c r="O120" s="28" t="n">
        <v>0.5</v>
      </c>
      <c r="P120" s="28" t="n"/>
      <c r="Q120" s="28" t="n">
        <v>-0.17</v>
      </c>
      <c r="R120" s="26" t="n">
        <v>0</v>
      </c>
      <c r="S120" s="29" t="n">
        <v>0.5</v>
      </c>
      <c r="T120" s="24" t="inlineStr">
        <is>
          <t>valorant-neutral-series-elo-v1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Neutral Elo baseline; executable ask 0.6700 (aec-valorant-xlg-wol-2026-07-22).</t>
        </is>
      </c>
      <c r="AF120" s="31" t="inlineStr">
        <is>
          <t>Research baseline; zero-unit shadow until qualified.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Wolves Esports</t>
        </is>
      </c>
      <c r="AQ120" s="24" t="inlineStr">
        <is>
          <t>Wolves Esports</t>
        </is>
      </c>
      <c r="AR120" s="24" t="inlineStr">
        <is>
          <t>Wolves Esports</t>
        </is>
      </c>
      <c r="AS120" s="24" t="inlineStr">
        <is>
          <t>XLG Gaming</t>
        </is>
      </c>
      <c r="AT120" s="24" t="inlineStr">
        <is>
          <t>XLG Gaming</t>
        </is>
      </c>
      <c r="AU120" s="24" t="inlineStr">
        <is>
          <t>XLG Gaming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6b22a3a7ea7c99994f8e21eaff51dd4a0a9fb984bb31dbc7c1021ad6cd7c53a2</t>
        </is>
      </c>
      <c r="BB120" s="24" t="inlineStr">
        <is>
          <t>neutral_elo</t>
        </is>
      </c>
      <c r="BC120" s="24" t="inlineStr">
        <is>
          <t>valorant-neutral-series-elo-v1</t>
        </is>
      </c>
      <c r="BD120" s="24" t="inlineStr">
        <is>
          <t>6b22a3a7ea7c99994f8e21eaff51dd4a0a9fb984bb31dbc7c1021ad6cd7c53a2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unknown</t>
        </is>
      </c>
      <c r="BH120" s="24" t="inlineStr">
        <is>
          <t>2026-07-21T08:43:58.759378Z</t>
        </is>
      </c>
      <c r="BI120" s="24" t="inlineStr">
        <is>
          <t>["same_event","same_team_same_day","same_league_same_day"]</t>
        </is>
      </c>
      <c r="BJ120" s="25" t="n"/>
      <c r="BK120" s="26" t="n">
        <v>-203</v>
      </c>
      <c r="BL120" s="27" t="n">
        <v>1.492611</v>
      </c>
      <c r="BM120" s="28" t="n">
        <v>0.669967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</row>
    <row r="121" ht="36" customHeight="1">
      <c r="A121" s="24" t="inlineStr">
        <is>
          <t>61c2dcaf84184ffc</t>
        </is>
      </c>
      <c r="B121" s="24" t="inlineStr">
        <is>
          <t>2026-07-21T08:43:59.280825Z</t>
        </is>
      </c>
      <c r="C121" s="24" t="inlineStr">
        <is>
          <t>2026-07-22T12:00:00Z</t>
        </is>
      </c>
      <c r="D121" s="24" t="inlineStr">
        <is>
          <t>56012</t>
        </is>
      </c>
      <c r="E121" s="24" t="inlineStr">
        <is>
          <t>VALORANT</t>
        </is>
      </c>
      <c r="F121" s="24" t="inlineStr">
        <is>
          <t>Dragon Ranger Gaming</t>
        </is>
      </c>
      <c r="G121" s="24" t="inlineStr">
        <is>
          <t>All Gamers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-108</v>
      </c>
      <c r="M121" s="27" t="n">
        <v>1.925926</v>
      </c>
      <c r="N121" s="28" t="n">
        <v>0.519231</v>
      </c>
      <c r="O121" s="28" t="n">
        <v>0.5</v>
      </c>
      <c r="P121" s="28" t="n"/>
      <c r="Q121" s="28" t="n">
        <v>-0.02</v>
      </c>
      <c r="R121" s="26" t="n">
        <v>0</v>
      </c>
      <c r="S121" s="29" t="n">
        <v>0.5</v>
      </c>
      <c r="T121" s="24" t="inlineStr">
        <is>
          <t>valorant-neutral-series-elo-v1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Neutral Elo baseline; executable ask 0.5200 (aec-valorant-ag-drg-2026-07-22).</t>
        </is>
      </c>
      <c r="AF121" s="31" t="inlineStr">
        <is>
          <t>Research baseline; zero-unit shadow until qualified.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Dragon Ranger Gaming</t>
        </is>
      </c>
      <c r="AQ121" s="24" t="inlineStr">
        <is>
          <t>Dragon Ranger Gaming</t>
        </is>
      </c>
      <c r="AR121" s="24" t="inlineStr">
        <is>
          <t>Dragon Ranger Gaming</t>
        </is>
      </c>
      <c r="AS121" s="24" t="inlineStr">
        <is>
          <t>All Gamers</t>
        </is>
      </c>
      <c r="AT121" s="24" t="inlineStr">
        <is>
          <t>All Gamers</t>
        </is>
      </c>
      <c r="AU121" s="24" t="inlineStr">
        <is>
          <t>All Gamers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6b22a3a7ea7c99994f8e21eaff51dd4a0a9fb984bb31dbc7c1021ad6cd7c53a2</t>
        </is>
      </c>
      <c r="BB121" s="24" t="inlineStr">
        <is>
          <t>neutral_elo</t>
        </is>
      </c>
      <c r="BC121" s="24" t="inlineStr">
        <is>
          <t>valorant-neutral-series-elo-v1</t>
        </is>
      </c>
      <c r="BD121" s="24" t="inlineStr">
        <is>
          <t>6b22a3a7ea7c99994f8e21eaff51dd4a0a9fb984bb31dbc7c1021ad6cd7c53a2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unknown</t>
        </is>
      </c>
      <c r="BH121" s="24" t="inlineStr">
        <is>
          <t>2026-07-21T08:43:59.280825Z</t>
        </is>
      </c>
      <c r="BI121" s="24" t="inlineStr">
        <is>
          <t>["same_event","same_team_same_day","same_league_same_day"]</t>
        </is>
      </c>
      <c r="BJ121" s="25" t="n"/>
      <c r="BK121" s="26" t="n">
        <v>-108</v>
      </c>
      <c r="BL121" s="27" t="n">
        <v>1.925926</v>
      </c>
      <c r="BM121" s="28" t="n">
        <v>0.519231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</row>
    <row r="122" ht="36" customHeight="1">
      <c r="A122" s="24" t="inlineStr">
        <is>
          <t>251de821b6464979</t>
        </is>
      </c>
      <c r="B122" s="24" t="inlineStr">
        <is>
          <t>2026-07-21T08:43:59.807679Z</t>
        </is>
      </c>
      <c r="C122" s="24" t="inlineStr">
        <is>
          <t>2026-07-22T18:00:00Z</t>
        </is>
      </c>
      <c r="D122" s="24" t="inlineStr">
        <is>
          <t>56142</t>
        </is>
      </c>
      <c r="E122" s="24" t="inlineStr">
        <is>
          <t>VALORANT</t>
        </is>
      </c>
      <c r="F122" s="24" t="inlineStr">
        <is>
          <t>Karmine Corp</t>
        </is>
      </c>
      <c r="G122" s="24" t="inlineStr">
        <is>
          <t>Fnatic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-127</v>
      </c>
      <c r="M122" s="27" t="n">
        <v>1.787402</v>
      </c>
      <c r="N122" s="28" t="n">
        <v>0.5594710000000001</v>
      </c>
      <c r="O122" s="28" t="n">
        <v>0.5</v>
      </c>
      <c r="P122" s="28" t="n"/>
      <c r="Q122" s="28" t="n">
        <v>-0.06</v>
      </c>
      <c r="R122" s="26" t="n">
        <v>0</v>
      </c>
      <c r="S122" s="29" t="n">
        <v>0.5</v>
      </c>
      <c r="T122" s="24" t="inlineStr">
        <is>
          <t>valorant-neutral-series-elo-v1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Neutral Elo baseline; executable ask 0.5600 (aec-valorant-fnc-kc-2026-07-22).</t>
        </is>
      </c>
      <c r="AF122" s="31" t="inlineStr">
        <is>
          <t>Research baseline; zero-unit shadow until qualified.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Karmine Corp</t>
        </is>
      </c>
      <c r="AQ122" s="24" t="inlineStr">
        <is>
          <t>Karmine Corp</t>
        </is>
      </c>
      <c r="AR122" s="24" t="inlineStr">
        <is>
          <t>Karmine Corp</t>
        </is>
      </c>
      <c r="AS122" s="24" t="inlineStr">
        <is>
          <t>Fnatic</t>
        </is>
      </c>
      <c r="AT122" s="24" t="inlineStr">
        <is>
          <t>Fnatic</t>
        </is>
      </c>
      <c r="AU122" s="24" t="inlineStr">
        <is>
          <t>Fnatic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6b22a3a7ea7c99994f8e21eaff51dd4a0a9fb984bb31dbc7c1021ad6cd7c53a2</t>
        </is>
      </c>
      <c r="BB122" s="24" t="inlineStr">
        <is>
          <t>neutral_elo</t>
        </is>
      </c>
      <c r="BC122" s="24" t="inlineStr">
        <is>
          <t>valorant-neutral-series-elo-v1</t>
        </is>
      </c>
      <c r="BD122" s="24" t="inlineStr">
        <is>
          <t>6b22a3a7ea7c99994f8e21eaff51dd4a0a9fb984bb31dbc7c1021ad6cd7c53a2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unknown</t>
        </is>
      </c>
      <c r="BH122" s="24" t="inlineStr">
        <is>
          <t>2026-07-21T08:43:59.807679Z</t>
        </is>
      </c>
      <c r="BI122" s="24" t="inlineStr">
        <is>
          <t>["same_event","same_team_same_day","same_league_same_day"]</t>
        </is>
      </c>
      <c r="BJ122" s="25" t="n"/>
      <c r="BK122" s="26" t="n">
        <v>-127</v>
      </c>
      <c r="BL122" s="27" t="n">
        <v>1.787402</v>
      </c>
      <c r="BM122" s="28" t="n">
        <v>0.5594710000000001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2026-07-21T08:43:59Z</dcterms:created>
  <dcterms:modified xsi:type="dcterms:W3CDTF">2026-07-21T08:44:00Z</dcterms:modified>
</cp:coreProperties>
</file>