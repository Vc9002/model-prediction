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395" headerRowCount="1">
  <autoFilter ref="A1:CQ395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COUNTA('Picks'!$A$2:$A$395)</f>
        <v/>
      </c>
      <c r="C4" s="6">
        <f>COUNTIF('Picks'!$U$2:$U$395,"open")</f>
        <v/>
      </c>
      <c r="E4" s="6">
        <f>COUNTIF('Picks'!$U$2:$U$395,"settled")</f>
        <v/>
      </c>
      <c r="G4" s="6">
        <f>IF(COUNTIFS('Picks'!$U$2:$U$395,"settled",'Picks'!$V$2:$V$395,"win")+COUNTIFS('Picks'!$U$2:$U$395,"settled",'Picks'!$V$2:$V$395,"loss")&gt;=$L$2,"Ready","Insufficient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COUNTIF('Picks'!$BX$2:$BX$395,"&gt;0")</f>
        <v/>
      </c>
      <c r="C7" s="6">
        <f>COUNTIFS('Picks'!$BX$2:$BX$395,"&gt;0",'Picks'!$V$2:$V$395,"win")&amp;"-"&amp;COUNTIFS('Picks'!$BX$2:$BX$395,"&gt;0",'Picks'!$V$2:$V$395,"loss")</f>
        <v/>
      </c>
      <c r="E7" s="7">
        <f>IFERROR(COUNTIFS('Picks'!$BX$2:$BX$395,"&gt;0",'Picks'!$V$2:$V$395,"win")/(COUNTIFS('Picks'!$BX$2:$BX$395,"&gt;0",'Picks'!$V$2:$V$395,"win")+COUNTIFS('Picks'!$BX$2:$BX$395,"&gt;0",'Picks'!$V$2:$V$395,"loss")),0)</f>
        <v/>
      </c>
      <c r="G7" s="7">
        <f>IFERROR(SUM('Picks'!$BY$2:$BY$395)/SUM('Picks'!$BX$2:$BX$395),0)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SUM('Picks'!$BY$2:$BY$395)</f>
        <v/>
      </c>
      <c r="C10" s="9">
        <f>IFERROR(AVERAGEIF('Picks'!$AB$2:$AB$395,"&lt;&gt;",'Picks'!$AB$2:$AB$395),0)</f>
        <v/>
      </c>
      <c r="E10" s="6">
        <f>COUNTIFS('Picks'!$AM$2:$AM$395,"QUALIFIED_SHADOW_CALL",'Picks'!$U$2:$U$395,"settled")</f>
        <v/>
      </c>
      <c r="G10" s="8">
        <f>SUMIFS('Picks'!$AC$2:$AC$395,'Picks'!$AM$2:$AM$395,"QUALIFIED_SHADOW_CALL")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COUNTIFS('Picks'!$H$2:$H$395,$A14,'Picks'!$U$2:$U$395,"settled")</f>
        <v/>
      </c>
      <c r="C14" s="13">
        <f>COUNTIFS('Picks'!$H$2:$H$395,$A14,'Picks'!$U$2:$U$395,"settled",'Picks'!$V$2:$V$395,"win")</f>
        <v/>
      </c>
      <c r="D14" s="13">
        <f>COUNTIFS('Picks'!$H$2:$H$395,$A14,'Picks'!$U$2:$U$395,"settled",'Picks'!$V$2:$V$395,"loss")</f>
        <v/>
      </c>
      <c r="E14" s="14">
        <f>IFERROR(C14/(C14+D14),0)</f>
        <v/>
      </c>
      <c r="F14" s="15">
        <f>SUMIFS('Picks'!$BY$2:$BY$395,'Picks'!$H$2:$H$395,$A14)</f>
        <v/>
      </c>
      <c r="G14" s="16">
        <f>IFERROR(AVERAGEIFS('Picks'!$AB$2:$AB$395,'Picks'!$H$2:$H$395,$A14,'Picks'!$U$2:$U$395,"settled"),0)</f>
        <v/>
      </c>
    </row>
    <row r="15">
      <c r="A15" s="17" t="inlineStr">
        <is>
          <t>spread</t>
        </is>
      </c>
      <c r="B15" s="18">
        <f>COUNTIFS('Picks'!$H$2:$H$395,$A15,'Picks'!$U$2:$U$395,"settled")</f>
        <v/>
      </c>
      <c r="C15" s="18">
        <f>COUNTIFS('Picks'!$H$2:$H$395,$A15,'Picks'!$U$2:$U$395,"settled",'Picks'!$V$2:$V$395,"win")</f>
        <v/>
      </c>
      <c r="D15" s="18">
        <f>COUNTIFS('Picks'!$H$2:$H$395,$A15,'Picks'!$U$2:$U$395,"settled",'Picks'!$V$2:$V$395,"loss")</f>
        <v/>
      </c>
      <c r="E15" s="19">
        <f>IFERROR(C15/(C15+D15),0)</f>
        <v/>
      </c>
      <c r="F15" s="20">
        <f>SUMIFS('Picks'!$BY$2:$BY$395,'Picks'!$H$2:$H$395,$A15)</f>
        <v/>
      </c>
      <c r="G15" s="21">
        <f>IFERROR(AVERAGEIFS('Picks'!$AB$2:$AB$395,'Picks'!$H$2:$H$395,$A15,'Picks'!$U$2:$U$395,"settled"),0)</f>
        <v/>
      </c>
    </row>
    <row r="16">
      <c r="A16" s="12" t="inlineStr">
        <is>
          <t>total</t>
        </is>
      </c>
      <c r="B16" s="13">
        <f>COUNTIFS('Picks'!$H$2:$H$395,$A16,'Picks'!$U$2:$U$395,"settled")</f>
        <v/>
      </c>
      <c r="C16" s="13">
        <f>COUNTIFS('Picks'!$H$2:$H$395,$A16,'Picks'!$U$2:$U$395,"settled",'Picks'!$V$2:$V$395,"win")</f>
        <v/>
      </c>
      <c r="D16" s="13">
        <f>COUNTIFS('Picks'!$H$2:$H$395,$A16,'Picks'!$U$2:$U$395,"settled",'Picks'!$V$2:$V$395,"loss")</f>
        <v/>
      </c>
      <c r="E16" s="14">
        <f>IFERROR(C16/(C16+D16),0)</f>
        <v/>
      </c>
      <c r="F16" s="15">
        <f>SUMIFS('Picks'!$BY$2:$BY$395,'Picks'!$H$2:$H$395,$A16)</f>
        <v/>
      </c>
      <c r="G16" s="16">
        <f>IFERROR(AVERAGEIFS('Picks'!$AB$2:$AB$395,'Picks'!$H$2:$H$395,$A16,'Picks'!$U$2:$U$395,"settled"),0)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3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4765ca9658a544c2</t>
        </is>
      </c>
      <c r="B9" s="24" t="inlineStr">
        <is>
          <t>2026-07-30T16:02:41.811013Z</t>
        </is>
      </c>
      <c r="C9" s="24" t="inlineStr">
        <is>
          <t>2026-07-30T12:10:00-0400</t>
        </is>
      </c>
      <c r="D9" s="24" t="inlineStr">
        <is>
          <t>401816324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Tampa Bay Rays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-160</v>
      </c>
      <c r="M9" s="27" t="n">
        <v>1.625</v>
      </c>
      <c r="N9" s="28" t="n">
        <v>0.615385</v>
      </c>
      <c r="O9" s="28" t="n">
        <v>0.560375</v>
      </c>
      <c r="P9" s="28" t="n"/>
      <c r="Q9" s="28" t="n">
        <v>-0.05501</v>
      </c>
      <c r="R9" s="26" t="n">
        <v>0</v>
      </c>
      <c r="S9" s="29" t="n">
        <v>1</v>
      </c>
      <c r="T9" s="24" t="inlineStr">
        <is>
          <t>mlb-elo-trend-lr-v7</t>
        </is>
      </c>
      <c r="U9" s="24" t="inlineStr">
        <is>
          <t>settled</t>
        </is>
      </c>
      <c r="V9" s="24" t="inlineStr">
        <is>
          <t>win</t>
        </is>
      </c>
      <c r="W9" s="26" t="n">
        <v>2</v>
      </c>
      <c r="X9" s="26" t="n">
        <v>3</v>
      </c>
      <c r="Y9" s="25" t="n"/>
      <c r="Z9" s="26" t="n">
        <v>-160</v>
      </c>
      <c r="AA9" s="28" t="n">
        <v>0.615</v>
      </c>
      <c r="AB9" s="28" t="n">
        <v>-0.000385</v>
      </c>
      <c r="AC9" s="30" t="n">
        <v>0.625</v>
      </c>
      <c r="AD9" s="24" t="inlineStr">
        <is>
          <t>2026-07-30T21:05:53.177909Z</t>
        </is>
      </c>
      <c r="AE9" s="31" t="inlineStr">
        <is>
          <t>Learned LR call at threshold 0.6242; executable ask 0.6150 (aec-mlb-tex-tb-2026-07-30); model edge vs ask -0.0546.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mlb-tb</t>
        </is>
      </c>
      <c r="AT9" s="24" t="inlineStr">
        <is>
          <t>Tampa Bay Rays</t>
        </is>
      </c>
      <c r="AU9" s="24" t="inlineStr">
        <is>
          <t>Tampa Bay Rays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464eef695bfbbdaa819ec6f5e4c5bd1068ed20b92915fb2677220ae91e20d8b6</t>
        </is>
      </c>
      <c r="BB9" s="24" t="inlineStr">
        <is>
          <t>learned_lr</t>
        </is>
      </c>
      <c r="BC9" s="24" t="inlineStr">
        <is>
          <t>mlb-elo-trend-lr-v7</t>
        </is>
      </c>
      <c r="BD9" s="24" t="inlineStr">
        <is>
          <t>464eef695bfbbdaa819ec6f5e4c5bd1068ed20b92915fb2677220ae91e20d8b6</t>
        </is>
      </c>
      <c r="BE9" s="24" t="inlineStr">
        <is>
          <t>2e5c467578e391cd</t>
        </is>
      </c>
      <c r="BF9" s="24" t="inlineStr">
        <is>
          <t>1</t>
        </is>
      </c>
      <c r="BG9" s="24" t="inlineStr">
        <is>
          <t>mlb-elo-trend-lr-v7</t>
        </is>
      </c>
      <c r="BH9" s="24" t="inlineStr">
        <is>
          <t>2026-07-30T16:01:48.107244Z</t>
        </is>
      </c>
      <c r="BI9" s="24" t="inlineStr">
        <is>
          <t>["same_event","same_team_same_day","same_league_same_day"]</t>
        </is>
      </c>
      <c r="BJ9" s="25" t="n"/>
      <c r="BK9" s="26" t="n">
        <v>-160</v>
      </c>
      <c r="BL9" s="27" t="n">
        <v>1.625</v>
      </c>
      <c r="BM9" s="28" t="n">
        <v>0.615385</v>
      </c>
      <c r="BN9" s="28" t="n">
        <v>0.61194</v>
      </c>
      <c r="BO9" s="28" t="n"/>
      <c r="BP9" s="25" t="n"/>
      <c r="BQ9" s="27" t="n">
        <v>1.625</v>
      </c>
      <c r="BR9" s="28" t="n">
        <v>0.615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0.5786000288</t>
        </is>
      </c>
      <c r="CD9" s="24" t="inlineStr">
        <is>
          <t>0.008586</t>
        </is>
      </c>
      <c r="CE9" s="24" t="inlineStr">
        <is>
          <t>0.965</t>
        </is>
      </c>
      <c r="CF9" s="24" t="inlineStr">
        <is>
          <t>1</t>
        </is>
      </c>
      <c r="CG9" s="24" t="inlineStr">
        <is>
          <t>-1.6</t>
        </is>
      </c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406393dea9594c0a</t>
        </is>
      </c>
      <c r="B10" s="24" t="inlineStr">
        <is>
          <t>2026-07-30T16:03:19.057215Z</t>
        </is>
      </c>
      <c r="C10" s="24" t="inlineStr">
        <is>
          <t>2026-07-30T16:10Z</t>
        </is>
      </c>
      <c r="D10" s="24" t="inlineStr">
        <is>
          <t>401816324</t>
        </is>
      </c>
      <c r="E10" s="24" t="inlineStr">
        <is>
          <t>MLB</t>
        </is>
      </c>
      <c r="F10" s="24" t="inlineStr">
        <is>
          <t>Texas Rangers</t>
        </is>
      </c>
      <c r="G10" s="24" t="inlineStr">
        <is>
          <t>Tampa Bay Rays</t>
        </is>
      </c>
      <c r="H10" s="24" t="inlineStr">
        <is>
          <t>spread</t>
        </is>
      </c>
      <c r="I10" s="24" t="inlineStr">
        <is>
          <t>away</t>
        </is>
      </c>
      <c r="J10" s="25" t="n">
        <v>1.5</v>
      </c>
      <c r="K10" s="24" t="inlineStr">
        <is>
          <t>polymarket_us</t>
        </is>
      </c>
      <c r="L10" s="26" t="n">
        <v>-125</v>
      </c>
      <c r="M10" s="27" t="n">
        <v>1.8</v>
      </c>
      <c r="N10" s="28" t="n">
        <v>0.555556</v>
      </c>
      <c r="O10" s="28" t="n">
        <v>0.542925</v>
      </c>
      <c r="P10" s="28" t="n">
        <v>0.042131</v>
      </c>
      <c r="Q10" s="28" t="n">
        <v>-0.012631</v>
      </c>
      <c r="R10" s="26" t="n">
        <v>18</v>
      </c>
      <c r="S10" s="29" t="n">
        <v>1</v>
      </c>
      <c r="T10" s="24" t="inlineStr">
        <is>
          <t>measured-edge-margin-v1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3</v>
      </c>
      <c r="Y10" s="25" t="n">
        <v>1.5</v>
      </c>
      <c r="Z10" s="26" t="n">
        <v>-125</v>
      </c>
      <c r="AA10" s="28" t="n">
        <v>0.555</v>
      </c>
      <c r="AB10" s="28" t="n">
        <v>-0.000556</v>
      </c>
      <c r="AC10" s="30" t="n">
        <v>0.8</v>
      </c>
      <c r="AD10" s="24" t="inlineStr">
        <is>
          <t>2026-07-30T21:05:53.337456Z</t>
        </is>
      </c>
      <c r="AE10" s="31" t="inlineStr">
        <is>
          <t>Measured Edge Margin: Trend Engine projected 4.22-4.87; raw selected-side p=0.6072, calibrated p=0.5429.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mlb-tex</t>
        </is>
      </c>
      <c r="AQ10" s="24" t="inlineStr">
        <is>
          <t>Texas Rangers</t>
        </is>
      </c>
      <c r="AR10" s="24" t="inlineStr">
        <is>
          <t>Texas Rangers</t>
        </is>
      </c>
      <c r="AS10" s="24" t="inlineStr">
        <is>
          <t>mlb-tb</t>
        </is>
      </c>
      <c r="AT10" s="24" t="inlineStr">
        <is>
          <t>Tampa Bay Rays</t>
        </is>
      </c>
      <c r="AU10" s="24" t="inlineStr">
        <is>
          <t>Tampa Bay Rays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2bc2ce55b0d39a20103f724bbddbde5394909acd49297f52665b596a0ae3ae8b</t>
        </is>
      </c>
      <c r="BB10" s="24" t="inlineStr">
        <is>
          <t>flat_probability_shrinkage_toward_half</t>
        </is>
      </c>
      <c r="BC10" s="24" t="inlineStr">
        <is>
          <t>measured-edge-margin-v1</t>
        </is>
      </c>
      <c r="BD10" s="24" t="inlineStr">
        <is>
          <t>2bc2ce55b0d39a20103f724bbddbde5394909acd49297f52665b596a0ae3ae8b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2026-07-30T16:03:19.057215Z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-125</v>
      </c>
      <c r="BL10" s="27" t="n">
        <v>1.8</v>
      </c>
      <c r="BM10" s="28" t="n">
        <v>0.555556</v>
      </c>
      <c r="BN10" s="28" t="n">
        <v>0.552239</v>
      </c>
      <c r="BO10" s="28" t="n"/>
      <c r="BP10" s="25" t="n"/>
      <c r="BQ10" s="27" t="n">
        <v>1.8</v>
      </c>
      <c r="BR10" s="28" t="n">
        <v>0.555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11bd8c09245d4774</t>
        </is>
      </c>
      <c r="B11" s="24" t="inlineStr">
        <is>
          <t>2026-07-30T16:03:19.057215Z</t>
        </is>
      </c>
      <c r="C11" s="24" t="inlineStr">
        <is>
          <t>2026-07-30T16:10Z</t>
        </is>
      </c>
      <c r="D11" s="24" t="inlineStr">
        <is>
          <t>401816324</t>
        </is>
      </c>
      <c r="E11" s="24" t="inlineStr">
        <is>
          <t>MLB</t>
        </is>
      </c>
      <c r="F11" s="24" t="inlineStr">
        <is>
          <t>Texas Rangers</t>
        </is>
      </c>
      <c r="G11" s="24" t="inlineStr">
        <is>
          <t>Tampa Bay Rays</t>
        </is>
      </c>
      <c r="H11" s="24" t="inlineStr">
        <is>
          <t>total</t>
        </is>
      </c>
      <c r="I11" s="24" t="inlineStr">
        <is>
          <t>over</t>
        </is>
      </c>
      <c r="J11" s="25" t="n">
        <v>7.5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0.582045</v>
      </c>
      <c r="P11" s="28" t="n">
        <v>0.042131</v>
      </c>
      <c r="Q11" s="28" t="n">
        <v>0.051529</v>
      </c>
      <c r="R11" s="26" t="n">
        <v>50</v>
      </c>
      <c r="S11" s="29" t="n">
        <v>1.25</v>
      </c>
      <c r="T11" s="24" t="inlineStr">
        <is>
          <t>measured-edge-totals-v1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3</v>
      </c>
      <c r="Y11" s="25" t="n">
        <v>7.5</v>
      </c>
      <c r="Z11" s="26" t="n">
        <v>-113</v>
      </c>
      <c r="AA11" s="28" t="n">
        <v>0.53</v>
      </c>
      <c r="AB11" s="28" t="n">
        <v>-0.000516</v>
      </c>
      <c r="AC11" s="30" t="n">
        <v>-1.25</v>
      </c>
      <c r="AD11" s="24" t="inlineStr">
        <is>
          <t>2026-07-30T21:05:53.492089Z</t>
        </is>
      </c>
      <c r="AE11" s="31" t="inlineStr">
        <is>
          <t>Measured Edge Totals: Trend Engine projected 4.22-4.87; raw selected-side p=0.6005, calibrated p=0.5820.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mlb-tex</t>
        </is>
      </c>
      <c r="AQ11" s="24" t="inlineStr">
        <is>
          <t>Texas Rangers</t>
        </is>
      </c>
      <c r="AR11" s="24" t="inlineStr">
        <is>
          <t>Texas Rangers</t>
        </is>
      </c>
      <c r="AS11" s="24" t="inlineStr">
        <is>
          <t>mlb-tb</t>
        </is>
      </c>
      <c r="AT11" s="24" t="inlineStr">
        <is>
          <t>Tampa Bay Rays</t>
        </is>
      </c>
      <c r="AU11" s="24" t="inlineStr">
        <is>
          <t>Tampa Bay Rays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cbc2c9bf5a9569a49e1902c816d96556d704cf10819ca3a9e927721685757d0b</t>
        </is>
      </c>
      <c r="BB11" s="24" t="inlineStr">
        <is>
          <t>flat_probability_shrinkage_toward_half</t>
        </is>
      </c>
      <c r="BC11" s="24" t="inlineStr">
        <is>
          <t>measured-edge-totals-v1</t>
        </is>
      </c>
      <c r="BD11" s="24" t="inlineStr">
        <is>
          <t>cbc2c9bf5a9569a49e1902c816d96556d704cf10819ca3a9e927721685757d0b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2026-07-30T16:03:19.057215Z</t>
        </is>
      </c>
      <c r="BI11" s="24" t="inlineStr">
        <is>
          <t>["same_event","same_team_same_day","same_league_same_day"]</t>
        </is>
      </c>
      <c r="BJ11" s="25" t="n">
        <v>7.5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>
        <v>1.884956</v>
      </c>
      <c r="BR11" s="28" t="n">
        <v>0.53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80054eebaf564b26</t>
        </is>
      </c>
      <c r="B12" s="24" t="inlineStr">
        <is>
          <t>2026-07-30T17:36:17.628396Z</t>
        </is>
      </c>
      <c r="C12" s="24" t="inlineStr">
        <is>
          <t>2026-07-30T13:40:00-0400</t>
        </is>
      </c>
      <c r="D12" s="24" t="inlineStr">
        <is>
          <t>401816327</t>
        </is>
      </c>
      <c r="E12" s="24" t="inlineStr">
        <is>
          <t>MLB</t>
        </is>
      </c>
      <c r="F12" s="24" t="inlineStr">
        <is>
          <t>Kansas City Royals</t>
        </is>
      </c>
      <c r="G12" s="24" t="inlineStr">
        <is>
          <t>Minnesota Twins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-127</v>
      </c>
      <c r="M12" s="27" t="n">
        <v>1.787402</v>
      </c>
      <c r="N12" s="28" t="n">
        <v>0.5594710000000001</v>
      </c>
      <c r="O12" s="28" t="n">
        <v>0.529687</v>
      </c>
      <c r="P12" s="28" t="n"/>
      <c r="Q12" s="28" t="n">
        <v>-0.029784</v>
      </c>
      <c r="R12" s="26" t="n">
        <v>6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win</t>
        </is>
      </c>
      <c r="W12" s="26" t="n">
        <v>3</v>
      </c>
      <c r="X12" s="26" t="n">
        <v>4</v>
      </c>
      <c r="Y12" s="25" t="n"/>
      <c r="Z12" s="26" t="n">
        <v>-127</v>
      </c>
      <c r="AA12" s="28" t="n">
        <v>0.5600000000000001</v>
      </c>
      <c r="AB12" s="28" t="n">
        <v>0.000529</v>
      </c>
      <c r="AC12" s="30" t="n">
        <v>0.5906</v>
      </c>
      <c r="AD12" s="24" t="inlineStr">
        <is>
          <t>2026-07-30T21:05:53.645918Z</t>
        </is>
      </c>
      <c r="AE12" s="31" t="inlineStr">
        <is>
          <t>Learned LR call at threshold 0.6242; executable ask 0.5600 (aec-mlb-kc-min-2026-07-30); model edge vs ask -0.0303.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mlb-kc</t>
        </is>
      </c>
      <c r="AQ12" s="24" t="inlineStr">
        <is>
          <t>Kansas City Royals</t>
        </is>
      </c>
      <c r="AR12" s="24" t="inlineStr">
        <is>
          <t>Kansas City Royals</t>
        </is>
      </c>
      <c r="AS12" s="24" t="inlineStr">
        <is>
          <t>mlb-min</t>
        </is>
      </c>
      <c r="AT12" s="24" t="inlineStr">
        <is>
          <t>Minnesota Twins</t>
        </is>
      </c>
      <c r="AU12" s="24" t="inlineStr">
        <is>
          <t>Minnesota Twins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00a066c80876c81d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2026-07-30T17:35:31.601278Z</t>
        </is>
      </c>
      <c r="BI12" s="24" t="inlineStr">
        <is>
          <t>["same_event","same_team_same_day","same_league_same_day"]</t>
        </is>
      </c>
      <c r="BJ12" s="25" t="n"/>
      <c r="BK12" s="26" t="n">
        <v>-127</v>
      </c>
      <c r="BL12" s="27" t="n">
        <v>1.787402</v>
      </c>
      <c r="BM12" s="28" t="n">
        <v>0.5594710000000001</v>
      </c>
      <c r="BN12" s="28" t="n">
        <v>0.557214</v>
      </c>
      <c r="BO12" s="28" t="n"/>
      <c r="BP12" s="25" t="n"/>
      <c r="BQ12" s="27" t="n">
        <v>1.787402</v>
      </c>
      <c r="BR12" s="28" t="n">
        <v>0.5600000000000001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0.5433979589</t>
        </is>
      </c>
      <c r="CD12" s="24" t="inlineStr">
        <is>
          <t>-0.186414</t>
        </is>
      </c>
      <c r="CE12" s="24" t="inlineStr">
        <is>
          <t>1.037</t>
        </is>
      </c>
      <c r="CF12" s="24" t="inlineStr">
        <is>
          <t>1.018</t>
        </is>
      </c>
      <c r="CG12" s="24" t="inlineStr">
        <is>
          <t>1.8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560d43ddfce245d6</t>
        </is>
      </c>
      <c r="B13" s="24" t="inlineStr">
        <is>
          <t>2026-07-30T17:36:17.628396Z</t>
        </is>
      </c>
      <c r="C13" s="24" t="inlineStr">
        <is>
          <t>2026-07-30T14:10:00-0400</t>
        </is>
      </c>
      <c r="D13" s="24" t="inlineStr">
        <is>
          <t>401816328</t>
        </is>
      </c>
      <c r="E13" s="24" t="inlineStr">
        <is>
          <t>MLB</t>
        </is>
      </c>
      <c r="F13" s="24" t="inlineStr">
        <is>
          <t>New York Yankees</t>
        </is>
      </c>
      <c r="G13" s="24" t="inlineStr">
        <is>
          <t>Chicago White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0.507087</v>
      </c>
      <c r="P13" s="28" t="n"/>
      <c r="Q13" s="28" t="n">
        <v>-0.012144</v>
      </c>
      <c r="R13" s="26" t="n">
        <v>15</v>
      </c>
      <c r="S13" s="29" t="n">
        <v>0.5</v>
      </c>
      <c r="T13" s="24" t="inlineStr">
        <is>
          <t>mlb-elo-trend-lr-v7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2</v>
      </c>
      <c r="Y13" s="25" t="n"/>
      <c r="Z13" s="26" t="n">
        <v>-108</v>
      </c>
      <c r="AA13" s="28" t="n">
        <v>0.52</v>
      </c>
      <c r="AB13" s="28" t="n">
        <v>0.000769</v>
      </c>
      <c r="AC13" s="30" t="n">
        <v>0.463</v>
      </c>
      <c r="AD13" s="24" t="inlineStr">
        <is>
          <t>2026-07-31T00:54:58.572192Z</t>
        </is>
      </c>
      <c r="AE13" s="31" t="inlineStr">
        <is>
          <t>Learned LR call at threshold 0.6242; executable ask 0.5200 (aec-mlb-nyy-cws-2026-07-30); model edge vs ask -0.0129.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mlb-nyy</t>
        </is>
      </c>
      <c r="AQ13" s="24" t="inlineStr">
        <is>
          <t>New York Yankees</t>
        </is>
      </c>
      <c r="AR13" s="24" t="inlineStr">
        <is>
          <t>New York Yankees</t>
        </is>
      </c>
      <c r="AS13" s="24" t="inlineStr">
        <is>
          <t>mlb-cws</t>
        </is>
      </c>
      <c r="AT13" s="24" t="inlineStr">
        <is>
          <t>Chicago White Sox</t>
        </is>
      </c>
      <c r="AU13" s="24" t="inlineStr">
        <is>
          <t>Chicago White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2ecf6de0bc0b4429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2026-07-30T17:35:32.550865Z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>
        <v>0.517413</v>
      </c>
      <c r="BO13" s="28" t="n"/>
      <c r="BP13" s="25" t="n"/>
      <c r="BQ13" s="27" t="n">
        <v>1.925926</v>
      </c>
      <c r="BR13" s="28" t="n">
        <v>0.52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0.4790915827</t>
        </is>
      </c>
      <c r="CD13" s="24" t="inlineStr">
        <is>
          <t>0.689899</t>
        </is>
      </c>
      <c r="CE13" s="24" t="inlineStr">
        <is>
          <t>0.937</t>
        </is>
      </c>
      <c r="CF13" s="24" t="inlineStr">
        <is>
          <t>1.0009</t>
        </is>
      </c>
      <c r="CG13" s="24" t="inlineStr">
        <is>
          <t>1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b912ee69b50f4e34</t>
        </is>
      </c>
      <c r="B14" s="24" t="inlineStr">
        <is>
          <t>2026-07-30T17:36:17.628396Z</t>
        </is>
      </c>
      <c r="C14" s="24" t="inlineStr">
        <is>
          <t>2026-07-30T14:15:00-0400</t>
        </is>
      </c>
      <c r="D14" s="24" t="inlineStr">
        <is>
          <t>401816326</t>
        </is>
      </c>
      <c r="E14" s="24" t="inlineStr">
        <is>
          <t>MLB</t>
        </is>
      </c>
      <c r="F14" s="24" t="inlineStr">
        <is>
          <t>Chicago Cubs</t>
        </is>
      </c>
      <c r="G14" s="24" t="inlineStr">
        <is>
          <t>St. Louis Cardinals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102</v>
      </c>
      <c r="M14" s="27" t="n">
        <v>2.02</v>
      </c>
      <c r="N14" s="28" t="n">
        <v>0.49505</v>
      </c>
      <c r="O14" s="28" t="n">
        <v>0.503115</v>
      </c>
      <c r="P14" s="28" t="n"/>
      <c r="Q14" s="28" t="n">
        <v>0.008064999999999999</v>
      </c>
      <c r="R14" s="26" t="n">
        <v>25</v>
      </c>
      <c r="S14" s="29" t="n">
        <v>0.5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4</v>
      </c>
      <c r="X14" s="26" t="n">
        <v>2</v>
      </c>
      <c r="Y14" s="25" t="n"/>
      <c r="Z14" s="26" t="n">
        <v>102</v>
      </c>
      <c r="AA14" s="28" t="n">
        <v>0.495</v>
      </c>
      <c r="AB14" s="28" t="n">
        <v>-5e-05</v>
      </c>
      <c r="AC14" s="30" t="n">
        <v>0.51</v>
      </c>
      <c r="AD14" s="24" t="inlineStr">
        <is>
          <t>2026-07-31T00:54:58.732967Z</t>
        </is>
      </c>
      <c r="AE14" s="31" t="inlineStr">
        <is>
          <t>Learned LR call at threshold 0.6242; executable ask 0.4950 (aec-mlb-chc-stl-2026-07-30); model edge vs ask +0.0081.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mlb-chc</t>
        </is>
      </c>
      <c r="AQ14" s="24" t="inlineStr">
        <is>
          <t>Chicago Cubs</t>
        </is>
      </c>
      <c r="AR14" s="24" t="inlineStr">
        <is>
          <t>Chicago Cubs</t>
        </is>
      </c>
      <c r="AS14" s="24" t="inlineStr">
        <is>
          <t>mlb-stl</t>
        </is>
      </c>
      <c r="AT14" s="24" t="inlineStr">
        <is>
          <t>St. Louis Cardinals</t>
        </is>
      </c>
      <c r="AU14" s="24" t="inlineStr">
        <is>
          <t>St. Louis Cardinals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34f50d6e3a3b635c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2026-07-30T17:35:33.545496Z</t>
        </is>
      </c>
      <c r="BI14" s="24" t="inlineStr">
        <is>
          <t>["same_event","same_team_same_day","same_league_same_day"]</t>
        </is>
      </c>
      <c r="BJ14" s="25" t="n"/>
      <c r="BK14" s="26" t="n">
        <v>102</v>
      </c>
      <c r="BL14" s="27" t="n">
        <v>2.02</v>
      </c>
      <c r="BM14" s="28" t="n">
        <v>0.49505</v>
      </c>
      <c r="BN14" s="28" t="n">
        <v>0.492537</v>
      </c>
      <c r="BO14" s="28" t="n"/>
      <c r="BP14" s="25" t="n"/>
      <c r="BQ14" s="27" t="n">
        <v>2.02</v>
      </c>
      <c r="BR14" s="28" t="n">
        <v>0.495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0.4477582072</t>
        </is>
      </c>
      <c r="CD14" s="24" t="inlineStr">
        <is>
          <t>-1.388842</t>
        </is>
      </c>
      <c r="CE14" s="24" t="inlineStr">
        <is>
          <t>0.946</t>
        </is>
      </c>
      <c r="CF14" s="24" t="inlineStr">
        <is>
          <t>1.0125</t>
        </is>
      </c>
      <c r="CG14" s="24" t="inlineStr">
        <is>
          <t>2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e204040905f94109</t>
        </is>
      </c>
      <c r="B15" s="24" t="inlineStr">
        <is>
          <t>2026-07-30T17:36:41.418998Z</t>
        </is>
      </c>
      <c r="C15" s="24" t="inlineStr">
        <is>
          <t>2026-07-30T17:40Z</t>
        </is>
      </c>
      <c r="D15" s="24" t="inlineStr">
        <is>
          <t>401816327</t>
        </is>
      </c>
      <c r="E15" s="24" t="inlineStr">
        <is>
          <t>MLB</t>
        </is>
      </c>
      <c r="F15" s="24" t="inlineStr">
        <is>
          <t>Kansas City Royals</t>
        </is>
      </c>
      <c r="G15" s="24" t="inlineStr">
        <is>
          <t>Minnesota Twins</t>
        </is>
      </c>
      <c r="H15" s="24" t="inlineStr">
        <is>
          <t>spread</t>
        </is>
      </c>
      <c r="I15" s="24" t="inlineStr">
        <is>
          <t>away</t>
        </is>
      </c>
      <c r="J15" s="25" t="n">
        <v>1.5</v>
      </c>
      <c r="K15" s="24" t="inlineStr">
        <is>
          <t>polymarket_us</t>
        </is>
      </c>
      <c r="L15" s="26" t="n">
        <v>-160</v>
      </c>
      <c r="M15" s="27" t="n">
        <v>1.625</v>
      </c>
      <c r="N15" s="28" t="n">
        <v>0.615385</v>
      </c>
      <c r="O15" s="28" t="n">
        <v>0.550293</v>
      </c>
      <c r="P15" s="28" t="n">
        <v>0.042131</v>
      </c>
      <c r="Q15" s="28" t="n">
        <v>-0.065092</v>
      </c>
      <c r="R15" s="26" t="n">
        <v>0</v>
      </c>
      <c r="S15" s="29" t="n">
        <v>1</v>
      </c>
      <c r="T15" s="24" t="inlineStr">
        <is>
          <t>measured-edge-margin-v1</t>
        </is>
      </c>
      <c r="U15" s="24" t="inlineStr">
        <is>
          <t>settled</t>
        </is>
      </c>
      <c r="V15" s="24" t="inlineStr">
        <is>
          <t>win</t>
        </is>
      </c>
      <c r="W15" s="26" t="n">
        <v>3</v>
      </c>
      <c r="X15" s="26" t="n">
        <v>4</v>
      </c>
      <c r="Y15" s="25" t="n">
        <v>1.5</v>
      </c>
      <c r="Z15" s="26" t="n">
        <v>-160</v>
      </c>
      <c r="AA15" s="28" t="n">
        <v>0.615</v>
      </c>
      <c r="AB15" s="28" t="n">
        <v>-0.000385</v>
      </c>
      <c r="AC15" s="30" t="n">
        <v>0.625</v>
      </c>
      <c r="AD15" s="24" t="inlineStr">
        <is>
          <t>2026-07-30T21:05:53.799263Z</t>
        </is>
      </c>
      <c r="AE15" s="31" t="inlineStr">
        <is>
          <t>Measured Edge Margin: Trend Engine projected 4.80-5.00; raw selected-side p=0.6448, calibrated p=0.5503.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mlb-kc</t>
        </is>
      </c>
      <c r="AQ15" s="24" t="inlineStr">
        <is>
          <t>Kansas City Royals</t>
        </is>
      </c>
      <c r="AR15" s="24" t="inlineStr">
        <is>
          <t>Kansas City Royals</t>
        </is>
      </c>
      <c r="AS15" s="24" t="inlineStr">
        <is>
          <t>mlb-min</t>
        </is>
      </c>
      <c r="AT15" s="24" t="inlineStr">
        <is>
          <t>Minnesota Twins</t>
        </is>
      </c>
      <c r="AU15" s="24" t="inlineStr">
        <is>
          <t>Minnesota Twins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2bc2ce55b0d39a20103f724bbddbde5394909acd49297f52665b596a0ae3ae8b</t>
        </is>
      </c>
      <c r="BB15" s="24" t="inlineStr">
        <is>
          <t>flat_probability_shrinkage_toward_half</t>
        </is>
      </c>
      <c r="BC15" s="24" t="inlineStr">
        <is>
          <t>measured-edge-margin-v1</t>
        </is>
      </c>
      <c r="BD15" s="24" t="inlineStr">
        <is>
          <t>2bc2ce55b0d39a20103f724bbddbde5394909acd49297f52665b596a0ae3ae8b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2026-07-30T17:36:41.418998Z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-160</v>
      </c>
      <c r="BL15" s="27" t="n">
        <v>1.625</v>
      </c>
      <c r="BM15" s="28" t="n">
        <v>0.615385</v>
      </c>
      <c r="BN15" s="28" t="n">
        <v>0.61194</v>
      </c>
      <c r="BO15" s="28" t="n"/>
      <c r="BP15" s="25" t="n"/>
      <c r="BQ15" s="27" t="n">
        <v>1.625</v>
      </c>
      <c r="BR15" s="28" t="n">
        <v>0.615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0058e2e4dee14815</t>
        </is>
      </c>
      <c r="B16" s="24" t="inlineStr">
        <is>
          <t>2026-07-30T17:36:41.418998Z</t>
        </is>
      </c>
      <c r="C16" s="24" t="inlineStr">
        <is>
          <t>2026-07-30T18:10Z</t>
        </is>
      </c>
      <c r="D16" s="24" t="inlineStr">
        <is>
          <t>401816328</t>
        </is>
      </c>
      <c r="E16" s="24" t="inlineStr">
        <is>
          <t>MLB</t>
        </is>
      </c>
      <c r="F16" s="24" t="inlineStr">
        <is>
          <t>New York Yankees</t>
        </is>
      </c>
      <c r="G16" s="24" t="inlineStr">
        <is>
          <t>Chicago White Sox</t>
        </is>
      </c>
      <c r="H16" s="24" t="inlineStr">
        <is>
          <t>spread</t>
        </is>
      </c>
      <c r="I16" s="24" t="inlineStr">
        <is>
          <t>home</t>
        </is>
      </c>
      <c r="J16" s="25" t="n">
        <v>1.5</v>
      </c>
      <c r="K16" s="24" t="inlineStr">
        <is>
          <t>polymarket_us</t>
        </is>
      </c>
      <c r="L16" s="26" t="n">
        <v>-182</v>
      </c>
      <c r="M16" s="27" t="n">
        <v>1.549451</v>
      </c>
      <c r="N16" s="28" t="n">
        <v>0.64539</v>
      </c>
      <c r="O16" s="28" t="n">
        <v>0.56787</v>
      </c>
      <c r="P16" s="28" t="n">
        <v>0.042131</v>
      </c>
      <c r="Q16" s="28" t="n">
        <v>-0.07752000000000001</v>
      </c>
      <c r="R16" s="26" t="n">
        <v>0</v>
      </c>
      <c r="S16" s="29" t="n">
        <v>1.25</v>
      </c>
      <c r="T16" s="24" t="inlineStr">
        <is>
          <t>measured-edge-margin-v1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2</v>
      </c>
      <c r="Y16" s="25" t="n">
        <v>1.5</v>
      </c>
      <c r="Z16" s="26" t="n">
        <v>-182</v>
      </c>
      <c r="AA16" s="28" t="n">
        <v>0.645</v>
      </c>
      <c r="AB16" s="28" t="n">
        <v>-0.00039</v>
      </c>
      <c r="AC16" s="30" t="n">
        <v>0.6868</v>
      </c>
      <c r="AD16" s="24" t="inlineStr">
        <is>
          <t>2026-07-31T00:54:58.887853Z</t>
        </is>
      </c>
      <c r="AE16" s="31" t="inlineStr">
        <is>
          <t>Measured Edge Margin: Trend Engine projected 4.07-4.77; raw selected-side p=0.7342, calibrated p=0.5679.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mlb-nyy</t>
        </is>
      </c>
      <c r="AQ16" s="24" t="inlineStr">
        <is>
          <t>New York Yankees</t>
        </is>
      </c>
      <c r="AR16" s="24" t="inlineStr">
        <is>
          <t>New York Yankees</t>
        </is>
      </c>
      <c r="AS16" s="24" t="inlineStr">
        <is>
          <t>mlb-cws</t>
        </is>
      </c>
      <c r="AT16" s="24" t="inlineStr">
        <is>
          <t>Chicago White Sox</t>
        </is>
      </c>
      <c r="AU16" s="24" t="inlineStr">
        <is>
          <t>Chicago White Sox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2bc2ce55b0d39a20103f724bbddbde5394909acd49297f52665b596a0ae3ae8b</t>
        </is>
      </c>
      <c r="BB16" s="24" t="inlineStr">
        <is>
          <t>flat_probability_shrinkage_toward_half</t>
        </is>
      </c>
      <c r="BC16" s="24" t="inlineStr">
        <is>
          <t>measured-edge-margin-v1</t>
        </is>
      </c>
      <c r="BD16" s="24" t="inlineStr">
        <is>
          <t>2bc2ce55b0d39a20103f724bbddbde5394909acd49297f52665b596a0ae3ae8b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2026-07-30T17:36:41.418998Z</t>
        </is>
      </c>
      <c r="BI16" s="24" t="inlineStr">
        <is>
          <t>["same_event","same_team_same_day","same_league_same_day"]</t>
        </is>
      </c>
      <c r="BJ16" s="25" t="n">
        <v>1.5</v>
      </c>
      <c r="BK16" s="26" t="n">
        <v>-182</v>
      </c>
      <c r="BL16" s="27" t="n">
        <v>1.549451</v>
      </c>
      <c r="BM16" s="28" t="n">
        <v>0.64539</v>
      </c>
      <c r="BN16" s="28" t="n">
        <v>0.641791</v>
      </c>
      <c r="BO16" s="28" t="n"/>
      <c r="BP16" s="25" t="n"/>
      <c r="BQ16" s="27" t="n">
        <v>1.549451</v>
      </c>
      <c r="BR16" s="28" t="n">
        <v>0.645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3fc8b2e5f3744a2c</t>
        </is>
      </c>
      <c r="B17" s="24" t="inlineStr">
        <is>
          <t>2026-07-30T17:36:41.418998Z</t>
        </is>
      </c>
      <c r="C17" s="24" t="inlineStr">
        <is>
          <t>2026-07-30T18:10Z</t>
        </is>
      </c>
      <c r="D17" s="24" t="inlineStr">
        <is>
          <t>401816328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White Sox</t>
        </is>
      </c>
      <c r="H17" s="24" t="inlineStr">
        <is>
          <t>total</t>
        </is>
      </c>
      <c r="I17" s="24" t="inlineStr">
        <is>
          <t>over</t>
        </is>
      </c>
      <c r="J17" s="25" t="n">
        <v>7.5</v>
      </c>
      <c r="K17" s="24" t="inlineStr">
        <is>
          <t>polymarket_us</t>
        </is>
      </c>
      <c r="L17" s="26" t="n">
        <v>106</v>
      </c>
      <c r="M17" s="27" t="n">
        <v>2.06</v>
      </c>
      <c r="N17" s="28" t="n">
        <v>0.485437</v>
      </c>
      <c r="O17" s="28" t="n">
        <v>0.562449</v>
      </c>
      <c r="P17" s="28" t="n">
        <v>0.042131</v>
      </c>
      <c r="Q17" s="28" t="n">
        <v>0.077012</v>
      </c>
      <c r="R17" s="26" t="n">
        <v>63</v>
      </c>
      <c r="S17" s="29" t="n">
        <v>1.25</v>
      </c>
      <c r="T17" s="24" t="inlineStr">
        <is>
          <t>measured-edge-totals-v1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2</v>
      </c>
      <c r="Y17" s="25" t="n">
        <v>7.5</v>
      </c>
      <c r="Z17" s="26" t="n">
        <v>106</v>
      </c>
      <c r="AA17" s="28" t="n">
        <v>0.485</v>
      </c>
      <c r="AB17" s="28" t="n">
        <v>-0.000437</v>
      </c>
      <c r="AC17" s="30" t="n">
        <v>-1.25</v>
      </c>
      <c r="AD17" s="24" t="inlineStr">
        <is>
          <t>2026-07-31T00:54:59.047172Z</t>
        </is>
      </c>
      <c r="AE17" s="31" t="inlineStr">
        <is>
          <t>Measured Edge Totals: Trend Engine projected 4.07-4.77; raw selected-side p=0.5803, calibrated p=0.5624.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mlb-cws</t>
        </is>
      </c>
      <c r="AT17" s="24" t="inlineStr">
        <is>
          <t>Chicago White Sox</t>
        </is>
      </c>
      <c r="AU17" s="24" t="inlineStr">
        <is>
          <t>Chicago White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cbc2c9bf5a9569a49e1902c816d96556d704cf10819ca3a9e927721685757d0b</t>
        </is>
      </c>
      <c r="BB17" s="24" t="inlineStr">
        <is>
          <t>flat_probability_shrinkage_toward_half</t>
        </is>
      </c>
      <c r="BC17" s="24" t="inlineStr">
        <is>
          <t>measured-edge-totals-v1</t>
        </is>
      </c>
      <c r="BD17" s="24" t="inlineStr">
        <is>
          <t>cbc2c9bf5a9569a49e1902c816d96556d704cf10819ca3a9e927721685757d0b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2026-07-30T17:36:41.418998Z</t>
        </is>
      </c>
      <c r="BI17" s="24" t="inlineStr">
        <is>
          <t>["same_event","same_team_same_day","same_league_same_day"]</t>
        </is>
      </c>
      <c r="BJ17" s="25" t="n">
        <v>7.5</v>
      </c>
      <c r="BK17" s="26" t="n">
        <v>106</v>
      </c>
      <c r="BL17" s="27" t="n">
        <v>2.06</v>
      </c>
      <c r="BM17" s="28" t="n">
        <v>0.485437</v>
      </c>
      <c r="BN17" s="28" t="n">
        <v>0.482587</v>
      </c>
      <c r="BO17" s="28" t="n"/>
      <c r="BP17" s="25" t="n"/>
      <c r="BQ17" s="27" t="n">
        <v>2.06</v>
      </c>
      <c r="BR17" s="28" t="n">
        <v>0.485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dffb9fbd0449460f</t>
        </is>
      </c>
      <c r="B18" s="24" t="inlineStr">
        <is>
          <t>2026-07-30T17:36:41.418998Z</t>
        </is>
      </c>
      <c r="C18" s="24" t="inlineStr">
        <is>
          <t>2026-07-30T18:15Z</t>
        </is>
      </c>
      <c r="D18" s="24" t="inlineStr">
        <is>
          <t>401816326</t>
        </is>
      </c>
      <c r="E18" s="24" t="inlineStr">
        <is>
          <t>MLB</t>
        </is>
      </c>
      <c r="F18" s="24" t="inlineStr">
        <is>
          <t>Chicago Cubs</t>
        </is>
      </c>
      <c r="G18" s="24" t="inlineStr">
        <is>
          <t>St. Louis Cardinals</t>
        </is>
      </c>
      <c r="H18" s="24" t="inlineStr">
        <is>
          <t>spread</t>
        </is>
      </c>
      <c r="I18" s="24" t="inlineStr">
        <is>
          <t>home</t>
        </is>
      </c>
      <c r="J18" s="25" t="n">
        <v>1.5</v>
      </c>
      <c r="K18" s="24" t="inlineStr">
        <is>
          <t>polymarket_us</t>
        </is>
      </c>
      <c r="L18" s="26" t="n">
        <v>-174</v>
      </c>
      <c r="M18" s="27" t="n">
        <v>1.574713</v>
      </c>
      <c r="N18" s="28" t="n">
        <v>0.635036</v>
      </c>
      <c r="O18" s="28" t="n">
        <v>0.556257</v>
      </c>
      <c r="P18" s="28" t="n">
        <v>0.042131</v>
      </c>
      <c r="Q18" s="28" t="n">
        <v>-0.078779</v>
      </c>
      <c r="R18" s="26" t="n">
        <v>0</v>
      </c>
      <c r="S18" s="29" t="n">
        <v>1</v>
      </c>
      <c r="T18" s="24" t="inlineStr">
        <is>
          <t>measured-edge-margin-v1</t>
        </is>
      </c>
      <c r="U18" s="24" t="inlineStr">
        <is>
          <t>settled</t>
        </is>
      </c>
      <c r="V18" s="24" t="inlineStr">
        <is>
          <t>loss</t>
        </is>
      </c>
      <c r="W18" s="26" t="n">
        <v>4</v>
      </c>
      <c r="X18" s="26" t="n">
        <v>2</v>
      </c>
      <c r="Y18" s="25" t="n">
        <v>1.5</v>
      </c>
      <c r="Z18" s="26" t="n">
        <v>-174</v>
      </c>
      <c r="AA18" s="28" t="n">
        <v>0.635</v>
      </c>
      <c r="AB18" s="28" t="n">
        <v>-3.6e-05</v>
      </c>
      <c r="AC18" s="30" t="n">
        <v>-1</v>
      </c>
      <c r="AD18" s="24" t="inlineStr">
        <is>
          <t>2026-07-31T00:54:59.202385Z</t>
        </is>
      </c>
      <c r="AE18" s="31" t="inlineStr">
        <is>
          <t>Measured Edge Margin: Trend Engine projected 4.49-4.55; raw selected-side p=0.6751, calibrated p=0.5563.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mlb-chc</t>
        </is>
      </c>
      <c r="AQ18" s="24" t="inlineStr">
        <is>
          <t>Chicago Cubs</t>
        </is>
      </c>
      <c r="AR18" s="24" t="inlineStr">
        <is>
          <t>Chicago Cubs</t>
        </is>
      </c>
      <c r="AS18" s="24" t="inlineStr">
        <is>
          <t>mlb-stl</t>
        </is>
      </c>
      <c r="AT18" s="24" t="inlineStr">
        <is>
          <t>St. Louis Cardinals</t>
        </is>
      </c>
      <c r="AU18" s="24" t="inlineStr">
        <is>
          <t>St. Louis Cardinals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2bc2ce55b0d39a20103f724bbddbde5394909acd49297f52665b596a0ae3ae8b</t>
        </is>
      </c>
      <c r="BB18" s="24" t="inlineStr">
        <is>
          <t>flat_probability_shrinkage_toward_half</t>
        </is>
      </c>
      <c r="BC18" s="24" t="inlineStr">
        <is>
          <t>measured-edge-margin-v1</t>
        </is>
      </c>
      <c r="BD18" s="24" t="inlineStr">
        <is>
          <t>2bc2ce55b0d39a20103f724bbddbde5394909acd49297f52665b596a0ae3ae8b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2026-07-30T17:36:41.418998Z</t>
        </is>
      </c>
      <c r="BI18" s="24" t="inlineStr">
        <is>
          <t>["same_event","same_team_same_day","same_league_same_day"]</t>
        </is>
      </c>
      <c r="BJ18" s="25" t="n">
        <v>1.5</v>
      </c>
      <c r="BK18" s="26" t="n">
        <v>-174</v>
      </c>
      <c r="BL18" s="27" t="n">
        <v>1.574713</v>
      </c>
      <c r="BM18" s="28" t="n">
        <v>0.635036</v>
      </c>
      <c r="BN18" s="28" t="n">
        <v>0.631841</v>
      </c>
      <c r="BO18" s="28" t="n"/>
      <c r="BP18" s="25" t="n"/>
      <c r="BQ18" s="27" t="n">
        <v>1.574713</v>
      </c>
      <c r="BR18" s="28" t="n">
        <v>0.635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f51c71784cf44ec9</t>
        </is>
      </c>
      <c r="B19" s="24" t="inlineStr">
        <is>
          <t>2026-07-30T17:36:41.418998Z</t>
        </is>
      </c>
      <c r="C19" s="24" t="inlineStr">
        <is>
          <t>2026-07-30T18:15Z</t>
        </is>
      </c>
      <c r="D19" s="24" t="inlineStr">
        <is>
          <t>401816326</t>
        </is>
      </c>
      <c r="E19" s="24" t="inlineStr">
        <is>
          <t>MLB</t>
        </is>
      </c>
      <c r="F19" s="24" t="inlineStr">
        <is>
          <t>Chicago Cubs</t>
        </is>
      </c>
      <c r="G19" s="24" t="inlineStr">
        <is>
          <t>St. Louis Cardinals</t>
        </is>
      </c>
      <c r="H19" s="24" t="inlineStr">
        <is>
          <t>total</t>
        </is>
      </c>
      <c r="I19" s="24" t="inlineStr">
        <is>
          <t>over</t>
        </is>
      </c>
      <c r="J19" s="25" t="n">
        <v>8.5</v>
      </c>
      <c r="K19" s="24" t="inlineStr">
        <is>
          <t>polymarket_us</t>
        </is>
      </c>
      <c r="L19" s="26" t="n">
        <v>113</v>
      </c>
      <c r="M19" s="27" t="n">
        <v>2.13</v>
      </c>
      <c r="N19" s="28" t="n">
        <v>0.469484</v>
      </c>
      <c r="O19" s="28" t="n">
        <v>0.500169</v>
      </c>
      <c r="P19" s="28" t="n">
        <v>0.042131</v>
      </c>
      <c r="Q19" s="28" t="n">
        <v>0.030685</v>
      </c>
      <c r="R19" s="26" t="n">
        <v>40</v>
      </c>
      <c r="S19" s="29" t="n">
        <v>1</v>
      </c>
      <c r="T19" s="24" t="inlineStr">
        <is>
          <t>measured-edge-totals-v1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2</v>
      </c>
      <c r="Y19" s="25" t="n">
        <v>8.5</v>
      </c>
      <c r="Z19" s="26" t="n">
        <v>113</v>
      </c>
      <c r="AA19" s="28" t="n">
        <v>0.47</v>
      </c>
      <c r="AB19" s="28" t="n">
        <v>0.000516</v>
      </c>
      <c r="AC19" s="30" t="n">
        <v>-1</v>
      </c>
      <c r="AD19" s="24" t="inlineStr">
        <is>
          <t>2026-07-31T00:54:59.357088Z</t>
        </is>
      </c>
      <c r="AE19" s="31" t="inlineStr">
        <is>
          <t>Measured Edge Totals: Trend Engine projected 4.49-4.55; raw selected-side p=0.5161, calibrated p=0.5002.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mlb-chc</t>
        </is>
      </c>
      <c r="AQ19" s="24" t="inlineStr">
        <is>
          <t>Chicago Cubs</t>
        </is>
      </c>
      <c r="AR19" s="24" t="inlineStr">
        <is>
          <t>Chicago Cubs</t>
        </is>
      </c>
      <c r="AS19" s="24" t="inlineStr">
        <is>
          <t>mlb-stl</t>
        </is>
      </c>
      <c r="AT19" s="24" t="inlineStr">
        <is>
          <t>St. Louis Cardinals</t>
        </is>
      </c>
      <c r="AU19" s="24" t="inlineStr">
        <is>
          <t>St. Louis Cardinals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cbc2c9bf5a9569a49e1902c816d96556d704cf10819ca3a9e927721685757d0b</t>
        </is>
      </c>
      <c r="BB19" s="24" t="inlineStr">
        <is>
          <t>flat_probability_shrinkage_toward_half</t>
        </is>
      </c>
      <c r="BC19" s="24" t="inlineStr">
        <is>
          <t>measured-edge-totals-v1</t>
        </is>
      </c>
      <c r="BD19" s="24" t="inlineStr">
        <is>
          <t>cbc2c9bf5a9569a49e1902c816d96556d704cf10819ca3a9e927721685757d0b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2026-07-30T17:36:41.418998Z</t>
        </is>
      </c>
      <c r="BI19" s="24" t="inlineStr">
        <is>
          <t>["same_event","same_team_same_day","same_league_same_day"]</t>
        </is>
      </c>
      <c r="BJ19" s="25" t="n">
        <v>8.5</v>
      </c>
      <c r="BK19" s="26" t="n">
        <v>113</v>
      </c>
      <c r="BL19" s="27" t="n">
        <v>2.13</v>
      </c>
      <c r="BM19" s="28" t="n">
        <v>0.469484</v>
      </c>
      <c r="BN19" s="28" t="n">
        <v>0.467662</v>
      </c>
      <c r="BO19" s="28" t="n"/>
      <c r="BP19" s="25" t="n"/>
      <c r="BQ19" s="27" t="n">
        <v>2.13</v>
      </c>
      <c r="BR19" s="28" t="n">
        <v>0.47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ecf162c53b6e43a6</t>
        </is>
      </c>
      <c r="B20" s="24" t="inlineStr">
        <is>
          <t>2026-07-30T21:07:38.996144Z</t>
        </is>
      </c>
      <c r="C20" s="24" t="inlineStr">
        <is>
          <t>2026-07-30T20:00:00-0400</t>
        </is>
      </c>
      <c r="D20" s="24" t="inlineStr">
        <is>
          <t>401857099</t>
        </is>
      </c>
      <c r="E20" s="24" t="inlineStr">
        <is>
          <t>WNBA</t>
        </is>
      </c>
      <c r="F20" s="24" t="inlineStr">
        <is>
          <t>Minnesota Lynx</t>
        </is>
      </c>
      <c r="G20" s="24" t="inlineStr">
        <is>
          <t>Toronto Tempo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-614</v>
      </c>
      <c r="M20" s="27" t="n">
        <v>1.162866</v>
      </c>
      <c r="N20" s="28" t="n">
        <v>0.859944</v>
      </c>
      <c r="O20" s="28" t="n">
        <v>0.750119</v>
      </c>
      <c r="P20" s="28" t="n"/>
      <c r="Q20" s="28" t="n">
        <v>-0.109825</v>
      </c>
      <c r="R20" s="26" t="n">
        <v>0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104</v>
      </c>
      <c r="X20" s="26" t="n">
        <v>72</v>
      </c>
      <c r="Y20" s="25" t="n"/>
      <c r="Z20" s="26" t="n"/>
      <c r="AA20" s="28" t="n"/>
      <c r="AB20" s="28" t="n"/>
      <c r="AC20" s="30" t="n">
        <v>0.3257</v>
      </c>
      <c r="AD20" s="24" t="inlineStr">
        <is>
          <t>2026-07-31T04:29:19.818080Z</t>
        </is>
      </c>
      <c r="AE20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wnba-min</t>
        </is>
      </c>
      <c r="AQ20" s="24" t="inlineStr">
        <is>
          <t>Minnesota Lynx</t>
        </is>
      </c>
      <c r="AR20" s="24" t="inlineStr">
        <is>
          <t>Minnesota Lynx</t>
        </is>
      </c>
      <c r="AS20" s="24" t="inlineStr">
        <is>
          <t>wnba-tor</t>
        </is>
      </c>
      <c r="AT20" s="24" t="inlineStr">
        <is>
          <t>Toronto Tempo</t>
        </is>
      </c>
      <c r="AU20" s="24" t="inlineStr">
        <is>
          <t>Toronto Tempo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a8d16f9be486f04d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2026-07-30T21:07:16.651071Z</t>
        </is>
      </c>
      <c r="BI20" s="24" t="inlineStr">
        <is>
          <t>["same_event","same_team_same_day","same_league_same_day"]</t>
        </is>
      </c>
      <c r="BJ20" s="25" t="n"/>
      <c r="BK20" s="26" t="n">
        <v>-614</v>
      </c>
      <c r="BL20" s="27" t="n">
        <v>1.162866</v>
      </c>
      <c r="BM20" s="28" t="n">
        <v>0.859944</v>
      </c>
      <c r="BN20" s="28" t="n">
        <v>0.851485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0.1447442732</t>
        </is>
      </c>
      <c r="CD20" s="24" t="inlineStr">
        <is>
          <t>-5.213719</t>
        </is>
      </c>
      <c r="CE20" s="24" t="n"/>
      <c r="CF20" s="24" t="n"/>
      <c r="CG20" s="24" t="n"/>
      <c r="CH20" s="24" t="n"/>
      <c r="CI20" s="24" t="inlineStr">
        <is>
          <t>wnba_availability_source_conflict</t>
        </is>
      </c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290bae9188f1467d</t>
        </is>
      </c>
      <c r="B21" s="24" t="inlineStr">
        <is>
          <t>2026-07-30T21:07:38.996144Z</t>
        </is>
      </c>
      <c r="C21" s="24" t="inlineStr">
        <is>
          <t>2026-07-30T19:00:00-0400</t>
        </is>
      </c>
      <c r="D21" s="24" t="inlineStr">
        <is>
          <t>401816325</t>
        </is>
      </c>
      <c r="E21" s="24" t="inlineStr">
        <is>
          <t>MLB</t>
        </is>
      </c>
      <c r="F21" s="24" t="inlineStr">
        <is>
          <t>Washington Nationals</t>
        </is>
      </c>
      <c r="G21" s="24" t="inlineStr">
        <is>
          <t>Atlanta Braves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-144</v>
      </c>
      <c r="M21" s="27" t="n">
        <v>1.694444</v>
      </c>
      <c r="N21" s="28" t="n">
        <v>0.590164</v>
      </c>
      <c r="O21" s="28" t="n">
        <v>0.612872</v>
      </c>
      <c r="P21" s="28" t="n"/>
      <c r="Q21" s="28" t="n">
        <v>0.022708</v>
      </c>
      <c r="R21" s="26" t="n">
        <v>33</v>
      </c>
      <c r="S21" s="29" t="n">
        <v>1.75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win</t>
        </is>
      </c>
      <c r="W21" s="26" t="n">
        <v>4</v>
      </c>
      <c r="X21" s="26" t="n">
        <v>5</v>
      </c>
      <c r="Y21" s="25" t="n"/>
      <c r="Z21" s="26" t="n">
        <v>-144</v>
      </c>
      <c r="AA21" s="28" t="n">
        <v>0.59</v>
      </c>
      <c r="AB21" s="28" t="n">
        <v>-0.000164</v>
      </c>
      <c r="AC21" s="30" t="n">
        <v>1.2153</v>
      </c>
      <c r="AD21" s="24" t="inlineStr">
        <is>
          <t>2026-07-31T04:29:20.291984Z</t>
        </is>
      </c>
      <c r="AE21" s="31" t="inlineStr">
        <is>
          <t>Learned LR call at threshold 0.6242; executable ask 0.5900 (aec-mlb-wsh-atl-2026-07-30); model edge vs ask +0.0229.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mlb-wsh</t>
        </is>
      </c>
      <c r="AQ21" s="24" t="inlineStr">
        <is>
          <t>Washington Nationals</t>
        </is>
      </c>
      <c r="AR21" s="24" t="inlineStr">
        <is>
          <t>Washington Nationals</t>
        </is>
      </c>
      <c r="AS21" s="24" t="inlineStr">
        <is>
          <t>mlb-atl</t>
        </is>
      </c>
      <c r="AT21" s="24" t="inlineStr">
        <is>
          <t>Atlanta Braves</t>
        </is>
      </c>
      <c r="AU21" s="24" t="inlineStr">
        <is>
          <t>Atlanta Braves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2ad0bbfc4a5ff39d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2026-07-30T21:07:13.074633Z</t>
        </is>
      </c>
      <c r="BI21" s="24" t="inlineStr">
        <is>
          <t>["same_event","same_team_same_day","same_league_same_day"]</t>
        </is>
      </c>
      <c r="BJ21" s="25" t="n"/>
      <c r="BK21" s="26" t="n">
        <v>-144</v>
      </c>
      <c r="BL21" s="27" t="n">
        <v>1.694444</v>
      </c>
      <c r="BM21" s="28" t="n">
        <v>0.590164</v>
      </c>
      <c r="BN21" s="28" t="n">
        <v>0.5870649999999999</v>
      </c>
      <c r="BO21" s="28" t="n"/>
      <c r="BP21" s="25" t="n"/>
      <c r="BQ21" s="27" t="n">
        <v>1.694444</v>
      </c>
      <c r="BR21" s="28" t="n">
        <v>0.59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0.6174839141</t>
        </is>
      </c>
      <c r="CD21" s="24" t="inlineStr">
        <is>
          <t>-0.449351</t>
        </is>
      </c>
      <c r="CE21" s="24" t="inlineStr">
        <is>
          <t>0.929</t>
        </is>
      </c>
      <c r="CF21" s="24" t="inlineStr">
        <is>
          <t>1.0174</t>
        </is>
      </c>
      <c r="CG21" s="24" t="inlineStr">
        <is>
          <t>0.2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18fa1289f8ca42ca</t>
        </is>
      </c>
      <c r="B22" s="24" t="inlineStr">
        <is>
          <t>2026-07-30T21:07:38.996144Z</t>
        </is>
      </c>
      <c r="C22" s="24" t="inlineStr">
        <is>
          <t>2026-07-30T20:00:00-0400</t>
        </is>
      </c>
      <c r="D22" s="24" t="inlineStr">
        <is>
          <t>401857100</t>
        </is>
      </c>
      <c r="E22" s="24" t="inlineStr">
        <is>
          <t>WNBA</t>
        </is>
      </c>
      <c r="F22" s="24" t="inlineStr">
        <is>
          <t>Connecticut Sun</t>
        </is>
      </c>
      <c r="G22" s="24" t="inlineStr">
        <is>
          <t>Chicago Sky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-194</v>
      </c>
      <c r="M22" s="27" t="n">
        <v>1.515464</v>
      </c>
      <c r="N22" s="28" t="n">
        <v>0.659864</v>
      </c>
      <c r="O22" s="28" t="n">
        <v>0.670401</v>
      </c>
      <c r="P22" s="28" t="n"/>
      <c r="Q22" s="28" t="n">
        <v>0.010537</v>
      </c>
      <c r="R22" s="26" t="n">
        <v>28</v>
      </c>
      <c r="S22" s="29" t="n">
        <v>2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88</v>
      </c>
      <c r="X22" s="26" t="n">
        <v>94</v>
      </c>
      <c r="Y22" s="25" t="n"/>
      <c r="Z22" s="26" t="n"/>
      <c r="AA22" s="28" t="n"/>
      <c r="AB22" s="28" t="n"/>
      <c r="AC22" s="30" t="n">
        <v>1.0309</v>
      </c>
      <c r="AD22" s="24" t="inlineStr">
        <is>
          <t>2026-07-31T04:29:20.464220Z</t>
        </is>
      </c>
      <c r="AE22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wnba-con</t>
        </is>
      </c>
      <c r="AQ22" s="24" t="inlineStr">
        <is>
          <t>Connecticut Sun</t>
        </is>
      </c>
      <c r="AR22" s="24" t="inlineStr">
        <is>
          <t>Connecticut Sun</t>
        </is>
      </c>
      <c r="AS22" s="24" t="inlineStr">
        <is>
          <t>wnba-chi</t>
        </is>
      </c>
      <c r="AT22" s="24" t="inlineStr">
        <is>
          <t>Chicago Sky</t>
        </is>
      </c>
      <c r="AU22" s="24" t="inlineStr">
        <is>
          <t>Chicago Sky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de1d675da66b275e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2026-07-30T21:07:18.309580Z</t>
        </is>
      </c>
      <c r="BI22" s="24" t="inlineStr">
        <is>
          <t>["same_event","same_team_same_day","same_league_same_day"]</t>
        </is>
      </c>
      <c r="BJ22" s="25" t="n"/>
      <c r="BK22" s="26" t="n">
        <v>-194</v>
      </c>
      <c r="BL22" s="27" t="n">
        <v>1.515464</v>
      </c>
      <c r="BM22" s="28" t="n">
        <v>0.659864</v>
      </c>
      <c r="BN22" s="28" t="n">
        <v>0.653465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0.6616868073</t>
        </is>
      </c>
      <c r="CD22" s="24" t="inlineStr">
        <is>
          <t>5.467445</t>
        </is>
      </c>
      <c r="CE22" s="24" t="n"/>
      <c r="CF22" s="24" t="n"/>
      <c r="CG22" s="24" t="n"/>
      <c r="CH22" s="24" t="n"/>
      <c r="CI22" s="24" t="inlineStr">
        <is>
          <t>wnba_availability_source_conflict</t>
        </is>
      </c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373898a172fe4c46</t>
        </is>
      </c>
      <c r="B23" s="24" t="inlineStr">
        <is>
          <t>2026-07-30T21:07:38.996144Z</t>
        </is>
      </c>
      <c r="C23" s="24" t="inlineStr">
        <is>
          <t>2026-07-30T19:10:00-0400</t>
        </is>
      </c>
      <c r="D23" s="24" t="inlineStr">
        <is>
          <t>401816322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-117</v>
      </c>
      <c r="M23" s="27" t="n">
        <v>1.854701</v>
      </c>
      <c r="N23" s="28" t="n">
        <v>0.539171</v>
      </c>
      <c r="O23" s="28" t="n">
        <v>0.5134919999999999</v>
      </c>
      <c r="P23" s="28" t="n"/>
      <c r="Q23" s="28" t="n">
        <v>-0.025679</v>
      </c>
      <c r="R23" s="26" t="n">
        <v>8</v>
      </c>
      <c r="S23" s="29" t="n">
        <v>0.75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4</v>
      </c>
      <c r="Y23" s="25" t="n"/>
      <c r="Z23" s="26" t="n">
        <v>-117</v>
      </c>
      <c r="AA23" s="28" t="n">
        <v>0.54</v>
      </c>
      <c r="AB23" s="28" t="n">
        <v>0.000829</v>
      </c>
      <c r="AC23" s="30" t="n">
        <v>0.641</v>
      </c>
      <c r="AD23" s="24" t="inlineStr">
        <is>
          <t>2026-07-31T04:29:20.631725Z</t>
        </is>
      </c>
      <c r="AE23" s="31" t="inlineStr">
        <is>
          <t>Learned LR call at threshold 0.6242; executable ask 0.5400 (aec-mlb-mia-nym-2026-07-30); model edge vs ask -0.0265.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e514206d77553482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2026-07-30T21:07:11.963447Z</t>
        </is>
      </c>
      <c r="BI23" s="24" t="inlineStr">
        <is>
          <t>["same_event","same_team_same_day","same_league_same_day"]</t>
        </is>
      </c>
      <c r="BJ23" s="25" t="n"/>
      <c r="BK23" s="26" t="n">
        <v>-117</v>
      </c>
      <c r="BL23" s="27" t="n">
        <v>1.854701</v>
      </c>
      <c r="BM23" s="28" t="n">
        <v>0.539171</v>
      </c>
      <c r="BN23" s="28" t="n">
        <v>0.537313</v>
      </c>
      <c r="BO23" s="28" t="n"/>
      <c r="BP23" s="25" t="n"/>
      <c r="BQ23" s="27" t="n">
        <v>1.854701</v>
      </c>
      <c r="BR23" s="28" t="n">
        <v>0.54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0.5051537166</t>
        </is>
      </c>
      <c r="CD23" s="24" t="inlineStr">
        <is>
          <t>0.008278</t>
        </is>
      </c>
      <c r="CE23" s="24" t="inlineStr">
        <is>
          <t>0.978</t>
        </is>
      </c>
      <c r="CF23" s="24" t="inlineStr">
        <is>
          <t>1.0054</t>
        </is>
      </c>
      <c r="CG23" s="24" t="inlineStr">
        <is>
          <t>-1.8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d0364ee11ff3488c</t>
        </is>
      </c>
      <c r="B24" s="24" t="inlineStr">
        <is>
          <t>2026-07-30T21:07:38.996144Z</t>
        </is>
      </c>
      <c r="C24" s="24" t="inlineStr">
        <is>
          <t>2026-07-30T19:10:00-0400</t>
        </is>
      </c>
      <c r="D24" s="24" t="inlineStr">
        <is>
          <t>401816323</t>
        </is>
      </c>
      <c r="E24" s="24" t="inlineStr">
        <is>
          <t>MLB</t>
        </is>
      </c>
      <c r="F24" s="24" t="inlineStr">
        <is>
          <t>Pittsburgh Pirates</t>
        </is>
      </c>
      <c r="G24" s="24" t="inlineStr">
        <is>
          <t>Cincinnati Reds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0.520916</v>
      </c>
      <c r="P24" s="28" t="n"/>
      <c r="Q24" s="28" t="n">
        <v>-0.00515</v>
      </c>
      <c r="R24" s="26" t="n">
        <v>19</v>
      </c>
      <c r="S24" s="29" t="n">
        <v>0.75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loss</t>
        </is>
      </c>
      <c r="W24" s="26" t="n">
        <v>2</v>
      </c>
      <c r="X24" s="26" t="n">
        <v>3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-0.75</v>
      </c>
      <c r="AD24" s="24" t="inlineStr">
        <is>
          <t>2026-07-31T04:29:20.800435Z</t>
        </is>
      </c>
      <c r="AE24" s="31" t="inlineStr">
        <is>
          <t>Learned LR call at threshold 0.6242; executable ask 0.5250 (aec-mlb-pit-cin-2026-07-30); model edge vs ask -0.0041.</t>
        </is>
      </c>
      <c r="AF24" s="31" t="inlineStr">
        <is>
          <t>Learned model; shadow-qualified via operator override.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mlb-pit</t>
        </is>
      </c>
      <c r="AQ24" s="24" t="inlineStr">
        <is>
          <t>Pittsburgh Pirates</t>
        </is>
      </c>
      <c r="AR24" s="24" t="inlineStr">
        <is>
          <t>Pittsburgh Pirates</t>
        </is>
      </c>
      <c r="AS24" s="24" t="inlineStr">
        <is>
          <t>mlb-cin</t>
        </is>
      </c>
      <c r="AT24" s="24" t="inlineStr">
        <is>
          <t>Cincinnati Reds</t>
        </is>
      </c>
      <c r="AU24" s="24" t="inlineStr">
        <is>
          <t>Cincinnati Reds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b3d67de7b6d26958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2026-07-30T21:07:11.035351Z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0.4889165025</t>
        </is>
      </c>
      <c r="CD24" s="24" t="inlineStr">
        <is>
          <t>0.498942</t>
        </is>
      </c>
      <c r="CE24" s="24" t="inlineStr">
        <is>
          <t>1.036</t>
        </is>
      </c>
      <c r="CF24" s="24" t="inlineStr">
        <is>
          <t>1.0086</t>
        </is>
      </c>
      <c r="CG24" s="24" t="inlineStr">
        <is>
          <t>-1.2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11f84971274b451c</t>
        </is>
      </c>
      <c r="B25" s="24" t="inlineStr">
        <is>
          <t>2026-07-30T21:07:52.668171Z</t>
        </is>
      </c>
      <c r="C25" s="24" t="inlineStr">
        <is>
          <t>2026-07-30T23:00Z</t>
        </is>
      </c>
      <c r="D25" s="24" t="inlineStr">
        <is>
          <t>401816325</t>
        </is>
      </c>
      <c r="E25" s="24" t="inlineStr">
        <is>
          <t>MLB</t>
        </is>
      </c>
      <c r="F25" s="24" t="inlineStr">
        <is>
          <t>Washington Nationals</t>
        </is>
      </c>
      <c r="G25" s="24" t="inlineStr">
        <is>
          <t>Atlanta Braves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-138</v>
      </c>
      <c r="M25" s="27" t="n">
        <v>1.724638</v>
      </c>
      <c r="N25" s="28" t="n">
        <v>0.579832</v>
      </c>
      <c r="O25" s="28" t="n">
        <v>0.544978</v>
      </c>
      <c r="P25" s="28" t="n">
        <v>0.042131</v>
      </c>
      <c r="Q25" s="28" t="n">
        <v>-0.034854</v>
      </c>
      <c r="R25" s="26" t="n">
        <v>7</v>
      </c>
      <c r="S25" s="29" t="n">
        <v>1</v>
      </c>
      <c r="T25" s="24" t="inlineStr">
        <is>
          <t>measured-edge-margin-v1</t>
        </is>
      </c>
      <c r="U25" s="24" t="inlineStr">
        <is>
          <t>settled</t>
        </is>
      </c>
      <c r="V25" s="24" t="inlineStr">
        <is>
          <t>win</t>
        </is>
      </c>
      <c r="W25" s="26" t="n">
        <v>4</v>
      </c>
      <c r="X25" s="26" t="n">
        <v>5</v>
      </c>
      <c r="Y25" s="25" t="n">
        <v>1.5</v>
      </c>
      <c r="Z25" s="26" t="n">
        <v>-138</v>
      </c>
      <c r="AA25" s="28" t="n">
        <v>0.58</v>
      </c>
      <c r="AB25" s="28" t="n">
        <v>0.000168</v>
      </c>
      <c r="AC25" s="30" t="n">
        <v>0.7246</v>
      </c>
      <c r="AD25" s="24" t="inlineStr">
        <is>
          <t>2026-07-31T04:29:20.972006Z</t>
        </is>
      </c>
      <c r="AE25" s="31" t="inlineStr">
        <is>
          <t>Measured Edge Margin: Trend Engine projected 4.30-4.84; raw selected-side p=0.6177, calibrated p=0.5450.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mlb-wsh</t>
        </is>
      </c>
      <c r="AQ25" s="24" t="inlineStr">
        <is>
          <t>Washington Nationals</t>
        </is>
      </c>
      <c r="AR25" s="24" t="inlineStr">
        <is>
          <t>Washington Nationals</t>
        </is>
      </c>
      <c r="AS25" s="24" t="inlineStr">
        <is>
          <t>mlb-atl</t>
        </is>
      </c>
      <c r="AT25" s="24" t="inlineStr">
        <is>
          <t>Atlanta Braves</t>
        </is>
      </c>
      <c r="AU25" s="24" t="inlineStr">
        <is>
          <t>Atlanta Braves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2bc2ce55b0d39a20103f724bbddbde5394909acd49297f52665b596a0ae3ae8b</t>
        </is>
      </c>
      <c r="BB25" s="24" t="inlineStr">
        <is>
          <t>flat_probability_shrinkage_toward_half</t>
        </is>
      </c>
      <c r="BC25" s="24" t="inlineStr">
        <is>
          <t>measured-edge-margin-v1</t>
        </is>
      </c>
      <c r="BD25" s="24" t="inlineStr">
        <is>
          <t>2bc2ce55b0d39a20103f724bbddbde5394909acd49297f52665b596a0ae3ae8b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2026-07-30T21:07:52.668171Z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-138</v>
      </c>
      <c r="BL25" s="27" t="n">
        <v>1.724638</v>
      </c>
      <c r="BM25" s="28" t="n">
        <v>0.579832</v>
      </c>
      <c r="BN25" s="28" t="n">
        <v>0.577114</v>
      </c>
      <c r="BO25" s="28" t="n"/>
      <c r="BP25" s="25" t="n"/>
      <c r="BQ25" s="27" t="n">
        <v>1.724638</v>
      </c>
      <c r="BR25" s="28" t="n">
        <v>0.58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fb4fab31130243f9</t>
        </is>
      </c>
      <c r="B26" s="24" t="inlineStr">
        <is>
          <t>2026-07-30T21:07:52.668171Z</t>
        </is>
      </c>
      <c r="C26" s="24" t="inlineStr">
        <is>
          <t>2026-07-30T23:00Z</t>
        </is>
      </c>
      <c r="D26" s="24" t="inlineStr">
        <is>
          <t>401816325</t>
        </is>
      </c>
      <c r="E26" s="24" t="inlineStr">
        <is>
          <t>MLB</t>
        </is>
      </c>
      <c r="F26" s="24" t="inlineStr">
        <is>
          <t>Washington Nationals</t>
        </is>
      </c>
      <c r="G26" s="24" t="inlineStr">
        <is>
          <t>Atlanta Braves</t>
        </is>
      </c>
      <c r="H26" s="24" t="inlineStr">
        <is>
          <t>total</t>
        </is>
      </c>
      <c r="I26" s="24" t="inlineStr">
        <is>
          <t>under</t>
        </is>
      </c>
      <c r="J26" s="25" t="n">
        <v>9.5</v>
      </c>
      <c r="K26" s="24" t="inlineStr">
        <is>
          <t>polymarket_us</t>
        </is>
      </c>
      <c r="L26" s="26" t="n">
        <v>115</v>
      </c>
      <c r="M26" s="27" t="n">
        <v>2.15</v>
      </c>
      <c r="N26" s="28" t="n">
        <v>0.465116</v>
      </c>
      <c r="O26" s="28" t="n">
        <v>0.567785</v>
      </c>
      <c r="P26" s="28" t="n">
        <v>0.042131</v>
      </c>
      <c r="Q26" s="28" t="n">
        <v>0.102669</v>
      </c>
      <c r="R26" s="26" t="n">
        <v>76</v>
      </c>
      <c r="S26" s="29" t="n">
        <v>1.25</v>
      </c>
      <c r="T26" s="24" t="inlineStr">
        <is>
          <t>measured-edge-totals-v1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5</v>
      </c>
      <c r="Y26" s="25" t="n">
        <v>9.5</v>
      </c>
      <c r="Z26" s="26" t="n">
        <v>115</v>
      </c>
      <c r="AA26" s="28" t="n">
        <v>0.465</v>
      </c>
      <c r="AB26" s="28" t="n">
        <v>-0.000116</v>
      </c>
      <c r="AC26" s="30" t="n">
        <v>1.4375</v>
      </c>
      <c r="AD26" s="24" t="inlineStr">
        <is>
          <t>2026-07-31T04:29:21.144105Z</t>
        </is>
      </c>
      <c r="AE26" s="31" t="inlineStr">
        <is>
          <t>Measured Edge Totals: Trend Engine projected 4.30-4.84; raw selected-side p=0.5858, calibrated p=0.5678.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mlb-wsh</t>
        </is>
      </c>
      <c r="AQ26" s="24" t="inlineStr">
        <is>
          <t>Washington Nationals</t>
        </is>
      </c>
      <c r="AR26" s="24" t="inlineStr">
        <is>
          <t>Washington Nationals</t>
        </is>
      </c>
      <c r="AS26" s="24" t="inlineStr">
        <is>
          <t>mlb-atl</t>
        </is>
      </c>
      <c r="AT26" s="24" t="inlineStr">
        <is>
          <t>Atlanta Braves</t>
        </is>
      </c>
      <c r="AU26" s="24" t="inlineStr">
        <is>
          <t>Atlanta Braves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cbc2c9bf5a9569a49e1902c816d96556d704cf10819ca3a9e927721685757d0b</t>
        </is>
      </c>
      <c r="BB26" s="24" t="inlineStr">
        <is>
          <t>flat_probability_shrinkage_toward_half</t>
        </is>
      </c>
      <c r="BC26" s="24" t="inlineStr">
        <is>
          <t>measured-edge-totals-v1</t>
        </is>
      </c>
      <c r="BD26" s="24" t="inlineStr">
        <is>
          <t>cbc2c9bf5a9569a49e1902c816d96556d704cf10819ca3a9e927721685757d0b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2026-07-30T21:07:52.668171Z</t>
        </is>
      </c>
      <c r="BI26" s="24" t="inlineStr">
        <is>
          <t>["same_event","same_team_same_day","same_league_same_day"]</t>
        </is>
      </c>
      <c r="BJ26" s="25" t="n">
        <v>9.5</v>
      </c>
      <c r="BK26" s="26" t="n">
        <v>115</v>
      </c>
      <c r="BL26" s="27" t="n">
        <v>2.15</v>
      </c>
      <c r="BM26" s="28" t="n">
        <v>0.465116</v>
      </c>
      <c r="BN26" s="28" t="n">
        <v>0.462687</v>
      </c>
      <c r="BO26" s="28" t="n"/>
      <c r="BP26" s="25" t="n"/>
      <c r="BQ26" s="27" t="n">
        <v>2.15</v>
      </c>
      <c r="BR26" s="28" t="n">
        <v>0.465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ef65643269874e11</t>
        </is>
      </c>
      <c r="B27" s="24" t="inlineStr">
        <is>
          <t>2026-07-30T21:07:52.668171Z</t>
        </is>
      </c>
      <c r="C27" s="24" t="inlineStr">
        <is>
          <t>2026-07-30T23:10Z</t>
        </is>
      </c>
      <c r="D27" s="24" t="inlineStr">
        <is>
          <t>401816322</t>
        </is>
      </c>
      <c r="E27" s="24" t="inlineStr">
        <is>
          <t>MLB</t>
        </is>
      </c>
      <c r="F27" s="24" t="inlineStr">
        <is>
          <t>Miami Marlins</t>
        </is>
      </c>
      <c r="G27" s="24" t="inlineStr">
        <is>
          <t>New York Mets</t>
        </is>
      </c>
      <c r="H27" s="24" t="inlineStr">
        <is>
          <t>total</t>
        </is>
      </c>
      <c r="I27" s="24" t="inlineStr">
        <is>
          <t>over</t>
        </is>
      </c>
      <c r="J27" s="25" t="n">
        <v>7.5</v>
      </c>
      <c r="K27" s="24" t="inlineStr">
        <is>
          <t>polymarket_us</t>
        </is>
      </c>
      <c r="L27" s="26" t="n">
        <v>122</v>
      </c>
      <c r="M27" s="27" t="n">
        <v>2.22</v>
      </c>
      <c r="N27" s="28" t="n">
        <v>0.45045</v>
      </c>
      <c r="O27" s="28" t="n">
        <v>0.518212</v>
      </c>
      <c r="P27" s="28" t="n">
        <v>0.042131</v>
      </c>
      <c r="Q27" s="28" t="n">
        <v>0.067762</v>
      </c>
      <c r="R27" s="26" t="n">
        <v>59</v>
      </c>
      <c r="S27" s="29" t="n">
        <v>1</v>
      </c>
      <c r="T27" s="24" t="inlineStr">
        <is>
          <t>measured-edge-totals-v1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4</v>
      </c>
      <c r="Y27" s="25" t="n">
        <v>7.5</v>
      </c>
      <c r="Z27" s="26" t="n">
        <v>122</v>
      </c>
      <c r="AA27" s="28" t="n">
        <v>0.45</v>
      </c>
      <c r="AB27" s="28" t="n">
        <v>-0.00045</v>
      </c>
      <c r="AC27" s="30" t="n">
        <v>-1</v>
      </c>
      <c r="AD27" s="24" t="inlineStr">
        <is>
          <t>2026-07-31T04:29:21.519443Z</t>
        </is>
      </c>
      <c r="AE27" s="31" t="inlineStr">
        <is>
          <t>Measured Edge Totals: Trend Engine projected 4.06-4.34; raw selected-side p=0.5347, calibrated p=0.5182.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mlb-mia</t>
        </is>
      </c>
      <c r="AQ27" s="24" t="inlineStr">
        <is>
          <t>Miami Marlins</t>
        </is>
      </c>
      <c r="AR27" s="24" t="inlineStr">
        <is>
          <t>Miami Marlins</t>
        </is>
      </c>
      <c r="AS27" s="24" t="inlineStr">
        <is>
          <t>mlb-nym</t>
        </is>
      </c>
      <c r="AT27" s="24" t="inlineStr">
        <is>
          <t>New York Mets</t>
        </is>
      </c>
      <c r="AU27" s="24" t="inlineStr">
        <is>
          <t>New York Mets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cbc2c9bf5a9569a49e1902c816d96556d704cf10819ca3a9e927721685757d0b</t>
        </is>
      </c>
      <c r="BB27" s="24" t="inlineStr">
        <is>
          <t>flat_probability_shrinkage_toward_half</t>
        </is>
      </c>
      <c r="BC27" s="24" t="inlineStr">
        <is>
          <t>measured-edge-totals-v1</t>
        </is>
      </c>
      <c r="BD27" s="24" t="inlineStr">
        <is>
          <t>cbc2c9bf5a9569a49e1902c816d96556d704cf10819ca3a9e927721685757d0b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2026-07-30T21:07:52.668171Z</t>
        </is>
      </c>
      <c r="BI27" s="24" t="inlineStr">
        <is>
          <t>["same_event","same_team_same_day","same_league_same_day"]</t>
        </is>
      </c>
      <c r="BJ27" s="25" t="n">
        <v>7.5</v>
      </c>
      <c r="BK27" s="26" t="n">
        <v>122</v>
      </c>
      <c r="BL27" s="27" t="n">
        <v>2.22</v>
      </c>
      <c r="BM27" s="28" t="n">
        <v>0.45045</v>
      </c>
      <c r="BN27" s="28" t="n">
        <v>0.447761</v>
      </c>
      <c r="BO27" s="28" t="n"/>
      <c r="BP27" s="25" t="n"/>
      <c r="BQ27" s="27" t="n">
        <v>2.22</v>
      </c>
      <c r="BR27" s="28" t="n">
        <v>0.45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2114d0bdf61c4db9</t>
        </is>
      </c>
      <c r="B28" s="24" t="inlineStr">
        <is>
          <t>2026-07-30T21:07:52.668171Z</t>
        </is>
      </c>
      <c r="C28" s="24" t="inlineStr">
        <is>
          <t>2026-07-30T23:10Z</t>
        </is>
      </c>
      <c r="D28" s="24" t="inlineStr">
        <is>
          <t>401816323</t>
        </is>
      </c>
      <c r="E28" s="24" t="inlineStr">
        <is>
          <t>MLB</t>
        </is>
      </c>
      <c r="F28" s="24" t="inlineStr">
        <is>
          <t>Pittsburgh Pirates</t>
        </is>
      </c>
      <c r="G28" s="24" t="inlineStr">
        <is>
          <t>Cincinnati Reds</t>
        </is>
      </c>
      <c r="H28" s="24" t="inlineStr">
        <is>
          <t>spread</t>
        </is>
      </c>
      <c r="I28" s="24" t="inlineStr">
        <is>
          <t>home</t>
        </is>
      </c>
      <c r="J28" s="25" t="n">
        <v>1.5</v>
      </c>
      <c r="K28" s="24" t="inlineStr">
        <is>
          <t>polymarket_us</t>
        </is>
      </c>
      <c r="L28" s="26" t="n">
        <v>-144</v>
      </c>
      <c r="M28" s="27" t="n">
        <v>1.694444</v>
      </c>
      <c r="N28" s="28" t="n">
        <v>0.590164</v>
      </c>
      <c r="O28" s="28" t="n">
        <v>0.547061</v>
      </c>
      <c r="P28" s="28" t="n">
        <v>0.042131</v>
      </c>
      <c r="Q28" s="28" t="n">
        <v>-0.043103</v>
      </c>
      <c r="R28" s="26" t="n">
        <v>3</v>
      </c>
      <c r="S28" s="29" t="n">
        <v>1</v>
      </c>
      <c r="T28" s="24" t="inlineStr">
        <is>
          <t>measured-edge-margin-v1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3</v>
      </c>
      <c r="Y28" s="25" t="n">
        <v>1.5</v>
      </c>
      <c r="Z28" s="26" t="n">
        <v>-144</v>
      </c>
      <c r="AA28" s="28" t="n">
        <v>0.59</v>
      </c>
      <c r="AB28" s="28" t="n">
        <v>-0.000164</v>
      </c>
      <c r="AC28" s="30" t="n">
        <v>0.6944</v>
      </c>
      <c r="AD28" s="24" t="inlineStr">
        <is>
          <t>2026-07-31T04:29:21.688701Z</t>
        </is>
      </c>
      <c r="AE28" s="31" t="inlineStr">
        <is>
          <t>Measured Edge Margin: Trend Engine projected 4.87-4.53; raw selected-side p=0.6283, calibrated p=0.5471.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mlb-pit</t>
        </is>
      </c>
      <c r="AQ28" s="24" t="inlineStr">
        <is>
          <t>Pittsburgh Pirates</t>
        </is>
      </c>
      <c r="AR28" s="24" t="inlineStr">
        <is>
          <t>Pittsburgh Pirates</t>
        </is>
      </c>
      <c r="AS28" s="24" t="inlineStr">
        <is>
          <t>mlb-cin</t>
        </is>
      </c>
      <c r="AT28" s="24" t="inlineStr">
        <is>
          <t>Cincinnati Reds</t>
        </is>
      </c>
      <c r="AU28" s="24" t="inlineStr">
        <is>
          <t>Cincinnati Reds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2bc2ce55b0d39a20103f724bbddbde5394909acd49297f52665b596a0ae3ae8b</t>
        </is>
      </c>
      <c r="BB28" s="24" t="inlineStr">
        <is>
          <t>flat_probability_shrinkage_toward_half</t>
        </is>
      </c>
      <c r="BC28" s="24" t="inlineStr">
        <is>
          <t>measured-edge-margin-v1</t>
        </is>
      </c>
      <c r="BD28" s="24" t="inlineStr">
        <is>
          <t>2bc2ce55b0d39a20103f724bbddbde5394909acd49297f52665b596a0ae3ae8b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2026-07-30T21:07:52.668171Z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-144</v>
      </c>
      <c r="BL28" s="27" t="n">
        <v>1.694444</v>
      </c>
      <c r="BM28" s="28" t="n">
        <v>0.590164</v>
      </c>
      <c r="BN28" s="28" t="n">
        <v>0.5870649999999999</v>
      </c>
      <c r="BO28" s="28" t="n"/>
      <c r="BP28" s="25" t="n"/>
      <c r="BQ28" s="27" t="n">
        <v>1.694444</v>
      </c>
      <c r="BR28" s="28" t="n">
        <v>0.59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4241eb09d71c4a6e</t>
        </is>
      </c>
      <c r="B29" s="24" t="inlineStr">
        <is>
          <t>2026-07-30T21:07:52.668171Z</t>
        </is>
      </c>
      <c r="C29" s="24" t="inlineStr">
        <is>
          <t>2026-07-30T23:10Z</t>
        </is>
      </c>
      <c r="D29" s="24" t="inlineStr">
        <is>
          <t>401816323</t>
        </is>
      </c>
      <c r="E29" s="24" t="inlineStr">
        <is>
          <t>MLB</t>
        </is>
      </c>
      <c r="F29" s="24" t="inlineStr">
        <is>
          <t>Pittsburgh Pirates</t>
        </is>
      </c>
      <c r="G29" s="24" t="inlineStr">
        <is>
          <t>Cincinnati Reds</t>
        </is>
      </c>
      <c r="H29" s="24" t="inlineStr">
        <is>
          <t>total</t>
        </is>
      </c>
      <c r="I29" s="24" t="inlineStr">
        <is>
          <t>under</t>
        </is>
      </c>
      <c r="J29" s="25" t="n">
        <v>9.5</v>
      </c>
      <c r="K29" s="24" t="inlineStr">
        <is>
          <t>polymarket_us</t>
        </is>
      </c>
      <c r="L29" s="26" t="n">
        <v>102</v>
      </c>
      <c r="M29" s="27" t="n">
        <v>2.02</v>
      </c>
      <c r="N29" s="28" t="n">
        <v>0.49505</v>
      </c>
      <c r="O29" s="28" t="n">
        <v>0.547364</v>
      </c>
      <c r="P29" s="28" t="n">
        <v>0.042131</v>
      </c>
      <c r="Q29" s="28" t="n">
        <v>0.052314</v>
      </c>
      <c r="R29" s="26" t="n">
        <v>51</v>
      </c>
      <c r="S29" s="29" t="n">
        <v>1</v>
      </c>
      <c r="T29" s="24" t="inlineStr">
        <is>
          <t>measured-edge-totals-v1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3</v>
      </c>
      <c r="Y29" s="25" t="n">
        <v>9.5</v>
      </c>
      <c r="Z29" s="26" t="n">
        <v>102</v>
      </c>
      <c r="AA29" s="28" t="n">
        <v>0.495</v>
      </c>
      <c r="AB29" s="28" t="n">
        <v>-5e-05</v>
      </c>
      <c r="AC29" s="30" t="n">
        <v>1.02</v>
      </c>
      <c r="AD29" s="24" t="inlineStr">
        <is>
          <t>2026-07-31T04:29:21.851838Z</t>
        </is>
      </c>
      <c r="AE29" s="31" t="inlineStr">
        <is>
          <t>Measured Edge Totals: Trend Engine projected 4.87-4.53; raw selected-side p=0.5647, calibrated p=0.5474.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mlb-pit</t>
        </is>
      </c>
      <c r="AQ29" s="24" t="inlineStr">
        <is>
          <t>Pittsburgh Pirates</t>
        </is>
      </c>
      <c r="AR29" s="24" t="inlineStr">
        <is>
          <t>Pittsburgh Pirates</t>
        </is>
      </c>
      <c r="AS29" s="24" t="inlineStr">
        <is>
          <t>mlb-cin</t>
        </is>
      </c>
      <c r="AT29" s="24" t="inlineStr">
        <is>
          <t>Cincinnati Reds</t>
        </is>
      </c>
      <c r="AU29" s="24" t="inlineStr">
        <is>
          <t>Cincinnati Reds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cbc2c9bf5a9569a49e1902c816d96556d704cf10819ca3a9e927721685757d0b</t>
        </is>
      </c>
      <c r="BB29" s="24" t="inlineStr">
        <is>
          <t>flat_probability_shrinkage_toward_half</t>
        </is>
      </c>
      <c r="BC29" s="24" t="inlineStr">
        <is>
          <t>measured-edge-totals-v1</t>
        </is>
      </c>
      <c r="BD29" s="24" t="inlineStr">
        <is>
          <t>cbc2c9bf5a9569a49e1902c816d96556d704cf10819ca3a9e927721685757d0b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2026-07-30T21:07:52.668171Z</t>
        </is>
      </c>
      <c r="BI29" s="24" t="inlineStr">
        <is>
          <t>["same_event","same_team_same_day","same_league_same_day"]</t>
        </is>
      </c>
      <c r="BJ29" s="25" t="n">
        <v>9.5</v>
      </c>
      <c r="BK29" s="26" t="n">
        <v>102</v>
      </c>
      <c r="BL29" s="27" t="n">
        <v>2.02</v>
      </c>
      <c r="BM29" s="28" t="n">
        <v>0.49505</v>
      </c>
      <c r="BN29" s="28" t="n">
        <v>0.492537</v>
      </c>
      <c r="BO29" s="28" t="n"/>
      <c r="BP29" s="25" t="n"/>
      <c r="BQ29" s="27" t="n">
        <v>2.02</v>
      </c>
      <c r="BR29" s="28" t="n">
        <v>0.495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9e1fb41afbf84561</t>
        </is>
      </c>
      <c r="B30" s="24" t="inlineStr">
        <is>
          <t>2026-07-31T00:56:17.350684Z</t>
        </is>
      </c>
      <c r="C30" s="24" t="inlineStr">
        <is>
          <t>2026-07-30T21:40:00-0400</t>
        </is>
      </c>
      <c r="D30" s="24" t="inlineStr">
        <is>
          <t>401816329</t>
        </is>
      </c>
      <c r="E30" s="24" t="inlineStr">
        <is>
          <t>MLB</t>
        </is>
      </c>
      <c r="F30" s="24" t="inlineStr">
        <is>
          <t>Boston Red Sox</t>
        </is>
      </c>
      <c r="G30" s="24" t="inlineStr">
        <is>
          <t>Athletics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0.598658</v>
      </c>
      <c r="P30" s="28" t="n"/>
      <c r="Q30" s="28" t="n">
        <v>-0.04163</v>
      </c>
      <c r="R30" s="26" t="n">
        <v>1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5</v>
      </c>
      <c r="X30" s="26" t="n">
        <v>4</v>
      </c>
      <c r="Y30" s="25" t="n"/>
      <c r="Z30" s="26" t="n">
        <v>-178</v>
      </c>
      <c r="AA30" s="28" t="n">
        <v>0.64</v>
      </c>
      <c r="AB30" s="28" t="n">
        <v>-0.000288</v>
      </c>
      <c r="AC30" s="30" t="n">
        <v>0.8427</v>
      </c>
      <c r="AD30" s="24" t="inlineStr">
        <is>
          <t>2026-07-31T04:29:22.023782Z</t>
        </is>
      </c>
      <c r="AE30" s="31" t="inlineStr">
        <is>
          <t>Learned LR call at threshold 0.6242; executable ask 0.6400 (aec-mlb-bos-ath-2026-07-30); model edge vs ask -0.0413.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mlb-bos</t>
        </is>
      </c>
      <c r="AQ30" s="24" t="inlineStr">
        <is>
          <t>Boston Red Sox</t>
        </is>
      </c>
      <c r="AR30" s="24" t="inlineStr">
        <is>
          <t>Boston Red Sox</t>
        </is>
      </c>
      <c r="AS30" s="24" t="inlineStr">
        <is>
          <t>mlb-ath</t>
        </is>
      </c>
      <c r="AT30" s="24" t="inlineStr">
        <is>
          <t>Athletics</t>
        </is>
      </c>
      <c r="AU30" s="24" t="inlineStr">
        <is>
          <t>Athletics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3f3c29dbbe5296b9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2026-07-31T00:56:01.505308Z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>
        <v>0.636816</v>
      </c>
      <c r="BO30" s="28" t="n"/>
      <c r="BP30" s="25" t="n"/>
      <c r="BQ30" s="27" t="n">
        <v>1.561798</v>
      </c>
      <c r="BR30" s="28" t="n">
        <v>0.64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0.3783729617</t>
        </is>
      </c>
      <c r="CD30" s="24" t="inlineStr">
        <is>
          <t>-0.254128</t>
        </is>
      </c>
      <c r="CE30" s="24" t="inlineStr">
        <is>
          <t>1.153</t>
        </is>
      </c>
      <c r="CF30" s="24" t="inlineStr">
        <is>
          <t>1</t>
        </is>
      </c>
      <c r="CG30" s="24" t="inlineStr">
        <is>
          <t>1.8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826fb2a467984162</t>
        </is>
      </c>
      <c r="B31" s="24" t="inlineStr">
        <is>
          <t>2026-07-31T00:56:17.350684Z</t>
        </is>
      </c>
      <c r="C31" s="24" t="inlineStr">
        <is>
          <t>2026-07-30T22:00:00-0400</t>
        </is>
      </c>
      <c r="D31" s="24" t="inlineStr">
        <is>
          <t>401857101</t>
        </is>
      </c>
      <c r="E31" s="24" t="inlineStr">
        <is>
          <t>WNBA</t>
        </is>
      </c>
      <c r="F31" s="24" t="inlineStr">
        <is>
          <t>New York Liberty</t>
        </is>
      </c>
      <c r="G31" s="24" t="inlineStr">
        <is>
          <t>Las Vegas Aces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-178</v>
      </c>
      <c r="M31" s="27" t="n">
        <v>1.561798</v>
      </c>
      <c r="N31" s="28" t="n">
        <v>0.640288</v>
      </c>
      <c r="O31" s="28" t="n">
        <v>0.615328</v>
      </c>
      <c r="P31" s="28" t="n"/>
      <c r="Q31" s="28" t="n">
        <v>-0.02496</v>
      </c>
      <c r="R31" s="26" t="n">
        <v>11</v>
      </c>
      <c r="S31" s="29" t="n">
        <v>1.75</v>
      </c>
      <c r="T31" s="24" t="inlineStr">
        <is>
          <t>wnba-elo-trend-lr-v4</t>
        </is>
      </c>
      <c r="U31" s="24" t="inlineStr">
        <is>
          <t>settled</t>
        </is>
      </c>
      <c r="V31" s="24" t="inlineStr">
        <is>
          <t>win</t>
        </is>
      </c>
      <c r="W31" s="26" t="n">
        <v>99</v>
      </c>
      <c r="X31" s="26" t="n">
        <v>104</v>
      </c>
      <c r="Y31" s="25" t="n"/>
      <c r="Z31" s="26" t="n"/>
      <c r="AA31" s="28" t="n"/>
      <c r="AB31" s="28" t="n"/>
      <c r="AC31" s="30" t="n">
        <v>0.9831</v>
      </c>
      <c r="AD31" s="24" t="inlineStr">
        <is>
          <t>2026-07-31T04:29:22.183741Z</t>
        </is>
      </c>
      <c r="AE31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wnba-nyl</t>
        </is>
      </c>
      <c r="AQ31" s="24" t="inlineStr">
        <is>
          <t>New York Liberty</t>
        </is>
      </c>
      <c r="AR31" s="24" t="inlineStr">
        <is>
          <t>New York Liberty</t>
        </is>
      </c>
      <c r="AS31" s="24" t="inlineStr">
        <is>
          <t>wnba-lva</t>
        </is>
      </c>
      <c r="AT31" s="24" t="inlineStr">
        <is>
          <t>Las Vegas Aces</t>
        </is>
      </c>
      <c r="AU31" s="24" t="inlineStr">
        <is>
          <t>Las Vegas Aces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7afd5274214b58b7efd7f7febc7be3ab33b92351cda5cc6403c0a39faea0cc8c</t>
        </is>
      </c>
      <c r="BB31" s="24" t="inlineStr">
        <is>
          <t>learned_lr</t>
        </is>
      </c>
      <c r="BC31" s="24" t="inlineStr">
        <is>
          <t>wnba-elo-trend-lr-v4</t>
        </is>
      </c>
      <c r="BD31" s="24" t="inlineStr">
        <is>
          <t>7afd5274214b58b7efd7f7febc7be3ab33b92351cda5cc6403c0a39faea0cc8c</t>
        </is>
      </c>
      <c r="BE31" s="24" t="inlineStr">
        <is>
          <t>181554924d3d25f6</t>
        </is>
      </c>
      <c r="BF31" s="24" t="inlineStr">
        <is>
          <t>1</t>
        </is>
      </c>
      <c r="BG31" s="24" t="inlineStr">
        <is>
          <t>wnba-elo-trend-lr-v4</t>
        </is>
      </c>
      <c r="BH31" s="24" t="inlineStr">
        <is>
          <t>2026-07-31T00:56:07.048062Z</t>
        </is>
      </c>
      <c r="BI31" s="24" t="inlineStr">
        <is>
          <t>["same_event","same_team_same_day","same_league_same_day"]</t>
        </is>
      </c>
      <c r="BJ31" s="25" t="n"/>
      <c r="BK31" s="26" t="n">
        <v>-178</v>
      </c>
      <c r="BL31" s="27" t="n">
        <v>1.561798</v>
      </c>
      <c r="BM31" s="28" t="n">
        <v>0.640288</v>
      </c>
      <c r="BN31" s="28" t="n">
        <v>0.633663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0.6511069872</t>
        </is>
      </c>
      <c r="CD31" s="24" t="inlineStr">
        <is>
          <t>-4.276653</t>
        </is>
      </c>
      <c r="CE31" s="24" t="n"/>
      <c r="CF31" s="24" t="n"/>
      <c r="CG31" s="24" t="n"/>
      <c r="CH31" s="24" t="n"/>
      <c r="CI31" s="24" t="inlineStr">
        <is>
          <t>wnba_availability_source_conflict</t>
        </is>
      </c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67f0c9a835204f15</t>
        </is>
      </c>
      <c r="B32" s="24" t="inlineStr">
        <is>
          <t>2026-07-31T00:56:17.350684Z</t>
        </is>
      </c>
      <c r="C32" s="24" t="inlineStr">
        <is>
          <t>2026-07-30T21:40:00-0400</t>
        </is>
      </c>
      <c r="D32" s="24" t="inlineStr">
        <is>
          <t>401816331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-153</v>
      </c>
      <c r="M32" s="27" t="n">
        <v>1.653595</v>
      </c>
      <c r="N32" s="28" t="n">
        <v>0.604743</v>
      </c>
      <c r="O32" s="28" t="n">
        <v>0.594482</v>
      </c>
      <c r="P32" s="28" t="n"/>
      <c r="Q32" s="28" t="n">
        <v>-0.010261</v>
      </c>
      <c r="R32" s="26" t="n">
        <v>16</v>
      </c>
      <c r="S32" s="29" t="n">
        <v>1.5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loss</t>
        </is>
      </c>
      <c r="W32" s="26" t="n">
        <v>4</v>
      </c>
      <c r="X32" s="26" t="n">
        <v>1</v>
      </c>
      <c r="Y32" s="25" t="n"/>
      <c r="Z32" s="26" t="n">
        <v>-153</v>
      </c>
      <c r="AA32" s="28" t="n">
        <v>0.605</v>
      </c>
      <c r="AB32" s="28" t="n">
        <v>0.000257</v>
      </c>
      <c r="AC32" s="30" t="n">
        <v>-1.5</v>
      </c>
      <c r="AD32" s="24" t="inlineStr">
        <is>
          <t>2026-07-31T06:33:21.231210Z</t>
        </is>
      </c>
      <c r="AE32" s="31" t="inlineStr">
        <is>
          <t>Learned LR call at threshold 0.6242; executable ask 0.6050 (aec-mlb-sf-sd-2026-07-30); model edge vs ask -0.0105.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cd99d61acebf3df3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2026-07-31T00:56:02.562469Z</t>
        </is>
      </c>
      <c r="BI32" s="24" t="inlineStr">
        <is>
          <t>["same_event","same_team_same_day","same_league_same_day"]</t>
        </is>
      </c>
      <c r="BJ32" s="25" t="n"/>
      <c r="BK32" s="26" t="n">
        <v>-153</v>
      </c>
      <c r="BL32" s="27" t="n">
        <v>1.653595</v>
      </c>
      <c r="BM32" s="28" t="n">
        <v>0.604743</v>
      </c>
      <c r="BN32" s="28" t="n">
        <v>0.60199</v>
      </c>
      <c r="BO32" s="28" t="n"/>
      <c r="BP32" s="25" t="n"/>
      <c r="BQ32" s="27" t="n">
        <v>1.653595</v>
      </c>
      <c r="BR32" s="28" t="n">
        <v>0.605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-1.602098</t>
        </is>
      </c>
      <c r="CE32" s="24" t="inlineStr">
        <is>
          <t>0.945</t>
        </is>
      </c>
      <c r="CF32" s="24" t="inlineStr">
        <is>
          <t>1.0064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c631ace0cda342d0</t>
        </is>
      </c>
      <c r="B33" s="24" t="inlineStr">
        <is>
          <t>2026-07-31T00:56:17.350684Z</t>
        </is>
      </c>
      <c r="C33" s="24" t="inlineStr">
        <is>
          <t>2026-07-30T22:10:00-0400</t>
        </is>
      </c>
      <c r="D33" s="24" t="inlineStr">
        <is>
          <t>401816330</t>
        </is>
      </c>
      <c r="E33" s="24" t="inlineStr">
        <is>
          <t>MLB</t>
        </is>
      </c>
      <c r="F33" s="24" t="inlineStr">
        <is>
          <t>Seattle Mariners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-141</v>
      </c>
      <c r="M33" s="27" t="n">
        <v>1.70922</v>
      </c>
      <c r="N33" s="28" t="n">
        <v>0.585062</v>
      </c>
      <c r="O33" s="28" t="n">
        <v>0.594031</v>
      </c>
      <c r="P33" s="28" t="n"/>
      <c r="Q33" s="28" t="n">
        <v>0.008969</v>
      </c>
      <c r="R33" s="26" t="n">
        <v>26</v>
      </c>
      <c r="S33" s="29" t="n">
        <v>1.5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win</t>
        </is>
      </c>
      <c r="W33" s="26" t="n">
        <v>2</v>
      </c>
      <c r="X33" s="26" t="n">
        <v>6</v>
      </c>
      <c r="Y33" s="25" t="n"/>
      <c r="Z33" s="26" t="n">
        <v>-141</v>
      </c>
      <c r="AA33" s="28" t="n">
        <v>0.585</v>
      </c>
      <c r="AB33" s="28" t="n">
        <v>-6.2e-05</v>
      </c>
      <c r="AC33" s="30" t="n">
        <v>1.0638</v>
      </c>
      <c r="AD33" s="24" t="inlineStr">
        <is>
          <t>2026-07-31T06:33:21.732369Z</t>
        </is>
      </c>
      <c r="AE33" s="31" t="inlineStr">
        <is>
          <t>Learned LR call at threshold 0.6242; executable ask 0.5850 (aec-mlb-sea-lad-2026-07-30); model edge vs ask +0.0090.</t>
        </is>
      </c>
      <c r="AF33" s="31" t="inlineStr">
        <is>
          <t>Learned model; shadow-qualified via operator override.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mlb-sea</t>
        </is>
      </c>
      <c r="AQ33" s="24" t="inlineStr">
        <is>
          <t>Seattle Mariners</t>
        </is>
      </c>
      <c r="AR33" s="24" t="inlineStr">
        <is>
          <t>Seattle Mariners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50a6605683799b36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2026-07-31T00:56:03.538198Z</t>
        </is>
      </c>
      <c r="BI33" s="24" t="inlineStr">
        <is>
          <t>["same_event","same_team_same_day","same_league_same_day"]</t>
        </is>
      </c>
      <c r="BJ33" s="25" t="n"/>
      <c r="BK33" s="26" t="n">
        <v>-141</v>
      </c>
      <c r="BL33" s="27" t="n">
        <v>1.70922</v>
      </c>
      <c r="BM33" s="28" t="n">
        <v>0.585062</v>
      </c>
      <c r="BN33" s="28" t="n">
        <v>0.58209</v>
      </c>
      <c r="BO33" s="28" t="n"/>
      <c r="BP33" s="25" t="n"/>
      <c r="BQ33" s="27" t="n">
        <v>1.70922</v>
      </c>
      <c r="BR33" s="28" t="n">
        <v>0.585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0.6206920571</t>
        </is>
      </c>
      <c r="CD33" s="24" t="inlineStr">
        <is>
          <t>-0.391563</t>
        </is>
      </c>
      <c r="CE33" s="24" t="inlineStr">
        <is>
          <t>1.026</t>
        </is>
      </c>
      <c r="CF33" s="24" t="inlineStr">
        <is>
          <t>1.0117</t>
        </is>
      </c>
      <c r="CG33" s="24" t="inlineStr">
        <is>
          <t>-0.4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a5fbd3179ba34a33</t>
        </is>
      </c>
      <c r="B34" s="24" t="inlineStr">
        <is>
          <t>2026-07-31T00:56:25.957709Z</t>
        </is>
      </c>
      <c r="C34" s="24" t="inlineStr">
        <is>
          <t>2026-07-31T01:40Z</t>
        </is>
      </c>
      <c r="D34" s="24" t="inlineStr">
        <is>
          <t>401816329</t>
        </is>
      </c>
      <c r="E34" s="24" t="inlineStr">
        <is>
          <t>MLB</t>
        </is>
      </c>
      <c r="F34" s="24" t="inlineStr">
        <is>
          <t>Boston Red Sox</t>
        </is>
      </c>
      <c r="G34" s="24" t="inlineStr">
        <is>
          <t>Athletics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111</v>
      </c>
      <c r="M34" s="27" t="n">
        <v>2.11</v>
      </c>
      <c r="N34" s="28" t="n">
        <v>0.473934</v>
      </c>
      <c r="O34" s="28" t="n">
        <v>0.544516</v>
      </c>
      <c r="P34" s="28" t="n">
        <v>0.042131</v>
      </c>
      <c r="Q34" s="28" t="n">
        <v>0.07058200000000001</v>
      </c>
      <c r="R34" s="26" t="n">
        <v>60</v>
      </c>
      <c r="S34" s="29" t="n">
        <v>1</v>
      </c>
      <c r="T34" s="24" t="inlineStr">
        <is>
          <t>measured-edge-margin-v1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4</v>
      </c>
      <c r="Y34" s="25" t="n">
        <v>1.5</v>
      </c>
      <c r="Z34" s="26" t="n">
        <v>111</v>
      </c>
      <c r="AA34" s="28" t="n">
        <v>0.475</v>
      </c>
      <c r="AB34" s="28" t="n">
        <v>0.001066</v>
      </c>
      <c r="AC34" s="30" t="n">
        <v>1.11</v>
      </c>
      <c r="AD34" s="24" t="inlineStr">
        <is>
          <t>2026-07-31T04:29:22.344945Z</t>
        </is>
      </c>
      <c r="AE34" s="31" t="inlineStr">
        <is>
          <t>Measured Edge Margin: Trend Engine projected 5.03-4.48; raw selected-side p=0.6153, calibrated p=0.5445.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mlb-bos</t>
        </is>
      </c>
      <c r="AQ34" s="24" t="inlineStr">
        <is>
          <t>Boston Red Sox</t>
        </is>
      </c>
      <c r="AR34" s="24" t="inlineStr">
        <is>
          <t>Boston Red Sox</t>
        </is>
      </c>
      <c r="AS34" s="24" t="inlineStr">
        <is>
          <t>mlb-ath</t>
        </is>
      </c>
      <c r="AT34" s="24" t="inlineStr">
        <is>
          <t>Athletics</t>
        </is>
      </c>
      <c r="AU34" s="24" t="inlineStr">
        <is>
          <t>Athletics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2bc2ce55b0d39a20103f724bbddbde5394909acd49297f52665b596a0ae3ae8b</t>
        </is>
      </c>
      <c r="BB34" s="24" t="inlineStr">
        <is>
          <t>flat_probability_shrinkage_toward_half</t>
        </is>
      </c>
      <c r="BC34" s="24" t="inlineStr">
        <is>
          <t>measured-edge-margin-v1</t>
        </is>
      </c>
      <c r="BD34" s="24" t="inlineStr">
        <is>
          <t>2bc2ce55b0d39a20103f724bbddbde5394909acd49297f52665b596a0ae3ae8b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2026-07-31T00:56:25.957709Z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111</v>
      </c>
      <c r="BL34" s="27" t="n">
        <v>2.11</v>
      </c>
      <c r="BM34" s="28" t="n">
        <v>0.473934</v>
      </c>
      <c r="BN34" s="28" t="n">
        <v>0.472637</v>
      </c>
      <c r="BO34" s="28" t="n"/>
      <c r="BP34" s="25" t="n"/>
      <c r="BQ34" s="27" t="n">
        <v>2.11</v>
      </c>
      <c r="BR34" s="28" t="n">
        <v>0.475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82aab00108c54ea7</t>
        </is>
      </c>
      <c r="B35" s="24" t="inlineStr">
        <is>
          <t>2026-07-31T00:56:25.957709Z</t>
        </is>
      </c>
      <c r="C35" s="24" t="inlineStr">
        <is>
          <t>2026-07-31T01:40Z</t>
        </is>
      </c>
      <c r="D35" s="24" t="inlineStr">
        <is>
          <t>401816329</t>
        </is>
      </c>
      <c r="E35" s="24" t="inlineStr">
        <is>
          <t>MLB</t>
        </is>
      </c>
      <c r="F35" s="24" t="inlineStr">
        <is>
          <t>Boston Red Sox</t>
        </is>
      </c>
      <c r="G35" s="24" t="inlineStr">
        <is>
          <t>Athletics</t>
        </is>
      </c>
      <c r="H35" s="24" t="inlineStr">
        <is>
          <t>total</t>
        </is>
      </c>
      <c r="I35" s="24" t="inlineStr">
        <is>
          <t>under</t>
        </is>
      </c>
      <c r="J35" s="25" t="n">
        <v>9.5</v>
      </c>
      <c r="K35" s="24" t="inlineStr">
        <is>
          <t>polymarket_us</t>
        </is>
      </c>
      <c r="L35" s="26" t="n">
        <v>115</v>
      </c>
      <c r="M35" s="27" t="n">
        <v>2.15</v>
      </c>
      <c r="N35" s="28" t="n">
        <v>0.465116</v>
      </c>
      <c r="O35" s="28" t="n">
        <v>0.5364989999999999</v>
      </c>
      <c r="P35" s="28" t="n">
        <v>0.042131</v>
      </c>
      <c r="Q35" s="28" t="n">
        <v>0.071383</v>
      </c>
      <c r="R35" s="26" t="n">
        <v>60</v>
      </c>
      <c r="S35" s="29" t="n">
        <v>1</v>
      </c>
      <c r="T35" s="24" t="inlineStr">
        <is>
          <t>measured-edge-totals-v1</t>
        </is>
      </c>
      <c r="U35" s="24" t="inlineStr">
        <is>
          <t>settled</t>
        </is>
      </c>
      <c r="V35" s="24" t="inlineStr">
        <is>
          <t>win</t>
        </is>
      </c>
      <c r="W35" s="26" t="n">
        <v>5</v>
      </c>
      <c r="X35" s="26" t="n">
        <v>4</v>
      </c>
      <c r="Y35" s="25" t="n">
        <v>9.5</v>
      </c>
      <c r="Z35" s="26" t="n">
        <v>115</v>
      </c>
      <c r="AA35" s="28" t="n">
        <v>0.465</v>
      </c>
      <c r="AB35" s="28" t="n">
        <v>-0.000116</v>
      </c>
      <c r="AC35" s="30" t="n">
        <v>1.15</v>
      </c>
      <c r="AD35" s="24" t="inlineStr">
        <is>
          <t>2026-07-31T04:29:22.516921Z</t>
        </is>
      </c>
      <c r="AE35" s="31" t="inlineStr">
        <is>
          <t>Measured Edge Totals: Trend Engine projected 5.03-4.48; raw selected-side p=0.5535, calibrated p=0.5365.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mlb-bos</t>
        </is>
      </c>
      <c r="AQ35" s="24" t="inlineStr">
        <is>
          <t>Boston Red Sox</t>
        </is>
      </c>
      <c r="AR35" s="24" t="inlineStr">
        <is>
          <t>Boston Red Sox</t>
        </is>
      </c>
      <c r="AS35" s="24" t="inlineStr">
        <is>
          <t>mlb-ath</t>
        </is>
      </c>
      <c r="AT35" s="24" t="inlineStr">
        <is>
          <t>Athletics</t>
        </is>
      </c>
      <c r="AU35" s="24" t="inlineStr">
        <is>
          <t>Athletics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cbc2c9bf5a9569a49e1902c816d96556d704cf10819ca3a9e927721685757d0b</t>
        </is>
      </c>
      <c r="BB35" s="24" t="inlineStr">
        <is>
          <t>flat_probability_shrinkage_toward_half</t>
        </is>
      </c>
      <c r="BC35" s="24" t="inlineStr">
        <is>
          <t>measured-edge-totals-v1</t>
        </is>
      </c>
      <c r="BD35" s="24" t="inlineStr">
        <is>
          <t>cbc2c9bf5a9569a49e1902c816d96556d704cf10819ca3a9e927721685757d0b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2026-07-31T00:56:25.957709Z</t>
        </is>
      </c>
      <c r="BI35" s="24" t="inlineStr">
        <is>
          <t>["same_event","same_team_same_day","same_league_same_day"]</t>
        </is>
      </c>
      <c r="BJ35" s="25" t="n">
        <v>9.5</v>
      </c>
      <c r="BK35" s="26" t="n">
        <v>115</v>
      </c>
      <c r="BL35" s="27" t="n">
        <v>2.15</v>
      </c>
      <c r="BM35" s="28" t="n">
        <v>0.465116</v>
      </c>
      <c r="BN35" s="28" t="n">
        <v>0.462687</v>
      </c>
      <c r="BO35" s="28" t="n"/>
      <c r="BP35" s="25" t="n"/>
      <c r="BQ35" s="27" t="n">
        <v>2.15</v>
      </c>
      <c r="BR35" s="28" t="n">
        <v>0.465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8474b3479ec146e5</t>
        </is>
      </c>
      <c r="B36" s="24" t="inlineStr">
        <is>
          <t>2026-07-31T00:56:25.957709Z</t>
        </is>
      </c>
      <c r="C36" s="24" t="inlineStr">
        <is>
          <t>2026-07-31T01:40Z</t>
        </is>
      </c>
      <c r="D36" s="24" t="inlineStr">
        <is>
          <t>401816331</t>
        </is>
      </c>
      <c r="E36" s="24" t="inlineStr">
        <is>
          <t>MLB</t>
        </is>
      </c>
      <c r="F36" s="24" t="inlineStr">
        <is>
          <t>San Francisco Giants</t>
        </is>
      </c>
      <c r="G36" s="24" t="inlineStr">
        <is>
          <t>San Diego Padres</t>
        </is>
      </c>
      <c r="H36" s="24" t="inlineStr">
        <is>
          <t>spread</t>
        </is>
      </c>
      <c r="I36" s="24" t="inlineStr">
        <is>
          <t>away</t>
        </is>
      </c>
      <c r="J36" s="25" t="n">
        <v>1.5</v>
      </c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0.5591159999999999</v>
      </c>
      <c r="P36" s="28" t="n">
        <v>0.05172</v>
      </c>
      <c r="Q36" s="28" t="n">
        <v>-0.020716</v>
      </c>
      <c r="R36" s="26" t="n">
        <v>9</v>
      </c>
      <c r="S36" s="29" t="n">
        <v>1</v>
      </c>
      <c r="T36" s="24" t="inlineStr">
        <is>
          <t>measured-edge-margin-v1</t>
        </is>
      </c>
      <c r="U36" s="24" t="inlineStr">
        <is>
          <t>settled</t>
        </is>
      </c>
      <c r="V36" s="24" t="inlineStr">
        <is>
          <t>win</t>
        </is>
      </c>
      <c r="W36" s="26" t="n">
        <v>4</v>
      </c>
      <c r="X36" s="26" t="n">
        <v>1</v>
      </c>
      <c r="Y36" s="25" t="n">
        <v>1.5</v>
      </c>
      <c r="Z36" s="26" t="n">
        <v>-138</v>
      </c>
      <c r="AA36" s="28" t="n">
        <v>0.58</v>
      </c>
      <c r="AB36" s="28" t="n">
        <v>0.000168</v>
      </c>
      <c r="AC36" s="30" t="n">
        <v>0.7246</v>
      </c>
      <c r="AD36" s="24" t="inlineStr">
        <is>
          <t>2026-07-31T06:33:22.232327Z</t>
        </is>
      </c>
      <c r="AE36" s="31" t="inlineStr">
        <is>
          <t>Measured Edge Margin: Trend Engine projected 4.48-4.27; raw selected-side p=0.6896, calibrated p=0.5591.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mlb-sf</t>
        </is>
      </c>
      <c r="AQ36" s="24" t="inlineStr">
        <is>
          <t>San Francisco Giants</t>
        </is>
      </c>
      <c r="AR36" s="24" t="inlineStr">
        <is>
          <t>San Francisco Giants</t>
        </is>
      </c>
      <c r="AS36" s="24" t="inlineStr">
        <is>
          <t>mlb-sd</t>
        </is>
      </c>
      <c r="AT36" s="24" t="inlineStr">
        <is>
          <t>San Diego Padres</t>
        </is>
      </c>
      <c r="AU36" s="24" t="inlineStr">
        <is>
          <t>San Diego Padres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2bc2ce55b0d39a20103f724bbddbde5394909acd49297f52665b596a0ae3ae8b</t>
        </is>
      </c>
      <c r="BB36" s="24" t="inlineStr">
        <is>
          <t>flat_probability_shrinkage_toward_half</t>
        </is>
      </c>
      <c r="BC36" s="24" t="inlineStr">
        <is>
          <t>measured-edge-margin-v1</t>
        </is>
      </c>
      <c r="BD36" s="24" t="inlineStr">
        <is>
          <t>2bc2ce55b0d39a20103f724bbddbde5394909acd49297f52665b596a0ae3ae8b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2026-07-31T00:56:25.957709Z</t>
        </is>
      </c>
      <c r="BI36" s="24" t="inlineStr">
        <is>
          <t>["same_event","same_team_same_day","same_league_same_day"]</t>
        </is>
      </c>
      <c r="BJ36" s="25" t="n">
        <v>1.5</v>
      </c>
      <c r="BK36" s="26" t="n">
        <v>-138</v>
      </c>
      <c r="BL36" s="27" t="n">
        <v>1.724638</v>
      </c>
      <c r="BM36" s="28" t="n">
        <v>0.579832</v>
      </c>
      <c r="BN36" s="28" t="n">
        <v>0.577114</v>
      </c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c8e5eb08284e45ba</t>
        </is>
      </c>
      <c r="B37" s="24" t="inlineStr">
        <is>
          <t>2026-07-31T00:56:25.957709Z</t>
        </is>
      </c>
      <c r="C37" s="24" t="inlineStr">
        <is>
          <t>2026-07-31T02:10Z</t>
        </is>
      </c>
      <c r="D37" s="24" t="inlineStr">
        <is>
          <t>401816330</t>
        </is>
      </c>
      <c r="E37" s="24" t="inlineStr">
        <is>
          <t>MLB</t>
        </is>
      </c>
      <c r="F37" s="24" t="inlineStr">
        <is>
          <t>Seattle Mariners</t>
        </is>
      </c>
      <c r="G37" s="24" t="inlineStr">
        <is>
          <t>Los Angeles Dodgers</t>
        </is>
      </c>
      <c r="H37" s="24" t="inlineStr">
        <is>
          <t>spread</t>
        </is>
      </c>
      <c r="I37" s="24" t="inlineStr">
        <is>
          <t>away</t>
        </is>
      </c>
      <c r="J37" s="25" t="n">
        <v>1.5</v>
      </c>
      <c r="K37" s="24" t="inlineStr">
        <is>
          <t>polymarket_us</t>
        </is>
      </c>
      <c r="L37" s="26" t="n">
        <v>-141</v>
      </c>
      <c r="M37" s="27" t="n">
        <v>1.70922</v>
      </c>
      <c r="N37" s="28" t="n">
        <v>0.585062</v>
      </c>
      <c r="O37" s="28" t="n">
        <v>0.548584</v>
      </c>
      <c r="P37" s="28" t="n">
        <v>0.042131</v>
      </c>
      <c r="Q37" s="28" t="n">
        <v>-0.036478</v>
      </c>
      <c r="R37" s="26" t="n">
        <v>6</v>
      </c>
      <c r="S37" s="29" t="n">
        <v>1</v>
      </c>
      <c r="T37" s="24" t="inlineStr">
        <is>
          <t>measured-edge-margin-v1</t>
        </is>
      </c>
      <c r="U37" s="24" t="inlineStr">
        <is>
          <t>settled</t>
        </is>
      </c>
      <c r="V37" s="24" t="inlineStr">
        <is>
          <t>loss</t>
        </is>
      </c>
      <c r="W37" s="26" t="n">
        <v>2</v>
      </c>
      <c r="X37" s="26" t="n">
        <v>6</v>
      </c>
      <c r="Y37" s="25" t="n">
        <v>1.5</v>
      </c>
      <c r="Z37" s="26" t="n">
        <v>-141</v>
      </c>
      <c r="AA37" s="28" t="n">
        <v>0.585</v>
      </c>
      <c r="AB37" s="28" t="n">
        <v>-6.2e-05</v>
      </c>
      <c r="AC37" s="30" t="n">
        <v>-1</v>
      </c>
      <c r="AD37" s="24" t="inlineStr">
        <is>
          <t>2026-07-31T06:33:23.239586Z</t>
        </is>
      </c>
      <c r="AE37" s="31" t="inlineStr">
        <is>
          <t>Measured Edge Margin: Trend Engine projected 4.65-4.92; raw selected-side p=0.6361, calibrated p=0.5486.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mlb-sea</t>
        </is>
      </c>
      <c r="AQ37" s="24" t="inlineStr">
        <is>
          <t>Seattle Mariners</t>
        </is>
      </c>
      <c r="AR37" s="24" t="inlineStr">
        <is>
          <t>Seattle Mariners</t>
        </is>
      </c>
      <c r="AS37" s="24" t="inlineStr">
        <is>
          <t>mlb-lad</t>
        </is>
      </c>
      <c r="AT37" s="24" t="inlineStr">
        <is>
          <t>Los Angeles Dodgers</t>
        </is>
      </c>
      <c r="AU37" s="24" t="inlineStr">
        <is>
          <t>Los Angeles Dodgers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2bc2ce55b0d39a20103f724bbddbde5394909acd49297f52665b596a0ae3ae8b</t>
        </is>
      </c>
      <c r="BB37" s="24" t="inlineStr">
        <is>
          <t>flat_probability_shrinkage_toward_half</t>
        </is>
      </c>
      <c r="BC37" s="24" t="inlineStr">
        <is>
          <t>measured-edge-margin-v1</t>
        </is>
      </c>
      <c r="BD37" s="24" t="inlineStr">
        <is>
          <t>2bc2ce55b0d39a20103f724bbddbde5394909acd49297f52665b596a0ae3ae8b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2026-07-31T00:56:25.957709Z</t>
        </is>
      </c>
      <c r="BI37" s="24" t="inlineStr">
        <is>
          <t>["same_event","same_team_same_day","same_league_same_day"]</t>
        </is>
      </c>
      <c r="BJ37" s="25" t="n">
        <v>1.5</v>
      </c>
      <c r="BK37" s="26" t="n">
        <v>-141</v>
      </c>
      <c r="BL37" s="27" t="n">
        <v>1.70922</v>
      </c>
      <c r="BM37" s="28" t="n">
        <v>0.585062</v>
      </c>
      <c r="BN37" s="28" t="n">
        <v>0.58209</v>
      </c>
      <c r="BO37" s="28" t="n"/>
      <c r="BP37" s="25" t="n"/>
      <c r="BQ37" s="27" t="n">
        <v>1.70922</v>
      </c>
      <c r="BR37" s="28" t="n">
        <v>0.585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60b823efaca14598</t>
        </is>
      </c>
      <c r="B38" s="24" t="inlineStr">
        <is>
          <t>2026-07-31T00:56:25.957709Z</t>
        </is>
      </c>
      <c r="C38" s="24" t="inlineStr">
        <is>
          <t>2026-07-31T02:10Z</t>
        </is>
      </c>
      <c r="D38" s="24" t="inlineStr">
        <is>
          <t>401816330</t>
        </is>
      </c>
      <c r="E38" s="24" t="inlineStr">
        <is>
          <t>MLB</t>
        </is>
      </c>
      <c r="F38" s="24" t="inlineStr">
        <is>
          <t>Seattle Mariners</t>
        </is>
      </c>
      <c r="G38" s="24" t="inlineStr">
        <is>
          <t>Los Angeles Dodgers</t>
        </is>
      </c>
      <c r="H38" s="24" t="inlineStr">
        <is>
          <t>total</t>
        </is>
      </c>
      <c r="I38" s="24" t="inlineStr">
        <is>
          <t>over</t>
        </is>
      </c>
      <c r="J38" s="25" t="n">
        <v>8.5</v>
      </c>
      <c r="K38" s="24" t="inlineStr">
        <is>
          <t>polymarket_us</t>
        </is>
      </c>
      <c r="L38" s="26" t="n">
        <v>-106</v>
      </c>
      <c r="M38" s="27" t="n">
        <v>1.943396</v>
      </c>
      <c r="N38" s="28" t="n">
        <v>0.514563</v>
      </c>
      <c r="O38" s="28" t="n">
        <v>0.550517</v>
      </c>
      <c r="P38" s="28" t="n">
        <v>0.042131</v>
      </c>
      <c r="Q38" s="28" t="n">
        <v>0.035954</v>
      </c>
      <c r="R38" s="26" t="n">
        <v>43</v>
      </c>
      <c r="S38" s="29" t="n">
        <v>1</v>
      </c>
      <c r="T38" s="24" t="inlineStr">
        <is>
          <t>measured-edge-totals-v1</t>
        </is>
      </c>
      <c r="U38" s="24" t="inlineStr">
        <is>
          <t>settled</t>
        </is>
      </c>
      <c r="V38" s="24" t="inlineStr">
        <is>
          <t>loss</t>
        </is>
      </c>
      <c r="W38" s="26" t="n">
        <v>2</v>
      </c>
      <c r="X38" s="26" t="n">
        <v>6</v>
      </c>
      <c r="Y38" s="25" t="n">
        <v>8.5</v>
      </c>
      <c r="Z38" s="26" t="n">
        <v>-106</v>
      </c>
      <c r="AA38" s="28" t="n">
        <v>0.515</v>
      </c>
      <c r="AB38" s="28" t="n">
        <v>0.000437</v>
      </c>
      <c r="AC38" s="30" t="n">
        <v>-1</v>
      </c>
      <c r="AD38" s="24" t="inlineStr">
        <is>
          <t>2026-07-31T06:33:23.737443Z</t>
        </is>
      </c>
      <c r="AE38" s="31" t="inlineStr">
        <is>
          <t>Measured Edge Totals: Trend Engine projected 4.65-4.92; raw selected-side p=0.5680, calibrated p=0.5505.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mlb-sea</t>
        </is>
      </c>
      <c r="AQ38" s="24" t="inlineStr">
        <is>
          <t>Seattle Mariners</t>
        </is>
      </c>
      <c r="AR38" s="24" t="inlineStr">
        <is>
          <t>Seattle Mariners</t>
        </is>
      </c>
      <c r="AS38" s="24" t="inlineStr">
        <is>
          <t>mlb-lad</t>
        </is>
      </c>
      <c r="AT38" s="24" t="inlineStr">
        <is>
          <t>Los Angeles Dodgers</t>
        </is>
      </c>
      <c r="AU38" s="24" t="inlineStr">
        <is>
          <t>Los Angeles Dodgers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cbc2c9bf5a9569a49e1902c816d96556d704cf10819ca3a9e927721685757d0b</t>
        </is>
      </c>
      <c r="BB38" s="24" t="inlineStr">
        <is>
          <t>flat_probability_shrinkage_toward_half</t>
        </is>
      </c>
      <c r="BC38" s="24" t="inlineStr">
        <is>
          <t>measured-edge-totals-v1</t>
        </is>
      </c>
      <c r="BD38" s="24" t="inlineStr">
        <is>
          <t>cbc2c9bf5a9569a49e1902c816d96556d704cf10819ca3a9e927721685757d0b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2026-07-31T00:56:25.957709Z</t>
        </is>
      </c>
      <c r="BI38" s="24" t="inlineStr">
        <is>
          <t>["same_event","same_team_same_day","same_league_same_day"]</t>
        </is>
      </c>
      <c r="BJ38" s="25" t="n">
        <v>8.5</v>
      </c>
      <c r="BK38" s="26" t="n">
        <v>-106</v>
      </c>
      <c r="BL38" s="27" t="n">
        <v>1.943396</v>
      </c>
      <c r="BM38" s="28" t="n">
        <v>0.514563</v>
      </c>
      <c r="BN38" s="28" t="n">
        <v>0.5124379999999999</v>
      </c>
      <c r="BO38" s="28" t="n"/>
      <c r="BP38" s="25" t="n"/>
      <c r="BQ38" s="27" t="n">
        <v>1.943396</v>
      </c>
      <c r="BR38" s="28" t="n">
        <v>0.515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</row>
    <row r="39" ht="36" customHeight="1">
      <c r="A39" s="24" t="inlineStr">
        <is>
          <t>3d74b7d1bf3747a5</t>
        </is>
      </c>
      <c r="B39" s="24" t="inlineStr">
        <is>
          <t>2026-07-31T16:46:24.073866Z</t>
        </is>
      </c>
      <c r="C39" s="24" t="inlineStr">
        <is>
          <t>2026-07-31T14:20:00-0400</t>
        </is>
      </c>
      <c r="D39" s="24" t="inlineStr">
        <is>
          <t>401816339</t>
        </is>
      </c>
      <c r="E39" s="24" t="inlineStr">
        <is>
          <t>MLB</t>
        </is>
      </c>
      <c r="F39" s="24" t="inlineStr">
        <is>
          <t>New York Yankees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-147</v>
      </c>
      <c r="M39" s="27" t="n">
        <v>1.680272</v>
      </c>
      <c r="N39" s="28" t="n">
        <v>0.5951419999999999</v>
      </c>
      <c r="O39" s="28" t="n">
        <v>0.543986</v>
      </c>
      <c r="P39" s="28" t="n"/>
      <c r="Q39" s="28" t="n">
        <v>-0.051156</v>
      </c>
      <c r="R39" s="26" t="n">
        <v>0</v>
      </c>
      <c r="S39" s="29" t="n">
        <v>1</v>
      </c>
      <c r="T39" s="24" t="inlineStr">
        <is>
          <t>mlb-elo-trend-lr-v7</t>
        </is>
      </c>
      <c r="U39" s="24" t="inlineStr">
        <is>
          <t>settled</t>
        </is>
      </c>
      <c r="V39" s="24" t="inlineStr">
        <is>
          <t>loss</t>
        </is>
      </c>
      <c r="W39" s="26" t="n">
        <v>2</v>
      </c>
      <c r="X39" s="26" t="n">
        <v>0</v>
      </c>
      <c r="Y39" s="25" t="n"/>
      <c r="Z39" s="26" t="n">
        <v>-147</v>
      </c>
      <c r="AA39" s="28" t="n">
        <v>0.595</v>
      </c>
      <c r="AB39" s="28" t="n">
        <v>-0.000142</v>
      </c>
      <c r="AC39" s="30" t="n">
        <v>-1</v>
      </c>
      <c r="AD39" s="24" t="inlineStr">
        <is>
          <t>2026-07-31T21:03:20.158261Z</t>
        </is>
      </c>
      <c r="AE39" s="31" t="inlineStr">
        <is>
          <t>Learned LR call at threshold 0.6242; executable ask 0.5950 (aec-mlb-nyy-chc-2026-07-31); model edge vs ask -0.0510.</t>
        </is>
      </c>
      <c r="AF39" s="31" t="inlineStr">
        <is>
          <t>Learned model; shadow-qualified via operator override.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mlb-nyy</t>
        </is>
      </c>
      <c r="AQ39" s="24" t="inlineStr">
        <is>
          <t>New York Yankees</t>
        </is>
      </c>
      <c r="AR39" s="24" t="inlineStr">
        <is>
          <t>New York Yankees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e8343472130f370f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2026-07-31T16:45:32.204120Z</t>
        </is>
      </c>
      <c r="BI39" s="24" t="inlineStr">
        <is>
          <t>["same_event","same_team_same_day","same_league_same_day"]</t>
        </is>
      </c>
      <c r="BJ39" s="25" t="n"/>
      <c r="BK39" s="26" t="n">
        <v>-147</v>
      </c>
      <c r="BL39" s="27" t="n">
        <v>1.680272</v>
      </c>
      <c r="BM39" s="28" t="n">
        <v>0.5951419999999999</v>
      </c>
      <c r="BN39" s="28" t="n">
        <v>0.59204</v>
      </c>
      <c r="BO39" s="28" t="n"/>
      <c r="BP39" s="25" t="n"/>
      <c r="BQ39" s="27" t="n">
        <v>1.680272</v>
      </c>
      <c r="BR39" s="28" t="n">
        <v>0.595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0.5477638437</t>
        </is>
      </c>
      <c r="CD39" s="24" t="inlineStr">
        <is>
          <t>0.6277</t>
        </is>
      </c>
      <c r="CE39" s="24" t="inlineStr">
        <is>
          <t>0.986</t>
        </is>
      </c>
      <c r="CF39" s="24" t="inlineStr">
        <is>
          <t>1.014</t>
        </is>
      </c>
      <c r="CG39" s="24" t="inlineStr">
        <is>
          <t>-1.6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</row>
    <row r="40" ht="36" customHeight="1">
      <c r="A40" s="24" t="inlineStr">
        <is>
          <t>39009d7bd2e0407f</t>
        </is>
      </c>
      <c r="B40" s="24" t="inlineStr">
        <is>
          <t>2026-07-31T16:46:49.961054Z</t>
        </is>
      </c>
      <c r="C40" s="24" t="inlineStr">
        <is>
          <t>2026-07-31T18:20Z</t>
        </is>
      </c>
      <c r="D40" s="24" t="inlineStr">
        <is>
          <t>401816339</t>
        </is>
      </c>
      <c r="E40" s="24" t="inlineStr">
        <is>
          <t>MLB</t>
        </is>
      </c>
      <c r="F40" s="24" t="inlineStr">
        <is>
          <t>New York Yankees</t>
        </is>
      </c>
      <c r="G40" s="24" t="inlineStr">
        <is>
          <t>Chicago Cubs</t>
        </is>
      </c>
      <c r="H40" s="24" t="inlineStr">
        <is>
          <t>spread</t>
        </is>
      </c>
      <c r="I40" s="24" t="inlineStr">
        <is>
          <t>away</t>
        </is>
      </c>
      <c r="J40" s="25" t="n">
        <v>1.5</v>
      </c>
      <c r="K40" s="24" t="inlineStr">
        <is>
          <t>polymarket_us</t>
        </is>
      </c>
      <c r="L40" s="26" t="n">
        <v>-138</v>
      </c>
      <c r="M40" s="27" t="n">
        <v>1.724638</v>
      </c>
      <c r="N40" s="28" t="n">
        <v>0.579832</v>
      </c>
      <c r="O40" s="28" t="n">
        <v>0.538268</v>
      </c>
      <c r="P40" s="28" t="n">
        <v>0.042131</v>
      </c>
      <c r="Q40" s="28" t="n">
        <v>-0.041564</v>
      </c>
      <c r="R40" s="26" t="n">
        <v>4</v>
      </c>
      <c r="S40" s="29" t="n">
        <v>1</v>
      </c>
      <c r="T40" s="24" t="inlineStr">
        <is>
          <t>measured-edge-margin-v1</t>
        </is>
      </c>
      <c r="U40" s="24" t="inlineStr">
        <is>
          <t>settled</t>
        </is>
      </c>
      <c r="V40" s="24" t="inlineStr">
        <is>
          <t>win</t>
        </is>
      </c>
      <c r="W40" s="26" t="n">
        <v>2</v>
      </c>
      <c r="X40" s="26" t="n">
        <v>0</v>
      </c>
      <c r="Y40" s="25" t="n">
        <v>1.5</v>
      </c>
      <c r="Z40" s="26" t="n">
        <v>-138</v>
      </c>
      <c r="AA40" s="28" t="n">
        <v>0.58</v>
      </c>
      <c r="AB40" s="28" t="n">
        <v>0.000168</v>
      </c>
      <c r="AC40" s="30" t="n">
        <v>0.7246</v>
      </c>
      <c r="AD40" s="24" t="inlineStr">
        <is>
          <t>2026-07-31T21:03:20.724129Z</t>
        </is>
      </c>
      <c r="AE40" s="31" t="inlineStr">
        <is>
          <t>Measured Edge Margin: Trend Engine projected 4.18-5.00; raw selected-side p=0.5836, calibrated p=0.5383.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mlb-nyy</t>
        </is>
      </c>
      <c r="AQ40" s="24" t="inlineStr">
        <is>
          <t>New York Yankees</t>
        </is>
      </c>
      <c r="AR40" s="24" t="inlineStr">
        <is>
          <t>New York Yankees</t>
        </is>
      </c>
      <c r="AS40" s="24" t="inlineStr">
        <is>
          <t>mlb-chc</t>
        </is>
      </c>
      <c r="AT40" s="24" t="inlineStr">
        <is>
          <t>Chicago Cubs</t>
        </is>
      </c>
      <c r="AU40" s="24" t="inlineStr">
        <is>
          <t>Chicago Cubs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2bc2ce55b0d39a20103f724bbddbde5394909acd49297f52665b596a0ae3ae8b</t>
        </is>
      </c>
      <c r="BB40" s="24" t="inlineStr">
        <is>
          <t>flat_probability_shrinkage_toward_half</t>
        </is>
      </c>
      <c r="BC40" s="24" t="inlineStr">
        <is>
          <t>measured-edge-margin-v1</t>
        </is>
      </c>
      <c r="BD40" s="24" t="inlineStr">
        <is>
          <t>2bc2ce55b0d39a20103f724bbddbde5394909acd49297f52665b596a0ae3ae8b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2026-07-31T16:46:49.961054Z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-138</v>
      </c>
      <c r="BL40" s="27" t="n">
        <v>1.724638</v>
      </c>
      <c r="BM40" s="28" t="n">
        <v>0.579832</v>
      </c>
      <c r="BN40" s="28" t="n">
        <v>0.577114</v>
      </c>
      <c r="BO40" s="28" t="n"/>
      <c r="BP40" s="25" t="n"/>
      <c r="BQ40" s="27" t="n">
        <v>1.724638</v>
      </c>
      <c r="BR40" s="28" t="n">
        <v>0.58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</row>
    <row r="41" ht="36" customHeight="1">
      <c r="A41" s="24" t="inlineStr">
        <is>
          <t>803a2df03dc04a1c</t>
        </is>
      </c>
      <c r="B41" s="24" t="inlineStr">
        <is>
          <t>2026-07-31T16:46:49.961054Z</t>
        </is>
      </c>
      <c r="C41" s="24" t="inlineStr">
        <is>
          <t>2026-07-31T18:20Z</t>
        </is>
      </c>
      <c r="D41" s="24" t="inlineStr">
        <is>
          <t>401816339</t>
        </is>
      </c>
      <c r="E41" s="24" t="inlineStr">
        <is>
          <t>MLB</t>
        </is>
      </c>
      <c r="F41" s="24" t="inlineStr">
        <is>
          <t>New York Yankees</t>
        </is>
      </c>
      <c r="G41" s="24" t="inlineStr">
        <is>
          <t>Chicago Cubs</t>
        </is>
      </c>
      <c r="H41" s="24" t="inlineStr">
        <is>
          <t>total</t>
        </is>
      </c>
      <c r="I41" s="24" t="inlineStr">
        <is>
          <t>over</t>
        </is>
      </c>
      <c r="J41" s="25" t="n">
        <v>8.5</v>
      </c>
      <c r="K41" s="24" t="inlineStr">
        <is>
          <t>polymarket_us</t>
        </is>
      </c>
      <c r="L41" s="26" t="n">
        <v>-125</v>
      </c>
      <c r="M41" s="27" t="n">
        <v>1.8</v>
      </c>
      <c r="N41" s="28" t="n">
        <v>0.555556</v>
      </c>
      <c r="O41" s="28" t="n">
        <v>0.514138</v>
      </c>
      <c r="P41" s="28" t="n">
        <v>0.042131</v>
      </c>
      <c r="Q41" s="28" t="n">
        <v>-0.041418</v>
      </c>
      <c r="R41" s="26" t="n">
        <v>4</v>
      </c>
      <c r="S41" s="29" t="n">
        <v>1</v>
      </c>
      <c r="T41" s="24" t="inlineStr">
        <is>
          <t>measured-edge-totals-v1</t>
        </is>
      </c>
      <c r="U41" s="24" t="inlineStr">
        <is>
          <t>settled</t>
        </is>
      </c>
      <c r="V41" s="24" t="inlineStr">
        <is>
          <t>loss</t>
        </is>
      </c>
      <c r="W41" s="26" t="n">
        <v>2</v>
      </c>
      <c r="X41" s="26" t="n">
        <v>0</v>
      </c>
      <c r="Y41" s="25" t="n">
        <v>8.5</v>
      </c>
      <c r="Z41" s="26" t="n">
        <v>-125</v>
      </c>
      <c r="AA41" s="28" t="n">
        <v>0.555</v>
      </c>
      <c r="AB41" s="28" t="n">
        <v>-0.000556</v>
      </c>
      <c r="AC41" s="30" t="n">
        <v>-1</v>
      </c>
      <c r="AD41" s="24" t="inlineStr">
        <is>
          <t>2026-07-31T21:03:21.299218Z</t>
        </is>
      </c>
      <c r="AE41" s="31" t="inlineStr">
        <is>
          <t>Measured Edge Totals: Trend Engine projected 4.18-5.00; raw selected-side p=0.5305, calibrated p=0.5141.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mlb-nyy</t>
        </is>
      </c>
      <c r="AQ41" s="24" t="inlineStr">
        <is>
          <t>New York Yankees</t>
        </is>
      </c>
      <c r="AR41" s="24" t="inlineStr">
        <is>
          <t>New York Yankees</t>
        </is>
      </c>
      <c r="AS41" s="24" t="inlineStr">
        <is>
          <t>mlb-chc</t>
        </is>
      </c>
      <c r="AT41" s="24" t="inlineStr">
        <is>
          <t>Chicago Cubs</t>
        </is>
      </c>
      <c r="AU41" s="24" t="inlineStr">
        <is>
          <t>Chicago Cubs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cbc2c9bf5a9569a49e1902c816d96556d704cf10819ca3a9e927721685757d0b</t>
        </is>
      </c>
      <c r="BB41" s="24" t="inlineStr">
        <is>
          <t>flat_probability_shrinkage_toward_half</t>
        </is>
      </c>
      <c r="BC41" s="24" t="inlineStr">
        <is>
          <t>measured-edge-totals-v1</t>
        </is>
      </c>
      <c r="BD41" s="24" t="inlineStr">
        <is>
          <t>cbc2c9bf5a9569a49e1902c816d96556d704cf10819ca3a9e927721685757d0b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2026-07-31T16:46:49.961054Z</t>
        </is>
      </c>
      <c r="BI41" s="24" t="inlineStr">
        <is>
          <t>["same_event","same_team_same_day","same_league_same_day"]</t>
        </is>
      </c>
      <c r="BJ41" s="25" t="n">
        <v>8.5</v>
      </c>
      <c r="BK41" s="26" t="n">
        <v>-125</v>
      </c>
      <c r="BL41" s="27" t="n">
        <v>1.8</v>
      </c>
      <c r="BM41" s="28" t="n">
        <v>0.555556</v>
      </c>
      <c r="BN41" s="28" t="n">
        <v>0.552239</v>
      </c>
      <c r="BO41" s="28" t="n"/>
      <c r="BP41" s="25" t="n"/>
      <c r="BQ41" s="27" t="n">
        <v>1.8</v>
      </c>
      <c r="BR41" s="28" t="n">
        <v>0.555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</row>
    <row r="42" ht="36" customHeight="1">
      <c r="A42" s="24" t="inlineStr">
        <is>
          <t>7a2edb1572dc4cd1</t>
        </is>
      </c>
      <c r="B42" s="24" t="inlineStr">
        <is>
          <t>2026-07-31T21:05:22.115641Z</t>
        </is>
      </c>
      <c r="C42" s="24" t="inlineStr">
        <is>
          <t>2026-07-31T18:10:00-0400</t>
        </is>
      </c>
      <c r="D42" s="24" t="inlineStr">
        <is>
          <t>401816336</t>
        </is>
      </c>
      <c r="E42" s="24" t="inlineStr">
        <is>
          <t>MLB</t>
        </is>
      </c>
      <c r="F42" s="24" t="inlineStr">
        <is>
          <t>Pittsburgh Pirates</t>
        </is>
      </c>
      <c r="G42" s="24" t="inlineStr">
        <is>
          <t>Cincinnati Reds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-117</v>
      </c>
      <c r="M42" s="27" t="n">
        <v>1.854701</v>
      </c>
      <c r="N42" s="28" t="n">
        <v>0.539171</v>
      </c>
      <c r="O42" s="28" t="n">
        <v>0.519691</v>
      </c>
      <c r="P42" s="28" t="n"/>
      <c r="Q42" s="28" t="n">
        <v>-0.01948</v>
      </c>
      <c r="R42" s="26" t="n">
        <v>11</v>
      </c>
      <c r="S42" s="29" t="n">
        <v>1</v>
      </c>
      <c r="T42" s="24" t="inlineStr">
        <is>
          <t>mlb-elo-trend-lr-v7</t>
        </is>
      </c>
      <c r="U42" s="24" t="inlineStr">
        <is>
          <t>settled</t>
        </is>
      </c>
      <c r="V42" s="24" t="inlineStr">
        <is>
          <t>loss</t>
        </is>
      </c>
      <c r="W42" s="26" t="n">
        <v>7</v>
      </c>
      <c r="X42" s="26" t="n">
        <v>8</v>
      </c>
      <c r="Y42" s="25" t="n"/>
      <c r="Z42" s="26" t="n">
        <v>-117</v>
      </c>
      <c r="AA42" s="28" t="n">
        <v>0.54</v>
      </c>
      <c r="AB42" s="28" t="n">
        <v>0.000829</v>
      </c>
      <c r="AC42" s="30" t="n">
        <v>-1</v>
      </c>
      <c r="AD42" s="24" t="inlineStr">
        <is>
          <t>2026-08-01T02:59:59.343995Z</t>
        </is>
      </c>
      <c r="AE42" s="31" t="inlineStr">
        <is>
          <t>Learned LR call at threshold 0.6242; executable ask 0.5400 (aec-mlb-pit-cin-2026-07-31); model edge vs ask -0.0203.</t>
        </is>
      </c>
      <c r="AF42" s="31" t="inlineStr">
        <is>
          <t>Learned model; shadow-qualified via operator override.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mlb-pit</t>
        </is>
      </c>
      <c r="AQ42" s="24" t="inlineStr">
        <is>
          <t>Pittsburgh Pirates</t>
        </is>
      </c>
      <c r="AR42" s="24" t="inlineStr">
        <is>
          <t>Pittsburgh Pirates</t>
        </is>
      </c>
      <c r="AS42" s="24" t="inlineStr">
        <is>
          <t>mlb-cin</t>
        </is>
      </c>
      <c r="AT42" s="24" t="inlineStr">
        <is>
          <t>Cincinnati Reds</t>
        </is>
      </c>
      <c r="AU42" s="24" t="inlineStr">
        <is>
          <t>Cincinnati Reds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87db1c842ab8959c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2026-07-31T21:04:14.582367Z</t>
        </is>
      </c>
      <c r="BI42" s="24" t="inlineStr">
        <is>
          <t>["same_event","same_team_same_day","same_league_same_day"]</t>
        </is>
      </c>
      <c r="BJ42" s="25" t="n"/>
      <c r="BK42" s="26" t="n">
        <v>-117</v>
      </c>
      <c r="BL42" s="27" t="n">
        <v>1.854701</v>
      </c>
      <c r="BM42" s="28" t="n">
        <v>0.539171</v>
      </c>
      <c r="BN42" s="28" t="n">
        <v>0.537313</v>
      </c>
      <c r="BO42" s="28" t="n"/>
      <c r="BP42" s="25" t="n"/>
      <c r="BQ42" s="27" t="n">
        <v>1.854701</v>
      </c>
      <c r="BR42" s="28" t="n">
        <v>0.54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0.4930079966</t>
        </is>
      </c>
      <c r="CD42" s="24" t="inlineStr">
        <is>
          <t>0.789352</t>
        </is>
      </c>
      <c r="CE42" s="24" t="inlineStr">
        <is>
          <t>1.036</t>
        </is>
      </c>
      <c r="CF42" s="24" t="inlineStr">
        <is>
          <t>1.0173</t>
        </is>
      </c>
      <c r="CG42" s="24" t="inlineStr">
        <is>
          <t>-1.2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</row>
    <row r="43" ht="36" customHeight="1">
      <c r="A43" s="24" t="inlineStr">
        <is>
          <t>cf884cdd45fa42a6</t>
        </is>
      </c>
      <c r="B43" s="24" t="inlineStr">
        <is>
          <t>2026-07-31T21:05:22.115641Z</t>
        </is>
      </c>
      <c r="C43" s="24" t="inlineStr">
        <is>
          <t>2026-07-31T19:05:00-0400</t>
        </is>
      </c>
      <c r="D43" s="24" t="inlineStr">
        <is>
          <t>401816335</t>
        </is>
      </c>
      <c r="E43" s="24" t="inlineStr">
        <is>
          <t>MLB</t>
        </is>
      </c>
      <c r="F43" s="24" t="inlineStr">
        <is>
          <t>Philadelphia Phillies</t>
        </is>
      </c>
      <c r="G43" s="24" t="inlineStr">
        <is>
          <t>Baltimore Orioles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106</v>
      </c>
      <c r="M43" s="27" t="n">
        <v>2.06</v>
      </c>
      <c r="N43" s="28" t="n">
        <v>0.485437</v>
      </c>
      <c r="O43" s="28" t="n">
        <v>0.509459</v>
      </c>
      <c r="P43" s="28" t="n"/>
      <c r="Q43" s="28" t="n">
        <v>0.024022</v>
      </c>
      <c r="R43" s="26" t="n">
        <v>33</v>
      </c>
      <c r="S43" s="29" t="n">
        <v>1</v>
      </c>
      <c r="T43" s="24" t="inlineStr">
        <is>
          <t>mlb-elo-trend-lr-v7</t>
        </is>
      </c>
      <c r="U43" s="24" t="inlineStr">
        <is>
          <t>settled</t>
        </is>
      </c>
      <c r="V43" s="24" t="inlineStr">
        <is>
          <t>loss</t>
        </is>
      </c>
      <c r="W43" s="26" t="n">
        <v>4</v>
      </c>
      <c r="X43" s="26" t="n">
        <v>6</v>
      </c>
      <c r="Y43" s="25" t="n"/>
      <c r="Z43" s="26" t="n">
        <v>106</v>
      </c>
      <c r="AA43" s="28" t="n">
        <v>0.485</v>
      </c>
      <c r="AB43" s="28" t="n">
        <v>-0.000437</v>
      </c>
      <c r="AC43" s="30" t="n">
        <v>-1</v>
      </c>
      <c r="AD43" s="24" t="inlineStr">
        <is>
          <t>2026-08-01T02:59:59.636597Z</t>
        </is>
      </c>
      <c r="AE43" s="31" t="inlineStr">
        <is>
          <t>Learned LR call at threshold 0.6242; executable ask 0.4850 (aec-mlb-phi-bal-2026-07-31); model edge vs ask +0.0245.</t>
        </is>
      </c>
      <c r="AF43" s="31" t="inlineStr">
        <is>
          <t>Learned model; shadow-qualified via operator override.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mlb-phi</t>
        </is>
      </c>
      <c r="AQ43" s="24" t="inlineStr">
        <is>
          <t>Philadelphia Phillies</t>
        </is>
      </c>
      <c r="AR43" s="24" t="inlineStr">
        <is>
          <t>Philadelphia Phillies</t>
        </is>
      </c>
      <c r="AS43" s="24" t="inlineStr">
        <is>
          <t>mlb-bal</t>
        </is>
      </c>
      <c r="AT43" s="24" t="inlineStr">
        <is>
          <t>Baltimore Orioles</t>
        </is>
      </c>
      <c r="AU43" s="24" t="inlineStr">
        <is>
          <t>Baltimore Orioles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1b69a14f3893f0c1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2026-07-31T21:04:15.613897Z</t>
        </is>
      </c>
      <c r="BI43" s="24" t="inlineStr">
        <is>
          <t>["same_event","same_team_same_day","same_league_same_day"]</t>
        </is>
      </c>
      <c r="BJ43" s="25" t="n"/>
      <c r="BK43" s="26" t="n">
        <v>106</v>
      </c>
      <c r="BL43" s="27" t="n">
        <v>2.06</v>
      </c>
      <c r="BM43" s="28" t="n">
        <v>0.485437</v>
      </c>
      <c r="BN43" s="28" t="n">
        <v>0.482587</v>
      </c>
      <c r="BO43" s="28" t="n"/>
      <c r="BP43" s="25" t="n"/>
      <c r="BQ43" s="27" t="n">
        <v>2.06</v>
      </c>
      <c r="BR43" s="28" t="n">
        <v>0.485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0.4867559615</t>
        </is>
      </c>
      <c r="CD43" s="24" t="inlineStr">
        <is>
          <t>0.736702</t>
        </is>
      </c>
      <c r="CE43" s="24" t="inlineStr">
        <is>
          <t>1.03</t>
        </is>
      </c>
      <c r="CF43" s="24" t="inlineStr">
        <is>
          <t>1.0165</t>
        </is>
      </c>
      <c r="CG43" s="24" t="inlineStr">
        <is>
          <t>3.2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</row>
    <row r="44" ht="36" customHeight="1">
      <c r="A44" s="24" t="inlineStr">
        <is>
          <t>b1dea9d31b774008</t>
        </is>
      </c>
      <c r="B44" s="24" t="inlineStr">
        <is>
          <t>2026-07-31T21:05:22.115641Z</t>
        </is>
      </c>
      <c r="C44" s="24" t="inlineStr">
        <is>
          <t>2026-07-31T19:07:00-0400</t>
        </is>
      </c>
      <c r="D44" s="24" t="inlineStr">
        <is>
          <t>401816337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Toronto Blue Jays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-170</v>
      </c>
      <c r="M44" s="27" t="n">
        <v>1.588235</v>
      </c>
      <c r="N44" s="28" t="n">
        <v>0.62963</v>
      </c>
      <c r="O44" s="28" t="n">
        <v>0.5350549999999999</v>
      </c>
      <c r="P44" s="28" t="n"/>
      <c r="Q44" s="28" t="n">
        <v>-0.09457500000000001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3</v>
      </c>
      <c r="Y44" s="25" t="n"/>
      <c r="Z44" s="26" t="n">
        <v>-170</v>
      </c>
      <c r="AA44" s="28" t="n">
        <v>0.63</v>
      </c>
      <c r="AB44" s="28" t="n">
        <v>0.00037</v>
      </c>
      <c r="AC44" s="30" t="n">
        <v>0.5881999999999999</v>
      </c>
      <c r="AD44" s="24" t="inlineStr">
        <is>
          <t>2026-08-01T02:59:59.922051Z</t>
        </is>
      </c>
      <c r="AE44" s="31" t="inlineStr">
        <is>
          <t>Learned LR call at threshold 0.6242; executable ask 0.6300 (aec-mlb-stl-tor-2026-07-31); model edge vs ask -0.0949.</t>
        </is>
      </c>
      <c r="AF44" s="31" t="inlineStr">
        <is>
          <t>Learned model; shadow-qualified via operator override.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mlb-tor</t>
        </is>
      </c>
      <c r="AT44" s="24" t="inlineStr">
        <is>
          <t>Toronto Blue Jays</t>
        </is>
      </c>
      <c r="AU44" s="24" t="inlineStr">
        <is>
          <t>Toronto Blue Jays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d656c6c15db18eba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2026-07-31T21:04:16.588388Z</t>
        </is>
      </c>
      <c r="BI44" s="24" t="inlineStr">
        <is>
          <t>["same_event","same_team_same_day","same_league_same_day"]</t>
        </is>
      </c>
      <c r="BJ44" s="25" t="n"/>
      <c r="BK44" s="26" t="n">
        <v>-170</v>
      </c>
      <c r="BL44" s="27" t="n">
        <v>1.588235</v>
      </c>
      <c r="BM44" s="28" t="n">
        <v>0.62963</v>
      </c>
      <c r="BN44" s="28" t="n">
        <v>0.626866</v>
      </c>
      <c r="BO44" s="28" t="n"/>
      <c r="BP44" s="25" t="n"/>
      <c r="BQ44" s="27" t="n">
        <v>1.588235</v>
      </c>
      <c r="BR44" s="28" t="n">
        <v>0.63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0.5524208033</t>
        </is>
      </c>
      <c r="CD44" s="24" t="inlineStr">
        <is>
          <t>0.784126</t>
        </is>
      </c>
      <c r="CE44" s="24" t="inlineStr">
        <is>
          <t>1.019</t>
        </is>
      </c>
      <c r="CF44" s="24" t="inlineStr">
        <is>
          <t>1</t>
        </is>
      </c>
      <c r="CG44" s="24" t="inlineStr">
        <is>
          <t>-0.8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</row>
    <row r="45" ht="36" customHeight="1">
      <c r="A45" s="24" t="inlineStr">
        <is>
          <t>594cf89dbb3142f3</t>
        </is>
      </c>
      <c r="B45" s="24" t="inlineStr">
        <is>
          <t>2026-07-31T21:05:22.115641Z</t>
        </is>
      </c>
      <c r="C45" s="24" t="inlineStr">
        <is>
          <t>2026-07-31T19:10:00-0400</t>
        </is>
      </c>
      <c r="D45" s="24" t="inlineStr">
        <is>
          <t>401816332</t>
        </is>
      </c>
      <c r="E45" s="24" t="inlineStr">
        <is>
          <t>MLB</t>
        </is>
      </c>
      <c r="F45" s="24" t="inlineStr">
        <is>
          <t>Arizona Diamondbacks</t>
        </is>
      </c>
      <c r="G45" s="24" t="inlineStr">
        <is>
          <t>Cleveland Guardians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-130</v>
      </c>
      <c r="M45" s="27" t="n">
        <v>1.769231</v>
      </c>
      <c r="N45" s="28" t="n">
        <v>0.565217</v>
      </c>
      <c r="O45" s="28" t="n">
        <v>0.544258</v>
      </c>
      <c r="P45" s="28" t="n"/>
      <c r="Q45" s="28" t="n">
        <v>-0.020959</v>
      </c>
      <c r="R45" s="26" t="n">
        <v>11</v>
      </c>
      <c r="S45" s="29" t="n">
        <v>1</v>
      </c>
      <c r="T45" s="24" t="inlineStr">
        <is>
          <t>mlb-elo-trend-lr-v7</t>
        </is>
      </c>
      <c r="U45" s="24" t="inlineStr">
        <is>
          <t>settled</t>
        </is>
      </c>
      <c r="V45" s="24" t="inlineStr">
        <is>
          <t>loss</t>
        </is>
      </c>
      <c r="W45" s="26" t="n">
        <v>4</v>
      </c>
      <c r="X45" s="26" t="n">
        <v>1</v>
      </c>
      <c r="Y45" s="25" t="n"/>
      <c r="Z45" s="26" t="n">
        <v>-130</v>
      </c>
      <c r="AA45" s="28" t="n">
        <v>0.5649999999999999</v>
      </c>
      <c r="AB45" s="28" t="n">
        <v>-0.000217</v>
      </c>
      <c r="AC45" s="30" t="n">
        <v>-1</v>
      </c>
      <c r="AD45" s="24" t="inlineStr">
        <is>
          <t>2026-08-01T03:00:00.243425Z</t>
        </is>
      </c>
      <c r="AE45" s="31" t="inlineStr">
        <is>
          <t>Learned LR call at threshold 0.6242; executable ask 0.5650 (aec-mlb-az-cle-2026-07-31); model edge vs ask -0.0207.</t>
        </is>
      </c>
      <c r="AF45" s="31" t="inlineStr">
        <is>
          <t>Learned model; shadow-qualified via operator override.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mlb-ari</t>
        </is>
      </c>
      <c r="AQ45" s="24" t="inlineStr">
        <is>
          <t>Arizona Diamondbacks</t>
        </is>
      </c>
      <c r="AR45" s="24" t="inlineStr">
        <is>
          <t>Arizona Diamondbacks</t>
        </is>
      </c>
      <c r="AS45" s="24" t="inlineStr">
        <is>
          <t>mlb-cle</t>
        </is>
      </c>
      <c r="AT45" s="24" t="inlineStr">
        <is>
          <t>Cleveland Guardians</t>
        </is>
      </c>
      <c r="AU45" s="24" t="inlineStr">
        <is>
          <t>Cleveland Guardians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c05f3921fd3daa13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2026-07-31T21:04:18.706060Z</t>
        </is>
      </c>
      <c r="BI45" s="24" t="inlineStr">
        <is>
          <t>["same_event","same_team_same_day","same_league_same_day"]</t>
        </is>
      </c>
      <c r="BJ45" s="25" t="n"/>
      <c r="BK45" s="26" t="n">
        <v>-130</v>
      </c>
      <c r="BL45" s="27" t="n">
        <v>1.769231</v>
      </c>
      <c r="BM45" s="28" t="n">
        <v>0.565217</v>
      </c>
      <c r="BN45" s="28" t="n">
        <v>0.562189</v>
      </c>
      <c r="BO45" s="28" t="n"/>
      <c r="BP45" s="25" t="n"/>
      <c r="BQ45" s="27" t="n">
        <v>1.769231</v>
      </c>
      <c r="BR45" s="28" t="n">
        <v>0.5649999999999999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0.5330748271</t>
        </is>
      </c>
      <c r="CD45" s="24" t="inlineStr">
        <is>
          <t>-0.52933</t>
        </is>
      </c>
      <c r="CE45" s="24" t="inlineStr">
        <is>
          <t>0.966</t>
        </is>
      </c>
      <c r="CF45" s="24" t="inlineStr">
        <is>
          <t>1.01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</row>
    <row r="46" ht="36" customHeight="1">
      <c r="A46" s="24" t="inlineStr">
        <is>
          <t>64c9cf49c8c34227</t>
        </is>
      </c>
      <c r="B46" s="24" t="inlineStr">
        <is>
          <t>2026-07-31T21:05:22.115641Z</t>
        </is>
      </c>
      <c r="C46" s="24" t="inlineStr">
        <is>
          <t>2026-07-31T19:10:00-0400</t>
        </is>
      </c>
      <c r="D46" s="24" t="inlineStr">
        <is>
          <t>401816333</t>
        </is>
      </c>
      <c r="E46" s="24" t="inlineStr">
        <is>
          <t>MLB</t>
        </is>
      </c>
      <c r="F46" s="24" t="inlineStr">
        <is>
          <t>Chicago White Sox</t>
        </is>
      </c>
      <c r="G46" s="24" t="inlineStr">
        <is>
          <t>Tampa Bay Rays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0.559082</v>
      </c>
      <c r="P46" s="28" t="n"/>
      <c r="Q46" s="28" t="n">
        <v>-0.000389</v>
      </c>
      <c r="R46" s="26" t="n">
        <v>21</v>
      </c>
      <c r="S46" s="29" t="n">
        <v>1</v>
      </c>
      <c r="T46" s="24" t="inlineStr">
        <is>
          <t>mlb-elo-trend-lr-v7</t>
        </is>
      </c>
      <c r="U46" s="24" t="inlineStr">
        <is>
          <t>settled</t>
        </is>
      </c>
      <c r="V46" s="24" t="inlineStr">
        <is>
          <t>loss</t>
        </is>
      </c>
      <c r="W46" s="26" t="n">
        <v>6</v>
      </c>
      <c r="X46" s="26" t="n">
        <v>1</v>
      </c>
      <c r="Y46" s="25" t="n"/>
      <c r="Z46" s="26" t="n">
        <v>-127</v>
      </c>
      <c r="AA46" s="28" t="n">
        <v>0.5600000000000001</v>
      </c>
      <c r="AB46" s="28" t="n">
        <v>0.000529</v>
      </c>
      <c r="AC46" s="30" t="n">
        <v>-1</v>
      </c>
      <c r="AD46" s="24" t="inlineStr">
        <is>
          <t>2026-08-01T03:00:00.525886Z</t>
        </is>
      </c>
      <c r="AE46" s="31" t="inlineStr">
        <is>
          <t>Learned LR call at threshold 0.6242; executable ask 0.5600 (aec-mlb-cws-tb-2026-07-31); model edge vs ask -0.0009.</t>
        </is>
      </c>
      <c r="AF46" s="31" t="inlineStr">
        <is>
          <t>Learned model; shadow-qualified via operator override.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mlb-cws</t>
        </is>
      </c>
      <c r="AQ46" s="24" t="inlineStr">
        <is>
          <t>Chicago White Sox</t>
        </is>
      </c>
      <c r="AR46" s="24" t="inlineStr">
        <is>
          <t>Chicago White Sox</t>
        </is>
      </c>
      <c r="AS46" s="24" t="inlineStr">
        <is>
          <t>mlb-tb</t>
        </is>
      </c>
      <c r="AT46" s="24" t="inlineStr">
        <is>
          <t>Tampa Bay Rays</t>
        </is>
      </c>
      <c r="AU46" s="24" t="inlineStr">
        <is>
          <t>Tampa Bay Rays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a9ebd0a8f01e6140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2026-07-31T21:04:17.593587Z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>
        <v>0.557214</v>
      </c>
      <c r="BO46" s="28" t="n"/>
      <c r="BP46" s="25" t="n"/>
      <c r="BQ46" s="27" t="n">
        <v>1.787402</v>
      </c>
      <c r="BR46" s="28" t="n">
        <v>0.5600000000000001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0.5584762442</t>
        </is>
      </c>
      <c r="CD46" s="24" t="inlineStr">
        <is>
          <t>-0.438979</t>
        </is>
      </c>
      <c r="CE46" s="24" t="inlineStr">
        <is>
          <t>0.965</t>
        </is>
      </c>
      <c r="CF46" s="24" t="inlineStr">
        <is>
          <t>1</t>
        </is>
      </c>
      <c r="CG46" s="24" t="inlineStr">
        <is>
          <t>-2.4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</row>
    <row r="47" ht="36" customHeight="1">
      <c r="A47" s="24" t="inlineStr">
        <is>
          <t>fce5992c67c64f32</t>
        </is>
      </c>
      <c r="B47" s="24" t="inlineStr">
        <is>
          <t>2026-07-31T21:05:22.115641Z</t>
        </is>
      </c>
      <c r="C47" s="24" t="inlineStr">
        <is>
          <t>2026-07-31T19:10:00-0400</t>
        </is>
      </c>
      <c r="D47" s="24" t="inlineStr">
        <is>
          <t>401816334</t>
        </is>
      </c>
      <c r="E47" s="24" t="inlineStr">
        <is>
          <t>MLB</t>
        </is>
      </c>
      <c r="F47" s="24" t="inlineStr">
        <is>
          <t>Miami Marlins</t>
        </is>
      </c>
      <c r="G47" s="24" t="inlineStr">
        <is>
          <t>New York Mets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-111</v>
      </c>
      <c r="M47" s="27" t="n">
        <v>1.900901</v>
      </c>
      <c r="N47" s="28" t="n">
        <v>0.526066</v>
      </c>
      <c r="O47" s="28" t="n">
        <v>0.515053</v>
      </c>
      <c r="P47" s="28" t="n"/>
      <c r="Q47" s="28" t="n">
        <v>-0.011013</v>
      </c>
      <c r="R47" s="26" t="n">
        <v>16</v>
      </c>
      <c r="S47" s="29" t="n">
        <v>1</v>
      </c>
      <c r="T47" s="24" t="inlineStr">
        <is>
          <t>mlb-elo-trend-lr-v7</t>
        </is>
      </c>
      <c r="U47" s="24" t="inlineStr">
        <is>
          <t>settled</t>
        </is>
      </c>
      <c r="V47" s="24" t="inlineStr">
        <is>
          <t>loss</t>
        </is>
      </c>
      <c r="W47" s="26" t="n">
        <v>5</v>
      </c>
      <c r="X47" s="26" t="n">
        <v>2</v>
      </c>
      <c r="Y47" s="25" t="n"/>
      <c r="Z47" s="26" t="n">
        <v>-111</v>
      </c>
      <c r="AA47" s="28" t="n">
        <v>0.525</v>
      </c>
      <c r="AB47" s="28" t="n">
        <v>-0.001066</v>
      </c>
      <c r="AC47" s="30" t="n">
        <v>-1</v>
      </c>
      <c r="AD47" s="24" t="inlineStr">
        <is>
          <t>2026-08-01T03:00:00.882259Z</t>
        </is>
      </c>
      <c r="AE47" s="31" t="inlineStr">
        <is>
          <t>Learned LR call at threshold 0.6242; executable ask 0.5250 (aec-mlb-mia-nym-2026-07-31); model edge vs ask -0.0099.</t>
        </is>
      </c>
      <c r="AF47" s="31" t="inlineStr">
        <is>
          <t>Learned model; shadow-qualified via operator override.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mlb-mia</t>
        </is>
      </c>
      <c r="AQ47" s="24" t="inlineStr">
        <is>
          <t>Miami Marlins</t>
        </is>
      </c>
      <c r="AR47" s="24" t="inlineStr">
        <is>
          <t>Miami Marlins</t>
        </is>
      </c>
      <c r="AS47" s="24" t="inlineStr">
        <is>
          <t>mlb-nym</t>
        </is>
      </c>
      <c r="AT47" s="24" t="inlineStr">
        <is>
          <t>New York Mets</t>
        </is>
      </c>
      <c r="AU47" s="24" t="inlineStr">
        <is>
          <t>New York Mets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7d687c1d1c8fffaf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2026-07-31T21:04:19.683836Z</t>
        </is>
      </c>
      <c r="BI47" s="24" t="inlineStr">
        <is>
          <t>["same_event","same_team_same_day","same_league_same_day"]</t>
        </is>
      </c>
      <c r="BJ47" s="25" t="n"/>
      <c r="BK47" s="26" t="n">
        <v>-111</v>
      </c>
      <c r="BL47" s="27" t="n">
        <v>1.900901</v>
      </c>
      <c r="BM47" s="28" t="n">
        <v>0.526066</v>
      </c>
      <c r="BN47" s="28" t="n">
        <v>0.522388</v>
      </c>
      <c r="BO47" s="28" t="n"/>
      <c r="BP47" s="25" t="n"/>
      <c r="BQ47" s="27" t="n">
        <v>1.900901</v>
      </c>
      <c r="BR47" s="28" t="n">
        <v>0.525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0.5114006859</t>
        </is>
      </c>
      <c r="CD47" s="24" t="inlineStr">
        <is>
          <t>0.280262</t>
        </is>
      </c>
      <c r="CE47" s="24" t="inlineStr">
        <is>
          <t>0.978</t>
        </is>
      </c>
      <c r="CF47" s="24" t="inlineStr">
        <is>
          <t>1.0066</t>
        </is>
      </c>
      <c r="CG47" s="24" t="inlineStr">
        <is>
          <t>-2.2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</row>
    <row r="48" ht="36" customHeight="1">
      <c r="A48" s="24" t="inlineStr">
        <is>
          <t>0406e869a5684c9e</t>
        </is>
      </c>
      <c r="B48" s="24" t="inlineStr">
        <is>
          <t>2026-07-31T21:05:22.115641Z</t>
        </is>
      </c>
      <c r="C48" s="24" t="inlineStr">
        <is>
          <t>2026-07-31T19:15:00-0400</t>
        </is>
      </c>
      <c r="D48" s="24" t="inlineStr">
        <is>
          <t>401816338</t>
        </is>
      </c>
      <c r="E48" s="24" t="inlineStr">
        <is>
          <t>MLB</t>
        </is>
      </c>
      <c r="F48" s="24" t="inlineStr">
        <is>
          <t>Washington Nationals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-111</v>
      </c>
      <c r="M48" s="27" t="n">
        <v>1.900901</v>
      </c>
      <c r="N48" s="28" t="n">
        <v>0.526066</v>
      </c>
      <c r="O48" s="28" t="n">
        <v>0.610339</v>
      </c>
      <c r="P48" s="28" t="n"/>
      <c r="Q48" s="28" t="n">
        <v>0.084273</v>
      </c>
      <c r="R48" s="26" t="n">
        <v>64</v>
      </c>
      <c r="S48" s="29" t="n">
        <v>1.5</v>
      </c>
      <c r="T48" s="24" t="inlineStr">
        <is>
          <t>mlb-elo-trend-lr-v7</t>
        </is>
      </c>
      <c r="U48" s="24" t="inlineStr">
        <is>
          <t>settled</t>
        </is>
      </c>
      <c r="V48" s="24" t="inlineStr">
        <is>
          <t>win</t>
        </is>
      </c>
      <c r="W48" s="26" t="n">
        <v>2</v>
      </c>
      <c r="X48" s="26" t="n">
        <v>6</v>
      </c>
      <c r="Y48" s="25" t="n"/>
      <c r="Z48" s="26" t="n">
        <v>-111</v>
      </c>
      <c r="AA48" s="28" t="n">
        <v>0.525</v>
      </c>
      <c r="AB48" s="28" t="n">
        <v>-0.001066</v>
      </c>
      <c r="AC48" s="30" t="n">
        <v>1.3514</v>
      </c>
      <c r="AD48" s="24" t="inlineStr">
        <is>
          <t>2026-08-01T03:00:01.166405Z</t>
        </is>
      </c>
      <c r="AE48" s="31" t="inlineStr">
        <is>
          <t>Learned LR call at threshold 0.6242; executable ask 0.5250 (aec-mlb-wsh-atl-2026-07-31); model edge vs ask +0.0853.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mlb-wsh</t>
        </is>
      </c>
      <c r="AQ48" s="24" t="inlineStr">
        <is>
          <t>Washington Nationals</t>
        </is>
      </c>
      <c r="AR48" s="24" t="inlineStr">
        <is>
          <t>Washington Nationals</t>
        </is>
      </c>
      <c r="AS48" s="24" t="inlineStr">
        <is>
          <t>mlb-atl</t>
        </is>
      </c>
      <c r="AT48" s="24" t="inlineStr">
        <is>
          <t>Atlanta Braves</t>
        </is>
      </c>
      <c r="AU48" s="24" t="inlineStr">
        <is>
          <t>Atlanta Braves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7862677c79c1ab1a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2026-07-31T21:04:20.645809Z</t>
        </is>
      </c>
      <c r="BI48" s="24" t="inlineStr">
        <is>
          <t>["same_event","same_team_same_day","same_league_same_day"]</t>
        </is>
      </c>
      <c r="BJ48" s="25" t="n"/>
      <c r="BK48" s="26" t="n">
        <v>-111</v>
      </c>
      <c r="BL48" s="27" t="n">
        <v>1.900901</v>
      </c>
      <c r="BM48" s="28" t="n">
        <v>0.526066</v>
      </c>
      <c r="BN48" s="28" t="n">
        <v>0.522388</v>
      </c>
      <c r="BO48" s="28" t="n"/>
      <c r="BP48" s="25" t="n"/>
      <c r="BQ48" s="27" t="n">
        <v>1.900901</v>
      </c>
      <c r="BR48" s="28" t="n">
        <v>0.525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0.6202589708</t>
        </is>
      </c>
      <c r="CD48" s="24" t="inlineStr">
        <is>
          <t>-0.247606</t>
        </is>
      </c>
      <c r="CE48" s="24" t="inlineStr">
        <is>
          <t>0.929</t>
        </is>
      </c>
      <c r="CF48" s="24" t="inlineStr">
        <is>
          <t>1.0189</t>
        </is>
      </c>
      <c r="CG48" s="24" t="inlineStr">
        <is>
          <t>-0.6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</row>
    <row r="49" ht="36" customHeight="1">
      <c r="A49" s="24" t="inlineStr">
        <is>
          <t>4889dd4f50bc4c81</t>
        </is>
      </c>
      <c r="B49" s="24" t="inlineStr">
        <is>
          <t>2026-07-31T21:05:54.725871Z</t>
        </is>
      </c>
      <c r="C49" s="24" t="inlineStr">
        <is>
          <t>2026-07-31T22:10Z</t>
        </is>
      </c>
      <c r="D49" s="24" t="inlineStr">
        <is>
          <t>401816336</t>
        </is>
      </c>
      <c r="E49" s="24" t="inlineStr">
        <is>
          <t>MLB</t>
        </is>
      </c>
      <c r="F49" s="24" t="inlineStr">
        <is>
          <t>Pittsburgh Pirates</t>
        </is>
      </c>
      <c r="G49" s="24" t="inlineStr">
        <is>
          <t>Cincinnati Reds</t>
        </is>
      </c>
      <c r="H49" s="24" t="inlineStr">
        <is>
          <t>spread</t>
        </is>
      </c>
      <c r="I49" s="24" t="inlineStr">
        <is>
          <t>home</t>
        </is>
      </c>
      <c r="J49" s="25" t="n">
        <v>1.5</v>
      </c>
      <c r="K49" s="24" t="inlineStr">
        <is>
          <t>polymarket_us</t>
        </is>
      </c>
      <c r="L49" s="26" t="n">
        <v>-147</v>
      </c>
      <c r="M49" s="27" t="n">
        <v>1.680272</v>
      </c>
      <c r="N49" s="28" t="n">
        <v>0.5951419999999999</v>
      </c>
      <c r="O49" s="28" t="n">
        <v>0.551836</v>
      </c>
      <c r="P49" s="28" t="n">
        <v>0.05172</v>
      </c>
      <c r="Q49" s="28" t="n">
        <v>-0.043306</v>
      </c>
      <c r="R49" s="26" t="n">
        <v>0</v>
      </c>
      <c r="S49" s="29" t="n">
        <v>1</v>
      </c>
      <c r="T49" s="24" t="inlineStr">
        <is>
          <t>measured-edge-margin-v1</t>
        </is>
      </c>
      <c r="U49" s="24" t="inlineStr">
        <is>
          <t>settled</t>
        </is>
      </c>
      <c r="V49" s="24" t="inlineStr">
        <is>
          <t>win</t>
        </is>
      </c>
      <c r="W49" s="26" t="n">
        <v>7</v>
      </c>
      <c r="X49" s="26" t="n">
        <v>8</v>
      </c>
      <c r="Y49" s="25" t="n">
        <v>1.5</v>
      </c>
      <c r="Z49" s="26" t="n">
        <v>-147</v>
      </c>
      <c r="AA49" s="28" t="n">
        <v>0.595</v>
      </c>
      <c r="AB49" s="28" t="n">
        <v>-0.000142</v>
      </c>
      <c r="AC49" s="30" t="n">
        <v>0.6803</v>
      </c>
      <c r="AD49" s="24" t="inlineStr">
        <is>
          <t>2026-08-01T03:00:01.450523Z</t>
        </is>
      </c>
      <c r="AE49" s="31" t="inlineStr">
        <is>
          <t>Measured Edge Margin: Trend Engine projected 4.89-4.80; raw selected-side p=0.6526, calibrated p=0.5518.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mlb-pit</t>
        </is>
      </c>
      <c r="AQ49" s="24" t="inlineStr">
        <is>
          <t>Pittsburgh Pirates</t>
        </is>
      </c>
      <c r="AR49" s="24" t="inlineStr">
        <is>
          <t>Pittsburgh Pirates</t>
        </is>
      </c>
      <c r="AS49" s="24" t="inlineStr">
        <is>
          <t>mlb-cin</t>
        </is>
      </c>
      <c r="AT49" s="24" t="inlineStr">
        <is>
          <t>Cincinnati Reds</t>
        </is>
      </c>
      <c r="AU49" s="24" t="inlineStr">
        <is>
          <t>Cincinnati Reds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2bc2ce55b0d39a20103f724bbddbde5394909acd49297f52665b596a0ae3ae8b</t>
        </is>
      </c>
      <c r="BB49" s="24" t="inlineStr">
        <is>
          <t>flat_probability_shrinkage_toward_half</t>
        </is>
      </c>
      <c r="BC49" s="24" t="inlineStr">
        <is>
          <t>measured-edge-margin-v1</t>
        </is>
      </c>
      <c r="BD49" s="24" t="inlineStr">
        <is>
          <t>2bc2ce55b0d39a20103f724bbddbde5394909acd49297f52665b596a0ae3ae8b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2026-07-31T21:05:54.725871Z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-147</v>
      </c>
      <c r="BL49" s="27" t="n">
        <v>1.680272</v>
      </c>
      <c r="BM49" s="28" t="n">
        <v>0.5951419999999999</v>
      </c>
      <c r="BN49" s="28" t="n">
        <v>0.59204</v>
      </c>
      <c r="BO49" s="28" t="n"/>
      <c r="BP49" s="25" t="n"/>
      <c r="BQ49" s="27" t="n">
        <v>1.680272</v>
      </c>
      <c r="BR49" s="28" t="n">
        <v>0.595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</row>
    <row r="50" ht="36" customHeight="1">
      <c r="A50" s="24" t="inlineStr">
        <is>
          <t>09c6d9696d4146c9</t>
        </is>
      </c>
      <c r="B50" s="24" t="inlineStr">
        <is>
          <t>2026-07-31T21:05:54.725871Z</t>
        </is>
      </c>
      <c r="C50" s="24" t="inlineStr">
        <is>
          <t>2026-07-31T22:10Z</t>
        </is>
      </c>
      <c r="D50" s="24" t="inlineStr">
        <is>
          <t>401816336</t>
        </is>
      </c>
      <c r="E50" s="24" t="inlineStr">
        <is>
          <t>MLB</t>
        </is>
      </c>
      <c r="F50" s="24" t="inlineStr">
        <is>
          <t>Pittsburgh Pirates</t>
        </is>
      </c>
      <c r="G50" s="24" t="inlineStr">
        <is>
          <t>Cincinnati Reds</t>
        </is>
      </c>
      <c r="H50" s="24" t="inlineStr">
        <is>
          <t>total</t>
        </is>
      </c>
      <c r="I50" s="24" t="inlineStr">
        <is>
          <t>over</t>
        </is>
      </c>
      <c r="J50" s="25" t="n">
        <v>7.5</v>
      </c>
      <c r="K50" s="24" t="inlineStr">
        <is>
          <t>polymarket_us</t>
        </is>
      </c>
      <c r="L50" s="26" t="n">
        <v>-113</v>
      </c>
      <c r="M50" s="27" t="n">
        <v>1.884956</v>
      </c>
      <c r="N50" s="28" t="n">
        <v>0.530516</v>
      </c>
      <c r="O50" s="28" t="n">
        <v>0.6324419999999999</v>
      </c>
      <c r="P50" s="28" t="n">
        <v>0.05172</v>
      </c>
      <c r="Q50" s="28" t="n">
        <v>0.101926</v>
      </c>
      <c r="R50" s="26" t="n">
        <v>70</v>
      </c>
      <c r="S50" s="29" t="n">
        <v>1.5</v>
      </c>
      <c r="T50" s="24" t="inlineStr">
        <is>
          <t>measured-edge-totals-v1</t>
        </is>
      </c>
      <c r="U50" s="24" t="inlineStr">
        <is>
          <t>settled</t>
        </is>
      </c>
      <c r="V50" s="24" t="inlineStr">
        <is>
          <t>win</t>
        </is>
      </c>
      <c r="W50" s="26" t="n">
        <v>7</v>
      </c>
      <c r="X50" s="26" t="n">
        <v>8</v>
      </c>
      <c r="Y50" s="25" t="n">
        <v>7.5</v>
      </c>
      <c r="Z50" s="26" t="n">
        <v>-113</v>
      </c>
      <c r="AA50" s="28" t="n">
        <v>0.53</v>
      </c>
      <c r="AB50" s="28" t="n">
        <v>-0.000516</v>
      </c>
      <c r="AC50" s="30" t="n">
        <v>1.3274</v>
      </c>
      <c r="AD50" s="24" t="inlineStr">
        <is>
          <t>2026-08-01T03:00:01.732961Z</t>
        </is>
      </c>
      <c r="AE50" s="31" t="inlineStr">
        <is>
          <t>Measured Edge Totals: Trend Engine projected 4.89-4.80; raw selected-side p=0.6524, calibrated p=0.6324.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mlb-pit</t>
        </is>
      </c>
      <c r="AQ50" s="24" t="inlineStr">
        <is>
          <t>Pittsburgh Pirates</t>
        </is>
      </c>
      <c r="AR50" s="24" t="inlineStr">
        <is>
          <t>Pittsburgh Pirates</t>
        </is>
      </c>
      <c r="AS50" s="24" t="inlineStr">
        <is>
          <t>mlb-cin</t>
        </is>
      </c>
      <c r="AT50" s="24" t="inlineStr">
        <is>
          <t>Cincinnati Reds</t>
        </is>
      </c>
      <c r="AU50" s="24" t="inlineStr">
        <is>
          <t>Cincinnati Reds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cbc2c9bf5a9569a49e1902c816d96556d704cf10819ca3a9e927721685757d0b</t>
        </is>
      </c>
      <c r="BB50" s="24" t="inlineStr">
        <is>
          <t>flat_probability_shrinkage_toward_half</t>
        </is>
      </c>
      <c r="BC50" s="24" t="inlineStr">
        <is>
          <t>measured-edge-totals-v1</t>
        </is>
      </c>
      <c r="BD50" s="24" t="inlineStr">
        <is>
          <t>cbc2c9bf5a9569a49e1902c816d96556d704cf10819ca3a9e927721685757d0b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2026-07-31T21:05:54.725871Z</t>
        </is>
      </c>
      <c r="BI50" s="24" t="inlineStr">
        <is>
          <t>["same_event","same_team_same_day","same_league_same_day"]</t>
        </is>
      </c>
      <c r="BJ50" s="25" t="n">
        <v>7.5</v>
      </c>
      <c r="BK50" s="26" t="n">
        <v>-113</v>
      </c>
      <c r="BL50" s="27" t="n">
        <v>1.884956</v>
      </c>
      <c r="BM50" s="28" t="n">
        <v>0.530516</v>
      </c>
      <c r="BN50" s="28" t="n">
        <v>0.527363</v>
      </c>
      <c r="BO50" s="28" t="n"/>
      <c r="BP50" s="25" t="n"/>
      <c r="BQ50" s="27" t="n">
        <v>1.884956</v>
      </c>
      <c r="BR50" s="28" t="n">
        <v>0.53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</row>
    <row r="51" ht="36" customHeight="1">
      <c r="A51" s="24" t="inlineStr">
        <is>
          <t>88fa924e18344065</t>
        </is>
      </c>
      <c r="B51" s="24" t="inlineStr">
        <is>
          <t>2026-07-31T21:05:54.725871Z</t>
        </is>
      </c>
      <c r="C51" s="24" t="inlineStr">
        <is>
          <t>2026-07-31T23:05Z</t>
        </is>
      </c>
      <c r="D51" s="24" t="inlineStr">
        <is>
          <t>401816335</t>
        </is>
      </c>
      <c r="E51" s="24" t="inlineStr">
        <is>
          <t>MLB</t>
        </is>
      </c>
      <c r="F51" s="24" t="inlineStr">
        <is>
          <t>Philadelphia Phillies</t>
        </is>
      </c>
      <c r="G51" s="24" t="inlineStr">
        <is>
          <t>Baltimore Orioles</t>
        </is>
      </c>
      <c r="H51" s="24" t="inlineStr">
        <is>
          <t>spread</t>
        </is>
      </c>
      <c r="I51" s="24" t="inlineStr">
        <is>
          <t>home</t>
        </is>
      </c>
      <c r="J51" s="25" t="n">
        <v>1.5</v>
      </c>
      <c r="K51" s="24" t="inlineStr">
        <is>
          <t>polymarket_us</t>
        </is>
      </c>
      <c r="L51" s="26" t="n">
        <v>-174</v>
      </c>
      <c r="M51" s="27" t="n">
        <v>1.574713</v>
      </c>
      <c r="N51" s="28" t="n">
        <v>0.635036</v>
      </c>
      <c r="O51" s="28" t="n">
        <v>0.570936</v>
      </c>
      <c r="P51" s="28" t="n">
        <v>0.042131</v>
      </c>
      <c r="Q51" s="28" t="n">
        <v>-0.0641</v>
      </c>
      <c r="R51" s="26" t="n">
        <v>0</v>
      </c>
      <c r="S51" s="29" t="n">
        <v>1.25</v>
      </c>
      <c r="T51" s="24" t="inlineStr">
        <is>
          <t>measured-edge-margin-v1</t>
        </is>
      </c>
      <c r="U51" s="24" t="inlineStr">
        <is>
          <t>settled</t>
        </is>
      </c>
      <c r="V51" s="24" t="inlineStr">
        <is>
          <t>win</t>
        </is>
      </c>
      <c r="W51" s="26" t="n">
        <v>4</v>
      </c>
      <c r="X51" s="26" t="n">
        <v>6</v>
      </c>
      <c r="Y51" s="25" t="n">
        <v>1.5</v>
      </c>
      <c r="Z51" s="26" t="n">
        <v>-174</v>
      </c>
      <c r="AA51" s="28" t="n">
        <v>0.635</v>
      </c>
      <c r="AB51" s="28" t="n">
        <v>-3.6e-05</v>
      </c>
      <c r="AC51" s="30" t="n">
        <v>0.7184</v>
      </c>
      <c r="AD51" s="24" t="inlineStr">
        <is>
          <t>2026-08-01T03:00:02.014813Z</t>
        </is>
      </c>
      <c r="AE51" s="31" t="inlineStr">
        <is>
          <t>Measured Edge Margin: Trend Engine projected 4.37-5.37; raw selected-side p=0.7498, calibrated p=0.5709.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mlb-phi</t>
        </is>
      </c>
      <c r="AQ51" s="24" t="inlineStr">
        <is>
          <t>Philadelphia Phillies</t>
        </is>
      </c>
      <c r="AR51" s="24" t="inlineStr">
        <is>
          <t>Philadelphia Phillies</t>
        </is>
      </c>
      <c r="AS51" s="24" t="inlineStr">
        <is>
          <t>mlb-bal</t>
        </is>
      </c>
      <c r="AT51" s="24" t="inlineStr">
        <is>
          <t>Baltimore Orioles</t>
        </is>
      </c>
      <c r="AU51" s="24" t="inlineStr">
        <is>
          <t>Baltimore Orioles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2bc2ce55b0d39a20103f724bbddbde5394909acd49297f52665b596a0ae3ae8b</t>
        </is>
      </c>
      <c r="BB51" s="24" t="inlineStr">
        <is>
          <t>flat_probability_shrinkage_toward_half</t>
        </is>
      </c>
      <c r="BC51" s="24" t="inlineStr">
        <is>
          <t>measured-edge-margin-v1</t>
        </is>
      </c>
      <c r="BD51" s="24" t="inlineStr">
        <is>
          <t>2bc2ce55b0d39a20103f724bbddbde5394909acd49297f52665b596a0ae3ae8b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2026-07-31T21:05:54.725871Z</t>
        </is>
      </c>
      <c r="BI51" s="24" t="inlineStr">
        <is>
          <t>["same_event","same_team_same_day","same_league_same_day"]</t>
        </is>
      </c>
      <c r="BJ51" s="25" t="n">
        <v>1.5</v>
      </c>
      <c r="BK51" s="26" t="n">
        <v>-174</v>
      </c>
      <c r="BL51" s="27" t="n">
        <v>1.574713</v>
      </c>
      <c r="BM51" s="28" t="n">
        <v>0.635036</v>
      </c>
      <c r="BN51" s="28" t="n">
        <v>0.631841</v>
      </c>
      <c r="BO51" s="28" t="n"/>
      <c r="BP51" s="25" t="n"/>
      <c r="BQ51" s="27" t="n">
        <v>1.574713</v>
      </c>
      <c r="BR51" s="28" t="n">
        <v>0.635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</row>
    <row r="52" ht="36" customHeight="1">
      <c r="A52" s="24" t="inlineStr">
        <is>
          <t>1f3d7240b25b4b11</t>
        </is>
      </c>
      <c r="B52" s="24" t="inlineStr">
        <is>
          <t>2026-07-31T21:05:54.725871Z</t>
        </is>
      </c>
      <c r="C52" s="24" t="inlineStr">
        <is>
          <t>2026-07-31T23:05Z</t>
        </is>
      </c>
      <c r="D52" s="24" t="inlineStr">
        <is>
          <t>401816335</t>
        </is>
      </c>
      <c r="E52" s="24" t="inlineStr">
        <is>
          <t>MLB</t>
        </is>
      </c>
      <c r="F52" s="24" t="inlineStr">
        <is>
          <t>Philadelphia Phillies</t>
        </is>
      </c>
      <c r="G52" s="24" t="inlineStr">
        <is>
          <t>Baltimore Orioles</t>
        </is>
      </c>
      <c r="H52" s="24" t="inlineStr">
        <is>
          <t>total</t>
        </is>
      </c>
      <c r="I52" s="24" t="inlineStr">
        <is>
          <t>over</t>
        </is>
      </c>
      <c r="J52" s="25" t="n">
        <v>8.5</v>
      </c>
      <c r="K52" s="24" t="inlineStr">
        <is>
          <t>polymarket_us</t>
        </is>
      </c>
      <c r="L52" s="26" t="n">
        <v>-113</v>
      </c>
      <c r="M52" s="27" t="n">
        <v>1.884956</v>
      </c>
      <c r="N52" s="28" t="n">
        <v>0.530516</v>
      </c>
      <c r="O52" s="28" t="n">
        <v>0.560121</v>
      </c>
      <c r="P52" s="28" t="n">
        <v>0.042131</v>
      </c>
      <c r="Q52" s="28" t="n">
        <v>0.029605</v>
      </c>
      <c r="R52" s="26" t="n">
        <v>40</v>
      </c>
      <c r="S52" s="29" t="n">
        <v>1</v>
      </c>
      <c r="T52" s="24" t="inlineStr">
        <is>
          <t>measured-edge-totals-v1</t>
        </is>
      </c>
      <c r="U52" s="24" t="inlineStr">
        <is>
          <t>settled</t>
        </is>
      </c>
      <c r="V52" s="24" t="inlineStr">
        <is>
          <t>win</t>
        </is>
      </c>
      <c r="W52" s="26" t="n">
        <v>4</v>
      </c>
      <c r="X52" s="26" t="n">
        <v>6</v>
      </c>
      <c r="Y52" s="25" t="n">
        <v>8.5</v>
      </c>
      <c r="Z52" s="26" t="n">
        <v>-113</v>
      </c>
      <c r="AA52" s="28" t="n">
        <v>0.53</v>
      </c>
      <c r="AB52" s="28" t="n">
        <v>-0.000516</v>
      </c>
      <c r="AC52" s="30" t="n">
        <v>0.885</v>
      </c>
      <c r="AD52" s="24" t="inlineStr">
        <is>
          <t>2026-08-01T03:00:02.298810Z</t>
        </is>
      </c>
      <c r="AE52" s="31" t="inlineStr">
        <is>
          <t>Measured Edge Totals: Trend Engine projected 4.37-5.37; raw selected-side p=0.5779, calibrated p=0.5601.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mlb-phi</t>
        </is>
      </c>
      <c r="AQ52" s="24" t="inlineStr">
        <is>
          <t>Philadelphia Phillies</t>
        </is>
      </c>
      <c r="AR52" s="24" t="inlineStr">
        <is>
          <t>Philadelphia Phillies</t>
        </is>
      </c>
      <c r="AS52" s="24" t="inlineStr">
        <is>
          <t>mlb-bal</t>
        </is>
      </c>
      <c r="AT52" s="24" t="inlineStr">
        <is>
          <t>Baltimore Orioles</t>
        </is>
      </c>
      <c r="AU52" s="24" t="inlineStr">
        <is>
          <t>Baltimore Orioles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cbc2c9bf5a9569a49e1902c816d96556d704cf10819ca3a9e927721685757d0b</t>
        </is>
      </c>
      <c r="BB52" s="24" t="inlineStr">
        <is>
          <t>flat_probability_shrinkage_toward_half</t>
        </is>
      </c>
      <c r="BC52" s="24" t="inlineStr">
        <is>
          <t>measured-edge-totals-v1</t>
        </is>
      </c>
      <c r="BD52" s="24" t="inlineStr">
        <is>
          <t>cbc2c9bf5a9569a49e1902c816d96556d704cf10819ca3a9e927721685757d0b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2026-07-31T21:05:54.725871Z</t>
        </is>
      </c>
      <c r="BI52" s="24" t="inlineStr">
        <is>
          <t>["same_event","same_team_same_day","same_league_same_day"]</t>
        </is>
      </c>
      <c r="BJ52" s="25" t="n">
        <v>8.5</v>
      </c>
      <c r="BK52" s="26" t="n">
        <v>-113</v>
      </c>
      <c r="BL52" s="27" t="n">
        <v>1.884956</v>
      </c>
      <c r="BM52" s="28" t="n">
        <v>0.530516</v>
      </c>
      <c r="BN52" s="28" t="n">
        <v>0.527363</v>
      </c>
      <c r="BO52" s="28" t="n"/>
      <c r="BP52" s="25" t="n"/>
      <c r="BQ52" s="27" t="n">
        <v>1.884956</v>
      </c>
      <c r="BR52" s="28" t="n">
        <v>0.53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</row>
    <row r="53" ht="36" customHeight="1">
      <c r="A53" s="24" t="inlineStr">
        <is>
          <t>c8a9a93e5a1743ba</t>
        </is>
      </c>
      <c r="B53" s="24" t="inlineStr">
        <is>
          <t>2026-07-31T21:05:54.725871Z</t>
        </is>
      </c>
      <c r="C53" s="24" t="inlineStr">
        <is>
          <t>2026-07-31T23:07Z</t>
        </is>
      </c>
      <c r="D53" s="24" t="inlineStr">
        <is>
          <t>401816337</t>
        </is>
      </c>
      <c r="E53" s="24" t="inlineStr">
        <is>
          <t>MLB</t>
        </is>
      </c>
      <c r="F53" s="24" t="inlineStr">
        <is>
          <t>St. Louis Cardinals</t>
        </is>
      </c>
      <c r="G53" s="24" t="inlineStr">
        <is>
          <t>Toronto Blue Jays</t>
        </is>
      </c>
      <c r="H53" s="24" t="inlineStr">
        <is>
          <t>spread</t>
        </is>
      </c>
      <c r="I53" s="24" t="inlineStr">
        <is>
          <t>away</t>
        </is>
      </c>
      <c r="J53" s="25" t="n">
        <v>1.5</v>
      </c>
      <c r="K53" s="24" t="inlineStr">
        <is>
          <t>polymarket_us</t>
        </is>
      </c>
      <c r="L53" s="26" t="n">
        <v>-127</v>
      </c>
      <c r="M53" s="27" t="n">
        <v>1.787402</v>
      </c>
      <c r="N53" s="28" t="n">
        <v>0.5594710000000001</v>
      </c>
      <c r="O53" s="28" t="n">
        <v>0.548083</v>
      </c>
      <c r="P53" s="28" t="n">
        <v>0.042131</v>
      </c>
      <c r="Q53" s="28" t="n">
        <v>-0.011388</v>
      </c>
      <c r="R53" s="26" t="n">
        <v>19</v>
      </c>
      <c r="S53" s="29" t="n">
        <v>1</v>
      </c>
      <c r="T53" s="24" t="inlineStr">
        <is>
          <t>measured-edge-margin-v1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3</v>
      </c>
      <c r="Y53" s="25" t="n">
        <v>1.5</v>
      </c>
      <c r="Z53" s="26" t="n">
        <v>-127</v>
      </c>
      <c r="AA53" s="28" t="n">
        <v>0.5600000000000001</v>
      </c>
      <c r="AB53" s="28" t="n">
        <v>0.000529</v>
      </c>
      <c r="AC53" s="30" t="n">
        <v>-1</v>
      </c>
      <c r="AD53" s="24" t="inlineStr">
        <is>
          <t>2026-08-01T03:00:02.581322Z</t>
        </is>
      </c>
      <c r="AE53" s="31" t="inlineStr">
        <is>
          <t>Measured Edge Margin: Trend Engine projected 3.92-4.35; raw selected-side p=0.6335, calibrated p=0.5481.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mlb-stl</t>
        </is>
      </c>
      <c r="AQ53" s="24" t="inlineStr">
        <is>
          <t>St. Louis Cardinals</t>
        </is>
      </c>
      <c r="AR53" s="24" t="inlineStr">
        <is>
          <t>St. Louis Cardinals</t>
        </is>
      </c>
      <c r="AS53" s="24" t="inlineStr">
        <is>
          <t>mlb-tor</t>
        </is>
      </c>
      <c r="AT53" s="24" t="inlineStr">
        <is>
          <t>Toronto Blue Jays</t>
        </is>
      </c>
      <c r="AU53" s="24" t="inlineStr">
        <is>
          <t>Toronto Blue Jays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2bc2ce55b0d39a20103f724bbddbde5394909acd49297f52665b596a0ae3ae8b</t>
        </is>
      </c>
      <c r="BB53" s="24" t="inlineStr">
        <is>
          <t>flat_probability_shrinkage_toward_half</t>
        </is>
      </c>
      <c r="BC53" s="24" t="inlineStr">
        <is>
          <t>measured-edge-margin-v1</t>
        </is>
      </c>
      <c r="BD53" s="24" t="inlineStr">
        <is>
          <t>2bc2ce55b0d39a20103f724bbddbde5394909acd49297f52665b596a0ae3ae8b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2026-07-31T21:05:54.725871Z</t>
        </is>
      </c>
      <c r="BI53" s="24" t="inlineStr">
        <is>
          <t>["same_event","same_team_same_day","same_league_same_day"]</t>
        </is>
      </c>
      <c r="BJ53" s="25" t="n">
        <v>1.5</v>
      </c>
      <c r="BK53" s="26" t="n">
        <v>-127</v>
      </c>
      <c r="BL53" s="27" t="n">
        <v>1.787402</v>
      </c>
      <c r="BM53" s="28" t="n">
        <v>0.5594710000000001</v>
      </c>
      <c r="BN53" s="28" t="n">
        <v>0.557214</v>
      </c>
      <c r="BO53" s="28" t="n"/>
      <c r="BP53" s="25" t="n"/>
      <c r="BQ53" s="27" t="n">
        <v>1.787402</v>
      </c>
      <c r="BR53" s="28" t="n">
        <v>0.5600000000000001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</row>
    <row r="54" ht="36" customHeight="1">
      <c r="A54" s="24" t="inlineStr">
        <is>
          <t>4618ba2b0f49412e</t>
        </is>
      </c>
      <c r="B54" s="24" t="inlineStr">
        <is>
          <t>2026-07-31T21:05:54.725871Z</t>
        </is>
      </c>
      <c r="C54" s="24" t="inlineStr">
        <is>
          <t>2026-07-31T23:07Z</t>
        </is>
      </c>
      <c r="D54" s="24" t="inlineStr">
        <is>
          <t>401816337</t>
        </is>
      </c>
      <c r="E54" s="24" t="inlineStr">
        <is>
          <t>MLB</t>
        </is>
      </c>
      <c r="F54" s="24" t="inlineStr">
        <is>
          <t>St. Louis Cardinals</t>
        </is>
      </c>
      <c r="G54" s="24" t="inlineStr">
        <is>
          <t>Toronto Blue Jays</t>
        </is>
      </c>
      <c r="H54" s="24" t="inlineStr">
        <is>
          <t>total</t>
        </is>
      </c>
      <c r="I54" s="24" t="inlineStr">
        <is>
          <t>over</t>
        </is>
      </c>
      <c r="J54" s="25" t="n">
        <v>7.5</v>
      </c>
      <c r="K54" s="24" t="inlineStr">
        <is>
          <t>polymarket_us</t>
        </is>
      </c>
      <c r="L54" s="26" t="n">
        <v>102</v>
      </c>
      <c r="M54" s="27" t="n">
        <v>2.02</v>
      </c>
      <c r="N54" s="28" t="n">
        <v>0.49505</v>
      </c>
      <c r="O54" s="28" t="n">
        <v>0.508948</v>
      </c>
      <c r="P54" s="28" t="n">
        <v>0.042131</v>
      </c>
      <c r="Q54" s="28" t="n">
        <v>0.013898</v>
      </c>
      <c r="R54" s="26" t="n">
        <v>32</v>
      </c>
      <c r="S54" s="29" t="n">
        <v>1</v>
      </c>
      <c r="T54" s="24" t="inlineStr">
        <is>
          <t>measured-edge-totals-v1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3</v>
      </c>
      <c r="Y54" s="25" t="n">
        <v>7.5</v>
      </c>
      <c r="Z54" s="26" t="n">
        <v>102</v>
      </c>
      <c r="AA54" s="28" t="n">
        <v>0.495</v>
      </c>
      <c r="AB54" s="28" t="n">
        <v>-5e-05</v>
      </c>
      <c r="AC54" s="30" t="n">
        <v>-1</v>
      </c>
      <c r="AD54" s="24" t="inlineStr">
        <is>
          <t>2026-08-01T03:00:02.903756Z</t>
        </is>
      </c>
      <c r="AE54" s="31" t="inlineStr">
        <is>
          <t>Measured Edge Totals: Trend Engine projected 3.92-4.35; raw selected-side p=0.5252, calibrated p=0.5089.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mlb-stl</t>
        </is>
      </c>
      <c r="AQ54" s="24" t="inlineStr">
        <is>
          <t>St. Louis Cardinals</t>
        </is>
      </c>
      <c r="AR54" s="24" t="inlineStr">
        <is>
          <t>St. Louis Cardinals</t>
        </is>
      </c>
      <c r="AS54" s="24" t="inlineStr">
        <is>
          <t>mlb-tor</t>
        </is>
      </c>
      <c r="AT54" s="24" t="inlineStr">
        <is>
          <t>Toronto Blue Jays</t>
        </is>
      </c>
      <c r="AU54" s="24" t="inlineStr">
        <is>
          <t>Toronto Blue Jays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cbc2c9bf5a9569a49e1902c816d96556d704cf10819ca3a9e927721685757d0b</t>
        </is>
      </c>
      <c r="BB54" s="24" t="inlineStr">
        <is>
          <t>flat_probability_shrinkage_toward_half</t>
        </is>
      </c>
      <c r="BC54" s="24" t="inlineStr">
        <is>
          <t>measured-edge-totals-v1</t>
        </is>
      </c>
      <c r="BD54" s="24" t="inlineStr">
        <is>
          <t>cbc2c9bf5a9569a49e1902c816d96556d704cf10819ca3a9e927721685757d0b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2026-07-31T21:05:54.725871Z</t>
        </is>
      </c>
      <c r="BI54" s="24" t="inlineStr">
        <is>
          <t>["same_event","same_team_same_day","same_league_same_day"]</t>
        </is>
      </c>
      <c r="BJ54" s="25" t="n">
        <v>7.5</v>
      </c>
      <c r="BK54" s="26" t="n">
        <v>102</v>
      </c>
      <c r="BL54" s="27" t="n">
        <v>2.02</v>
      </c>
      <c r="BM54" s="28" t="n">
        <v>0.49505</v>
      </c>
      <c r="BN54" s="28" t="n">
        <v>0.492537</v>
      </c>
      <c r="BO54" s="28" t="n"/>
      <c r="BP54" s="25" t="n"/>
      <c r="BQ54" s="27" t="n">
        <v>2.02</v>
      </c>
      <c r="BR54" s="28" t="n">
        <v>0.495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</row>
    <row r="55" ht="36" customHeight="1">
      <c r="A55" s="24" t="inlineStr">
        <is>
          <t>f193d89f2b5b4630</t>
        </is>
      </c>
      <c r="B55" s="24" t="inlineStr">
        <is>
          <t>2026-07-31T21:05:54.725871Z</t>
        </is>
      </c>
      <c r="C55" s="24" t="inlineStr">
        <is>
          <t>2026-07-31T23:10Z</t>
        </is>
      </c>
      <c r="D55" s="24" t="inlineStr">
        <is>
          <t>401816332</t>
        </is>
      </c>
      <c r="E55" s="24" t="inlineStr">
        <is>
          <t>MLB</t>
        </is>
      </c>
      <c r="F55" s="24" t="inlineStr">
        <is>
          <t>Arizona Diamondbacks</t>
        </is>
      </c>
      <c r="G55" s="24" t="inlineStr">
        <is>
          <t>Cleveland Guardians</t>
        </is>
      </c>
      <c r="H55" s="24" t="inlineStr">
        <is>
          <t>spread</t>
        </is>
      </c>
      <c r="I55" s="24" t="inlineStr">
        <is>
          <t>away</t>
        </is>
      </c>
      <c r="J55" s="25" t="n">
        <v>1.5</v>
      </c>
      <c r="K55" s="24" t="inlineStr">
        <is>
          <t>polymarket_us</t>
        </is>
      </c>
      <c r="L55" s="26" t="n">
        <v>-163</v>
      </c>
      <c r="M55" s="27" t="n">
        <v>1.613497</v>
      </c>
      <c r="N55" s="28" t="n">
        <v>0.619772</v>
      </c>
      <c r="O55" s="28" t="n">
        <v>0.546432</v>
      </c>
      <c r="P55" s="28" t="n">
        <v>0.05172</v>
      </c>
      <c r="Q55" s="28" t="n">
        <v>-0.07334</v>
      </c>
      <c r="R55" s="26" t="n">
        <v>0</v>
      </c>
      <c r="S55" s="29" t="n">
        <v>1</v>
      </c>
      <c r="T55" s="24" t="inlineStr">
        <is>
          <t>measured-edge-margin-v1</t>
        </is>
      </c>
      <c r="U55" s="24" t="inlineStr">
        <is>
          <t>settled</t>
        </is>
      </c>
      <c r="V55" s="24" t="inlineStr">
        <is>
          <t>win</t>
        </is>
      </c>
      <c r="W55" s="26" t="n">
        <v>4</v>
      </c>
      <c r="X55" s="26" t="n">
        <v>1</v>
      </c>
      <c r="Y55" s="25" t="n">
        <v>1.5</v>
      </c>
      <c r="Z55" s="26" t="n">
        <v>-163</v>
      </c>
      <c r="AA55" s="28" t="n">
        <v>0.62</v>
      </c>
      <c r="AB55" s="28" t="n">
        <v>0.000228</v>
      </c>
      <c r="AC55" s="30" t="n">
        <v>0.6135</v>
      </c>
      <c r="AD55" s="24" t="inlineStr">
        <is>
          <t>2026-08-01T03:00:03.185273Z</t>
        </is>
      </c>
      <c r="AE55" s="31" t="inlineStr">
        <is>
          <t>Measured Edge Margin: Trend Engine projected 4.51-4.92; raw selected-side p=0.6251, calibrated p=0.5464.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mlb-ari</t>
        </is>
      </c>
      <c r="AQ55" s="24" t="inlineStr">
        <is>
          <t>Arizona Diamondbacks</t>
        </is>
      </c>
      <c r="AR55" s="24" t="inlineStr">
        <is>
          <t>Arizona Diamondbacks</t>
        </is>
      </c>
      <c r="AS55" s="24" t="inlineStr">
        <is>
          <t>mlb-cle</t>
        </is>
      </c>
      <c r="AT55" s="24" t="inlineStr">
        <is>
          <t>Cleveland Guardians</t>
        </is>
      </c>
      <c r="AU55" s="24" t="inlineStr">
        <is>
          <t>Cleveland Guardians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2bc2ce55b0d39a20103f724bbddbde5394909acd49297f52665b596a0ae3ae8b</t>
        </is>
      </c>
      <c r="BB55" s="24" t="inlineStr">
        <is>
          <t>flat_probability_shrinkage_toward_half</t>
        </is>
      </c>
      <c r="BC55" s="24" t="inlineStr">
        <is>
          <t>measured-edge-margin-v1</t>
        </is>
      </c>
      <c r="BD55" s="24" t="inlineStr">
        <is>
          <t>2bc2ce55b0d39a20103f724bbddbde5394909acd49297f52665b596a0ae3ae8b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2026-07-31T21:05:54.725871Z</t>
        </is>
      </c>
      <c r="BI55" s="24" t="inlineStr">
        <is>
          <t>["same_event","same_team_same_day","same_league_same_day"]</t>
        </is>
      </c>
      <c r="BJ55" s="25" t="n">
        <v>1.5</v>
      </c>
      <c r="BK55" s="26" t="n">
        <v>-163</v>
      </c>
      <c r="BL55" s="27" t="n">
        <v>1.613497</v>
      </c>
      <c r="BM55" s="28" t="n">
        <v>0.619772</v>
      </c>
      <c r="BN55" s="28" t="n">
        <v>0.616915</v>
      </c>
      <c r="BO55" s="28" t="n"/>
      <c r="BP55" s="25" t="n"/>
      <c r="BQ55" s="27" t="n">
        <v>1.613497</v>
      </c>
      <c r="BR55" s="28" t="n">
        <v>0.62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</row>
    <row r="56" ht="36" customHeight="1">
      <c r="A56" s="24" t="inlineStr">
        <is>
          <t>e8536835105045af</t>
        </is>
      </c>
      <c r="B56" s="24" t="inlineStr">
        <is>
          <t>2026-07-31T21:05:54.725871Z</t>
        </is>
      </c>
      <c r="C56" s="24" t="inlineStr">
        <is>
          <t>2026-07-31T23:10Z</t>
        </is>
      </c>
      <c r="D56" s="24" t="inlineStr">
        <is>
          <t>401816332</t>
        </is>
      </c>
      <c r="E56" s="24" t="inlineStr">
        <is>
          <t>MLB</t>
        </is>
      </c>
      <c r="F56" s="24" t="inlineStr">
        <is>
          <t>Arizona Diamondbacks</t>
        </is>
      </c>
      <c r="G56" s="24" t="inlineStr">
        <is>
          <t>Cleveland Guardians</t>
        </is>
      </c>
      <c r="H56" s="24" t="inlineStr">
        <is>
          <t>total</t>
        </is>
      </c>
      <c r="I56" s="24" t="inlineStr">
        <is>
          <t>over</t>
        </is>
      </c>
      <c r="J56" s="25" t="n">
        <v>8.5</v>
      </c>
      <c r="K56" s="24" t="inlineStr">
        <is>
          <t>polymarket_us</t>
        </is>
      </c>
      <c r="L56" s="26" t="n">
        <v>-108</v>
      </c>
      <c r="M56" s="27" t="n">
        <v>1.925926</v>
      </c>
      <c r="N56" s="28" t="n">
        <v>0.519231</v>
      </c>
      <c r="O56" s="28" t="n">
        <v>0.532618</v>
      </c>
      <c r="P56" s="28" t="n">
        <v>0.05172</v>
      </c>
      <c r="Q56" s="28" t="n">
        <v>0.013387</v>
      </c>
      <c r="R56" s="26" t="n">
        <v>26</v>
      </c>
      <c r="S56" s="29" t="n">
        <v>1</v>
      </c>
      <c r="T56" s="24" t="inlineStr">
        <is>
          <t>measured-edge-totals-v1</t>
        </is>
      </c>
      <c r="U56" s="24" t="inlineStr">
        <is>
          <t>settled</t>
        </is>
      </c>
      <c r="V56" s="24" t="inlineStr">
        <is>
          <t>loss</t>
        </is>
      </c>
      <c r="W56" s="26" t="n">
        <v>4</v>
      </c>
      <c r="X56" s="26" t="n">
        <v>1</v>
      </c>
      <c r="Y56" s="25" t="n">
        <v>8.5</v>
      </c>
      <c r="Z56" s="26" t="n">
        <v>-108</v>
      </c>
      <c r="AA56" s="28" t="n">
        <v>0.52</v>
      </c>
      <c r="AB56" s="28" t="n">
        <v>0.000769</v>
      </c>
      <c r="AC56" s="30" t="n">
        <v>-1</v>
      </c>
      <c r="AD56" s="24" t="inlineStr">
        <is>
          <t>2026-08-01T03:00:03.468829Z</t>
        </is>
      </c>
      <c r="AE56" s="31" t="inlineStr">
        <is>
          <t>Measured Edge Totals: Trend Engine projected 4.51-4.92; raw selected-side p=0.5495, calibrated p=0.5326.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mlb-ari</t>
        </is>
      </c>
      <c r="AQ56" s="24" t="inlineStr">
        <is>
          <t>Arizona Diamondbacks</t>
        </is>
      </c>
      <c r="AR56" s="24" t="inlineStr">
        <is>
          <t>Arizona Diamondbacks</t>
        </is>
      </c>
      <c r="AS56" s="24" t="inlineStr">
        <is>
          <t>mlb-cle</t>
        </is>
      </c>
      <c r="AT56" s="24" t="inlineStr">
        <is>
          <t>Cleveland Guardians</t>
        </is>
      </c>
      <c r="AU56" s="24" t="inlineStr">
        <is>
          <t>Cleveland Guardians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cbc2c9bf5a9569a49e1902c816d96556d704cf10819ca3a9e927721685757d0b</t>
        </is>
      </c>
      <c r="BB56" s="24" t="inlineStr">
        <is>
          <t>flat_probability_shrinkage_toward_half</t>
        </is>
      </c>
      <c r="BC56" s="24" t="inlineStr">
        <is>
          <t>measured-edge-totals-v1</t>
        </is>
      </c>
      <c r="BD56" s="24" t="inlineStr">
        <is>
          <t>cbc2c9bf5a9569a49e1902c816d96556d704cf10819ca3a9e927721685757d0b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2026-07-31T21:05:54.725871Z</t>
        </is>
      </c>
      <c r="BI56" s="24" t="inlineStr">
        <is>
          <t>["same_event","same_team_same_day","same_league_same_day"]</t>
        </is>
      </c>
      <c r="BJ56" s="25" t="n">
        <v>8.5</v>
      </c>
      <c r="BK56" s="26" t="n">
        <v>-108</v>
      </c>
      <c r="BL56" s="27" t="n">
        <v>1.925926</v>
      </c>
      <c r="BM56" s="28" t="n">
        <v>0.519231</v>
      </c>
      <c r="BN56" s="28" t="n">
        <v>0.517413</v>
      </c>
      <c r="BO56" s="28" t="n"/>
      <c r="BP56" s="25" t="n"/>
      <c r="BQ56" s="27" t="n">
        <v>1.925926</v>
      </c>
      <c r="BR56" s="28" t="n">
        <v>0.52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</row>
    <row r="57" ht="36" customHeight="1">
      <c r="A57" s="24" t="inlineStr">
        <is>
          <t>fea60726d7dd4e66</t>
        </is>
      </c>
      <c r="B57" s="24" t="inlineStr">
        <is>
          <t>2026-07-31T21:05:54.725871Z</t>
        </is>
      </c>
      <c r="C57" s="24" t="inlineStr">
        <is>
          <t>2026-07-31T23:10Z</t>
        </is>
      </c>
      <c r="D57" s="24" t="inlineStr">
        <is>
          <t>401816333</t>
        </is>
      </c>
      <c r="E57" s="24" t="inlineStr">
        <is>
          <t>MLB</t>
        </is>
      </c>
      <c r="F57" s="24" t="inlineStr">
        <is>
          <t>Chicago White Sox</t>
        </is>
      </c>
      <c r="G57" s="24" t="inlineStr">
        <is>
          <t>Tampa Bay Rays</t>
        </is>
      </c>
      <c r="H57" s="24" t="inlineStr">
        <is>
          <t>spread</t>
        </is>
      </c>
      <c r="I57" s="24" t="inlineStr">
        <is>
          <t>away</t>
        </is>
      </c>
      <c r="J57" s="25" t="n">
        <v>1.5</v>
      </c>
      <c r="K57" s="24" t="inlineStr">
        <is>
          <t>polymarket_us</t>
        </is>
      </c>
      <c r="L57" s="26" t="n">
        <v>-163</v>
      </c>
      <c r="M57" s="27" t="n">
        <v>1.613497</v>
      </c>
      <c r="N57" s="28" t="n">
        <v>0.619772</v>
      </c>
      <c r="O57" s="28" t="n">
        <v>0.5435140000000001</v>
      </c>
      <c r="P57" s="28" t="n">
        <v>0.042131</v>
      </c>
      <c r="Q57" s="28" t="n">
        <v>-0.07625800000000001</v>
      </c>
      <c r="R57" s="26" t="n">
        <v>0</v>
      </c>
      <c r="S57" s="29" t="n">
        <v>1</v>
      </c>
      <c r="T57" s="24" t="inlineStr">
        <is>
          <t>measured-edge-margin-v1</t>
        </is>
      </c>
      <c r="U57" s="24" t="inlineStr">
        <is>
          <t>settled</t>
        </is>
      </c>
      <c r="V57" s="24" t="inlineStr">
        <is>
          <t>win</t>
        </is>
      </c>
      <c r="W57" s="26" t="n">
        <v>6</v>
      </c>
      <c r="X57" s="26" t="n">
        <v>1</v>
      </c>
      <c r="Y57" s="25" t="n">
        <v>1.5</v>
      </c>
      <c r="Z57" s="26" t="n">
        <v>-163</v>
      </c>
      <c r="AA57" s="28" t="n">
        <v>0.62</v>
      </c>
      <c r="AB57" s="28" t="n">
        <v>0.000228</v>
      </c>
      <c r="AC57" s="30" t="n">
        <v>0.6135</v>
      </c>
      <c r="AD57" s="24" t="inlineStr">
        <is>
          <t>2026-08-01T03:00:03.755966Z</t>
        </is>
      </c>
      <c r="AE57" s="31" t="inlineStr">
        <is>
          <t>Measured Edge Margin: Trend Engine projected 4.01-4.68; raw selected-side p=0.6102, calibrated p=0.5435.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mlb-cws</t>
        </is>
      </c>
      <c r="AQ57" s="24" t="inlineStr">
        <is>
          <t>Chicago White Sox</t>
        </is>
      </c>
      <c r="AR57" s="24" t="inlineStr">
        <is>
          <t>Chicago White Sox</t>
        </is>
      </c>
      <c r="AS57" s="24" t="inlineStr">
        <is>
          <t>mlb-tb</t>
        </is>
      </c>
      <c r="AT57" s="24" t="inlineStr">
        <is>
          <t>Tampa Bay Rays</t>
        </is>
      </c>
      <c r="AU57" s="24" t="inlineStr">
        <is>
          <t>Tampa Bay Rays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2bc2ce55b0d39a20103f724bbddbde5394909acd49297f52665b596a0ae3ae8b</t>
        </is>
      </c>
      <c r="BB57" s="24" t="inlineStr">
        <is>
          <t>flat_probability_shrinkage_toward_half</t>
        </is>
      </c>
      <c r="BC57" s="24" t="inlineStr">
        <is>
          <t>measured-edge-margin-v1</t>
        </is>
      </c>
      <c r="BD57" s="24" t="inlineStr">
        <is>
          <t>2bc2ce55b0d39a20103f724bbddbde5394909acd49297f52665b596a0ae3ae8b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2026-07-31T21:05:54.725871Z</t>
        </is>
      </c>
      <c r="BI57" s="24" t="inlineStr">
        <is>
          <t>["same_event","same_team_same_day","same_league_same_day"]</t>
        </is>
      </c>
      <c r="BJ57" s="25" t="n">
        <v>1.5</v>
      </c>
      <c r="BK57" s="26" t="n">
        <v>-163</v>
      </c>
      <c r="BL57" s="27" t="n">
        <v>1.613497</v>
      </c>
      <c r="BM57" s="28" t="n">
        <v>0.619772</v>
      </c>
      <c r="BN57" s="28" t="n">
        <v>0.616915</v>
      </c>
      <c r="BO57" s="28" t="n"/>
      <c r="BP57" s="25" t="n"/>
      <c r="BQ57" s="27" t="n">
        <v>1.613497</v>
      </c>
      <c r="BR57" s="28" t="n">
        <v>0.62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</row>
    <row r="58" ht="36" customHeight="1">
      <c r="A58" s="24" t="inlineStr">
        <is>
          <t>a00561c8b55b4b36</t>
        </is>
      </c>
      <c r="B58" s="24" t="inlineStr">
        <is>
          <t>2026-07-31T21:05:54.725871Z</t>
        </is>
      </c>
      <c r="C58" s="24" t="inlineStr">
        <is>
          <t>2026-07-31T23:10Z</t>
        </is>
      </c>
      <c r="D58" s="24" t="inlineStr">
        <is>
          <t>401816333</t>
        </is>
      </c>
      <c r="E58" s="24" t="inlineStr">
        <is>
          <t>MLB</t>
        </is>
      </c>
      <c r="F58" s="24" t="inlineStr">
        <is>
          <t>Chicago White Sox</t>
        </is>
      </c>
      <c r="G58" s="24" t="inlineStr">
        <is>
          <t>Tampa Bay Rays</t>
        </is>
      </c>
      <c r="H58" s="24" t="inlineStr">
        <is>
          <t>total</t>
        </is>
      </c>
      <c r="I58" s="24" t="inlineStr">
        <is>
          <t>under</t>
        </is>
      </c>
      <c r="J58" s="25" t="n">
        <v>8.5</v>
      </c>
      <c r="K58" s="24" t="inlineStr">
        <is>
          <t>polymarket_us</t>
        </is>
      </c>
      <c r="L58" s="26" t="n">
        <v>-111</v>
      </c>
      <c r="M58" s="27" t="n">
        <v>1.900901</v>
      </c>
      <c r="N58" s="28" t="n">
        <v>0.526066</v>
      </c>
      <c r="O58" s="28" t="n">
        <v>0.499878</v>
      </c>
      <c r="P58" s="28" t="n">
        <v>0.042131</v>
      </c>
      <c r="Q58" s="28" t="n">
        <v>-0.026188</v>
      </c>
      <c r="R58" s="26" t="n">
        <v>12</v>
      </c>
      <c r="S58" s="29" t="n">
        <v>1</v>
      </c>
      <c r="T58" s="24" t="inlineStr">
        <is>
          <t>measured-edge-totals-v1</t>
        </is>
      </c>
      <c r="U58" s="24" t="inlineStr">
        <is>
          <t>settled</t>
        </is>
      </c>
      <c r="V58" s="24" t="inlineStr">
        <is>
          <t>win</t>
        </is>
      </c>
      <c r="W58" s="26" t="n">
        <v>6</v>
      </c>
      <c r="X58" s="26" t="n">
        <v>1</v>
      </c>
      <c r="Y58" s="25" t="n">
        <v>8.5</v>
      </c>
      <c r="Z58" s="26" t="n">
        <v>-111</v>
      </c>
      <c r="AA58" s="28" t="n">
        <v>0.525</v>
      </c>
      <c r="AB58" s="28" t="n">
        <v>-0.001066</v>
      </c>
      <c r="AC58" s="30" t="n">
        <v>0.9009</v>
      </c>
      <c r="AD58" s="24" t="inlineStr">
        <is>
          <t>2026-08-01T03:00:04.037663Z</t>
        </is>
      </c>
      <c r="AE58" s="31" t="inlineStr">
        <is>
          <t>Measured Edge Totals: Trend Engine projected 4.01-4.68; raw selected-side p=0.5158, calibrated p=0.4999.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mlb-cws</t>
        </is>
      </c>
      <c r="AQ58" s="24" t="inlineStr">
        <is>
          <t>Chicago White Sox</t>
        </is>
      </c>
      <c r="AR58" s="24" t="inlineStr">
        <is>
          <t>Chicago White Sox</t>
        </is>
      </c>
      <c r="AS58" s="24" t="inlineStr">
        <is>
          <t>mlb-tb</t>
        </is>
      </c>
      <c r="AT58" s="24" t="inlineStr">
        <is>
          <t>Tampa Bay Rays</t>
        </is>
      </c>
      <c r="AU58" s="24" t="inlineStr">
        <is>
          <t>Tampa Bay Rays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cbc2c9bf5a9569a49e1902c816d96556d704cf10819ca3a9e927721685757d0b</t>
        </is>
      </c>
      <c r="BB58" s="24" t="inlineStr">
        <is>
          <t>flat_probability_shrinkage_toward_half</t>
        </is>
      </c>
      <c r="BC58" s="24" t="inlineStr">
        <is>
          <t>measured-edge-totals-v1</t>
        </is>
      </c>
      <c r="BD58" s="24" t="inlineStr">
        <is>
          <t>cbc2c9bf5a9569a49e1902c816d96556d704cf10819ca3a9e927721685757d0b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2026-07-31T21:05:54.725871Z</t>
        </is>
      </c>
      <c r="BI58" s="24" t="inlineStr">
        <is>
          <t>["same_event","same_team_same_day","same_league_same_day"]</t>
        </is>
      </c>
      <c r="BJ58" s="25" t="n">
        <v>8.5</v>
      </c>
      <c r="BK58" s="26" t="n">
        <v>-111</v>
      </c>
      <c r="BL58" s="27" t="n">
        <v>1.900901</v>
      </c>
      <c r="BM58" s="28" t="n">
        <v>0.526066</v>
      </c>
      <c r="BN58" s="28" t="n">
        <v>0.522388</v>
      </c>
      <c r="BO58" s="28" t="n"/>
      <c r="BP58" s="25" t="n"/>
      <c r="BQ58" s="27" t="n">
        <v>1.900901</v>
      </c>
      <c r="BR58" s="28" t="n">
        <v>0.525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</row>
    <row r="59" ht="36" customHeight="1">
      <c r="A59" s="24" t="inlineStr">
        <is>
          <t>0ccd6aa020654ef6</t>
        </is>
      </c>
      <c r="B59" s="24" t="inlineStr">
        <is>
          <t>2026-07-31T21:05:54.725871Z</t>
        </is>
      </c>
      <c r="C59" s="24" t="inlineStr">
        <is>
          <t>2026-07-31T23:10Z</t>
        </is>
      </c>
      <c r="D59" s="24" t="inlineStr">
        <is>
          <t>401816334</t>
        </is>
      </c>
      <c r="E59" s="24" t="inlineStr">
        <is>
          <t>MLB</t>
        </is>
      </c>
      <c r="F59" s="24" t="inlineStr">
        <is>
          <t>Miami Marlins</t>
        </is>
      </c>
      <c r="G59" s="24" t="inlineStr">
        <is>
          <t>New York Mets</t>
        </is>
      </c>
      <c r="H59" s="24" t="inlineStr">
        <is>
          <t>spread</t>
        </is>
      </c>
      <c r="I59" s="24" t="inlineStr">
        <is>
          <t>away</t>
        </is>
      </c>
      <c r="J59" s="25" t="n">
        <v>1.5</v>
      </c>
      <c r="K59" s="24" t="inlineStr">
        <is>
          <t>polymarket_us</t>
        </is>
      </c>
      <c r="L59" s="26" t="n">
        <v>-182</v>
      </c>
      <c r="M59" s="27" t="n">
        <v>1.549451</v>
      </c>
      <c r="N59" s="28" t="n">
        <v>0.64539</v>
      </c>
      <c r="O59" s="28" t="n">
        <v>0.552976</v>
      </c>
      <c r="P59" s="28" t="n">
        <v>0.042131</v>
      </c>
      <c r="Q59" s="28" t="n">
        <v>-0.092414</v>
      </c>
      <c r="R59" s="26" t="n">
        <v>0</v>
      </c>
      <c r="S59" s="29" t="n">
        <v>1</v>
      </c>
      <c r="T59" s="24" t="inlineStr">
        <is>
          <t>measured-edge-margin-v1</t>
        </is>
      </c>
      <c r="U59" s="24" t="inlineStr">
        <is>
          <t>settled</t>
        </is>
      </c>
      <c r="V59" s="24" t="inlineStr">
        <is>
          <t>win</t>
        </is>
      </c>
      <c r="W59" s="26" t="n">
        <v>5</v>
      </c>
      <c r="X59" s="26" t="n">
        <v>2</v>
      </c>
      <c r="Y59" s="25" t="n">
        <v>1.5</v>
      </c>
      <c r="Z59" s="26" t="n">
        <v>-182</v>
      </c>
      <c r="AA59" s="28" t="n">
        <v>0.645</v>
      </c>
      <c r="AB59" s="28" t="n">
        <v>-0.00039</v>
      </c>
      <c r="AC59" s="30" t="n">
        <v>0.5495</v>
      </c>
      <c r="AD59" s="24" t="inlineStr">
        <is>
          <t>2026-08-01T03:00:04.318189Z</t>
        </is>
      </c>
      <c r="AE59" s="31" t="inlineStr">
        <is>
          <t>Measured Edge Margin: Trend Engine projected 4.94-4.95; raw selected-side p=0.6584, calibrated p=0.5530.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mlb-mia</t>
        </is>
      </c>
      <c r="AQ59" s="24" t="inlineStr">
        <is>
          <t>Miami Marlins</t>
        </is>
      </c>
      <c r="AR59" s="24" t="inlineStr">
        <is>
          <t>Miami Marlins</t>
        </is>
      </c>
      <c r="AS59" s="24" t="inlineStr">
        <is>
          <t>mlb-nym</t>
        </is>
      </c>
      <c r="AT59" s="24" t="inlineStr">
        <is>
          <t>New York Mets</t>
        </is>
      </c>
      <c r="AU59" s="24" t="inlineStr">
        <is>
          <t>New York Mets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2bc2ce55b0d39a20103f724bbddbde5394909acd49297f52665b596a0ae3ae8b</t>
        </is>
      </c>
      <c r="BB59" s="24" t="inlineStr">
        <is>
          <t>flat_probability_shrinkage_toward_half</t>
        </is>
      </c>
      <c r="BC59" s="24" t="inlineStr">
        <is>
          <t>measured-edge-margin-v1</t>
        </is>
      </c>
      <c r="BD59" s="24" t="inlineStr">
        <is>
          <t>2bc2ce55b0d39a20103f724bbddbde5394909acd49297f52665b596a0ae3ae8b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2026-07-31T21:05:54.725871Z</t>
        </is>
      </c>
      <c r="BI59" s="24" t="inlineStr">
        <is>
          <t>["same_event","same_team_same_day","same_league_same_day"]</t>
        </is>
      </c>
      <c r="BJ59" s="25" t="n">
        <v>1.5</v>
      </c>
      <c r="BK59" s="26" t="n">
        <v>-182</v>
      </c>
      <c r="BL59" s="27" t="n">
        <v>1.549451</v>
      </c>
      <c r="BM59" s="28" t="n">
        <v>0.64539</v>
      </c>
      <c r="BN59" s="28" t="n">
        <v>0.641791</v>
      </c>
      <c r="BO59" s="28" t="n"/>
      <c r="BP59" s="25" t="n"/>
      <c r="BQ59" s="27" t="n">
        <v>1.549451</v>
      </c>
      <c r="BR59" s="28" t="n">
        <v>0.645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</row>
    <row r="60" ht="36" customHeight="1">
      <c r="A60" s="24" t="inlineStr">
        <is>
          <t>d5fc5592ab4341dd</t>
        </is>
      </c>
      <c r="B60" s="24" t="inlineStr">
        <is>
          <t>2026-07-31T21:05:54.725871Z</t>
        </is>
      </c>
      <c r="C60" s="24" t="inlineStr">
        <is>
          <t>2026-07-31T23:10Z</t>
        </is>
      </c>
      <c r="D60" s="24" t="inlineStr">
        <is>
          <t>401816334</t>
        </is>
      </c>
      <c r="E60" s="24" t="inlineStr">
        <is>
          <t>MLB</t>
        </is>
      </c>
      <c r="F60" s="24" t="inlineStr">
        <is>
          <t>Miami Marlins</t>
        </is>
      </c>
      <c r="G60" s="24" t="inlineStr">
        <is>
          <t>New York Mets</t>
        </is>
      </c>
      <c r="H60" s="24" t="inlineStr">
        <is>
          <t>total</t>
        </is>
      </c>
      <c r="I60" s="24" t="inlineStr">
        <is>
          <t>over</t>
        </is>
      </c>
      <c r="J60" s="25" t="n">
        <v>8.5</v>
      </c>
      <c r="K60" s="24" t="inlineStr">
        <is>
          <t>polymarket_us</t>
        </is>
      </c>
      <c r="L60" s="26" t="n">
        <v>-102</v>
      </c>
      <c r="M60" s="27" t="n">
        <v>1.980392</v>
      </c>
      <c r="N60" s="28" t="n">
        <v>0.50495</v>
      </c>
      <c r="O60" s="28" t="n">
        <v>0.5740420000000001</v>
      </c>
      <c r="P60" s="28" t="n">
        <v>0.042131</v>
      </c>
      <c r="Q60" s="28" t="n">
        <v>0.069092</v>
      </c>
      <c r="R60" s="26" t="n">
        <v>59</v>
      </c>
      <c r="S60" s="29" t="n">
        <v>1.25</v>
      </c>
      <c r="T60" s="24" t="inlineStr">
        <is>
          <t>measured-edge-totals-v1</t>
        </is>
      </c>
      <c r="U60" s="24" t="inlineStr">
        <is>
          <t>settled</t>
        </is>
      </c>
      <c r="V60" s="24" t="inlineStr">
        <is>
          <t>loss</t>
        </is>
      </c>
      <c r="W60" s="26" t="n">
        <v>5</v>
      </c>
      <c r="X60" s="26" t="n">
        <v>2</v>
      </c>
      <c r="Y60" s="25" t="n">
        <v>8.5</v>
      </c>
      <c r="Z60" s="26" t="n">
        <v>-102</v>
      </c>
      <c r="AA60" s="28" t="n">
        <v>0.505</v>
      </c>
      <c r="AB60" s="28" t="n">
        <v>5e-05</v>
      </c>
      <c r="AC60" s="30" t="n">
        <v>-1.25</v>
      </c>
      <c r="AD60" s="24" t="inlineStr">
        <is>
          <t>2026-08-01T03:00:04.601965Z</t>
        </is>
      </c>
      <c r="AE60" s="31" t="inlineStr">
        <is>
          <t>Measured Edge Totals: Trend Engine projected 4.94-4.95; raw selected-side p=0.5923, calibrated p=0.5740.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mlb-mia</t>
        </is>
      </c>
      <c r="AQ60" s="24" t="inlineStr">
        <is>
          <t>Miami Marlins</t>
        </is>
      </c>
      <c r="AR60" s="24" t="inlineStr">
        <is>
          <t>Miami Marlins</t>
        </is>
      </c>
      <c r="AS60" s="24" t="inlineStr">
        <is>
          <t>mlb-nym</t>
        </is>
      </c>
      <c r="AT60" s="24" t="inlineStr">
        <is>
          <t>New York Mets</t>
        </is>
      </c>
      <c r="AU60" s="24" t="inlineStr">
        <is>
          <t>New York Mets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cbc2c9bf5a9569a49e1902c816d96556d704cf10819ca3a9e927721685757d0b</t>
        </is>
      </c>
      <c r="BB60" s="24" t="inlineStr">
        <is>
          <t>flat_probability_shrinkage_toward_half</t>
        </is>
      </c>
      <c r="BC60" s="24" t="inlineStr">
        <is>
          <t>measured-edge-totals-v1</t>
        </is>
      </c>
      <c r="BD60" s="24" t="inlineStr">
        <is>
          <t>cbc2c9bf5a9569a49e1902c816d96556d704cf10819ca3a9e927721685757d0b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2026-07-31T21:05:54.725871Z</t>
        </is>
      </c>
      <c r="BI60" s="24" t="inlineStr">
        <is>
          <t>["same_event","same_team_same_day","same_league_same_day"]</t>
        </is>
      </c>
      <c r="BJ60" s="25" t="n">
        <v>8.5</v>
      </c>
      <c r="BK60" s="26" t="n">
        <v>-102</v>
      </c>
      <c r="BL60" s="27" t="n">
        <v>1.980392</v>
      </c>
      <c r="BM60" s="28" t="n">
        <v>0.50495</v>
      </c>
      <c r="BN60" s="28" t="n">
        <v>0.502488</v>
      </c>
      <c r="BO60" s="28" t="n"/>
      <c r="BP60" s="25" t="n"/>
      <c r="BQ60" s="27" t="n">
        <v>1.980392</v>
      </c>
      <c r="BR60" s="28" t="n">
        <v>0.505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</row>
    <row r="61" ht="36" customHeight="1">
      <c r="A61" s="24" t="inlineStr">
        <is>
          <t>b678fd28ca724674</t>
        </is>
      </c>
      <c r="B61" s="24" t="inlineStr">
        <is>
          <t>2026-07-31T21:05:54.725871Z</t>
        </is>
      </c>
      <c r="C61" s="24" t="inlineStr">
        <is>
          <t>2026-07-31T23:15Z</t>
        </is>
      </c>
      <c r="D61" s="24" t="inlineStr">
        <is>
          <t>401816338</t>
        </is>
      </c>
      <c r="E61" s="24" t="inlineStr">
        <is>
          <t>MLB</t>
        </is>
      </c>
      <c r="F61" s="24" t="inlineStr">
        <is>
          <t>Washington Nationals</t>
        </is>
      </c>
      <c r="G61" s="24" t="inlineStr">
        <is>
          <t>Atlanta Braves</t>
        </is>
      </c>
      <c r="H61" s="24" t="inlineStr">
        <is>
          <t>spread</t>
        </is>
      </c>
      <c r="I61" s="24" t="inlineStr">
        <is>
          <t>home</t>
        </is>
      </c>
      <c r="J61" s="25" t="n">
        <v>1.5</v>
      </c>
      <c r="K61" s="24" t="inlineStr">
        <is>
          <t>polymarket_us</t>
        </is>
      </c>
      <c r="L61" s="26" t="n">
        <v>-182</v>
      </c>
      <c r="M61" s="27" t="n">
        <v>1.549451</v>
      </c>
      <c r="N61" s="28" t="n">
        <v>0.64539</v>
      </c>
      <c r="O61" s="28" t="n">
        <v>0.546226</v>
      </c>
      <c r="P61" s="28" t="n">
        <v>0.042131</v>
      </c>
      <c r="Q61" s="28" t="n">
        <v>-0.099164</v>
      </c>
      <c r="R61" s="26" t="n">
        <v>0</v>
      </c>
      <c r="S61" s="29" t="n">
        <v>1</v>
      </c>
      <c r="T61" s="24" t="inlineStr">
        <is>
          <t>measured-edge-margin-v1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6</v>
      </c>
      <c r="Y61" s="25" t="n">
        <v>1.5</v>
      </c>
      <c r="Z61" s="26" t="n">
        <v>-182</v>
      </c>
      <c r="AA61" s="28" t="n">
        <v>0.645</v>
      </c>
      <c r="AB61" s="28" t="n">
        <v>-0.00039</v>
      </c>
      <c r="AC61" s="30" t="n">
        <v>0.5495</v>
      </c>
      <c r="AD61" s="24" t="inlineStr">
        <is>
          <t>2026-08-01T03:00:04.884635Z</t>
        </is>
      </c>
      <c r="AE61" s="31" t="inlineStr">
        <is>
          <t>Measured Edge Margin: Trend Engine projected 4.68-4.22; raw selected-side p=0.6240, calibrated p=0.5462.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mlb-wsh</t>
        </is>
      </c>
      <c r="AQ61" s="24" t="inlineStr">
        <is>
          <t>Washington Nationals</t>
        </is>
      </c>
      <c r="AR61" s="24" t="inlineStr">
        <is>
          <t>Washington Nationals</t>
        </is>
      </c>
      <c r="AS61" s="24" t="inlineStr">
        <is>
          <t>mlb-atl</t>
        </is>
      </c>
      <c r="AT61" s="24" t="inlineStr">
        <is>
          <t>Atlanta Braves</t>
        </is>
      </c>
      <c r="AU61" s="24" t="inlineStr">
        <is>
          <t>Atlanta Braves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2bc2ce55b0d39a20103f724bbddbde5394909acd49297f52665b596a0ae3ae8b</t>
        </is>
      </c>
      <c r="BB61" s="24" t="inlineStr">
        <is>
          <t>flat_probability_shrinkage_toward_half</t>
        </is>
      </c>
      <c r="BC61" s="24" t="inlineStr">
        <is>
          <t>measured-edge-margin-v1</t>
        </is>
      </c>
      <c r="BD61" s="24" t="inlineStr">
        <is>
          <t>2bc2ce55b0d39a20103f724bbddbde5394909acd49297f52665b596a0ae3ae8b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2026-07-31T21:05:54.725871Z</t>
        </is>
      </c>
      <c r="BI61" s="24" t="inlineStr">
        <is>
          <t>["same_event","same_team_same_day","same_league_same_day"]</t>
        </is>
      </c>
      <c r="BJ61" s="25" t="n">
        <v>1.5</v>
      </c>
      <c r="BK61" s="26" t="n">
        <v>-182</v>
      </c>
      <c r="BL61" s="27" t="n">
        <v>1.549451</v>
      </c>
      <c r="BM61" s="28" t="n">
        <v>0.64539</v>
      </c>
      <c r="BN61" s="28" t="n">
        <v>0.641791</v>
      </c>
      <c r="BO61" s="28" t="n"/>
      <c r="BP61" s="25" t="n"/>
      <c r="BQ61" s="27" t="n">
        <v>1.549451</v>
      </c>
      <c r="BR61" s="28" t="n">
        <v>0.645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</row>
    <row r="62" ht="36" customHeight="1">
      <c r="A62" s="24" t="inlineStr">
        <is>
          <t>1d57acfaf49748c4</t>
        </is>
      </c>
      <c r="B62" s="24" t="inlineStr">
        <is>
          <t>2026-07-31T21:05:54.725871Z</t>
        </is>
      </c>
      <c r="C62" s="24" t="inlineStr">
        <is>
          <t>2026-07-31T23:15Z</t>
        </is>
      </c>
      <c r="D62" s="24" t="inlineStr">
        <is>
          <t>401816338</t>
        </is>
      </c>
      <c r="E62" s="24" t="inlineStr">
        <is>
          <t>MLB</t>
        </is>
      </c>
      <c r="F62" s="24" t="inlineStr">
        <is>
          <t>Washington Nationals</t>
        </is>
      </c>
      <c r="G62" s="24" t="inlineStr">
        <is>
          <t>Atlanta Braves</t>
        </is>
      </c>
      <c r="H62" s="24" t="inlineStr">
        <is>
          <t>total</t>
        </is>
      </c>
      <c r="I62" s="24" t="inlineStr">
        <is>
          <t>under</t>
        </is>
      </c>
      <c r="J62" s="25" t="n">
        <v>9.5</v>
      </c>
      <c r="K62" s="24" t="inlineStr">
        <is>
          <t>polymarket_us</t>
        </is>
      </c>
      <c r="L62" s="26" t="n">
        <v>-122</v>
      </c>
      <c r="M62" s="27" t="n">
        <v>1.819672</v>
      </c>
      <c r="N62" s="28" t="n">
        <v>0.54955</v>
      </c>
      <c r="O62" s="28" t="n">
        <v>0.586459</v>
      </c>
      <c r="P62" s="28" t="n">
        <v>0.042131</v>
      </c>
      <c r="Q62" s="28" t="n">
        <v>0.036909</v>
      </c>
      <c r="R62" s="26" t="n">
        <v>43</v>
      </c>
      <c r="S62" s="29" t="n">
        <v>1.25</v>
      </c>
      <c r="T62" s="24" t="inlineStr">
        <is>
          <t>measured-edge-totals-v1</t>
        </is>
      </c>
      <c r="U62" s="24" t="inlineStr">
        <is>
          <t>settled</t>
        </is>
      </c>
      <c r="V62" s="24" t="inlineStr">
        <is>
          <t>win</t>
        </is>
      </c>
      <c r="W62" s="26" t="n">
        <v>2</v>
      </c>
      <c r="X62" s="26" t="n">
        <v>6</v>
      </c>
      <c r="Y62" s="25" t="n">
        <v>9.5</v>
      </c>
      <c r="Z62" s="26" t="n">
        <v>-122</v>
      </c>
      <c r="AA62" s="28" t="n">
        <v>0.55</v>
      </c>
      <c r="AB62" s="28" t="n">
        <v>0.00045</v>
      </c>
      <c r="AC62" s="30" t="n">
        <v>1.0246</v>
      </c>
      <c r="AD62" s="24" t="inlineStr">
        <is>
          <t>2026-08-01T03:00:05.207093Z</t>
        </is>
      </c>
      <c r="AE62" s="31" t="inlineStr">
        <is>
          <t>Measured Edge Totals: Trend Engine projected 4.68-4.22; raw selected-side p=0.6050, calibrated p=0.5865.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mlb-wsh</t>
        </is>
      </c>
      <c r="AQ62" s="24" t="inlineStr">
        <is>
          <t>Washington Nationals</t>
        </is>
      </c>
      <c r="AR62" s="24" t="inlineStr">
        <is>
          <t>Washington Nationals</t>
        </is>
      </c>
      <c r="AS62" s="24" t="inlineStr">
        <is>
          <t>mlb-atl</t>
        </is>
      </c>
      <c r="AT62" s="24" t="inlineStr">
        <is>
          <t>Atlanta Braves</t>
        </is>
      </c>
      <c r="AU62" s="24" t="inlineStr">
        <is>
          <t>Atlanta Braves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cbc2c9bf5a9569a49e1902c816d96556d704cf10819ca3a9e927721685757d0b</t>
        </is>
      </c>
      <c r="BB62" s="24" t="inlineStr">
        <is>
          <t>flat_probability_shrinkage_toward_half</t>
        </is>
      </c>
      <c r="BC62" s="24" t="inlineStr">
        <is>
          <t>measured-edge-totals-v1</t>
        </is>
      </c>
      <c r="BD62" s="24" t="inlineStr">
        <is>
          <t>cbc2c9bf5a9569a49e1902c816d96556d704cf10819ca3a9e927721685757d0b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2026-07-31T21:05:54.725871Z</t>
        </is>
      </c>
      <c r="BI62" s="24" t="inlineStr">
        <is>
          <t>["same_event","same_team_same_day","same_league_same_day"]</t>
        </is>
      </c>
      <c r="BJ62" s="25" t="n">
        <v>9.5</v>
      </c>
      <c r="BK62" s="26" t="n">
        <v>-122</v>
      </c>
      <c r="BL62" s="27" t="n">
        <v>1.819672</v>
      </c>
      <c r="BM62" s="28" t="n">
        <v>0.54955</v>
      </c>
      <c r="BN62" s="28" t="n">
        <v>0.547264</v>
      </c>
      <c r="BO62" s="28" t="n"/>
      <c r="BP62" s="25" t="n"/>
      <c r="BQ62" s="27" t="n">
        <v>1.819672</v>
      </c>
      <c r="BR62" s="28" t="n">
        <v>0.55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</row>
    <row r="63" ht="36" customHeight="1">
      <c r="A63" s="24" t="inlineStr">
        <is>
          <t>f5699485189e4e76</t>
        </is>
      </c>
      <c r="B63" s="24" t="inlineStr">
        <is>
          <t>2026-07-31T23:29:42.171549Z</t>
        </is>
      </c>
      <c r="C63" s="24" t="inlineStr">
        <is>
          <t>2026-07-31T20:15:00-0400</t>
        </is>
      </c>
      <c r="D63" s="24" t="inlineStr">
        <is>
          <t>401816340</t>
        </is>
      </c>
      <c r="E63" s="24" t="inlineStr">
        <is>
          <t>MLB</t>
        </is>
      </c>
      <c r="F63" s="24" t="inlineStr">
        <is>
          <t>Texas Rangers</t>
        </is>
      </c>
      <c r="G63" s="24" t="inlineStr">
        <is>
          <t>Houston Astros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0.548061</v>
      </c>
      <c r="P63" s="28" t="n"/>
      <c r="Q63" s="28" t="n">
        <v>0.00889</v>
      </c>
      <c r="R63" s="26" t="n">
        <v>25</v>
      </c>
      <c r="S63" s="29" t="n">
        <v>1</v>
      </c>
      <c r="T63" s="24" t="inlineStr">
        <is>
          <t>mlb-elo-trend-lr-v7</t>
        </is>
      </c>
      <c r="U63" s="24" t="inlineStr">
        <is>
          <t>settled</t>
        </is>
      </c>
      <c r="V63" s="24" t="inlineStr">
        <is>
          <t>win</t>
        </is>
      </c>
      <c r="W63" s="26" t="n">
        <v>2</v>
      </c>
      <c r="X63" s="26" t="n">
        <v>11</v>
      </c>
      <c r="Y63" s="25" t="n"/>
      <c r="Z63" s="26" t="n">
        <v>-117</v>
      </c>
      <c r="AA63" s="28" t="n">
        <v>0.54</v>
      </c>
      <c r="AB63" s="28" t="n">
        <v>0.000829</v>
      </c>
      <c r="AC63" s="30" t="n">
        <v>0.8547</v>
      </c>
      <c r="AD63" s="24" t="inlineStr">
        <is>
          <t>2026-08-01T05:33:39.699571Z</t>
        </is>
      </c>
      <c r="AE63" s="31" t="inlineStr">
        <is>
          <t>Learned LR call at threshold 0.6242; executable ask 0.5400 (aec-mlb-tex-hou-2026-07-31); model edge vs ask +0.0081.</t>
        </is>
      </c>
      <c r="AF63" s="31" t="inlineStr">
        <is>
          <t>Learned model; shadow-qualified via operator override.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mlb-tex</t>
        </is>
      </c>
      <c r="AQ63" s="24" t="inlineStr">
        <is>
          <t>Texas Rangers</t>
        </is>
      </c>
      <c r="AR63" s="24" t="inlineStr">
        <is>
          <t>Texas Rangers</t>
        </is>
      </c>
      <c r="AS63" s="24" t="inlineStr">
        <is>
          <t>mlb-hou</t>
        </is>
      </c>
      <c r="AT63" s="24" t="inlineStr">
        <is>
          <t>Houston Astros</t>
        </is>
      </c>
      <c r="AU63" s="24" t="inlineStr">
        <is>
          <t>Houston Astros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464eef695bfbbdaa819ec6f5e4c5bd1068ed20b92915fb2677220ae91e20d8b6</t>
        </is>
      </c>
      <c r="BB63" s="24" t="inlineStr">
        <is>
          <t>learned_lr</t>
        </is>
      </c>
      <c r="BC63" s="24" t="inlineStr">
        <is>
          <t>mlb-elo-trend-lr-v7</t>
        </is>
      </c>
      <c r="BD63" s="24" t="inlineStr">
        <is>
          <t>464eef695bfbbdaa819ec6f5e4c5bd1068ed20b92915fb2677220ae91e20d8b6</t>
        </is>
      </c>
      <c r="BE63" s="24" t="inlineStr">
        <is>
          <t>524a0fd0934624ad</t>
        </is>
      </c>
      <c r="BF63" s="24" t="inlineStr">
        <is>
          <t>1</t>
        </is>
      </c>
      <c r="BG63" s="24" t="inlineStr">
        <is>
          <t>mlb-elo-trend-lr-v7</t>
        </is>
      </c>
      <c r="BH63" s="24" t="inlineStr">
        <is>
          <t>2026-07-31T23:29:18.070151Z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>
        <v>0.537313</v>
      </c>
      <c r="BO63" s="28" t="n"/>
      <c r="BP63" s="25" t="n"/>
      <c r="BQ63" s="27" t="n">
        <v>1.854701</v>
      </c>
      <c r="BR63" s="28" t="n">
        <v>0.54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inlineStr">
        <is>
          <t>0.5417596979</t>
        </is>
      </c>
      <c r="CD63" s="24" t="inlineStr">
        <is>
          <t>0.96412</t>
        </is>
      </c>
      <c r="CE63" s="24" t="inlineStr">
        <is>
          <t>0.956</t>
        </is>
      </c>
      <c r="CF63" s="24" t="inlineStr">
        <is>
          <t>1</t>
        </is>
      </c>
      <c r="CG63" s="24" t="inlineStr">
        <is>
          <t>2.2</t>
        </is>
      </c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</row>
    <row r="64" ht="36" customHeight="1">
      <c r="A64" s="24" t="inlineStr">
        <is>
          <t>55640aa916a34dcf</t>
        </is>
      </c>
      <c r="B64" s="24" t="inlineStr">
        <is>
          <t>2026-07-31T23:29:42.171549Z</t>
        </is>
      </c>
      <c r="C64" s="24" t="inlineStr">
        <is>
          <t>2026-07-31T19:30:00-0400</t>
        </is>
      </c>
      <c r="D64" s="24" t="inlineStr">
        <is>
          <t>401857102</t>
        </is>
      </c>
      <c r="E64" s="24" t="inlineStr">
        <is>
          <t>WNBA</t>
        </is>
      </c>
      <c r="F64" s="24" t="inlineStr">
        <is>
          <t>Seattle Storm</t>
        </is>
      </c>
      <c r="G64" s="24" t="inlineStr">
        <is>
          <t>Atlanta Dream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-525</v>
      </c>
      <c r="M64" s="27" t="n">
        <v>1.190476</v>
      </c>
      <c r="N64" s="28" t="n">
        <v>0.84</v>
      </c>
      <c r="O64" s="28" t="n">
        <v>0.737046</v>
      </c>
      <c r="P64" s="28" t="n"/>
      <c r="Q64" s="28" t="n">
        <v>-0.102954</v>
      </c>
      <c r="R64" s="26" t="n">
        <v>0</v>
      </c>
      <c r="S64" s="29" t="n">
        <v>2</v>
      </c>
      <c r="T64" s="24" t="inlineStr">
        <is>
          <t>wnba-elo-trend-lr-v4</t>
        </is>
      </c>
      <c r="U64" s="24" t="inlineStr">
        <is>
          <t>settled</t>
        </is>
      </c>
      <c r="V64" s="24" t="inlineStr">
        <is>
          <t>win</t>
        </is>
      </c>
      <c r="W64" s="26" t="n">
        <v>89</v>
      </c>
      <c r="X64" s="26" t="n">
        <v>98</v>
      </c>
      <c r="Y64" s="25" t="n"/>
      <c r="Z64" s="26" t="n"/>
      <c r="AA64" s="28" t="n"/>
      <c r="AB64" s="28" t="n"/>
      <c r="AC64" s="30" t="n">
        <v>0.381</v>
      </c>
      <c r="AD64" s="24" t="inlineStr">
        <is>
          <t>2026-08-01T03:00:06.398841Z</t>
        </is>
      </c>
      <c r="AE64" s="31" t="inlineStr">
        <is>
          <t>Learned LR call at threshold 0.5001; executable ask 0.8400 (aec-wnba-sea-atl-2026-07-31); model edge vs ask -0.1030.</t>
        </is>
      </c>
      <c r="AF64" s="31" t="inlineStr">
        <is>
          <t>Learned model; shadow-qualified via operator override.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wnba-sea</t>
        </is>
      </c>
      <c r="AQ64" s="24" t="inlineStr">
        <is>
          <t>Seattle Storm</t>
        </is>
      </c>
      <c r="AR64" s="24" t="inlineStr">
        <is>
          <t>Seattle Storm</t>
        </is>
      </c>
      <c r="AS64" s="24" t="inlineStr">
        <is>
          <t>wnba-atl</t>
        </is>
      </c>
      <c r="AT64" s="24" t="inlineStr">
        <is>
          <t>Atlanta Dream</t>
        </is>
      </c>
      <c r="AU64" s="24" t="inlineStr">
        <is>
          <t>Atlanta Dream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7afd5274214b58b7efd7f7febc7be3ab33b92351cda5cc6403c0a39faea0cc8c</t>
        </is>
      </c>
      <c r="BB64" s="24" t="inlineStr">
        <is>
          <t>learned_lr</t>
        </is>
      </c>
      <c r="BC64" s="24" t="inlineStr">
        <is>
          <t>wnba-elo-trend-lr-v4</t>
        </is>
      </c>
      <c r="BD64" s="24" t="inlineStr">
        <is>
          <t>7afd5274214b58b7efd7f7febc7be3ab33b92351cda5cc6403c0a39faea0cc8c</t>
        </is>
      </c>
      <c r="BE64" s="24" t="inlineStr">
        <is>
          <t>8fdca19bc32f576a</t>
        </is>
      </c>
      <c r="BF64" s="24" t="inlineStr">
        <is>
          <t>1</t>
        </is>
      </c>
      <c r="BG64" s="24" t="inlineStr">
        <is>
          <t>wnba-elo-trend-lr-v4</t>
        </is>
      </c>
      <c r="BH64" s="24" t="inlineStr">
        <is>
          <t>2026-07-31T23:29:25.425390Z</t>
        </is>
      </c>
      <c r="BI64" s="24" t="inlineStr">
        <is>
          <t>["same_event","same_team_same_day","same_league_same_day"]</t>
        </is>
      </c>
      <c r="BJ64" s="25" t="n"/>
      <c r="BK64" s="26" t="n">
        <v>-525</v>
      </c>
      <c r="BL64" s="27" t="n">
        <v>1.190476</v>
      </c>
      <c r="BM64" s="28" t="n">
        <v>0.84</v>
      </c>
      <c r="BN64" s="28" t="n">
        <v>0.831683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inlineStr">
        <is>
          <t>0.821319619</t>
        </is>
      </c>
      <c r="CD64" s="24" t="inlineStr">
        <is>
          <t>-5.618671</t>
        </is>
      </c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</row>
    <row r="65" ht="36" customHeight="1">
      <c r="A65" s="24" t="inlineStr">
        <is>
          <t>a5d8df625d884626</t>
        </is>
      </c>
      <c r="B65" s="24" t="inlineStr">
        <is>
          <t>2026-07-31T23:29:42.171549Z</t>
        </is>
      </c>
      <c r="C65" s="24" t="inlineStr">
        <is>
          <t>2026-07-31T20:40:00-0400</t>
        </is>
      </c>
      <c r="D65" s="24" t="inlineStr">
        <is>
          <t>401816341</t>
        </is>
      </c>
      <c r="E65" s="24" t="inlineStr">
        <is>
          <t>MLB</t>
        </is>
      </c>
      <c r="F65" s="24" t="inlineStr">
        <is>
          <t>Kansas City Royals</t>
        </is>
      </c>
      <c r="G65" s="24" t="inlineStr">
        <is>
          <t>Colorado Rockies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0.5955</v>
      </c>
      <c r="P65" s="28" t="n"/>
      <c r="Q65" s="28" t="n">
        <v>0.08569599999999999</v>
      </c>
      <c r="R65" s="26" t="n">
        <v>64</v>
      </c>
      <c r="S65" s="29" t="n">
        <v>1.25</v>
      </c>
      <c r="T65" s="24" t="inlineStr">
        <is>
          <t>mlb-elo-trend-lr-v7</t>
        </is>
      </c>
      <c r="U65" s="24" t="inlineStr">
        <is>
          <t>settled</t>
        </is>
      </c>
      <c r="V65" s="24" t="inlineStr">
        <is>
          <t>loss</t>
        </is>
      </c>
      <c r="W65" s="26" t="n">
        <v>1</v>
      </c>
      <c r="X65" s="26" t="n">
        <v>3</v>
      </c>
      <c r="Y65" s="25" t="n"/>
      <c r="Z65" s="26" t="n">
        <v>-104</v>
      </c>
      <c r="AA65" s="28" t="n">
        <v>0.51</v>
      </c>
      <c r="AB65" s="28" t="n">
        <v>0.000196</v>
      </c>
      <c r="AC65" s="30" t="n">
        <v>-1.25</v>
      </c>
      <c r="AD65" s="24" t="inlineStr">
        <is>
          <t>2026-08-01T05:33:39.994911Z</t>
        </is>
      </c>
      <c r="AE65" s="31" t="inlineStr">
        <is>
          <t>Learned LR call at threshold 0.6242; executable ask 0.5100 (aec-mlb-kc-col-2026-07-31); model edge vs ask +0.0855.</t>
        </is>
      </c>
      <c r="AF65" s="31" t="inlineStr">
        <is>
          <t>Learned model; shadow-qualified via operator override.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mlb-kc</t>
        </is>
      </c>
      <c r="AQ65" s="24" t="inlineStr">
        <is>
          <t>Kansas City Royals</t>
        </is>
      </c>
      <c r="AR65" s="24" t="inlineStr">
        <is>
          <t>Kansas City Royals</t>
        </is>
      </c>
      <c r="AS65" s="24" t="inlineStr">
        <is>
          <t>mlb-col</t>
        </is>
      </c>
      <c r="AT65" s="24" t="inlineStr">
        <is>
          <t>Colorado Rockies</t>
        </is>
      </c>
      <c r="AU65" s="24" t="inlineStr">
        <is>
          <t>Colorado Rockies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464eef695bfbbdaa819ec6f5e4c5bd1068ed20b92915fb2677220ae91e20d8b6</t>
        </is>
      </c>
      <c r="BB65" s="24" t="inlineStr">
        <is>
          <t>learned_lr</t>
        </is>
      </c>
      <c r="BC65" s="24" t="inlineStr">
        <is>
          <t>mlb-elo-trend-lr-v7</t>
        </is>
      </c>
      <c r="BD65" s="24" t="inlineStr">
        <is>
          <t>464eef695bfbbdaa819ec6f5e4c5bd1068ed20b92915fb2677220ae91e20d8b6</t>
        </is>
      </c>
      <c r="BE65" s="24" t="inlineStr">
        <is>
          <t>923d07b1b3b0c2bd</t>
        </is>
      </c>
      <c r="BF65" s="24" t="inlineStr">
        <is>
          <t>1</t>
        </is>
      </c>
      <c r="BG65" s="24" t="inlineStr">
        <is>
          <t>mlb-elo-trend-lr-v7</t>
        </is>
      </c>
      <c r="BH65" s="24" t="inlineStr">
        <is>
          <t>2026-07-31T23:29:19.286255Z</t>
        </is>
      </c>
      <c r="BI65" s="24" t="inlineStr">
        <is>
          <t>["same_event","same_team_same_day","same_league_same_day"]</t>
        </is>
      </c>
      <c r="BJ65" s="25" t="n"/>
      <c r="BK65" s="26" t="n">
        <v>-104</v>
      </c>
      <c r="BL65" s="27" t="n">
        <v>1.961538</v>
      </c>
      <c r="BM65" s="28" t="n">
        <v>0.509804</v>
      </c>
      <c r="BN65" s="28" t="n">
        <v>0.507463</v>
      </c>
      <c r="BO65" s="28" t="n"/>
      <c r="BP65" s="25" t="n"/>
      <c r="BQ65" s="27" t="n">
        <v>1.961538</v>
      </c>
      <c r="BR65" s="28" t="n">
        <v>0.51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inlineStr">
        <is>
          <t>0.4263386442</t>
        </is>
      </c>
      <c r="CD65" s="24" t="inlineStr">
        <is>
          <t>-0.092509</t>
        </is>
      </c>
      <c r="CE65" s="24" t="inlineStr">
        <is>
          <t>1.193</t>
        </is>
      </c>
      <c r="CF65" s="24" t="inlineStr">
        <is>
          <t>1.0177</t>
        </is>
      </c>
      <c r="CG65" s="24" t="inlineStr">
        <is>
          <t>3.8</t>
        </is>
      </c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</row>
    <row r="66" ht="36" customHeight="1">
      <c r="A66" s="24" t="inlineStr">
        <is>
          <t>cd01f161ca044950</t>
        </is>
      </c>
      <c r="B66" s="24" t="inlineStr">
        <is>
          <t>2026-07-31T23:29:42.171549Z</t>
        </is>
      </c>
      <c r="C66" s="24" t="inlineStr">
        <is>
          <t>2026-07-31T19:30:00-0400</t>
        </is>
      </c>
      <c r="D66" s="24" t="inlineStr">
        <is>
          <t>401857103</t>
        </is>
      </c>
      <c r="E66" s="24" t="inlineStr">
        <is>
          <t>WNBA</t>
        </is>
      </c>
      <c r="F66" s="24" t="inlineStr">
        <is>
          <t>Dallas Wings</t>
        </is>
      </c>
      <c r="G66" s="24" t="inlineStr">
        <is>
          <t>Washington Mystics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-150</v>
      </c>
      <c r="M66" s="27" t="n">
        <v>1.666667</v>
      </c>
      <c r="N66" s="28" t="n">
        <v>0.6</v>
      </c>
      <c r="O66" s="28" t="n">
        <v>0.575648</v>
      </c>
      <c r="P66" s="28" t="n"/>
      <c r="Q66" s="28" t="n">
        <v>-0.024352</v>
      </c>
      <c r="R66" s="26" t="n">
        <v>11</v>
      </c>
      <c r="S66" s="29" t="n">
        <v>1.25</v>
      </c>
      <c r="T66" s="24" t="inlineStr">
        <is>
          <t>wnba-elo-trend-lr-v4</t>
        </is>
      </c>
      <c r="U66" s="24" t="inlineStr">
        <is>
          <t>settled</t>
        </is>
      </c>
      <c r="V66" s="24" t="inlineStr">
        <is>
          <t>loss</t>
        </is>
      </c>
      <c r="W66" s="26" t="n">
        <v>75</v>
      </c>
      <c r="X66" s="26" t="n">
        <v>81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2026-08-01T03:00:06.684303Z</t>
        </is>
      </c>
      <c r="AE66" s="31" t="inlineStr">
        <is>
          <t>Learned LR call at threshold 0.5001; executable ask 0.6000 (aec-wnba-dal-wsh-2026-07-31); model edge vs ask -0.0244.</t>
        </is>
      </c>
      <c r="AF66" s="31" t="inlineStr">
        <is>
          <t>Learned model; shadow-qualified via operator override.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wnba-dal</t>
        </is>
      </c>
      <c r="AQ66" s="24" t="inlineStr">
        <is>
          <t>Dallas Wings</t>
        </is>
      </c>
      <c r="AR66" s="24" t="inlineStr">
        <is>
          <t>Dallas Wings</t>
        </is>
      </c>
      <c r="AS66" s="24" t="inlineStr">
        <is>
          <t>wnba-was</t>
        </is>
      </c>
      <c r="AT66" s="24" t="inlineStr">
        <is>
          <t>Washington Mystics</t>
        </is>
      </c>
      <c r="AU66" s="24" t="inlineStr">
        <is>
          <t>Washington Mystics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7afd5274214b58b7efd7f7febc7be3ab33b92351cda5cc6403c0a39faea0cc8c</t>
        </is>
      </c>
      <c r="BB66" s="24" t="inlineStr">
        <is>
          <t>learned_lr</t>
        </is>
      </c>
      <c r="BC66" s="24" t="inlineStr">
        <is>
          <t>wnba-elo-trend-lr-v4</t>
        </is>
      </c>
      <c r="BD66" s="24" t="inlineStr">
        <is>
          <t>7afd5274214b58b7efd7f7febc7be3ab33b92351cda5cc6403c0a39faea0cc8c</t>
        </is>
      </c>
      <c r="BE66" s="24" t="inlineStr">
        <is>
          <t>0f848d940ea26816</t>
        </is>
      </c>
      <c r="BF66" s="24" t="inlineStr">
        <is>
          <t>1</t>
        </is>
      </c>
      <c r="BG66" s="24" t="inlineStr">
        <is>
          <t>wnba-elo-trend-lr-v4</t>
        </is>
      </c>
      <c r="BH66" s="24" t="inlineStr">
        <is>
          <t>2026-07-31T23:29:26.294036Z</t>
        </is>
      </c>
      <c r="BI66" s="24" t="inlineStr">
        <is>
          <t>["same_event","same_team_same_day","same_league_same_day"]</t>
        </is>
      </c>
      <c r="BJ66" s="25" t="n"/>
      <c r="BK66" s="26" t="n">
        <v>-150</v>
      </c>
      <c r="BL66" s="27" t="n">
        <v>1.666667</v>
      </c>
      <c r="BM66" s="28" t="n">
        <v>0.6</v>
      </c>
      <c r="BN66" s="28" t="n">
        <v>0.594059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0.4036949453</t>
        </is>
      </c>
      <c r="CD66" s="24" t="inlineStr">
        <is>
          <t>-0.615194</t>
        </is>
      </c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</row>
    <row r="67" ht="36" customHeight="1">
      <c r="A67" s="24" t="inlineStr">
        <is>
          <t>a2e6ce67dd9c4ecf</t>
        </is>
      </c>
      <c r="B67" s="24" t="inlineStr">
        <is>
          <t>2026-07-31T23:29:42.171549Z</t>
        </is>
      </c>
      <c r="C67" s="24" t="inlineStr">
        <is>
          <t>2026-07-31T21:38:00-0400</t>
        </is>
      </c>
      <c r="D67" s="24" t="inlineStr">
        <is>
          <t>401816344</t>
        </is>
      </c>
      <c r="E67" s="24" t="inlineStr">
        <is>
          <t>MLB</t>
        </is>
      </c>
      <c r="F67" s="24" t="inlineStr">
        <is>
          <t>Milwaukee Brewers</t>
        </is>
      </c>
      <c r="G67" s="24" t="inlineStr">
        <is>
          <t>Los Angeles Angels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-156</v>
      </c>
      <c r="M67" s="27" t="n">
        <v>1.641026</v>
      </c>
      <c r="N67" s="28" t="n">
        <v>0.609375</v>
      </c>
      <c r="O67" s="28" t="n">
        <v>0.623039</v>
      </c>
      <c r="P67" s="28" t="n"/>
      <c r="Q67" s="28" t="n">
        <v>0.013664</v>
      </c>
      <c r="R67" s="26" t="n">
        <v>28</v>
      </c>
      <c r="S67" s="29" t="n">
        <v>1.5</v>
      </c>
      <c r="T67" s="24" t="inlineStr">
        <is>
          <t>mlb-elo-trend-lr-v7</t>
        </is>
      </c>
      <c r="U67" s="24" t="inlineStr">
        <is>
          <t>settled</t>
        </is>
      </c>
      <c r="V67" s="24" t="inlineStr">
        <is>
          <t>win</t>
        </is>
      </c>
      <c r="W67" s="26" t="n">
        <v>6</v>
      </c>
      <c r="X67" s="26" t="n">
        <v>2</v>
      </c>
      <c r="Y67" s="25" t="n"/>
      <c r="Z67" s="26" t="n">
        <v>-156</v>
      </c>
      <c r="AA67" s="28" t="n">
        <v>0.61</v>
      </c>
      <c r="AB67" s="28" t="n">
        <v>0.000625</v>
      </c>
      <c r="AC67" s="30" t="n">
        <v>0.9615</v>
      </c>
      <c r="AD67" s="24" t="inlineStr">
        <is>
          <t>2026-08-01T05:33:40.292879Z</t>
        </is>
      </c>
      <c r="AE67" s="31" t="inlineStr">
        <is>
          <t>Learned LR call at threshold 0.6242; executable ask 0.6100 (aec-mlb-mil-laa-2026-07-31); model edge vs ask +0.0130.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mlb-mil</t>
        </is>
      </c>
      <c r="AQ67" s="24" t="inlineStr">
        <is>
          <t>Milwaukee Brewers</t>
        </is>
      </c>
      <c r="AR67" s="24" t="inlineStr">
        <is>
          <t>Milwaukee Brewers</t>
        </is>
      </c>
      <c r="AS67" s="24" t="inlineStr">
        <is>
          <t>mlb-laa</t>
        </is>
      </c>
      <c r="AT67" s="24" t="inlineStr">
        <is>
          <t>Los Angeles Angels</t>
        </is>
      </c>
      <c r="AU67" s="24" t="inlineStr">
        <is>
          <t>Los Angeles Angels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536a32a342b89fa6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2026-07-31T23:29:19.944430Z</t>
        </is>
      </c>
      <c r="BI67" s="24" t="inlineStr">
        <is>
          <t>["same_event","same_team_same_day","same_league_same_day"]</t>
        </is>
      </c>
      <c r="BJ67" s="25" t="n"/>
      <c r="BK67" s="26" t="n">
        <v>-156</v>
      </c>
      <c r="BL67" s="27" t="n">
        <v>1.641026</v>
      </c>
      <c r="BM67" s="28" t="n">
        <v>0.609375</v>
      </c>
      <c r="BN67" s="28" t="n">
        <v>0.606965</v>
      </c>
      <c r="BO67" s="28" t="n"/>
      <c r="BP67" s="25" t="n"/>
      <c r="BQ67" s="27" t="n">
        <v>1.641026</v>
      </c>
      <c r="BR67" s="28" t="n">
        <v>0.61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0.3355785191</t>
        </is>
      </c>
      <c r="CD67" s="24" t="inlineStr">
        <is>
          <t>-0.284241</t>
        </is>
      </c>
      <c r="CE67" s="24" t="inlineStr">
        <is>
          <t>1.01</t>
        </is>
      </c>
      <c r="CF67" s="24" t="inlineStr">
        <is>
          <t>1.0122</t>
        </is>
      </c>
      <c r="CG67" s="24" t="inlineStr">
        <is>
          <t>-0.4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</row>
    <row r="68" ht="36" customHeight="1">
      <c r="A68" s="24" t="inlineStr">
        <is>
          <t>f87ad21d2fcd40e3</t>
        </is>
      </c>
      <c r="B68" s="24" t="inlineStr">
        <is>
          <t>2026-07-31T23:29:42.171549Z</t>
        </is>
      </c>
      <c r="C68" s="24" t="inlineStr">
        <is>
          <t>2026-07-31T22:00:00-0400</t>
        </is>
      </c>
      <c r="D68" s="24" t="inlineStr">
        <is>
          <t>401857104</t>
        </is>
      </c>
      <c r="E68" s="24" t="inlineStr">
        <is>
          <t>WNBA</t>
        </is>
      </c>
      <c r="F68" s="24" t="inlineStr">
        <is>
          <t>Indiana Fever</t>
        </is>
      </c>
      <c r="G68" s="24" t="inlineStr">
        <is>
          <t>Portland Fire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-300</v>
      </c>
      <c r="M68" s="27" t="n">
        <v>1.333333</v>
      </c>
      <c r="N68" s="28" t="n">
        <v>0.75</v>
      </c>
      <c r="O68" s="28" t="n">
        <v>0.650826</v>
      </c>
      <c r="P68" s="28" t="n"/>
      <c r="Q68" s="28" t="n">
        <v>-0.099174</v>
      </c>
      <c r="R68" s="26" t="n">
        <v>0</v>
      </c>
      <c r="S68" s="29" t="n">
        <v>1.75</v>
      </c>
      <c r="T68" s="24" t="inlineStr">
        <is>
          <t>wnba-elo-trend-lr-v4</t>
        </is>
      </c>
      <c r="U68" s="24" t="inlineStr">
        <is>
          <t>settled</t>
        </is>
      </c>
      <c r="V68" s="24" t="inlineStr">
        <is>
          <t>win</t>
        </is>
      </c>
      <c r="W68" s="26" t="n">
        <v>112</v>
      </c>
      <c r="X68" s="26" t="n">
        <v>98</v>
      </c>
      <c r="Y68" s="25" t="n"/>
      <c r="Z68" s="26" t="n"/>
      <c r="AA68" s="28" t="n"/>
      <c r="AB68" s="28" t="n"/>
      <c r="AC68" s="30" t="n">
        <v>0.5833</v>
      </c>
      <c r="AD68" s="24" t="inlineStr">
        <is>
          <t>2026-08-01T05:33:40.859943Z</t>
        </is>
      </c>
      <c r="AE68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wnba-ind</t>
        </is>
      </c>
      <c r="AQ68" s="24" t="inlineStr">
        <is>
          <t>Indiana Fever</t>
        </is>
      </c>
      <c r="AR68" s="24" t="inlineStr">
        <is>
          <t>Indiana Fever</t>
        </is>
      </c>
      <c r="AS68" s="24" t="inlineStr">
        <is>
          <t>wnba-por</t>
        </is>
      </c>
      <c r="AT68" s="24" t="inlineStr">
        <is>
          <t>Portland Fire</t>
        </is>
      </c>
      <c r="AU68" s="24" t="inlineStr">
        <is>
          <t>Portland Fire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7afd5274214b58b7efd7f7febc7be3ab33b92351cda5cc6403c0a39faea0cc8c</t>
        </is>
      </c>
      <c r="BB68" s="24" t="inlineStr">
        <is>
          <t>learned_lr</t>
        </is>
      </c>
      <c r="BC68" s="24" t="inlineStr">
        <is>
          <t>wnba-elo-trend-lr-v4</t>
        </is>
      </c>
      <c r="BD68" s="24" t="inlineStr">
        <is>
          <t>7afd5274214b58b7efd7f7febc7be3ab33b92351cda5cc6403c0a39faea0cc8c</t>
        </is>
      </c>
      <c r="BE68" s="24" t="inlineStr">
        <is>
          <t>bcb9c02760c21728</t>
        </is>
      </c>
      <c r="BF68" s="24" t="inlineStr">
        <is>
          <t>1</t>
        </is>
      </c>
      <c r="BG68" s="24" t="inlineStr">
        <is>
          <t>wnba-elo-trend-lr-v4</t>
        </is>
      </c>
      <c r="BH68" s="24" t="inlineStr">
        <is>
          <t>2026-07-31T23:29:27.325378Z</t>
        </is>
      </c>
      <c r="BI68" s="24" t="inlineStr">
        <is>
          <t>["same_event","same_team_same_day","same_league_same_day"]</t>
        </is>
      </c>
      <c r="BJ68" s="25" t="n"/>
      <c r="BK68" s="26" t="n">
        <v>-300</v>
      </c>
      <c r="BL68" s="27" t="n">
        <v>1.333333</v>
      </c>
      <c r="BM68" s="28" t="n">
        <v>0.75</v>
      </c>
      <c r="BN68" s="28" t="n">
        <v>0.742574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0.2910587699</t>
        </is>
      </c>
      <c r="CD68" s="24" t="inlineStr">
        <is>
          <t>-7.416658</t>
        </is>
      </c>
      <c r="CE68" s="24" t="n"/>
      <c r="CF68" s="24" t="n"/>
      <c r="CG68" s="24" t="n"/>
      <c r="CH68" s="24" t="n"/>
      <c r="CI68" s="24" t="inlineStr">
        <is>
          <t>wnba_availability_source_conflict</t>
        </is>
      </c>
      <c r="CJ68" s="24" t="n"/>
      <c r="CK68" s="24" t="n"/>
      <c r="CL68" s="24" t="n"/>
      <c r="CM68" s="24" t="n"/>
      <c r="CN68" s="24" t="n"/>
      <c r="CO68" s="24" t="n"/>
      <c r="CP68" s="24" t="n"/>
      <c r="CQ68" s="24" t="n"/>
    </row>
    <row r="69" ht="36" customHeight="1">
      <c r="A69" s="24" t="inlineStr">
        <is>
          <t>7a057b5796e04b28</t>
        </is>
      </c>
      <c r="B69" s="24" t="inlineStr">
        <is>
          <t>2026-07-31T23:29:42.171549Z</t>
        </is>
      </c>
      <c r="C69" s="24" t="inlineStr">
        <is>
          <t>2026-07-31T21:40:00-0400</t>
        </is>
      </c>
      <c r="D69" s="24" t="inlineStr">
        <is>
          <t>401816343</t>
        </is>
      </c>
      <c r="E69" s="24" t="inlineStr">
        <is>
          <t>MLB</t>
        </is>
      </c>
      <c r="F69" s="24" t="inlineStr">
        <is>
          <t>Detroit Tigers</t>
        </is>
      </c>
      <c r="G69" s="24" t="inlineStr">
        <is>
          <t>Athletics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-130</v>
      </c>
      <c r="M69" s="27" t="n">
        <v>1.769231</v>
      </c>
      <c r="N69" s="28" t="n">
        <v>0.565217</v>
      </c>
      <c r="O69" s="28" t="n">
        <v>0.557314</v>
      </c>
      <c r="P69" s="28" t="n"/>
      <c r="Q69" s="28" t="n">
        <v>-0.007903</v>
      </c>
      <c r="R69" s="26" t="n">
        <v>18</v>
      </c>
      <c r="S69" s="29" t="n">
        <v>1</v>
      </c>
      <c r="T69" s="24" t="inlineStr">
        <is>
          <t>mlb-elo-trend-lr-v7</t>
        </is>
      </c>
      <c r="U69" s="24" t="inlineStr">
        <is>
          <t>settled</t>
        </is>
      </c>
      <c r="V69" s="24" t="inlineStr">
        <is>
          <t>win</t>
        </is>
      </c>
      <c r="W69" s="26" t="n">
        <v>13</v>
      </c>
      <c r="X69" s="26" t="n">
        <v>1</v>
      </c>
      <c r="Y69" s="25" t="n"/>
      <c r="Z69" s="26" t="n">
        <v>-130</v>
      </c>
      <c r="AA69" s="28" t="n">
        <v>0.5649999999999999</v>
      </c>
      <c r="AB69" s="28" t="n">
        <v>-0.000217</v>
      </c>
      <c r="AC69" s="30" t="n">
        <v>0.7692</v>
      </c>
      <c r="AD69" s="24" t="inlineStr">
        <is>
          <t>2026-08-01T05:33:41.180045Z</t>
        </is>
      </c>
      <c r="AE69" s="31" t="inlineStr">
        <is>
          <t>Learned LR call at threshold 0.6242; executable ask 0.5650 (aec-mlb-det-ath-2026-07-31); model edge vs ask -0.0077.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mlb-det</t>
        </is>
      </c>
      <c r="AQ69" s="24" t="inlineStr">
        <is>
          <t>Detroit Tigers</t>
        </is>
      </c>
      <c r="AR69" s="24" t="inlineStr">
        <is>
          <t>Detroit Tigers</t>
        </is>
      </c>
      <c r="AS69" s="24" t="inlineStr">
        <is>
          <t>mlb-ath</t>
        </is>
      </c>
      <c r="AT69" s="24" t="inlineStr">
        <is>
          <t>Athletics</t>
        </is>
      </c>
      <c r="AU69" s="24" t="inlineStr">
        <is>
          <t>Athletics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eaf96e9b22f1492f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2026-07-31T23:29:20.970194Z</t>
        </is>
      </c>
      <c r="BI69" s="24" t="inlineStr">
        <is>
          <t>["same_event","same_team_same_day","same_league_same_day"]</t>
        </is>
      </c>
      <c r="BJ69" s="25" t="n"/>
      <c r="BK69" s="26" t="n">
        <v>-130</v>
      </c>
      <c r="BL69" s="27" t="n">
        <v>1.769231</v>
      </c>
      <c r="BM69" s="28" t="n">
        <v>0.565217</v>
      </c>
      <c r="BN69" s="28" t="n">
        <v>0.562189</v>
      </c>
      <c r="BO69" s="28" t="n"/>
      <c r="BP69" s="25" t="n"/>
      <c r="BQ69" s="27" t="n">
        <v>1.769231</v>
      </c>
      <c r="BR69" s="28" t="n">
        <v>0.5649999999999999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0.4303979443</t>
        </is>
      </c>
      <c r="CD69" s="24" t="inlineStr">
        <is>
          <t>-2.346854</t>
        </is>
      </c>
      <c r="CE69" s="24" t="inlineStr">
        <is>
          <t>1.153</t>
        </is>
      </c>
      <c r="CF69" s="24" t="inlineStr">
        <is>
          <t>1.0239</t>
        </is>
      </c>
      <c r="CG69" s="24" t="inlineStr">
        <is>
          <t>0.6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</row>
    <row r="70" ht="36" customHeight="1">
      <c r="A70" s="24" t="inlineStr">
        <is>
          <t>6dda98bb166f4f4c</t>
        </is>
      </c>
      <c r="B70" s="24" t="inlineStr">
        <is>
          <t>2026-07-31T23:29:42.171549Z</t>
        </is>
      </c>
      <c r="C70" s="24" t="inlineStr">
        <is>
          <t>2026-07-31T21:45:00-0400</t>
        </is>
      </c>
      <c r="D70" s="24" t="inlineStr">
        <is>
          <t>401816346</t>
        </is>
      </c>
      <c r="E70" s="24" t="inlineStr">
        <is>
          <t>MLB</t>
        </is>
      </c>
      <c r="F70" s="24" t="inlineStr">
        <is>
          <t>San Francisco Giants</t>
        </is>
      </c>
      <c r="G70" s="24" t="inlineStr">
        <is>
          <t>San Diego Padres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-138</v>
      </c>
      <c r="M70" s="27" t="n">
        <v>1.724638</v>
      </c>
      <c r="N70" s="28" t="n">
        <v>0.579832</v>
      </c>
      <c r="O70" s="28" t="n">
        <v>0.594553</v>
      </c>
      <c r="P70" s="28" t="n"/>
      <c r="Q70" s="28" t="n">
        <v>0.014721</v>
      </c>
      <c r="R70" s="26" t="n">
        <v>29</v>
      </c>
      <c r="S70" s="29" t="n">
        <v>1.25</v>
      </c>
      <c r="T70" s="24" t="inlineStr">
        <is>
          <t>mlb-elo-trend-lr-v7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7</v>
      </c>
      <c r="Y70" s="25" t="n"/>
      <c r="Z70" s="26" t="n">
        <v>-138</v>
      </c>
      <c r="AA70" s="28" t="n">
        <v>0.58</v>
      </c>
      <c r="AB70" s="28" t="n">
        <v>0.000168</v>
      </c>
      <c r="AC70" s="30" t="n">
        <v>0.9058</v>
      </c>
      <c r="AD70" s="24" t="inlineStr">
        <is>
          <t>2026-08-01T05:33:41.504211Z</t>
        </is>
      </c>
      <c r="AE70" s="31" t="inlineStr">
        <is>
          <t>Learned LR call at threshold 0.6242; executable ask 0.5800 (aec-mlb-sf-sd-2026-07-31); model edge vs ask +0.0146.</t>
        </is>
      </c>
      <c r="AF70" s="31" t="inlineStr">
        <is>
          <t>Learned model; shadow-qualified via operator override.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mlb-sf</t>
        </is>
      </c>
      <c r="AQ70" s="24" t="inlineStr">
        <is>
          <t>San Francisco Giants</t>
        </is>
      </c>
      <c r="AR70" s="24" t="inlineStr">
        <is>
          <t>San Francisco Giants</t>
        </is>
      </c>
      <c r="AS70" s="24" t="inlineStr">
        <is>
          <t>mlb-sd</t>
        </is>
      </c>
      <c r="AT70" s="24" t="inlineStr">
        <is>
          <t>San Diego Padres</t>
        </is>
      </c>
      <c r="AU70" s="24" t="inlineStr">
        <is>
          <t>San Diego Padres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464eef695bfbbdaa819ec6f5e4c5bd1068ed20b92915fb2677220ae91e20d8b6</t>
        </is>
      </c>
      <c r="BB70" s="24" t="inlineStr">
        <is>
          <t>learned_lr</t>
        </is>
      </c>
      <c r="BC70" s="24" t="inlineStr">
        <is>
          <t>mlb-elo-trend-lr-v7</t>
        </is>
      </c>
      <c r="BD70" s="24" t="inlineStr">
        <is>
          <t>464eef695bfbbdaa819ec6f5e4c5bd1068ed20b92915fb2677220ae91e20d8b6</t>
        </is>
      </c>
      <c r="BE70" s="24" t="inlineStr">
        <is>
          <t>9df16cb5c93b6892</t>
        </is>
      </c>
      <c r="BF70" s="24" t="inlineStr">
        <is>
          <t>1</t>
        </is>
      </c>
      <c r="BG70" s="24" t="inlineStr">
        <is>
          <t>mlb-elo-trend-lr-v7</t>
        </is>
      </c>
      <c r="BH70" s="24" t="inlineStr">
        <is>
          <t>2026-07-31T23:29:22.107755Z</t>
        </is>
      </c>
      <c r="BI70" s="24" t="inlineStr">
        <is>
          <t>["same_event","same_team_same_day","same_league_same_day"]</t>
        </is>
      </c>
      <c r="BJ70" s="25" t="n"/>
      <c r="BK70" s="26" t="n">
        <v>-138</v>
      </c>
      <c r="BL70" s="27" t="n">
        <v>1.724638</v>
      </c>
      <c r="BM70" s="28" t="n">
        <v>0.579832</v>
      </c>
      <c r="BN70" s="28" t="n">
        <v>0.577114</v>
      </c>
      <c r="BO70" s="28" t="n"/>
      <c r="BP70" s="25" t="n"/>
      <c r="BQ70" s="27" t="n">
        <v>1.724638</v>
      </c>
      <c r="BR70" s="28" t="n">
        <v>0.58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inlineStr">
        <is>
          <t>0.5827558821</t>
        </is>
      </c>
      <c r="CD70" s="24" t="inlineStr">
        <is>
          <t>-1.601104</t>
        </is>
      </c>
      <c r="CE70" s="24" t="inlineStr">
        <is>
          <t>0.945</t>
        </is>
      </c>
      <c r="CF70" s="24" t="inlineStr">
        <is>
          <t>1.0049</t>
        </is>
      </c>
      <c r="CG70" s="24" t="inlineStr">
        <is>
          <t>-0.2</t>
        </is>
      </c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</row>
    <row r="71" ht="36" customHeight="1">
      <c r="A71" s="24" t="inlineStr">
        <is>
          <t>3cc74c950ced43ef</t>
        </is>
      </c>
      <c r="B71" s="24" t="inlineStr">
        <is>
          <t>2026-07-31T23:29:42.171549Z</t>
        </is>
      </c>
      <c r="C71" s="24" t="inlineStr">
        <is>
          <t>2026-07-31T22:10:00-0400</t>
        </is>
      </c>
      <c r="D71" s="24" t="inlineStr">
        <is>
          <t>401816342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-125</v>
      </c>
      <c r="M71" s="27" t="n">
        <v>1.8</v>
      </c>
      <c r="N71" s="28" t="n">
        <v>0.555556</v>
      </c>
      <c r="O71" s="28" t="n">
        <v>0.564527</v>
      </c>
      <c r="P71" s="28" t="n"/>
      <c r="Q71" s="28" t="n">
        <v>0.008971</v>
      </c>
      <c r="R71" s="26" t="n">
        <v>26</v>
      </c>
      <c r="S71" s="29" t="n">
        <v>1</v>
      </c>
      <c r="T71" s="24" t="inlineStr">
        <is>
          <t>mlb-elo-trend-lr-v7</t>
        </is>
      </c>
      <c r="U71" s="24" t="inlineStr">
        <is>
          <t>settled</t>
        </is>
      </c>
      <c r="V71" s="24" t="inlineStr">
        <is>
          <t>loss</t>
        </is>
      </c>
      <c r="W71" s="26" t="n">
        <v>9</v>
      </c>
      <c r="X71" s="26" t="n">
        <v>4</v>
      </c>
      <c r="Y71" s="25" t="n"/>
      <c r="Z71" s="26" t="n">
        <v>-125</v>
      </c>
      <c r="AA71" s="28" t="n">
        <v>0.555</v>
      </c>
      <c r="AB71" s="28" t="n">
        <v>-0.000556</v>
      </c>
      <c r="AC71" s="30" t="n">
        <v>-1</v>
      </c>
      <c r="AD71" s="24" t="inlineStr">
        <is>
          <t>2026-08-01T05:33:41.816447Z</t>
        </is>
      </c>
      <c r="AE71" s="31" t="inlineStr">
        <is>
          <t>Learned LR call at threshold 0.6242; executable ask 0.5550 (aec-mlb-bos-lad-2026-07-31); model edge vs ask +0.0095.</t>
        </is>
      </c>
      <c r="AF71" s="31" t="inlineStr">
        <is>
          <t>Learned model; shadow-qualified via operator override.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464eef695bfbbdaa819ec6f5e4c5bd1068ed20b92915fb2677220ae91e20d8b6</t>
        </is>
      </c>
      <c r="BB71" s="24" t="inlineStr">
        <is>
          <t>learned_lr</t>
        </is>
      </c>
      <c r="BC71" s="24" t="inlineStr">
        <is>
          <t>mlb-elo-trend-lr-v7</t>
        </is>
      </c>
      <c r="BD71" s="24" t="inlineStr">
        <is>
          <t>464eef695bfbbdaa819ec6f5e4c5bd1068ed20b92915fb2677220ae91e20d8b6</t>
        </is>
      </c>
      <c r="BE71" s="24" t="inlineStr">
        <is>
          <t>eadca7460f5bd810</t>
        </is>
      </c>
      <c r="BF71" s="24" t="inlineStr">
        <is>
          <t>1</t>
        </is>
      </c>
      <c r="BG71" s="24" t="inlineStr">
        <is>
          <t>mlb-elo-trend-lr-v7</t>
        </is>
      </c>
      <c r="BH71" s="24" t="inlineStr">
        <is>
          <t>2026-07-31T23:29:23.984993Z</t>
        </is>
      </c>
      <c r="BI71" s="24" t="inlineStr">
        <is>
          <t>["same_event","same_team_same_day","same_league_same_day"]</t>
        </is>
      </c>
      <c r="BJ71" s="25" t="n"/>
      <c r="BK71" s="26" t="n">
        <v>-125</v>
      </c>
      <c r="BL71" s="27" t="n">
        <v>1.8</v>
      </c>
      <c r="BM71" s="28" t="n">
        <v>0.555556</v>
      </c>
      <c r="BN71" s="28" t="n">
        <v>0.552239</v>
      </c>
      <c r="BO71" s="28" t="n"/>
      <c r="BP71" s="25" t="n"/>
      <c r="BQ71" s="27" t="n">
        <v>1.8</v>
      </c>
      <c r="BR71" s="28" t="n">
        <v>0.555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0.5626775445</t>
        </is>
      </c>
      <c r="CD71" s="24" t="inlineStr">
        <is>
          <t>0.365039</t>
        </is>
      </c>
      <c r="CE71" s="24" t="inlineStr">
        <is>
          <t>1.026</t>
        </is>
      </c>
      <c r="CF71" s="24" t="inlineStr">
        <is>
          <t>1.0057</t>
        </is>
      </c>
      <c r="CG71" s="24" t="inlineStr">
        <is>
          <t>2.2</t>
        </is>
      </c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</row>
    <row r="72" ht="36" customHeight="1">
      <c r="A72" s="24" t="inlineStr">
        <is>
          <t>f094a2aadd8b4718</t>
        </is>
      </c>
      <c r="B72" s="24" t="inlineStr">
        <is>
          <t>2026-07-31T23:29:42.171549Z</t>
        </is>
      </c>
      <c r="C72" s="24" t="inlineStr">
        <is>
          <t>2026-07-31T22:10:00-0400</t>
        </is>
      </c>
      <c r="D72" s="24" t="inlineStr">
        <is>
          <t>401816345</t>
        </is>
      </c>
      <c r="E72" s="24" t="inlineStr">
        <is>
          <t>MLB</t>
        </is>
      </c>
      <c r="F72" s="24" t="inlineStr">
        <is>
          <t>Minnesota Twins</t>
        </is>
      </c>
      <c r="G72" s="24" t="inlineStr">
        <is>
          <t>Seattle Mariners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-156</v>
      </c>
      <c r="M72" s="27" t="n">
        <v>1.641026</v>
      </c>
      <c r="N72" s="28" t="n">
        <v>0.609375</v>
      </c>
      <c r="O72" s="28" t="n">
        <v>0.5951070000000001</v>
      </c>
      <c r="P72" s="28" t="n"/>
      <c r="Q72" s="28" t="n">
        <v>-0.014268</v>
      </c>
      <c r="R72" s="26" t="n">
        <v>14</v>
      </c>
      <c r="S72" s="29" t="n">
        <v>1.25</v>
      </c>
      <c r="T72" s="24" t="inlineStr">
        <is>
          <t>mlb-elo-trend-lr-v7</t>
        </is>
      </c>
      <c r="U72" s="24" t="inlineStr">
        <is>
          <t>settled</t>
        </is>
      </c>
      <c r="V72" s="24" t="inlineStr">
        <is>
          <t>loss</t>
        </is>
      </c>
      <c r="W72" s="26" t="n">
        <v>5</v>
      </c>
      <c r="X72" s="26" t="n">
        <v>3</v>
      </c>
      <c r="Y72" s="25" t="n"/>
      <c r="Z72" s="26" t="n">
        <v>-156</v>
      </c>
      <c r="AA72" s="28" t="n">
        <v>0.61</v>
      </c>
      <c r="AB72" s="28" t="n">
        <v>0.000625</v>
      </c>
      <c r="AC72" s="30" t="n">
        <v>-1.25</v>
      </c>
      <c r="AD72" s="24" t="inlineStr">
        <is>
          <t>2026-08-01T05:33:42.121088Z</t>
        </is>
      </c>
      <c r="AE72" s="31" t="inlineStr">
        <is>
          <t>Learned LR call at threshold 0.6242; executable ask 0.6100 (aec-mlb-min-sea-2026-07-31); model edge vs ask -0.0149.</t>
        </is>
      </c>
      <c r="AF72" s="31" t="inlineStr">
        <is>
          <t>Learned model; shadow-qualified via operator override.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mlb-min</t>
        </is>
      </c>
      <c r="AQ72" s="24" t="inlineStr">
        <is>
          <t>Minnesota Twins</t>
        </is>
      </c>
      <c r="AR72" s="24" t="inlineStr">
        <is>
          <t>Minnesota Twins</t>
        </is>
      </c>
      <c r="AS72" s="24" t="inlineStr">
        <is>
          <t>mlb-sea</t>
        </is>
      </c>
      <c r="AT72" s="24" t="inlineStr">
        <is>
          <t>Seattle Mariners</t>
        </is>
      </c>
      <c r="AU72" s="24" t="inlineStr">
        <is>
          <t>Seattle Mariners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464eef695bfbbdaa819ec6f5e4c5bd1068ed20b92915fb2677220ae91e20d8b6</t>
        </is>
      </c>
      <c r="BB72" s="24" t="inlineStr">
        <is>
          <t>learned_lr</t>
        </is>
      </c>
      <c r="BC72" s="24" t="inlineStr">
        <is>
          <t>mlb-elo-trend-lr-v7</t>
        </is>
      </c>
      <c r="BD72" s="24" t="inlineStr">
        <is>
          <t>464eef695bfbbdaa819ec6f5e4c5bd1068ed20b92915fb2677220ae91e20d8b6</t>
        </is>
      </c>
      <c r="BE72" s="24" t="inlineStr">
        <is>
          <t>883ee144c0c8e904</t>
        </is>
      </c>
      <c r="BF72" s="24" t="inlineStr">
        <is>
          <t>1</t>
        </is>
      </c>
      <c r="BG72" s="24" t="inlineStr">
        <is>
          <t>mlb-elo-trend-lr-v7</t>
        </is>
      </c>
      <c r="BH72" s="24" t="inlineStr">
        <is>
          <t>2026-07-31T23:29:23.070250Z</t>
        </is>
      </c>
      <c r="BI72" s="24" t="inlineStr">
        <is>
          <t>["same_event","same_team_same_day","same_league_same_day"]</t>
        </is>
      </c>
      <c r="BJ72" s="25" t="n"/>
      <c r="BK72" s="26" t="n">
        <v>-156</v>
      </c>
      <c r="BL72" s="27" t="n">
        <v>1.641026</v>
      </c>
      <c r="BM72" s="28" t="n">
        <v>0.609375</v>
      </c>
      <c r="BN72" s="28" t="n">
        <v>0.606965</v>
      </c>
      <c r="BO72" s="28" t="n"/>
      <c r="BP72" s="25" t="n"/>
      <c r="BQ72" s="27" t="n">
        <v>1.641026</v>
      </c>
      <c r="BR72" s="28" t="n">
        <v>0.61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0.5861386615</t>
        </is>
      </c>
      <c r="CD72" s="24" t="inlineStr">
        <is>
          <t>1.241555</t>
        </is>
      </c>
      <c r="CE72" s="24" t="inlineStr">
        <is>
          <t>0.936</t>
        </is>
      </c>
      <c r="CF72" s="24" t="inlineStr">
        <is>
          <t>1</t>
        </is>
      </c>
      <c r="CG72" s="24" t="inlineStr">
        <is>
          <t>1.4</t>
        </is>
      </c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</row>
    <row r="73" ht="36" customHeight="1">
      <c r="A73" s="24" t="inlineStr">
        <is>
          <t>bcf76e7710a04234</t>
        </is>
      </c>
      <c r="B73" s="24" t="inlineStr">
        <is>
          <t>2026-07-31T23:29:57.351792Z</t>
        </is>
      </c>
      <c r="C73" s="24" t="inlineStr">
        <is>
          <t>2026-08-01T00:15Z</t>
        </is>
      </c>
      <c r="D73" s="24" t="inlineStr">
        <is>
          <t>401816340</t>
        </is>
      </c>
      <c r="E73" s="24" t="inlineStr">
        <is>
          <t>MLB</t>
        </is>
      </c>
      <c r="F73" s="24" t="inlineStr">
        <is>
          <t>Texas Rangers</t>
        </is>
      </c>
      <c r="G73" s="24" t="inlineStr">
        <is>
          <t>Houston Astros</t>
        </is>
      </c>
      <c r="H73" s="24" t="inlineStr">
        <is>
          <t>spread</t>
        </is>
      </c>
      <c r="I73" s="24" t="inlineStr">
        <is>
          <t>away</t>
        </is>
      </c>
      <c r="J73" s="25" t="n">
        <v>1.5</v>
      </c>
      <c r="K73" s="24" t="inlineStr">
        <is>
          <t>polymarket_us</t>
        </is>
      </c>
      <c r="L73" s="26" t="n">
        <v>-186</v>
      </c>
      <c r="M73" s="27" t="n">
        <v>1.537634</v>
      </c>
      <c r="N73" s="28" t="n">
        <v>0.65035</v>
      </c>
      <c r="O73" s="28" t="n">
        <v>0.554007</v>
      </c>
      <c r="P73" s="28" t="n">
        <v>0.05172</v>
      </c>
      <c r="Q73" s="28" t="n">
        <v>-0.096343</v>
      </c>
      <c r="R73" s="26" t="n">
        <v>0</v>
      </c>
      <c r="S73" s="29" t="n">
        <v>1</v>
      </c>
      <c r="T73" s="24" t="inlineStr">
        <is>
          <t>measured-edge-margin-v1</t>
        </is>
      </c>
      <c r="U73" s="24" t="inlineStr">
        <is>
          <t>settled</t>
        </is>
      </c>
      <c r="V73" s="24" t="inlineStr">
        <is>
          <t>loss</t>
        </is>
      </c>
      <c r="W73" s="26" t="n">
        <v>2</v>
      </c>
      <c r="X73" s="26" t="n">
        <v>11</v>
      </c>
      <c r="Y73" s="25" t="n">
        <v>1.5</v>
      </c>
      <c r="Z73" s="26" t="n">
        <v>-186</v>
      </c>
      <c r="AA73" s="28" t="n">
        <v>0.65</v>
      </c>
      <c r="AB73" s="28" t="n">
        <v>-0.00035</v>
      </c>
      <c r="AC73" s="30" t="n">
        <v>-1</v>
      </c>
      <c r="AD73" s="24" t="inlineStr">
        <is>
          <t>2026-08-01T05:33:42.415820Z</t>
        </is>
      </c>
      <c r="AE73" s="31" t="inlineStr">
        <is>
          <t>Measured Edge Margin: Trend Engine projected 4.51-4.59; raw selected-side p=0.6636, calibrated p=0.5540.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mlb-tex</t>
        </is>
      </c>
      <c r="AQ73" s="24" t="inlineStr">
        <is>
          <t>Texas Rangers</t>
        </is>
      </c>
      <c r="AR73" s="24" t="inlineStr">
        <is>
          <t>Texas Rangers</t>
        </is>
      </c>
      <c r="AS73" s="24" t="inlineStr">
        <is>
          <t>mlb-hou</t>
        </is>
      </c>
      <c r="AT73" s="24" t="inlineStr">
        <is>
          <t>Houston Astros</t>
        </is>
      </c>
      <c r="AU73" s="24" t="inlineStr">
        <is>
          <t>Houston Astros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2bc2ce55b0d39a20103f724bbddbde5394909acd49297f52665b596a0ae3ae8b</t>
        </is>
      </c>
      <c r="BB73" s="24" t="inlineStr">
        <is>
          <t>flat_probability_shrinkage_toward_half</t>
        </is>
      </c>
      <c r="BC73" s="24" t="inlineStr">
        <is>
          <t>measured-edge-margin-v1</t>
        </is>
      </c>
      <c r="BD73" s="24" t="inlineStr">
        <is>
          <t>2bc2ce55b0d39a20103f724bbddbde5394909acd49297f52665b596a0ae3ae8b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2026-07-31T23:29:57.351792Z</t>
        </is>
      </c>
      <c r="BI73" s="24" t="inlineStr">
        <is>
          <t>["same_event","same_team_same_day","same_league_same_day"]</t>
        </is>
      </c>
      <c r="BJ73" s="25" t="n">
        <v>1.5</v>
      </c>
      <c r="BK73" s="26" t="n">
        <v>-186</v>
      </c>
      <c r="BL73" s="27" t="n">
        <v>1.537634</v>
      </c>
      <c r="BM73" s="28" t="n">
        <v>0.65035</v>
      </c>
      <c r="BN73" s="28" t="n">
        <v>0.646766</v>
      </c>
      <c r="BO73" s="28" t="n"/>
      <c r="BP73" s="25" t="n"/>
      <c r="BQ73" s="27" t="n">
        <v>1.537634</v>
      </c>
      <c r="BR73" s="28" t="n">
        <v>0.65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</row>
    <row r="74" ht="36" customHeight="1">
      <c r="A74" s="24" t="inlineStr">
        <is>
          <t>c4e37775a1054297</t>
        </is>
      </c>
      <c r="B74" s="24" t="inlineStr">
        <is>
          <t>2026-07-31T23:29:57.351792Z</t>
        </is>
      </c>
      <c r="C74" s="24" t="inlineStr">
        <is>
          <t>2026-08-01T00:15Z</t>
        </is>
      </c>
      <c r="D74" s="24" t="inlineStr">
        <is>
          <t>401816340</t>
        </is>
      </c>
      <c r="E74" s="24" t="inlineStr">
        <is>
          <t>MLB</t>
        </is>
      </c>
      <c r="F74" s="24" t="inlineStr">
        <is>
          <t>Texas Rangers</t>
        </is>
      </c>
      <c r="G74" s="24" t="inlineStr">
        <is>
          <t>Houston Astros</t>
        </is>
      </c>
      <c r="H74" s="24" t="inlineStr">
        <is>
          <t>total</t>
        </is>
      </c>
      <c r="I74" s="24" t="inlineStr">
        <is>
          <t>over</t>
        </is>
      </c>
      <c r="J74" s="25" t="n">
        <v>7.5</v>
      </c>
      <c r="K74" s="24" t="inlineStr">
        <is>
          <t>polymarket_us</t>
        </is>
      </c>
      <c r="L74" s="26" t="n">
        <v>100</v>
      </c>
      <c r="M74" s="27" t="n">
        <v>2</v>
      </c>
      <c r="N74" s="28" t="n">
        <v>0.5</v>
      </c>
      <c r="O74" s="28" t="n">
        <v>0.585683</v>
      </c>
      <c r="P74" s="28" t="n">
        <v>0.05172</v>
      </c>
      <c r="Q74" s="28" t="n">
        <v>0.085683</v>
      </c>
      <c r="R74" s="26" t="n">
        <v>62</v>
      </c>
      <c r="S74" s="29" t="n">
        <v>1.25</v>
      </c>
      <c r="T74" s="24" t="inlineStr">
        <is>
          <t>measured-edge-totals-v1</t>
        </is>
      </c>
      <c r="U74" s="24" t="inlineStr">
        <is>
          <t>settled</t>
        </is>
      </c>
      <c r="V74" s="24" t="inlineStr">
        <is>
          <t>win</t>
        </is>
      </c>
      <c r="W74" s="26" t="n">
        <v>2</v>
      </c>
      <c r="X74" s="26" t="n">
        <v>11</v>
      </c>
      <c r="Y74" s="25" t="n">
        <v>7.5</v>
      </c>
      <c r="Z74" s="26" t="n">
        <v>100</v>
      </c>
      <c r="AA74" s="28" t="n">
        <v>0.5</v>
      </c>
      <c r="AB74" s="28" t="n">
        <v>0</v>
      </c>
      <c r="AC74" s="30" t="n">
        <v>1.25</v>
      </c>
      <c r="AD74" s="24" t="inlineStr">
        <is>
          <t>2026-08-01T05:33:42.712220Z</t>
        </is>
      </c>
      <c r="AE74" s="31" t="inlineStr">
        <is>
          <t>Measured Edge Totals: Trend Engine projected 4.51-4.59; raw selected-side p=0.6042, calibrated p=0.5857.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mlb-tex</t>
        </is>
      </c>
      <c r="AQ74" s="24" t="inlineStr">
        <is>
          <t>Texas Rangers</t>
        </is>
      </c>
      <c r="AR74" s="24" t="inlineStr">
        <is>
          <t>Texas Rangers</t>
        </is>
      </c>
      <c r="AS74" s="24" t="inlineStr">
        <is>
          <t>mlb-hou</t>
        </is>
      </c>
      <c r="AT74" s="24" t="inlineStr">
        <is>
          <t>Houston Astros</t>
        </is>
      </c>
      <c r="AU74" s="24" t="inlineStr">
        <is>
          <t>Houston Astros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cbc2c9bf5a9569a49e1902c816d96556d704cf10819ca3a9e927721685757d0b</t>
        </is>
      </c>
      <c r="BB74" s="24" t="inlineStr">
        <is>
          <t>flat_probability_shrinkage_toward_half</t>
        </is>
      </c>
      <c r="BC74" s="24" t="inlineStr">
        <is>
          <t>measured-edge-totals-v1</t>
        </is>
      </c>
      <c r="BD74" s="24" t="inlineStr">
        <is>
          <t>cbc2c9bf5a9569a49e1902c816d96556d704cf10819ca3a9e927721685757d0b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2026-07-31T23:29:57.351792Z</t>
        </is>
      </c>
      <c r="BI74" s="24" t="inlineStr">
        <is>
          <t>["same_event","same_team_same_day","same_league_same_day"]</t>
        </is>
      </c>
      <c r="BJ74" s="25" t="n">
        <v>7.5</v>
      </c>
      <c r="BK74" s="26" t="n">
        <v>100</v>
      </c>
      <c r="BL74" s="27" t="n">
        <v>2</v>
      </c>
      <c r="BM74" s="28" t="n">
        <v>0.5</v>
      </c>
      <c r="BN74" s="28" t="n">
        <v>0.497512</v>
      </c>
      <c r="BO74" s="28" t="n"/>
      <c r="BP74" s="25" t="n"/>
      <c r="BQ74" s="27" t="n">
        <v>2</v>
      </c>
      <c r="BR74" s="28" t="n">
        <v>0.5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</row>
    <row r="75" ht="36" customHeight="1">
      <c r="A75" s="24" t="inlineStr">
        <is>
          <t>d1c24f4002f14130</t>
        </is>
      </c>
      <c r="B75" s="24" t="inlineStr">
        <is>
          <t>2026-07-31T23:29:57.351792Z</t>
        </is>
      </c>
      <c r="C75" s="24" t="inlineStr">
        <is>
          <t>2026-08-01T00:40Z</t>
        </is>
      </c>
      <c r="D75" s="24" t="inlineStr">
        <is>
          <t>401816341</t>
        </is>
      </c>
      <c r="E75" s="24" t="inlineStr">
        <is>
          <t>MLB</t>
        </is>
      </c>
      <c r="F75" s="24" t="inlineStr">
        <is>
          <t>Kansas City Royals</t>
        </is>
      </c>
      <c r="G75" s="24" t="inlineStr">
        <is>
          <t>Colorado Rockies</t>
        </is>
      </c>
      <c r="H75" s="24" t="inlineStr">
        <is>
          <t>spread</t>
        </is>
      </c>
      <c r="I75" s="24" t="inlineStr">
        <is>
          <t>home</t>
        </is>
      </c>
      <c r="J75" s="25" t="n">
        <v>1.5</v>
      </c>
      <c r="K75" s="24" t="inlineStr">
        <is>
          <t>polymarket_us</t>
        </is>
      </c>
      <c r="L75" s="26" t="n">
        <v>-147</v>
      </c>
      <c r="M75" s="27" t="n">
        <v>1.680272</v>
      </c>
      <c r="N75" s="28" t="n">
        <v>0.5951419999999999</v>
      </c>
      <c r="O75" s="28" t="n">
        <v>0.553329</v>
      </c>
      <c r="P75" s="28" t="n">
        <v>0.042131</v>
      </c>
      <c r="Q75" s="28" t="n">
        <v>-0.041813</v>
      </c>
      <c r="R75" s="26" t="n">
        <v>4</v>
      </c>
      <c r="S75" s="29" t="n">
        <v>1</v>
      </c>
      <c r="T75" s="24" t="inlineStr">
        <is>
          <t>measured-edge-margin-v1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3</v>
      </c>
      <c r="Y75" s="25" t="n">
        <v>1.5</v>
      </c>
      <c r="Z75" s="26" t="n">
        <v>-147</v>
      </c>
      <c r="AA75" s="28" t="n">
        <v>0.595</v>
      </c>
      <c r="AB75" s="28" t="n">
        <v>-0.000142</v>
      </c>
      <c r="AC75" s="30" t="n">
        <v>0.6803</v>
      </c>
      <c r="AD75" s="24" t="inlineStr">
        <is>
          <t>2026-08-01T05:33:43.009062Z</t>
        </is>
      </c>
      <c r="AE75" s="31" t="inlineStr">
        <is>
          <t>Measured Edge Margin: Trend Engine projected 4.93-4.90; raw selected-side p=0.6602, calibrated p=0.5533.</t>
        </is>
      </c>
      <c r="AF75" s="31" t="inlineStr">
        <is>
          <t>Research-only; lineup, bullpen, park, weather, xFIP, and wRC+ may be neutral fallbacks; market availability and BBO depth may change before first pitch.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mlb-kc</t>
        </is>
      </c>
      <c r="AQ75" s="24" t="inlineStr">
        <is>
          <t>Kansas City Royals</t>
        </is>
      </c>
      <c r="AR75" s="24" t="inlineStr">
        <is>
          <t>Kansas City Royals</t>
        </is>
      </c>
      <c r="AS75" s="24" t="inlineStr">
        <is>
          <t>mlb-col</t>
        </is>
      </c>
      <c r="AT75" s="24" t="inlineStr">
        <is>
          <t>Colorado Rockies</t>
        </is>
      </c>
      <c r="AU75" s="24" t="inlineStr">
        <is>
          <t>Colorado Rockies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2bc2ce55b0d39a20103f724bbddbde5394909acd49297f52665b596a0ae3ae8b</t>
        </is>
      </c>
      <c r="BB75" s="24" t="inlineStr">
        <is>
          <t>flat_probability_shrinkage_toward_half</t>
        </is>
      </c>
      <c r="BC75" s="24" t="inlineStr">
        <is>
          <t>measured-edge-margin-v1</t>
        </is>
      </c>
      <c r="BD75" s="24" t="inlineStr">
        <is>
          <t>2bc2ce55b0d39a20103f724bbddbde5394909acd49297f52665b596a0ae3ae8b</t>
        </is>
      </c>
      <c r="BE75" s="24" t="inlineStr">
        <is>
          <t>v3</t>
        </is>
      </c>
      <c r="BF75" s="24" t="inlineStr">
        <is>
          <t>1</t>
        </is>
      </c>
      <c r="BG75" s="24" t="inlineStr">
        <is>
          <t>measured-edge-paired-v1</t>
        </is>
      </c>
      <c r="BH75" s="24" t="inlineStr">
        <is>
          <t>2026-07-31T23:29:57.351792Z</t>
        </is>
      </c>
      <c r="BI75" s="24" t="inlineStr">
        <is>
          <t>["same_event","same_team_same_day","same_league_same_day"]</t>
        </is>
      </c>
      <c r="BJ75" s="25" t="n">
        <v>1.5</v>
      </c>
      <c r="BK75" s="26" t="n">
        <v>-147</v>
      </c>
      <c r="BL75" s="27" t="n">
        <v>1.680272</v>
      </c>
      <c r="BM75" s="28" t="n">
        <v>0.5951419999999999</v>
      </c>
      <c r="BN75" s="28" t="n">
        <v>0.59204</v>
      </c>
      <c r="BO75" s="28" t="n"/>
      <c r="BP75" s="25" t="n"/>
      <c r="BQ75" s="27" t="n">
        <v>1.680272</v>
      </c>
      <c r="BR75" s="28" t="n">
        <v>0.595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</row>
    <row r="76" ht="36" customHeight="1">
      <c r="A76" s="24" t="inlineStr">
        <is>
          <t>badc73ee4f424f71</t>
        </is>
      </c>
      <c r="B76" s="24" t="inlineStr">
        <is>
          <t>2026-07-31T23:29:57.351792Z</t>
        </is>
      </c>
      <c r="C76" s="24" t="inlineStr">
        <is>
          <t>2026-08-01T00:40Z</t>
        </is>
      </c>
      <c r="D76" s="24" t="inlineStr">
        <is>
          <t>401816341</t>
        </is>
      </c>
      <c r="E76" s="24" t="inlineStr">
        <is>
          <t>MLB</t>
        </is>
      </c>
      <c r="F76" s="24" t="inlineStr">
        <is>
          <t>Kansas City Royals</t>
        </is>
      </c>
      <c r="G76" s="24" t="inlineStr">
        <is>
          <t>Colorado Rockies</t>
        </is>
      </c>
      <c r="H76" s="24" t="inlineStr">
        <is>
          <t>total</t>
        </is>
      </c>
      <c r="I76" s="24" t="inlineStr">
        <is>
          <t>under</t>
        </is>
      </c>
      <c r="J76" s="25" t="n">
        <v>10.5</v>
      </c>
      <c r="K76" s="24" t="inlineStr">
        <is>
          <t>polymarket_us</t>
        </is>
      </c>
      <c r="L76" s="26" t="n">
        <v>120</v>
      </c>
      <c r="M76" s="27" t="n">
        <v>2.2</v>
      </c>
      <c r="N76" s="28" t="n">
        <v>0.454545</v>
      </c>
      <c r="O76" s="28" t="n">
        <v>0.577777</v>
      </c>
      <c r="P76" s="28" t="n">
        <v>0.042131</v>
      </c>
      <c r="Q76" s="28" t="n">
        <v>0.123232</v>
      </c>
      <c r="R76" s="26" t="n">
        <v>86</v>
      </c>
      <c r="S76" s="29" t="n">
        <v>1.25</v>
      </c>
      <c r="T76" s="24" t="inlineStr">
        <is>
          <t>measured-edge-totals-v1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3</v>
      </c>
      <c r="Y76" s="25" t="n">
        <v>10.5</v>
      </c>
      <c r="Z76" s="26" t="n">
        <v>120</v>
      </c>
      <c r="AA76" s="28" t="n">
        <v>0.455</v>
      </c>
      <c r="AB76" s="28" t="n">
        <v>0.000455</v>
      </c>
      <c r="AC76" s="30" t="n">
        <v>1.5</v>
      </c>
      <c r="AD76" s="24" t="inlineStr">
        <is>
          <t>2026-08-01T05:33:43.302748Z</t>
        </is>
      </c>
      <c r="AE76" s="31" t="inlineStr">
        <is>
          <t>Measured Edge Totals: Trend Engine projected 4.93-4.90; raw selected-side p=0.5961, calibrated p=0.5778.</t>
        </is>
      </c>
      <c r="AF76" s="31" t="inlineStr">
        <is>
          <t>Research-only; lineup, bullpen, park, weather, xFIP, and wRC+ may be neutral fallbacks; market availability and BBO depth may change before first pitch.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mlb-kc</t>
        </is>
      </c>
      <c r="AQ76" s="24" t="inlineStr">
        <is>
          <t>Kansas City Royals</t>
        </is>
      </c>
      <c r="AR76" s="24" t="inlineStr">
        <is>
          <t>Kansas City Royals</t>
        </is>
      </c>
      <c r="AS76" s="24" t="inlineStr">
        <is>
          <t>mlb-col</t>
        </is>
      </c>
      <c r="AT76" s="24" t="inlineStr">
        <is>
          <t>Colorado Rockies</t>
        </is>
      </c>
      <c r="AU76" s="24" t="inlineStr">
        <is>
          <t>Colorado Rockies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cbc2c9bf5a9569a49e1902c816d96556d704cf10819ca3a9e927721685757d0b</t>
        </is>
      </c>
      <c r="BB76" s="24" t="inlineStr">
        <is>
          <t>flat_probability_shrinkage_toward_half</t>
        </is>
      </c>
      <c r="BC76" s="24" t="inlineStr">
        <is>
          <t>measured-edge-totals-v1</t>
        </is>
      </c>
      <c r="BD76" s="24" t="inlineStr">
        <is>
          <t>cbc2c9bf5a9569a49e1902c816d96556d704cf10819ca3a9e927721685757d0b</t>
        </is>
      </c>
      <c r="BE76" s="24" t="inlineStr">
        <is>
          <t>v3</t>
        </is>
      </c>
      <c r="BF76" s="24" t="inlineStr">
        <is>
          <t>1</t>
        </is>
      </c>
      <c r="BG76" s="24" t="inlineStr">
        <is>
          <t>measured-edge-paired-v1</t>
        </is>
      </c>
      <c r="BH76" s="24" t="inlineStr">
        <is>
          <t>2026-07-31T23:29:57.351792Z</t>
        </is>
      </c>
      <c r="BI76" s="24" t="inlineStr">
        <is>
          <t>["same_event","same_team_same_day","same_league_same_day"]</t>
        </is>
      </c>
      <c r="BJ76" s="25" t="n">
        <v>10.5</v>
      </c>
      <c r="BK76" s="26" t="n">
        <v>120</v>
      </c>
      <c r="BL76" s="27" t="n">
        <v>2.2</v>
      </c>
      <c r="BM76" s="28" t="n">
        <v>0.454545</v>
      </c>
      <c r="BN76" s="28" t="n">
        <v>0.452736</v>
      </c>
      <c r="BO76" s="28" t="n"/>
      <c r="BP76" s="25" t="n"/>
      <c r="BQ76" s="27" t="n">
        <v>2.2</v>
      </c>
      <c r="BR76" s="28" t="n">
        <v>0.455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</row>
    <row r="77" ht="36" customHeight="1">
      <c r="A77" s="24" t="inlineStr">
        <is>
          <t>0cd03f9c80a4493d</t>
        </is>
      </c>
      <c r="B77" s="24" t="inlineStr">
        <is>
          <t>2026-07-31T23:29:57.351792Z</t>
        </is>
      </c>
      <c r="C77" s="24" t="inlineStr">
        <is>
          <t>2026-08-01T01:38Z</t>
        </is>
      </c>
      <c r="D77" s="24" t="inlineStr">
        <is>
          <t>401816344</t>
        </is>
      </c>
      <c r="E77" s="24" t="inlineStr">
        <is>
          <t>MLB</t>
        </is>
      </c>
      <c r="F77" s="24" t="inlineStr">
        <is>
          <t>Milwaukee Brewers</t>
        </is>
      </c>
      <c r="G77" s="24" t="inlineStr">
        <is>
          <t>Los Angeles Angels</t>
        </is>
      </c>
      <c r="H77" s="24" t="inlineStr">
        <is>
          <t>spread</t>
        </is>
      </c>
      <c r="I77" s="24" t="inlineStr">
        <is>
          <t>home</t>
        </is>
      </c>
      <c r="J77" s="25" t="n">
        <v>1.5</v>
      </c>
      <c r="K77" s="24" t="inlineStr">
        <is>
          <t>polymarket_us</t>
        </is>
      </c>
      <c r="L77" s="26" t="n">
        <v>-102</v>
      </c>
      <c r="M77" s="27" t="n">
        <v>1.980392</v>
      </c>
      <c r="N77" s="28" t="n">
        <v>0.50495</v>
      </c>
      <c r="O77" s="28" t="n">
        <v>0.549557</v>
      </c>
      <c r="P77" s="28" t="n">
        <v>0.042131</v>
      </c>
      <c r="Q77" s="28" t="n">
        <v>0.044607</v>
      </c>
      <c r="R77" s="26" t="n">
        <v>47</v>
      </c>
      <c r="S77" s="29" t="n">
        <v>1</v>
      </c>
      <c r="T77" s="24" t="inlineStr">
        <is>
          <t>measured-edge-margin-v1</t>
        </is>
      </c>
      <c r="U77" s="24" t="inlineStr">
        <is>
          <t>settled</t>
        </is>
      </c>
      <c r="V77" s="24" t="inlineStr">
        <is>
          <t>loss</t>
        </is>
      </c>
      <c r="W77" s="26" t="n">
        <v>6</v>
      </c>
      <c r="X77" s="26" t="n">
        <v>2</v>
      </c>
      <c r="Y77" s="25" t="n">
        <v>1.5</v>
      </c>
      <c r="Z77" s="26" t="n">
        <v>-102</v>
      </c>
      <c r="AA77" s="28" t="n">
        <v>0.505</v>
      </c>
      <c r="AB77" s="28" t="n">
        <v>5e-05</v>
      </c>
      <c r="AC77" s="30" t="n">
        <v>-1</v>
      </c>
      <c r="AD77" s="24" t="inlineStr">
        <is>
          <t>2026-08-01T05:33:43.643410Z</t>
        </is>
      </c>
      <c r="AE77" s="31" t="inlineStr">
        <is>
          <t>Measured Edge Margin: Trend Engine projected 4.91-4.65; raw selected-side p=0.6410, calibrated p=0.5496.</t>
        </is>
      </c>
      <c r="AF77" s="31" t="inlineStr">
        <is>
          <t>Research-only; lineup, bullpen, park, weather, xFIP, and wRC+ may be neutral fallbacks; market availability and BBO depth may change before first pitch.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mlb-mil</t>
        </is>
      </c>
      <c r="AQ77" s="24" t="inlineStr">
        <is>
          <t>Milwaukee Brewers</t>
        </is>
      </c>
      <c r="AR77" s="24" t="inlineStr">
        <is>
          <t>Milwaukee Brewers</t>
        </is>
      </c>
      <c r="AS77" s="24" t="inlineStr">
        <is>
          <t>mlb-laa</t>
        </is>
      </c>
      <c r="AT77" s="24" t="inlineStr">
        <is>
          <t>Los Angeles Angels</t>
        </is>
      </c>
      <c r="AU77" s="24" t="inlineStr">
        <is>
          <t>Los Angeles Angels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2bc2ce55b0d39a20103f724bbddbde5394909acd49297f52665b596a0ae3ae8b</t>
        </is>
      </c>
      <c r="BB77" s="24" t="inlineStr">
        <is>
          <t>flat_probability_shrinkage_toward_half</t>
        </is>
      </c>
      <c r="BC77" s="24" t="inlineStr">
        <is>
          <t>measured-edge-margin-v1</t>
        </is>
      </c>
      <c r="BD77" s="24" t="inlineStr">
        <is>
          <t>2bc2ce55b0d39a20103f724bbddbde5394909acd49297f52665b596a0ae3ae8b</t>
        </is>
      </c>
      <c r="BE77" s="24" t="inlineStr">
        <is>
          <t>v3</t>
        </is>
      </c>
      <c r="BF77" s="24" t="inlineStr">
        <is>
          <t>1</t>
        </is>
      </c>
      <c r="BG77" s="24" t="inlineStr">
        <is>
          <t>measured-edge-paired-v1</t>
        </is>
      </c>
      <c r="BH77" s="24" t="inlineStr">
        <is>
          <t>2026-07-31T23:29:57.351792Z</t>
        </is>
      </c>
      <c r="BI77" s="24" t="inlineStr">
        <is>
          <t>["same_event","same_team_same_day","same_league_same_day"]</t>
        </is>
      </c>
      <c r="BJ77" s="25" t="n">
        <v>1.5</v>
      </c>
      <c r="BK77" s="26" t="n">
        <v>-102</v>
      </c>
      <c r="BL77" s="27" t="n">
        <v>1.980392</v>
      </c>
      <c r="BM77" s="28" t="n">
        <v>0.50495</v>
      </c>
      <c r="BN77" s="28" t="n">
        <v>0.502488</v>
      </c>
      <c r="BO77" s="28" t="n"/>
      <c r="BP77" s="25" t="n"/>
      <c r="BQ77" s="27" t="n">
        <v>1.980392</v>
      </c>
      <c r="BR77" s="28" t="n">
        <v>0.505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</row>
    <row r="78" ht="36" customHeight="1">
      <c r="A78" s="24" t="inlineStr">
        <is>
          <t>c6610733e3444d69</t>
        </is>
      </c>
      <c r="B78" s="24" t="inlineStr">
        <is>
          <t>2026-07-31T23:29:57.351792Z</t>
        </is>
      </c>
      <c r="C78" s="24" t="inlineStr">
        <is>
          <t>2026-08-01T01:38Z</t>
        </is>
      </c>
      <c r="D78" s="24" t="inlineStr">
        <is>
          <t>401816344</t>
        </is>
      </c>
      <c r="E78" s="24" t="inlineStr">
        <is>
          <t>MLB</t>
        </is>
      </c>
      <c r="F78" s="24" t="inlineStr">
        <is>
          <t>Milwaukee Brewers</t>
        </is>
      </c>
      <c r="G78" s="24" t="inlineStr">
        <is>
          <t>Los Angeles Angels</t>
        </is>
      </c>
      <c r="H78" s="24" t="inlineStr">
        <is>
          <t>total</t>
        </is>
      </c>
      <c r="I78" s="24" t="inlineStr">
        <is>
          <t>over</t>
        </is>
      </c>
      <c r="J78" s="25" t="n">
        <v>8.5</v>
      </c>
      <c r="K78" s="24" t="inlineStr">
        <is>
          <t>polymarket_us</t>
        </is>
      </c>
      <c r="L78" s="26" t="n">
        <v>-120</v>
      </c>
      <c r="M78" s="27" t="n">
        <v>1.833333</v>
      </c>
      <c r="N78" s="28" t="n">
        <v>0.545455</v>
      </c>
      <c r="O78" s="28" t="n">
        <v>0.543969</v>
      </c>
      <c r="P78" s="28" t="n">
        <v>0.042131</v>
      </c>
      <c r="Q78" s="28" t="n">
        <v>-0.001486</v>
      </c>
      <c r="R78" s="26" t="n">
        <v>24</v>
      </c>
      <c r="S78" s="29" t="n">
        <v>1</v>
      </c>
      <c r="T78" s="24" t="inlineStr">
        <is>
          <t>measured-edge-totals-v1</t>
        </is>
      </c>
      <c r="U78" s="24" t="inlineStr">
        <is>
          <t>settled</t>
        </is>
      </c>
      <c r="V78" s="24" t="inlineStr">
        <is>
          <t>loss</t>
        </is>
      </c>
      <c r="W78" s="26" t="n">
        <v>6</v>
      </c>
      <c r="X78" s="26" t="n">
        <v>2</v>
      </c>
      <c r="Y78" s="25" t="n">
        <v>8.5</v>
      </c>
      <c r="Z78" s="26" t="n">
        <v>-120</v>
      </c>
      <c r="AA78" s="28" t="n">
        <v>0.545</v>
      </c>
      <c r="AB78" s="28" t="n">
        <v>-0.000455</v>
      </c>
      <c r="AC78" s="30" t="n">
        <v>-1</v>
      </c>
      <c r="AD78" s="24" t="inlineStr">
        <is>
          <t>2026-08-01T05:33:43.942073Z</t>
        </is>
      </c>
      <c r="AE78" s="31" t="inlineStr">
        <is>
          <t>Measured Edge Totals: Trend Engine projected 4.91-4.65; raw selected-side p=0.5613, calibrated p=0.5440.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mlb-mil</t>
        </is>
      </c>
      <c r="AQ78" s="24" t="inlineStr">
        <is>
          <t>Milwaukee Brewers</t>
        </is>
      </c>
      <c r="AR78" s="24" t="inlineStr">
        <is>
          <t>Milwaukee Brewers</t>
        </is>
      </c>
      <c r="AS78" s="24" t="inlineStr">
        <is>
          <t>mlb-laa</t>
        </is>
      </c>
      <c r="AT78" s="24" t="inlineStr">
        <is>
          <t>Los Angeles Angels</t>
        </is>
      </c>
      <c r="AU78" s="24" t="inlineStr">
        <is>
          <t>Los Angeles Angels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cbc2c9bf5a9569a49e1902c816d96556d704cf10819ca3a9e927721685757d0b</t>
        </is>
      </c>
      <c r="BB78" s="24" t="inlineStr">
        <is>
          <t>flat_probability_shrinkage_toward_half</t>
        </is>
      </c>
      <c r="BC78" s="24" t="inlineStr">
        <is>
          <t>measured-edge-totals-v1</t>
        </is>
      </c>
      <c r="BD78" s="24" t="inlineStr">
        <is>
          <t>cbc2c9bf5a9569a49e1902c816d96556d704cf10819ca3a9e927721685757d0b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2026-07-31T23:29:57.351792Z</t>
        </is>
      </c>
      <c r="BI78" s="24" t="inlineStr">
        <is>
          <t>["same_event","same_team_same_day","same_league_same_day"]</t>
        </is>
      </c>
      <c r="BJ78" s="25" t="n">
        <v>8.5</v>
      </c>
      <c r="BK78" s="26" t="n">
        <v>-120</v>
      </c>
      <c r="BL78" s="27" t="n">
        <v>1.833333</v>
      </c>
      <c r="BM78" s="28" t="n">
        <v>0.545455</v>
      </c>
      <c r="BN78" s="28" t="n">
        <v>0.542289</v>
      </c>
      <c r="BO78" s="28" t="n"/>
      <c r="BP78" s="25" t="n"/>
      <c r="BQ78" s="27" t="n">
        <v>1.833333</v>
      </c>
      <c r="BR78" s="28" t="n">
        <v>0.545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</row>
    <row r="79" ht="36" customHeight="1">
      <c r="A79" s="24" t="inlineStr">
        <is>
          <t>1daf7c1b3a3f48da</t>
        </is>
      </c>
      <c r="B79" s="24" t="inlineStr">
        <is>
          <t>2026-07-31T23:29:57.351792Z</t>
        </is>
      </c>
      <c r="C79" s="24" t="inlineStr">
        <is>
          <t>2026-08-01T01:40Z</t>
        </is>
      </c>
      <c r="D79" s="24" t="inlineStr">
        <is>
          <t>401816343</t>
        </is>
      </c>
      <c r="E79" s="24" t="inlineStr">
        <is>
          <t>MLB</t>
        </is>
      </c>
      <c r="F79" s="24" t="inlineStr">
        <is>
          <t>Detroit Tigers</t>
        </is>
      </c>
      <c r="G79" s="24" t="inlineStr">
        <is>
          <t>Athletics</t>
        </is>
      </c>
      <c r="H79" s="24" t="inlineStr">
        <is>
          <t>spread</t>
        </is>
      </c>
      <c r="I79" s="24" t="inlineStr">
        <is>
          <t>home</t>
        </is>
      </c>
      <c r="J79" s="25" t="n">
        <v>1.5</v>
      </c>
      <c r="K79" s="24" t="inlineStr">
        <is>
          <t>polymarket_us</t>
        </is>
      </c>
      <c r="L79" s="26" t="n">
        <v>-117</v>
      </c>
      <c r="M79" s="27" t="n">
        <v>1.854701</v>
      </c>
      <c r="N79" s="28" t="n">
        <v>0.539171</v>
      </c>
      <c r="O79" s="28" t="n">
        <v>0.541755</v>
      </c>
      <c r="P79" s="28" t="n">
        <v>0.042131</v>
      </c>
      <c r="Q79" s="28" t="n">
        <v>0.002584</v>
      </c>
      <c r="R79" s="26" t="n">
        <v>26</v>
      </c>
      <c r="S79" s="29" t="n">
        <v>1</v>
      </c>
      <c r="T79" s="24" t="inlineStr">
        <is>
          <t>measured-edge-margin-v1</t>
        </is>
      </c>
      <c r="U79" s="24" t="inlineStr">
        <is>
          <t>settled</t>
        </is>
      </c>
      <c r="V79" s="24" t="inlineStr">
        <is>
          <t>loss</t>
        </is>
      </c>
      <c r="W79" s="26" t="n">
        <v>13</v>
      </c>
      <c r="X79" s="26" t="n">
        <v>1</v>
      </c>
      <c r="Y79" s="25" t="n">
        <v>1.5</v>
      </c>
      <c r="Z79" s="26" t="n">
        <v>-117</v>
      </c>
      <c r="AA79" s="28" t="n">
        <v>0.54</v>
      </c>
      <c r="AB79" s="28" t="n">
        <v>0.000829</v>
      </c>
      <c r="AC79" s="30" t="n">
        <v>-1</v>
      </c>
      <c r="AD79" s="24" t="inlineStr">
        <is>
          <t>2026-08-01T05:33:44.245370Z</t>
        </is>
      </c>
      <c r="AE79" s="31" t="inlineStr">
        <is>
          <t>Measured Edge Margin: Trend Engine projected 5.24-4.63; raw selected-side p=0.6013, calibrated p=0.5418.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mlb-det</t>
        </is>
      </c>
      <c r="AQ79" s="24" t="inlineStr">
        <is>
          <t>Detroit Tigers</t>
        </is>
      </c>
      <c r="AR79" s="24" t="inlineStr">
        <is>
          <t>Detroit Tigers</t>
        </is>
      </c>
      <c r="AS79" s="24" t="inlineStr">
        <is>
          <t>mlb-ath</t>
        </is>
      </c>
      <c r="AT79" s="24" t="inlineStr">
        <is>
          <t>Athletics</t>
        </is>
      </c>
      <c r="AU79" s="24" t="inlineStr">
        <is>
          <t>Athletics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2bc2ce55b0d39a20103f724bbddbde5394909acd49297f52665b596a0ae3ae8b</t>
        </is>
      </c>
      <c r="BB79" s="24" t="inlineStr">
        <is>
          <t>flat_probability_shrinkage_toward_half</t>
        </is>
      </c>
      <c r="BC79" s="24" t="inlineStr">
        <is>
          <t>measured-edge-margin-v1</t>
        </is>
      </c>
      <c r="BD79" s="24" t="inlineStr">
        <is>
          <t>2bc2ce55b0d39a20103f724bbddbde5394909acd49297f52665b596a0ae3ae8b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2026-07-31T23:29:57.351792Z</t>
        </is>
      </c>
      <c r="BI79" s="24" t="inlineStr">
        <is>
          <t>["same_event","same_team_same_day","same_league_same_day"]</t>
        </is>
      </c>
      <c r="BJ79" s="25" t="n">
        <v>1.5</v>
      </c>
      <c r="BK79" s="26" t="n">
        <v>-117</v>
      </c>
      <c r="BL79" s="27" t="n">
        <v>1.854701</v>
      </c>
      <c r="BM79" s="28" t="n">
        <v>0.539171</v>
      </c>
      <c r="BN79" s="28" t="n">
        <v>0.537313</v>
      </c>
      <c r="BO79" s="28" t="n"/>
      <c r="BP79" s="25" t="n"/>
      <c r="BQ79" s="27" t="n">
        <v>1.854701</v>
      </c>
      <c r="BR79" s="28" t="n">
        <v>0.54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</row>
    <row r="80" ht="36" customHeight="1">
      <c r="A80" s="24" t="inlineStr">
        <is>
          <t>749fd1bc98e145c0</t>
        </is>
      </c>
      <c r="B80" s="24" t="inlineStr">
        <is>
          <t>2026-07-31T23:29:57.351792Z</t>
        </is>
      </c>
      <c r="C80" s="24" t="inlineStr">
        <is>
          <t>2026-08-01T01:40Z</t>
        </is>
      </c>
      <c r="D80" s="24" t="inlineStr">
        <is>
          <t>401816343</t>
        </is>
      </c>
      <c r="E80" s="24" t="inlineStr">
        <is>
          <t>MLB</t>
        </is>
      </c>
      <c r="F80" s="24" t="inlineStr">
        <is>
          <t>Detroit Tigers</t>
        </is>
      </c>
      <c r="G80" s="24" t="inlineStr">
        <is>
          <t>Athletics</t>
        </is>
      </c>
      <c r="H80" s="24" t="inlineStr">
        <is>
          <t>total</t>
        </is>
      </c>
      <c r="I80" s="24" t="inlineStr">
        <is>
          <t>under</t>
        </is>
      </c>
      <c r="J80" s="25" t="n">
        <v>10.5</v>
      </c>
      <c r="K80" s="24" t="inlineStr">
        <is>
          <t>polymarket_us</t>
        </is>
      </c>
      <c r="L80" s="26" t="n">
        <v>115</v>
      </c>
      <c r="M80" s="27" t="n">
        <v>2.15</v>
      </c>
      <c r="N80" s="28" t="n">
        <v>0.465116</v>
      </c>
      <c r="O80" s="28" t="n">
        <v>0.575933</v>
      </c>
      <c r="P80" s="28" t="n">
        <v>0.042131</v>
      </c>
      <c r="Q80" s="28" t="n">
        <v>0.110817</v>
      </c>
      <c r="R80" s="26" t="n">
        <v>80</v>
      </c>
      <c r="S80" s="29" t="n">
        <v>1.25</v>
      </c>
      <c r="T80" s="24" t="inlineStr">
        <is>
          <t>measured-edge-totals-v1</t>
        </is>
      </c>
      <c r="U80" s="24" t="inlineStr">
        <is>
          <t>settled</t>
        </is>
      </c>
      <c r="V80" s="24" t="inlineStr">
        <is>
          <t>loss</t>
        </is>
      </c>
      <c r="W80" s="26" t="n">
        <v>13</v>
      </c>
      <c r="X80" s="26" t="n">
        <v>1</v>
      </c>
      <c r="Y80" s="25" t="n">
        <v>10.5</v>
      </c>
      <c r="Z80" s="26" t="n">
        <v>115</v>
      </c>
      <c r="AA80" s="28" t="n">
        <v>0.465</v>
      </c>
      <c r="AB80" s="28" t="n">
        <v>-0.000116</v>
      </c>
      <c r="AC80" s="30" t="n">
        <v>-1.25</v>
      </c>
      <c r="AD80" s="24" t="inlineStr">
        <is>
          <t>2026-08-01T05:33:44.546852Z</t>
        </is>
      </c>
      <c r="AE80" s="31" t="inlineStr">
        <is>
          <t>Measured Edge Totals: Trend Engine projected 5.24-4.63; raw selected-side p=0.5942, calibrated p=0.5759.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mlb-det</t>
        </is>
      </c>
      <c r="AQ80" s="24" t="inlineStr">
        <is>
          <t>Detroit Tigers</t>
        </is>
      </c>
      <c r="AR80" s="24" t="inlineStr">
        <is>
          <t>Detroit Tigers</t>
        </is>
      </c>
      <c r="AS80" s="24" t="inlineStr">
        <is>
          <t>mlb-ath</t>
        </is>
      </c>
      <c r="AT80" s="24" t="inlineStr">
        <is>
          <t>Athletics</t>
        </is>
      </c>
      <c r="AU80" s="24" t="inlineStr">
        <is>
          <t>Athletics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cbc2c9bf5a9569a49e1902c816d96556d704cf10819ca3a9e927721685757d0b</t>
        </is>
      </c>
      <c r="BB80" s="24" t="inlineStr">
        <is>
          <t>flat_probability_shrinkage_toward_half</t>
        </is>
      </c>
      <c r="BC80" s="24" t="inlineStr">
        <is>
          <t>measured-edge-totals-v1</t>
        </is>
      </c>
      <c r="BD80" s="24" t="inlineStr">
        <is>
          <t>cbc2c9bf5a9569a49e1902c816d96556d704cf10819ca3a9e927721685757d0b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2026-07-31T23:29:57.351792Z</t>
        </is>
      </c>
      <c r="BI80" s="24" t="inlineStr">
        <is>
          <t>["same_event","same_team_same_day","same_league_same_day"]</t>
        </is>
      </c>
      <c r="BJ80" s="25" t="n">
        <v>10.5</v>
      </c>
      <c r="BK80" s="26" t="n">
        <v>115</v>
      </c>
      <c r="BL80" s="27" t="n">
        <v>2.15</v>
      </c>
      <c r="BM80" s="28" t="n">
        <v>0.465116</v>
      </c>
      <c r="BN80" s="28" t="n">
        <v>0.462687</v>
      </c>
      <c r="BO80" s="28" t="n"/>
      <c r="BP80" s="25" t="n"/>
      <c r="BQ80" s="27" t="n">
        <v>2.15</v>
      </c>
      <c r="BR80" s="28" t="n">
        <v>0.465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</row>
    <row r="81" ht="36" customHeight="1">
      <c r="A81" s="24" t="inlineStr">
        <is>
          <t>85aff6219f50457d</t>
        </is>
      </c>
      <c r="B81" s="24" t="inlineStr">
        <is>
          <t>2026-07-31T23:29:57.351792Z</t>
        </is>
      </c>
      <c r="C81" s="24" t="inlineStr">
        <is>
          <t>2026-08-01T01:45Z</t>
        </is>
      </c>
      <c r="D81" s="24" t="inlineStr">
        <is>
          <t>401816346</t>
        </is>
      </c>
      <c r="E81" s="24" t="inlineStr">
        <is>
          <t>MLB</t>
        </is>
      </c>
      <c r="F81" s="24" t="inlineStr">
        <is>
          <t>San Francisco Giants</t>
        </is>
      </c>
      <c r="G81" s="24" t="inlineStr">
        <is>
          <t>San Diego Padres</t>
        </is>
      </c>
      <c r="H81" s="24" t="inlineStr">
        <is>
          <t>spread</t>
        </is>
      </c>
      <c r="I81" s="24" t="inlineStr">
        <is>
          <t>away</t>
        </is>
      </c>
      <c r="J81" s="25" t="n">
        <v>1.5</v>
      </c>
      <c r="K81" s="24" t="inlineStr">
        <is>
          <t>polymarket_us</t>
        </is>
      </c>
      <c r="L81" s="26" t="n">
        <v>-153</v>
      </c>
      <c r="M81" s="27" t="n">
        <v>1.653595</v>
      </c>
      <c r="N81" s="28" t="n">
        <v>0.604743</v>
      </c>
      <c r="O81" s="28" t="n">
        <v>0.547277</v>
      </c>
      <c r="P81" s="28" t="n">
        <v>0.05172</v>
      </c>
      <c r="Q81" s="28" t="n">
        <v>-0.057466</v>
      </c>
      <c r="R81" s="26" t="n">
        <v>0</v>
      </c>
      <c r="S81" s="29" t="n">
        <v>1</v>
      </c>
      <c r="T81" s="24" t="inlineStr">
        <is>
          <t>measured-edge-margin-v1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7</v>
      </c>
      <c r="Y81" s="25" t="n">
        <v>1.5</v>
      </c>
      <c r="Z81" s="26" t="n">
        <v>-153</v>
      </c>
      <c r="AA81" s="28" t="n">
        <v>0.605</v>
      </c>
      <c r="AB81" s="28" t="n">
        <v>0.000257</v>
      </c>
      <c r="AC81" s="30" t="n">
        <v>-1</v>
      </c>
      <c r="AD81" s="24" t="inlineStr">
        <is>
          <t>2026-08-01T05:33:44.866682Z</t>
        </is>
      </c>
      <c r="AE81" s="31" t="inlineStr">
        <is>
          <t>Measured Edge Margin: Trend Engine projected 4.29-4.73; raw selected-side p=0.6294, calibrated p=0.5473.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mlb-sf</t>
        </is>
      </c>
      <c r="AQ81" s="24" t="inlineStr">
        <is>
          <t>San Francisco Giants</t>
        </is>
      </c>
      <c r="AR81" s="24" t="inlineStr">
        <is>
          <t>San Francisco Giants</t>
        </is>
      </c>
      <c r="AS81" s="24" t="inlineStr">
        <is>
          <t>mlb-sd</t>
        </is>
      </c>
      <c r="AT81" s="24" t="inlineStr">
        <is>
          <t>San Diego Padres</t>
        </is>
      </c>
      <c r="AU81" s="24" t="inlineStr">
        <is>
          <t>San Diego Padres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2bc2ce55b0d39a20103f724bbddbde5394909acd49297f52665b596a0ae3ae8b</t>
        </is>
      </c>
      <c r="BB81" s="24" t="inlineStr">
        <is>
          <t>flat_probability_shrinkage_toward_half</t>
        </is>
      </c>
      <c r="BC81" s="24" t="inlineStr">
        <is>
          <t>measured-edge-margin-v1</t>
        </is>
      </c>
      <c r="BD81" s="24" t="inlineStr">
        <is>
          <t>2bc2ce55b0d39a20103f724bbddbde5394909acd49297f52665b596a0ae3ae8b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2026-07-31T23:29:57.351792Z</t>
        </is>
      </c>
      <c r="BI81" s="24" t="inlineStr">
        <is>
          <t>["same_event","same_team_same_day","same_league_same_day"]</t>
        </is>
      </c>
      <c r="BJ81" s="25" t="n">
        <v>1.5</v>
      </c>
      <c r="BK81" s="26" t="n">
        <v>-153</v>
      </c>
      <c r="BL81" s="27" t="n">
        <v>1.653595</v>
      </c>
      <c r="BM81" s="28" t="n">
        <v>0.604743</v>
      </c>
      <c r="BN81" s="28" t="n">
        <v>0.60199</v>
      </c>
      <c r="BO81" s="28" t="n"/>
      <c r="BP81" s="25" t="n"/>
      <c r="BQ81" s="27" t="n">
        <v>1.653595</v>
      </c>
      <c r="BR81" s="28" t="n">
        <v>0.605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</row>
    <row r="82" ht="36" customHeight="1">
      <c r="A82" s="24" t="inlineStr">
        <is>
          <t>8f72c0641b3f438a</t>
        </is>
      </c>
      <c r="B82" s="24" t="inlineStr">
        <is>
          <t>2026-07-31T23:29:57.351792Z</t>
        </is>
      </c>
      <c r="C82" s="24" t="inlineStr">
        <is>
          <t>2026-08-01T01:45Z</t>
        </is>
      </c>
      <c r="D82" s="24" t="inlineStr">
        <is>
          <t>401816346</t>
        </is>
      </c>
      <c r="E82" s="24" t="inlineStr">
        <is>
          <t>MLB</t>
        </is>
      </c>
      <c r="F82" s="24" t="inlineStr">
        <is>
          <t>San Francisco Giants</t>
        </is>
      </c>
      <c r="G82" s="24" t="inlineStr">
        <is>
          <t>San Diego Padres</t>
        </is>
      </c>
      <c r="H82" s="24" t="inlineStr">
        <is>
          <t>total</t>
        </is>
      </c>
      <c r="I82" s="24" t="inlineStr">
        <is>
          <t>over</t>
        </is>
      </c>
      <c r="J82" s="25" t="n">
        <v>8.5</v>
      </c>
      <c r="K82" s="24" t="inlineStr">
        <is>
          <t>polymarket_us</t>
        </is>
      </c>
      <c r="L82" s="26" t="n">
        <v>-104</v>
      </c>
      <c r="M82" s="27" t="n">
        <v>1.961538</v>
      </c>
      <c r="N82" s="28" t="n">
        <v>0.509804</v>
      </c>
      <c r="O82" s="28" t="n">
        <v>0.50565</v>
      </c>
      <c r="P82" s="28" t="n">
        <v>0.05172</v>
      </c>
      <c r="Q82" s="28" t="n">
        <v>-0.004154</v>
      </c>
      <c r="R82" s="26" t="n">
        <v>17</v>
      </c>
      <c r="S82" s="29" t="n">
        <v>1</v>
      </c>
      <c r="T82" s="24" t="inlineStr">
        <is>
          <t>measured-edge-totals-v1</t>
        </is>
      </c>
      <c r="U82" s="24" t="inlineStr">
        <is>
          <t>settled</t>
        </is>
      </c>
      <c r="V82" s="24" t="inlineStr">
        <is>
          <t>loss</t>
        </is>
      </c>
      <c r="W82" s="26" t="n">
        <v>0</v>
      </c>
      <c r="X82" s="26" t="n">
        <v>7</v>
      </c>
      <c r="Y82" s="25" t="n">
        <v>8.5</v>
      </c>
      <c r="Z82" s="26" t="n">
        <v>-104</v>
      </c>
      <c r="AA82" s="28" t="n">
        <v>0.51</v>
      </c>
      <c r="AB82" s="28" t="n">
        <v>0.000196</v>
      </c>
      <c r="AC82" s="30" t="n">
        <v>-1</v>
      </c>
      <c r="AD82" s="24" t="inlineStr">
        <is>
          <t>2026-08-01T05:33:45.178918Z</t>
        </is>
      </c>
      <c r="AE82" s="31" t="inlineStr">
        <is>
          <t>Measured Edge Totals: Trend Engine projected 4.29-4.73; raw selected-side p=0.5218, calibrated p=0.5056.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mlb-sf</t>
        </is>
      </c>
      <c r="AQ82" s="24" t="inlineStr">
        <is>
          <t>San Francisco Giants</t>
        </is>
      </c>
      <c r="AR82" s="24" t="inlineStr">
        <is>
          <t>San Francisco Giants</t>
        </is>
      </c>
      <c r="AS82" s="24" t="inlineStr">
        <is>
          <t>mlb-sd</t>
        </is>
      </c>
      <c r="AT82" s="24" t="inlineStr">
        <is>
          <t>San Diego Padres</t>
        </is>
      </c>
      <c r="AU82" s="24" t="inlineStr">
        <is>
          <t>San Diego Padres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cbc2c9bf5a9569a49e1902c816d96556d704cf10819ca3a9e927721685757d0b</t>
        </is>
      </c>
      <c r="BB82" s="24" t="inlineStr">
        <is>
          <t>flat_probability_shrinkage_toward_half</t>
        </is>
      </c>
      <c r="BC82" s="24" t="inlineStr">
        <is>
          <t>measured-edge-totals-v1</t>
        </is>
      </c>
      <c r="BD82" s="24" t="inlineStr">
        <is>
          <t>cbc2c9bf5a9569a49e1902c816d96556d704cf10819ca3a9e927721685757d0b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2026-07-31T23:29:57.351792Z</t>
        </is>
      </c>
      <c r="BI82" s="24" t="inlineStr">
        <is>
          <t>["same_event","same_team_same_day","same_league_same_day"]</t>
        </is>
      </c>
      <c r="BJ82" s="25" t="n">
        <v>8.5</v>
      </c>
      <c r="BK82" s="26" t="n">
        <v>-104</v>
      </c>
      <c r="BL82" s="27" t="n">
        <v>1.961538</v>
      </c>
      <c r="BM82" s="28" t="n">
        <v>0.509804</v>
      </c>
      <c r="BN82" s="28" t="n">
        <v>0.507463</v>
      </c>
      <c r="BO82" s="28" t="n"/>
      <c r="BP82" s="25" t="n"/>
      <c r="BQ82" s="27" t="n">
        <v>1.961538</v>
      </c>
      <c r="BR82" s="28" t="n">
        <v>0.51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</row>
    <row r="83" ht="36" customHeight="1">
      <c r="A83" s="24" t="inlineStr">
        <is>
          <t>332900b6d965481d</t>
        </is>
      </c>
      <c r="B83" s="24" t="inlineStr">
        <is>
          <t>2026-07-31T23:29:57.351792Z</t>
        </is>
      </c>
      <c r="C83" s="24" t="inlineStr">
        <is>
          <t>2026-08-01T02:10Z</t>
        </is>
      </c>
      <c r="D83" s="24" t="inlineStr">
        <is>
          <t>401816342</t>
        </is>
      </c>
      <c r="E83" s="24" t="inlineStr">
        <is>
          <t>MLB</t>
        </is>
      </c>
      <c r="F83" s="24" t="inlineStr">
        <is>
          <t>Boston Red Sox</t>
        </is>
      </c>
      <c r="G83" s="24" t="inlineStr">
        <is>
          <t>Los Angeles Dodgers</t>
        </is>
      </c>
      <c r="H83" s="24" t="inlineStr">
        <is>
          <t>spread</t>
        </is>
      </c>
      <c r="I83" s="24" t="inlineStr">
        <is>
          <t>away</t>
        </is>
      </c>
      <c r="J83" s="25" t="n">
        <v>1.5</v>
      </c>
      <c r="K83" s="24" t="inlineStr">
        <is>
          <t>polymarket_us</t>
        </is>
      </c>
      <c r="L83" s="26" t="n">
        <v>-178</v>
      </c>
      <c r="M83" s="27" t="n">
        <v>1.561798</v>
      </c>
      <c r="N83" s="28" t="n">
        <v>0.640288</v>
      </c>
      <c r="O83" s="28" t="n">
        <v>0.555903</v>
      </c>
      <c r="P83" s="28" t="n">
        <v>0.042131</v>
      </c>
      <c r="Q83" s="28" t="n">
        <v>-0.084385</v>
      </c>
      <c r="R83" s="26" t="n">
        <v>0</v>
      </c>
      <c r="S83" s="29" t="n">
        <v>1</v>
      </c>
      <c r="T83" s="24" t="inlineStr">
        <is>
          <t>measured-edge-margin-v1</t>
        </is>
      </c>
      <c r="U83" s="24" t="inlineStr">
        <is>
          <t>settled</t>
        </is>
      </c>
      <c r="V83" s="24" t="inlineStr">
        <is>
          <t>win</t>
        </is>
      </c>
      <c r="W83" s="26" t="n">
        <v>9</v>
      </c>
      <c r="X83" s="26" t="n">
        <v>4</v>
      </c>
      <c r="Y83" s="25" t="n">
        <v>1.5</v>
      </c>
      <c r="Z83" s="26" t="n">
        <v>-178</v>
      </c>
      <c r="AA83" s="28" t="n">
        <v>0.64</v>
      </c>
      <c r="AB83" s="28" t="n">
        <v>-0.000288</v>
      </c>
      <c r="AC83" s="30" t="n">
        <v>0.5618</v>
      </c>
      <c r="AD83" s="24" t="inlineStr">
        <is>
          <t>2026-08-01T05:33:45.473501Z</t>
        </is>
      </c>
      <c r="AE83" s="31" t="inlineStr">
        <is>
          <t>Measured Edge Margin: Trend Engine projected 4.51-4.43; raw selected-side p=0.6733, calibrated p=0.5559.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mlb-bos</t>
        </is>
      </c>
      <c r="AQ83" s="24" t="inlineStr">
        <is>
          <t>Boston Red Sox</t>
        </is>
      </c>
      <c r="AR83" s="24" t="inlineStr">
        <is>
          <t>Boston Red Sox</t>
        </is>
      </c>
      <c r="AS83" s="24" t="inlineStr">
        <is>
          <t>mlb-lad</t>
        </is>
      </c>
      <c r="AT83" s="24" t="inlineStr">
        <is>
          <t>Los Angeles Dodgers</t>
        </is>
      </c>
      <c r="AU83" s="24" t="inlineStr">
        <is>
          <t>Los Angeles Dodgers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2bc2ce55b0d39a20103f724bbddbde5394909acd49297f52665b596a0ae3ae8b</t>
        </is>
      </c>
      <c r="BB83" s="24" t="inlineStr">
        <is>
          <t>flat_probability_shrinkage_toward_half</t>
        </is>
      </c>
      <c r="BC83" s="24" t="inlineStr">
        <is>
          <t>measured-edge-margin-v1</t>
        </is>
      </c>
      <c r="BD83" s="24" t="inlineStr">
        <is>
          <t>2bc2ce55b0d39a20103f724bbddbde5394909acd49297f52665b596a0ae3ae8b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2026-07-31T23:29:57.351792Z</t>
        </is>
      </c>
      <c r="BI83" s="24" t="inlineStr">
        <is>
          <t>["same_event","same_team_same_day","same_league_same_day"]</t>
        </is>
      </c>
      <c r="BJ83" s="25" t="n">
        <v>1.5</v>
      </c>
      <c r="BK83" s="26" t="n">
        <v>-178</v>
      </c>
      <c r="BL83" s="27" t="n">
        <v>1.561798</v>
      </c>
      <c r="BM83" s="28" t="n">
        <v>0.640288</v>
      </c>
      <c r="BN83" s="28" t="n">
        <v>0.636816</v>
      </c>
      <c r="BO83" s="28" t="n"/>
      <c r="BP83" s="25" t="n"/>
      <c r="BQ83" s="27" t="n">
        <v>1.561798</v>
      </c>
      <c r="BR83" s="28" t="n">
        <v>0.64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</row>
    <row r="84" ht="36" customHeight="1">
      <c r="A84" s="24" t="inlineStr">
        <is>
          <t>7c1539ed2e204ea4</t>
        </is>
      </c>
      <c r="B84" s="24" t="inlineStr">
        <is>
          <t>2026-07-31T23:29:57.351792Z</t>
        </is>
      </c>
      <c r="C84" s="24" t="inlineStr">
        <is>
          <t>2026-08-01T02:10Z</t>
        </is>
      </c>
      <c r="D84" s="24" t="inlineStr">
        <is>
          <t>401816342</t>
        </is>
      </c>
      <c r="E84" s="24" t="inlineStr">
        <is>
          <t>MLB</t>
        </is>
      </c>
      <c r="F84" s="24" t="inlineStr">
        <is>
          <t>Boston Red Sox</t>
        </is>
      </c>
      <c r="G84" s="24" t="inlineStr">
        <is>
          <t>Los Angeles Dodgers</t>
        </is>
      </c>
      <c r="H84" s="24" t="inlineStr">
        <is>
          <t>total</t>
        </is>
      </c>
      <c r="I84" s="24" t="inlineStr">
        <is>
          <t>over</t>
        </is>
      </c>
      <c r="J84" s="25" t="n">
        <v>8.5</v>
      </c>
      <c r="K84" s="24" t="inlineStr">
        <is>
          <t>polymarket_us</t>
        </is>
      </c>
      <c r="L84" s="26" t="n">
        <v>113</v>
      </c>
      <c r="M84" s="27" t="n">
        <v>2.13</v>
      </c>
      <c r="N84" s="28" t="n">
        <v>0.469484</v>
      </c>
      <c r="O84" s="28" t="n">
        <v>0.492456</v>
      </c>
      <c r="P84" s="28" t="n">
        <v>0.042131</v>
      </c>
      <c r="Q84" s="28" t="n">
        <v>0.022972</v>
      </c>
      <c r="R84" s="26" t="n">
        <v>36</v>
      </c>
      <c r="S84" s="29" t="n">
        <v>1</v>
      </c>
      <c r="T84" s="24" t="inlineStr">
        <is>
          <t>measured-edge-totals-v1</t>
        </is>
      </c>
      <c r="U84" s="24" t="inlineStr">
        <is>
          <t>settled</t>
        </is>
      </c>
      <c r="V84" s="24" t="inlineStr">
        <is>
          <t>win</t>
        </is>
      </c>
      <c r="W84" s="26" t="n">
        <v>9</v>
      </c>
      <c r="X84" s="26" t="n">
        <v>4</v>
      </c>
      <c r="Y84" s="25" t="n">
        <v>8.5</v>
      </c>
      <c r="Z84" s="26" t="n">
        <v>113</v>
      </c>
      <c r="AA84" s="28" t="n">
        <v>0.47</v>
      </c>
      <c r="AB84" s="28" t="n">
        <v>0.000516</v>
      </c>
      <c r="AC84" s="30" t="n">
        <v>1.13</v>
      </c>
      <c r="AD84" s="24" t="inlineStr">
        <is>
          <t>2026-08-01T05:33:45.765690Z</t>
        </is>
      </c>
      <c r="AE84" s="31" t="inlineStr">
        <is>
          <t>Measured Edge Totals: Trend Engine projected 4.51-4.43; raw selected-side p=0.5081, calibrated p=0.4925.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mlb-bos</t>
        </is>
      </c>
      <c r="AQ84" s="24" t="inlineStr">
        <is>
          <t>Boston Red Sox</t>
        </is>
      </c>
      <c r="AR84" s="24" t="inlineStr">
        <is>
          <t>Boston Red Sox</t>
        </is>
      </c>
      <c r="AS84" s="24" t="inlineStr">
        <is>
          <t>mlb-lad</t>
        </is>
      </c>
      <c r="AT84" s="24" t="inlineStr">
        <is>
          <t>Los Angeles Dodgers</t>
        </is>
      </c>
      <c r="AU84" s="24" t="inlineStr">
        <is>
          <t>Los Angeles Dodgers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cbc2c9bf5a9569a49e1902c816d96556d704cf10819ca3a9e927721685757d0b</t>
        </is>
      </c>
      <c r="BB84" s="24" t="inlineStr">
        <is>
          <t>flat_probability_shrinkage_toward_half</t>
        </is>
      </c>
      <c r="BC84" s="24" t="inlineStr">
        <is>
          <t>measured-edge-totals-v1</t>
        </is>
      </c>
      <c r="BD84" s="24" t="inlineStr">
        <is>
          <t>cbc2c9bf5a9569a49e1902c816d96556d704cf10819ca3a9e927721685757d0b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2026-07-31T23:29:57.351792Z</t>
        </is>
      </c>
      <c r="BI84" s="24" t="inlineStr">
        <is>
          <t>["same_event","same_team_same_day","same_league_same_day"]</t>
        </is>
      </c>
      <c r="BJ84" s="25" t="n">
        <v>8.5</v>
      </c>
      <c r="BK84" s="26" t="n">
        <v>113</v>
      </c>
      <c r="BL84" s="27" t="n">
        <v>2.13</v>
      </c>
      <c r="BM84" s="28" t="n">
        <v>0.469484</v>
      </c>
      <c r="BN84" s="28" t="n">
        <v>0.467662</v>
      </c>
      <c r="BO84" s="28" t="n"/>
      <c r="BP84" s="25" t="n"/>
      <c r="BQ84" s="27" t="n">
        <v>2.13</v>
      </c>
      <c r="BR84" s="28" t="n">
        <v>0.47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</row>
    <row r="85" ht="36" customHeight="1">
      <c r="A85" s="24" t="inlineStr">
        <is>
          <t>1f026f8edb744cf0</t>
        </is>
      </c>
      <c r="B85" s="24" t="inlineStr">
        <is>
          <t>2026-07-31T23:29:57.351792Z</t>
        </is>
      </c>
      <c r="C85" s="24" t="inlineStr">
        <is>
          <t>2026-08-01T02:10Z</t>
        </is>
      </c>
      <c r="D85" s="24" t="inlineStr">
        <is>
          <t>401816345</t>
        </is>
      </c>
      <c r="E85" s="24" t="inlineStr">
        <is>
          <t>MLB</t>
        </is>
      </c>
      <c r="F85" s="24" t="inlineStr">
        <is>
          <t>Minnesota Twins</t>
        </is>
      </c>
      <c r="G85" s="24" t="inlineStr">
        <is>
          <t>Seattle Mariners</t>
        </is>
      </c>
      <c r="H85" s="24" t="inlineStr">
        <is>
          <t>spread</t>
        </is>
      </c>
      <c r="I85" s="24" t="inlineStr">
        <is>
          <t>away</t>
        </is>
      </c>
      <c r="J85" s="25" t="n">
        <v>1.5</v>
      </c>
      <c r="K85" s="24" t="inlineStr">
        <is>
          <t>polymarket_us</t>
        </is>
      </c>
      <c r="L85" s="26" t="n">
        <v>-138</v>
      </c>
      <c r="M85" s="27" t="n">
        <v>1.724638</v>
      </c>
      <c r="N85" s="28" t="n">
        <v>0.579832</v>
      </c>
      <c r="O85" s="28" t="n">
        <v>0.54319</v>
      </c>
      <c r="P85" s="28" t="n">
        <v>0.042131</v>
      </c>
      <c r="Q85" s="28" t="n">
        <v>-0.036642</v>
      </c>
      <c r="R85" s="26" t="n">
        <v>6</v>
      </c>
      <c r="S85" s="29" t="n">
        <v>1</v>
      </c>
      <c r="T85" s="24" t="inlineStr">
        <is>
          <t>measured-edge-margin-v1</t>
        </is>
      </c>
      <c r="U85" s="24" t="inlineStr">
        <is>
          <t>settled</t>
        </is>
      </c>
      <c r="V85" s="24" t="inlineStr">
        <is>
          <t>win</t>
        </is>
      </c>
      <c r="W85" s="26" t="n">
        <v>5</v>
      </c>
      <c r="X85" s="26" t="n">
        <v>3</v>
      </c>
      <c r="Y85" s="25" t="n">
        <v>1.5</v>
      </c>
      <c r="Z85" s="26" t="n">
        <v>-138</v>
      </c>
      <c r="AA85" s="28" t="n">
        <v>0.58</v>
      </c>
      <c r="AB85" s="28" t="n">
        <v>0.000168</v>
      </c>
      <c r="AC85" s="30" t="n">
        <v>0.7246</v>
      </c>
      <c r="AD85" s="24" t="inlineStr">
        <is>
          <t>2026-08-01T05:33:46.062823Z</t>
        </is>
      </c>
      <c r="AE85" s="31" t="inlineStr">
        <is>
          <t>Measured Edge Margin: Trend Engine projected 4.36-4.92; raw selected-side p=0.6086, calibrated p=0.5432.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mlb-min</t>
        </is>
      </c>
      <c r="AQ85" s="24" t="inlineStr">
        <is>
          <t>Minnesota Twins</t>
        </is>
      </c>
      <c r="AR85" s="24" t="inlineStr">
        <is>
          <t>Minnesota Twins</t>
        </is>
      </c>
      <c r="AS85" s="24" t="inlineStr">
        <is>
          <t>mlb-sea</t>
        </is>
      </c>
      <c r="AT85" s="24" t="inlineStr">
        <is>
          <t>Seattle Mariners</t>
        </is>
      </c>
      <c r="AU85" s="24" t="inlineStr">
        <is>
          <t>Seattle Mariners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2bc2ce55b0d39a20103f724bbddbde5394909acd49297f52665b596a0ae3ae8b</t>
        </is>
      </c>
      <c r="BB85" s="24" t="inlineStr">
        <is>
          <t>flat_probability_shrinkage_toward_half</t>
        </is>
      </c>
      <c r="BC85" s="24" t="inlineStr">
        <is>
          <t>measured-edge-margin-v1</t>
        </is>
      </c>
      <c r="BD85" s="24" t="inlineStr">
        <is>
          <t>2bc2ce55b0d39a20103f724bbddbde5394909acd49297f52665b596a0ae3ae8b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2026-07-31T23:29:57.351792Z</t>
        </is>
      </c>
      <c r="BI85" s="24" t="inlineStr">
        <is>
          <t>["same_event","same_team_same_day","same_league_same_day"]</t>
        </is>
      </c>
      <c r="BJ85" s="25" t="n">
        <v>1.5</v>
      </c>
      <c r="BK85" s="26" t="n">
        <v>-138</v>
      </c>
      <c r="BL85" s="27" t="n">
        <v>1.724638</v>
      </c>
      <c r="BM85" s="28" t="n">
        <v>0.579832</v>
      </c>
      <c r="BN85" s="28" t="n">
        <v>0.577114</v>
      </c>
      <c r="BO85" s="28" t="n"/>
      <c r="BP85" s="25" t="n"/>
      <c r="BQ85" s="27" t="n">
        <v>1.724638</v>
      </c>
      <c r="BR85" s="28" t="n">
        <v>0.58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</row>
    <row r="86" ht="36" customHeight="1">
      <c r="A86" s="24" t="inlineStr">
        <is>
          <t>fdb8dae6fb2c4054</t>
        </is>
      </c>
      <c r="B86" s="24" t="inlineStr">
        <is>
          <t>2026-07-31T23:29:57.351792Z</t>
        </is>
      </c>
      <c r="C86" s="24" t="inlineStr">
        <is>
          <t>2026-08-01T02:10Z</t>
        </is>
      </c>
      <c r="D86" s="24" t="inlineStr">
        <is>
          <t>401816345</t>
        </is>
      </c>
      <c r="E86" s="24" t="inlineStr">
        <is>
          <t>MLB</t>
        </is>
      </c>
      <c r="F86" s="24" t="inlineStr">
        <is>
          <t>Minnesota Twins</t>
        </is>
      </c>
      <c r="G86" s="24" t="inlineStr">
        <is>
          <t>Seattle Mariners</t>
        </is>
      </c>
      <c r="H86" s="24" t="inlineStr">
        <is>
          <t>total</t>
        </is>
      </c>
      <c r="I86" s="24" t="inlineStr">
        <is>
          <t>over</t>
        </is>
      </c>
      <c r="J86" s="25" t="n">
        <v>7.5</v>
      </c>
      <c r="K86" s="24" t="inlineStr">
        <is>
          <t>polymarket_us</t>
        </is>
      </c>
      <c r="L86" s="26" t="n">
        <v>-106</v>
      </c>
      <c r="M86" s="27" t="n">
        <v>1.943396</v>
      </c>
      <c r="N86" s="28" t="n">
        <v>0.514563</v>
      </c>
      <c r="O86" s="28" t="n">
        <v>0.588884</v>
      </c>
      <c r="P86" s="28" t="n">
        <v>0.042131</v>
      </c>
      <c r="Q86" s="28" t="n">
        <v>0.074321</v>
      </c>
      <c r="R86" s="26" t="n">
        <v>62</v>
      </c>
      <c r="S86" s="29" t="n">
        <v>1.25</v>
      </c>
      <c r="T86" s="24" t="inlineStr">
        <is>
          <t>measured-edge-totals-v1</t>
        </is>
      </c>
      <c r="U86" s="24" t="inlineStr">
        <is>
          <t>settled</t>
        </is>
      </c>
      <c r="V86" s="24" t="inlineStr">
        <is>
          <t>win</t>
        </is>
      </c>
      <c r="W86" s="26" t="n">
        <v>5</v>
      </c>
      <c r="X86" s="26" t="n">
        <v>3</v>
      </c>
      <c r="Y86" s="25" t="n">
        <v>7.5</v>
      </c>
      <c r="Z86" s="26" t="n">
        <v>-106</v>
      </c>
      <c r="AA86" s="28" t="n">
        <v>0.515</v>
      </c>
      <c r="AB86" s="28" t="n">
        <v>0.000437</v>
      </c>
      <c r="AC86" s="30" t="n">
        <v>1.1792</v>
      </c>
      <c r="AD86" s="24" t="inlineStr">
        <is>
          <t>2026-08-01T05:33:46.404912Z</t>
        </is>
      </c>
      <c r="AE86" s="31" t="inlineStr">
        <is>
          <t>Measured Edge Totals: Trend Engine projected 4.36-4.92; raw selected-side p=0.6076, calibrated p=0.5889.</t>
        </is>
      </c>
      <c r="AF86" s="31" t="inlineStr">
        <is>
          <t>Research-only; lineup, bullpen, park, weather, xFIP, and wRC+ may be neutral fallbacks; market availability and BBO depth may change before first pitch.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mlb-min</t>
        </is>
      </c>
      <c r="AQ86" s="24" t="inlineStr">
        <is>
          <t>Minnesota Twins</t>
        </is>
      </c>
      <c r="AR86" s="24" t="inlineStr">
        <is>
          <t>Minnesota Twins</t>
        </is>
      </c>
      <c r="AS86" s="24" t="inlineStr">
        <is>
          <t>mlb-sea</t>
        </is>
      </c>
      <c r="AT86" s="24" t="inlineStr">
        <is>
          <t>Seattle Mariners</t>
        </is>
      </c>
      <c r="AU86" s="24" t="inlineStr">
        <is>
          <t>Seattle Mariners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cbc2c9bf5a9569a49e1902c816d96556d704cf10819ca3a9e927721685757d0b</t>
        </is>
      </c>
      <c r="BB86" s="24" t="inlineStr">
        <is>
          <t>flat_probability_shrinkage_toward_half</t>
        </is>
      </c>
      <c r="BC86" s="24" t="inlineStr">
        <is>
          <t>measured-edge-totals-v1</t>
        </is>
      </c>
      <c r="BD86" s="24" t="inlineStr">
        <is>
          <t>cbc2c9bf5a9569a49e1902c816d96556d704cf10819ca3a9e927721685757d0b</t>
        </is>
      </c>
      <c r="BE86" s="24" t="inlineStr">
        <is>
          <t>v3</t>
        </is>
      </c>
      <c r="BF86" s="24" t="inlineStr">
        <is>
          <t>1</t>
        </is>
      </c>
      <c r="BG86" s="24" t="inlineStr">
        <is>
          <t>measured-edge-paired-v1</t>
        </is>
      </c>
      <c r="BH86" s="24" t="inlineStr">
        <is>
          <t>2026-07-31T23:29:57.351792Z</t>
        </is>
      </c>
      <c r="BI86" s="24" t="inlineStr">
        <is>
          <t>["same_event","same_team_same_day","same_league_same_day"]</t>
        </is>
      </c>
      <c r="BJ86" s="25" t="n">
        <v>7.5</v>
      </c>
      <c r="BK86" s="26" t="n">
        <v>-106</v>
      </c>
      <c r="BL86" s="27" t="n">
        <v>1.943396</v>
      </c>
      <c r="BM86" s="28" t="n">
        <v>0.514563</v>
      </c>
      <c r="BN86" s="28" t="n">
        <v>0.5124379999999999</v>
      </c>
      <c r="BO86" s="28" t="n"/>
      <c r="BP86" s="25" t="n"/>
      <c r="BQ86" s="27" t="n">
        <v>1.943396</v>
      </c>
      <c r="BR86" s="28" t="n">
        <v>0.515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</row>
    <row r="87" ht="36" customHeight="1">
      <c r="A87" s="24" t="inlineStr">
        <is>
          <t>3714d2fbafec4e5d</t>
        </is>
      </c>
      <c r="B87" s="24" t="inlineStr">
        <is>
          <t>2026-08-01T16:50:21.394933Z</t>
        </is>
      </c>
      <c r="C87" s="24" t="inlineStr">
        <is>
          <t>2026-08-01T13:00:00-0400</t>
        </is>
      </c>
      <c r="D87" s="24" t="inlineStr">
        <is>
          <t>401857105</t>
        </is>
      </c>
      <c r="E87" s="24" t="inlineStr">
        <is>
          <t>WNBA</t>
        </is>
      </c>
      <c r="F87" s="24" t="inlineStr">
        <is>
          <t>Las Vegas Aces</t>
        </is>
      </c>
      <c r="G87" s="24" t="inlineStr">
        <is>
          <t>Chicago Sky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-245</v>
      </c>
      <c r="M87" s="27" t="n">
        <v>1.408163</v>
      </c>
      <c r="N87" s="28" t="n">
        <v>0.710145</v>
      </c>
      <c r="O87" s="28" t="n">
        <v>0.646163</v>
      </c>
      <c r="P87" s="28" t="n"/>
      <c r="Q87" s="28" t="n">
        <v>-0.063982</v>
      </c>
      <c r="R87" s="26" t="n">
        <v>0</v>
      </c>
      <c r="S87" s="29" t="n">
        <v>1.75</v>
      </c>
      <c r="T87" s="24" t="inlineStr">
        <is>
          <t>wnba-elo-trend-lr-v4</t>
        </is>
      </c>
      <c r="U87" s="24" t="inlineStr">
        <is>
          <t>settled</t>
        </is>
      </c>
      <c r="V87" s="24" t="inlineStr">
        <is>
          <t>loss</t>
        </is>
      </c>
      <c r="W87" s="26" t="n">
        <v>83</v>
      </c>
      <c r="X87" s="26" t="n">
        <v>84</v>
      </c>
      <c r="Y87" s="25" t="n"/>
      <c r="Z87" s="26" t="n"/>
      <c r="AA87" s="28" t="n"/>
      <c r="AB87" s="28" t="n"/>
      <c r="AC87" s="30" t="n">
        <v>-1.75</v>
      </c>
      <c r="AD87" s="24" t="inlineStr">
        <is>
          <t>2026-08-01T20:13:05.677373Z</t>
        </is>
      </c>
      <c r="AE87" s="31" t="inlineStr">
        <is>
          <t>Learned LR call at threshold 0.5001; executable ask 0.7100 (aec-wnba-lv-chi-2026-08-01); model edge vs ask -0.0638.</t>
        </is>
      </c>
      <c r="AF87" s="31" t="inlineStr">
        <is>
          <t>Learned model; shadow-qualified via operator override.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wnba-lva</t>
        </is>
      </c>
      <c r="AQ87" s="24" t="inlineStr">
        <is>
          <t>Las Vegas Aces</t>
        </is>
      </c>
      <c r="AR87" s="24" t="inlineStr">
        <is>
          <t>Las Vegas Aces</t>
        </is>
      </c>
      <c r="AS87" s="24" t="inlineStr">
        <is>
          <t>wnba-chi</t>
        </is>
      </c>
      <c r="AT87" s="24" t="inlineStr">
        <is>
          <t>Chicago Sky</t>
        </is>
      </c>
      <c r="AU87" s="24" t="inlineStr">
        <is>
          <t>Chicago Sky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7afd5274214b58b7efd7f7febc7be3ab33b92351cda5cc6403c0a39faea0cc8c</t>
        </is>
      </c>
      <c r="BB87" s="24" t="inlineStr">
        <is>
          <t>learned_lr</t>
        </is>
      </c>
      <c r="BC87" s="24" t="inlineStr">
        <is>
          <t>wnba-elo-trend-lr-v4</t>
        </is>
      </c>
      <c r="BD87" s="24" t="inlineStr">
        <is>
          <t>7afd5274214b58b7efd7f7febc7be3ab33b92351cda5cc6403c0a39faea0cc8c</t>
        </is>
      </c>
      <c r="BE87" s="24" t="inlineStr">
        <is>
          <t>51a2c72f2e141b8b</t>
        </is>
      </c>
      <c r="BF87" s="24" t="inlineStr">
        <is>
          <t>1</t>
        </is>
      </c>
      <c r="BG87" s="24" t="inlineStr">
        <is>
          <t>wnba-elo-trend-lr-v4</t>
        </is>
      </c>
      <c r="BH87" s="24" t="inlineStr">
        <is>
          <t>2026-08-01T16:49:04.221920Z</t>
        </is>
      </c>
      <c r="BI87" s="24" t="inlineStr">
        <is>
          <t>["same_event","same_team_same_day","same_league_same_day"]</t>
        </is>
      </c>
      <c r="BJ87" s="25" t="n"/>
      <c r="BK87" s="26" t="n">
        <v>-245</v>
      </c>
      <c r="BL87" s="27" t="n">
        <v>1.408163</v>
      </c>
      <c r="BM87" s="28" t="n">
        <v>0.710145</v>
      </c>
      <c r="BN87" s="28" t="n">
        <v>0.70297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0.317202935</t>
        </is>
      </c>
      <c r="CD87" s="24" t="inlineStr">
        <is>
          <t>4.001837</t>
        </is>
      </c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</row>
    <row r="88" ht="36" customHeight="1">
      <c r="A88" s="24" t="inlineStr">
        <is>
          <t>95dfdf1aeb5c4314</t>
        </is>
      </c>
      <c r="B88" s="24" t="inlineStr">
        <is>
          <t>2026-08-01T18:37:44.379324Z</t>
        </is>
      </c>
      <c r="C88" s="24" t="inlineStr">
        <is>
          <t>2026-08-01T15:00:00-0400</t>
        </is>
      </c>
      <c r="D88" s="24" t="inlineStr">
        <is>
          <t>401857106</t>
        </is>
      </c>
      <c r="E88" s="24" t="inlineStr">
        <is>
          <t>WNBA</t>
        </is>
      </c>
      <c r="F88" s="24" t="inlineStr">
        <is>
          <t>New York Liberty</t>
        </is>
      </c>
      <c r="G88" s="24" t="inlineStr">
        <is>
          <t>Phoenix Mercury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-144</v>
      </c>
      <c r="M88" s="27" t="n">
        <v>1.694444</v>
      </c>
      <c r="N88" s="28" t="n">
        <v>0.590164</v>
      </c>
      <c r="O88" s="28" t="n">
        <v>0.568764</v>
      </c>
      <c r="P88" s="28" t="n"/>
      <c r="Q88" s="28" t="n">
        <v>-0.0214</v>
      </c>
      <c r="R88" s="26" t="n">
        <v>12</v>
      </c>
      <c r="S88" s="29" t="n">
        <v>1.25</v>
      </c>
      <c r="T88" s="24" t="inlineStr">
        <is>
          <t>wnba-elo-trend-lr-v4</t>
        </is>
      </c>
      <c r="U88" s="24" t="inlineStr">
        <is>
          <t>settled</t>
        </is>
      </c>
      <c r="V88" s="24" t="inlineStr">
        <is>
          <t>win</t>
        </is>
      </c>
      <c r="W88" s="26" t="n">
        <v>94</v>
      </c>
      <c r="X88" s="26" t="n">
        <v>92</v>
      </c>
      <c r="Y88" s="25" t="n"/>
      <c r="Z88" s="26" t="n"/>
      <c r="AA88" s="28" t="n"/>
      <c r="AB88" s="28" t="n"/>
      <c r="AC88" s="30" t="n">
        <v>0.8681</v>
      </c>
      <c r="AD88" s="24" t="inlineStr">
        <is>
          <t>2026-08-01T21:25:18.148772Z</t>
        </is>
      </c>
      <c r="AE88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wnba-nyl</t>
        </is>
      </c>
      <c r="AQ88" s="24" t="inlineStr">
        <is>
          <t>New York Liberty</t>
        </is>
      </c>
      <c r="AR88" s="24" t="inlineStr">
        <is>
          <t>New York Liberty</t>
        </is>
      </c>
      <c r="AS88" s="24" t="inlineStr">
        <is>
          <t>wnba-phx</t>
        </is>
      </c>
      <c r="AT88" s="24" t="inlineStr">
        <is>
          <t>Phoenix Mercury</t>
        </is>
      </c>
      <c r="AU88" s="24" t="inlineStr">
        <is>
          <t>Phoenix Mercury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7afd5274214b58b7efd7f7febc7be3ab33b92351cda5cc6403c0a39faea0cc8c</t>
        </is>
      </c>
      <c r="BB88" s="24" t="inlineStr">
        <is>
          <t>learned_lr</t>
        </is>
      </c>
      <c r="BC88" s="24" t="inlineStr">
        <is>
          <t>wnba-elo-trend-lr-v4</t>
        </is>
      </c>
      <c r="BD88" s="24" t="inlineStr">
        <is>
          <t>7afd5274214b58b7efd7f7febc7be3ab33b92351cda5cc6403c0a39faea0cc8c</t>
        </is>
      </c>
      <c r="BE88" s="24" t="inlineStr">
        <is>
          <t>bbef9e1b90cf700b</t>
        </is>
      </c>
      <c r="BF88" s="24" t="inlineStr">
        <is>
          <t>1</t>
        </is>
      </c>
      <c r="BG88" s="24" t="inlineStr">
        <is>
          <t>wnba-elo-trend-lr-v4</t>
        </is>
      </c>
      <c r="BH88" s="24" t="inlineStr">
        <is>
          <t>2026-08-01T18:36:36.294824Z</t>
        </is>
      </c>
      <c r="BI88" s="24" t="inlineStr">
        <is>
          <t>["same_event","same_team_same_day","same_league_same_day"]</t>
        </is>
      </c>
      <c r="BJ88" s="25" t="n"/>
      <c r="BK88" s="26" t="n">
        <v>-144</v>
      </c>
      <c r="BL88" s="27" t="n">
        <v>1.694444</v>
      </c>
      <c r="BM88" s="28" t="n">
        <v>0.590164</v>
      </c>
      <c r="BN88" s="28" t="n">
        <v>0.584158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0.4080094464</t>
        </is>
      </c>
      <c r="CD88" s="24" t="inlineStr">
        <is>
          <t>-5.162465</t>
        </is>
      </c>
      <c r="CE88" s="24" t="n"/>
      <c r="CF88" s="24" t="n"/>
      <c r="CG88" s="24" t="n"/>
      <c r="CH88" s="24" t="n"/>
      <c r="CI88" s="24" t="inlineStr">
        <is>
          <t>NO_CALL_AVAILABILITY_PLAYER_UNMAPPED</t>
        </is>
      </c>
      <c r="CJ88" s="24" t="n"/>
      <c r="CK88" s="24" t="n"/>
      <c r="CL88" s="24" t="n"/>
      <c r="CM88" s="24" t="n"/>
      <c r="CN88" s="24" t="n"/>
      <c r="CO88" s="24" t="n"/>
      <c r="CP88" s="24" t="n"/>
      <c r="CQ88" s="24" t="n"/>
    </row>
    <row r="89" ht="36" customHeight="1">
      <c r="A89" s="24" t="inlineStr">
        <is>
          <t>090523d0258d47a7</t>
        </is>
      </c>
      <c r="B89" s="24" t="inlineStr">
        <is>
          <t>2026-08-01T18:37:44.379324Z</t>
        </is>
      </c>
      <c r="C89" s="24" t="inlineStr">
        <is>
          <t>2026-08-01T15:07:00-0400</t>
        </is>
      </c>
      <c r="D89" s="24" t="inlineStr">
        <is>
          <t>401816352</t>
        </is>
      </c>
      <c r="E89" s="24" t="inlineStr">
        <is>
          <t>MLB</t>
        </is>
      </c>
      <c r="F89" s="24" t="inlineStr">
        <is>
          <t>St. Louis Cardinals</t>
        </is>
      </c>
      <c r="G89" s="24" t="inlineStr">
        <is>
          <t>Toronto Blue Jays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-153</v>
      </c>
      <c r="M89" s="27" t="n">
        <v>1.653595</v>
      </c>
      <c r="N89" s="28" t="n">
        <v>0.604743</v>
      </c>
      <c r="O89" s="28" t="n">
        <v>0.5354640000000001</v>
      </c>
      <c r="P89" s="28" t="n"/>
      <c r="Q89" s="28" t="n">
        <v>-0.06927899999999999</v>
      </c>
      <c r="R89" s="26" t="n">
        <v>0</v>
      </c>
      <c r="S89" s="29" t="n">
        <v>1</v>
      </c>
      <c r="T89" s="24" t="inlineStr">
        <is>
          <t>mlb-elo-trend-lr-v7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5</v>
      </c>
      <c r="Y89" s="25" t="n"/>
      <c r="Z89" s="26" t="n">
        <v>-153</v>
      </c>
      <c r="AA89" s="28" t="n">
        <v>0.605</v>
      </c>
      <c r="AB89" s="28" t="n">
        <v>0.000257</v>
      </c>
      <c r="AC89" s="30" t="n">
        <v>0.6536</v>
      </c>
      <c r="AD89" s="24" t="inlineStr">
        <is>
          <t>2026-08-01T23:50:52.446031Z</t>
        </is>
      </c>
      <c r="AE89" s="31" t="inlineStr">
        <is>
          <t>Learned LR call at threshold 0.6242; executable ask 0.6050 (aec-mlb-stl-tor-2026-08-01); model edge vs ask -0.0695.</t>
        </is>
      </c>
      <c r="AF89" s="31" t="inlineStr">
        <is>
          <t>Learned model; shadow-qualified via operator override.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mlb-stl</t>
        </is>
      </c>
      <c r="AQ89" s="24" t="inlineStr">
        <is>
          <t>St. Louis Cardinals</t>
        </is>
      </c>
      <c r="AR89" s="24" t="inlineStr">
        <is>
          <t>St. Louis Cardinals</t>
        </is>
      </c>
      <c r="AS89" s="24" t="inlineStr">
        <is>
          <t>mlb-tor</t>
        </is>
      </c>
      <c r="AT89" s="24" t="inlineStr">
        <is>
          <t>Toronto Blue Jays</t>
        </is>
      </c>
      <c r="AU89" s="24" t="inlineStr">
        <is>
          <t>Toronto Blue Jays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464eef695bfbbdaa819ec6f5e4c5bd1068ed20b92915fb2677220ae91e20d8b6</t>
        </is>
      </c>
      <c r="BB89" s="24" t="inlineStr">
        <is>
          <t>learned_lr</t>
        </is>
      </c>
      <c r="BC89" s="24" t="inlineStr">
        <is>
          <t>mlb-elo-trend-lr-v7</t>
        </is>
      </c>
      <c r="BD89" s="24" t="inlineStr">
        <is>
          <t>464eef695bfbbdaa819ec6f5e4c5bd1068ed20b92915fb2677220ae91e20d8b6</t>
        </is>
      </c>
      <c r="BE89" s="24" t="inlineStr">
        <is>
          <t>a0f0dfbb182ff37a</t>
        </is>
      </c>
      <c r="BF89" s="24" t="inlineStr">
        <is>
          <t>1</t>
        </is>
      </c>
      <c r="BG89" s="24" t="inlineStr">
        <is>
          <t>mlb-elo-trend-lr-v7</t>
        </is>
      </c>
      <c r="BH89" s="24" t="inlineStr">
        <is>
          <t>2026-08-01T18:36:19.970556Z</t>
        </is>
      </c>
      <c r="BI89" s="24" t="inlineStr">
        <is>
          <t>["same_event","same_team_same_day","same_league_same_day"]</t>
        </is>
      </c>
      <c r="BJ89" s="25" t="n"/>
      <c r="BK89" s="26" t="n">
        <v>-153</v>
      </c>
      <c r="BL89" s="27" t="n">
        <v>1.653595</v>
      </c>
      <c r="BM89" s="28" t="n">
        <v>0.604743</v>
      </c>
      <c r="BN89" s="28" t="n">
        <v>0.60199</v>
      </c>
      <c r="BO89" s="28" t="n"/>
      <c r="BP89" s="25" t="n"/>
      <c r="BQ89" s="27" t="n">
        <v>1.653595</v>
      </c>
      <c r="BR89" s="28" t="n">
        <v>0.605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0.5579214953</t>
        </is>
      </c>
      <c r="CD89" s="24" t="inlineStr">
        <is>
          <t>0.999429</t>
        </is>
      </c>
      <c r="CE89" s="24" t="inlineStr">
        <is>
          <t>1.019</t>
        </is>
      </c>
      <c r="CF89" s="24" t="inlineStr">
        <is>
          <t>1</t>
        </is>
      </c>
      <c r="CG89" s="24" t="inlineStr">
        <is>
          <t>-1.4</t>
        </is>
      </c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</row>
    <row r="90" ht="36" customHeight="1">
      <c r="A90" s="24" t="inlineStr">
        <is>
          <t>4b1679abe3c34170</t>
        </is>
      </c>
      <c r="B90" s="24" t="inlineStr">
        <is>
          <t>2026-08-01T18:37:44.379324Z</t>
        </is>
      </c>
      <c r="C90" s="24" t="inlineStr">
        <is>
          <t>2026-08-01T16:10:00-0400</t>
        </is>
      </c>
      <c r="D90" s="24" t="inlineStr">
        <is>
          <t>401816348</t>
        </is>
      </c>
      <c r="E90" s="24" t="inlineStr">
        <is>
          <t>MLB</t>
        </is>
      </c>
      <c r="F90" s="24" t="inlineStr">
        <is>
          <t>Chicago White Sox</t>
        </is>
      </c>
      <c r="G90" s="24" t="inlineStr">
        <is>
          <t>Tampa Bay Rays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-156</v>
      </c>
      <c r="M90" s="27" t="n">
        <v>1.641026</v>
      </c>
      <c r="N90" s="28" t="n">
        <v>0.609375</v>
      </c>
      <c r="O90" s="28" t="n">
        <v>0.558419</v>
      </c>
      <c r="P90" s="28" t="n"/>
      <c r="Q90" s="28" t="n">
        <v>-0.050956</v>
      </c>
      <c r="R90" s="26" t="n">
        <v>0</v>
      </c>
      <c r="S90" s="29" t="n">
        <v>1</v>
      </c>
      <c r="T90" s="24" t="inlineStr">
        <is>
          <t>mlb-elo-trend-lr-v7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-156</v>
      </c>
      <c r="AA90" s="28" t="n">
        <v>0.61</v>
      </c>
      <c r="AB90" s="28" t="n">
        <v>0.000625</v>
      </c>
      <c r="AC90" s="30" t="n">
        <v>0.641</v>
      </c>
      <c r="AD90" s="24" t="inlineStr">
        <is>
          <t>2026-08-01T23:50:53.182001Z</t>
        </is>
      </c>
      <c r="AE90" s="31" t="inlineStr">
        <is>
          <t>Learned LR call at threshold 0.6242; executable ask 0.6100 (aec-mlb-cws-tb-2026-08-01); model edge vs ask -0.0516.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mlb-cws</t>
        </is>
      </c>
      <c r="AQ90" s="24" t="inlineStr">
        <is>
          <t>Chicago White Sox</t>
        </is>
      </c>
      <c r="AR90" s="24" t="inlineStr">
        <is>
          <t>Chicago White Sox</t>
        </is>
      </c>
      <c r="AS90" s="24" t="inlineStr">
        <is>
          <t>mlb-tb</t>
        </is>
      </c>
      <c r="AT90" s="24" t="inlineStr">
        <is>
          <t>Tampa Bay Rays</t>
        </is>
      </c>
      <c r="AU90" s="24" t="inlineStr">
        <is>
          <t>Tampa Bay Rays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464eef695bfbbdaa819ec6f5e4c5bd1068ed20b92915fb2677220ae91e20d8b6</t>
        </is>
      </c>
      <c r="BB90" s="24" t="inlineStr">
        <is>
          <t>learned_lr</t>
        </is>
      </c>
      <c r="BC90" s="24" t="inlineStr">
        <is>
          <t>mlb-elo-trend-lr-v7</t>
        </is>
      </c>
      <c r="BD90" s="24" t="inlineStr">
        <is>
          <t>464eef695bfbbdaa819ec6f5e4c5bd1068ed20b92915fb2677220ae91e20d8b6</t>
        </is>
      </c>
      <c r="BE90" s="24" t="inlineStr">
        <is>
          <t>ad676df45ee6e775</t>
        </is>
      </c>
      <c r="BF90" s="24" t="inlineStr">
        <is>
          <t>1</t>
        </is>
      </c>
      <c r="BG90" s="24" t="inlineStr">
        <is>
          <t>mlb-elo-trend-lr-v7</t>
        </is>
      </c>
      <c r="BH90" s="24" t="inlineStr">
        <is>
          <t>2026-08-01T18:36:22.182386Z</t>
        </is>
      </c>
      <c r="BI90" s="24" t="inlineStr">
        <is>
          <t>["same_event","same_team_same_day","same_league_same_day"]</t>
        </is>
      </c>
      <c r="BJ90" s="25" t="n"/>
      <c r="BK90" s="26" t="n">
        <v>-156</v>
      </c>
      <c r="BL90" s="27" t="n">
        <v>1.641026</v>
      </c>
      <c r="BM90" s="28" t="n">
        <v>0.609375</v>
      </c>
      <c r="BN90" s="28" t="n">
        <v>0.606965</v>
      </c>
      <c r="BO90" s="28" t="n"/>
      <c r="BP90" s="25" t="n"/>
      <c r="BQ90" s="27" t="n">
        <v>1.641026</v>
      </c>
      <c r="BR90" s="28" t="n">
        <v>0.61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0.5468687943</t>
        </is>
      </c>
      <c r="CD90" s="24" t="inlineStr">
        <is>
          <t>-1.164825</t>
        </is>
      </c>
      <c r="CE90" s="24" t="inlineStr">
        <is>
          <t>0.965</t>
        </is>
      </c>
      <c r="CF90" s="24" t="inlineStr">
        <is>
          <t>1</t>
        </is>
      </c>
      <c r="CG90" s="24" t="inlineStr">
        <is>
          <t>-1.4</t>
        </is>
      </c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</row>
    <row r="91" ht="36" customHeight="1">
      <c r="A91" s="24" t="inlineStr">
        <is>
          <t>ea6695362828438e</t>
        </is>
      </c>
      <c r="B91" s="24" t="inlineStr">
        <is>
          <t>2026-08-01T18:37:44.379324Z</t>
        </is>
      </c>
      <c r="C91" s="24" t="inlineStr">
        <is>
          <t>2026-08-01T16:10:00-0400</t>
        </is>
      </c>
      <c r="D91" s="24" t="inlineStr">
        <is>
          <t>401816349</t>
        </is>
      </c>
      <c r="E91" s="24" t="inlineStr">
        <is>
          <t>MLB</t>
        </is>
      </c>
      <c r="F91" s="24" t="inlineStr">
        <is>
          <t>Miami Marlins</t>
        </is>
      </c>
      <c r="G91" s="24" t="inlineStr">
        <is>
          <t>New York Mets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-122</v>
      </c>
      <c r="M91" s="27" t="n">
        <v>1.819672</v>
      </c>
      <c r="N91" s="28" t="n">
        <v>0.54955</v>
      </c>
      <c r="O91" s="28" t="n">
        <v>0.515788</v>
      </c>
      <c r="P91" s="28" t="n"/>
      <c r="Q91" s="28" t="n">
        <v>-0.033762</v>
      </c>
      <c r="R91" s="26" t="n">
        <v>4</v>
      </c>
      <c r="S91" s="29" t="n">
        <v>1</v>
      </c>
      <c r="T91" s="24" t="inlineStr">
        <is>
          <t>mlb-elo-trend-lr-v7</t>
        </is>
      </c>
      <c r="U91" s="24" t="inlineStr">
        <is>
          <t>settled</t>
        </is>
      </c>
      <c r="V91" s="24" t="inlineStr">
        <is>
          <t>loss</t>
        </is>
      </c>
      <c r="W91" s="26" t="n">
        <v>6</v>
      </c>
      <c r="X91" s="26" t="n">
        <v>2</v>
      </c>
      <c r="Y91" s="25" t="n"/>
      <c r="Z91" s="26" t="n">
        <v>-122</v>
      </c>
      <c r="AA91" s="28" t="n">
        <v>0.55</v>
      </c>
      <c r="AB91" s="28" t="n">
        <v>0.00045</v>
      </c>
      <c r="AC91" s="30" t="n">
        <v>-1</v>
      </c>
      <c r="AD91" s="24" t="inlineStr">
        <is>
          <t>2026-08-01T23:50:53.987612Z</t>
        </is>
      </c>
      <c r="AE91" s="31" t="inlineStr">
        <is>
          <t>Learned LR call at threshold 0.6242; executable ask 0.5500 (aec-mlb-mia-nym-2026-08-01); model edge vs ask -0.0342.</t>
        </is>
      </c>
      <c r="AF91" s="31" t="inlineStr">
        <is>
          <t>Learned model; shadow-qualified via operator override.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mlb-mia</t>
        </is>
      </c>
      <c r="AQ91" s="24" t="inlineStr">
        <is>
          <t>Miami Marlins</t>
        </is>
      </c>
      <c r="AR91" s="24" t="inlineStr">
        <is>
          <t>Miami Marlins</t>
        </is>
      </c>
      <c r="AS91" s="24" t="inlineStr">
        <is>
          <t>mlb-nym</t>
        </is>
      </c>
      <c r="AT91" s="24" t="inlineStr">
        <is>
          <t>New York Mets</t>
        </is>
      </c>
      <c r="AU91" s="24" t="inlineStr">
        <is>
          <t>New York Mets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464eef695bfbbdaa819ec6f5e4c5bd1068ed20b92915fb2677220ae91e20d8b6</t>
        </is>
      </c>
      <c r="BB91" s="24" t="inlineStr">
        <is>
          <t>learned_lr</t>
        </is>
      </c>
      <c r="BC91" s="24" t="inlineStr">
        <is>
          <t>mlb-elo-trend-lr-v7</t>
        </is>
      </c>
      <c r="BD91" s="24" t="inlineStr">
        <is>
          <t>464eef695bfbbdaa819ec6f5e4c5bd1068ed20b92915fb2677220ae91e20d8b6</t>
        </is>
      </c>
      <c r="BE91" s="24" t="inlineStr">
        <is>
          <t>8e71ffd6fce569a4</t>
        </is>
      </c>
      <c r="BF91" s="24" t="inlineStr">
        <is>
          <t>1</t>
        </is>
      </c>
      <c r="BG91" s="24" t="inlineStr">
        <is>
          <t>mlb-elo-trend-lr-v7</t>
        </is>
      </c>
      <c r="BH91" s="24" t="inlineStr">
        <is>
          <t>2026-08-01T18:36:23.073759Z</t>
        </is>
      </c>
      <c r="BI91" s="24" t="inlineStr">
        <is>
          <t>["same_event","same_team_same_day","same_league_same_day"]</t>
        </is>
      </c>
      <c r="BJ91" s="25" t="n"/>
      <c r="BK91" s="26" t="n">
        <v>-122</v>
      </c>
      <c r="BL91" s="27" t="n">
        <v>1.819672</v>
      </c>
      <c r="BM91" s="28" t="n">
        <v>0.54955</v>
      </c>
      <c r="BN91" s="28" t="n">
        <v>0.547264</v>
      </c>
      <c r="BO91" s="28" t="n"/>
      <c r="BP91" s="25" t="n"/>
      <c r="BQ91" s="27" t="n">
        <v>1.819672</v>
      </c>
      <c r="BR91" s="28" t="n">
        <v>0.55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0.5032110055</t>
        </is>
      </c>
      <c r="CD91" s="24" t="inlineStr">
        <is>
          <t>-0.346453</t>
        </is>
      </c>
      <c r="CE91" s="24" t="inlineStr">
        <is>
          <t>0.978</t>
        </is>
      </c>
      <c r="CF91" s="24" t="inlineStr">
        <is>
          <t>1.0209</t>
        </is>
      </c>
      <c r="CG91" s="24" t="inlineStr">
        <is>
          <t>-1.2</t>
        </is>
      </c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</row>
    <row r="92" ht="36" customHeight="1">
      <c r="A92" s="24" t="inlineStr">
        <is>
          <t>d303a55c7be64746</t>
        </is>
      </c>
      <c r="B92" s="24" t="inlineStr">
        <is>
          <t>2026-08-01T18:37:44.379324Z</t>
        </is>
      </c>
      <c r="C92" s="24" t="inlineStr">
        <is>
          <t>2026-08-01T16:10:00-0400</t>
        </is>
      </c>
      <c r="D92" s="24" t="inlineStr">
        <is>
          <t>401816360</t>
        </is>
      </c>
      <c r="E92" s="24" t="inlineStr">
        <is>
          <t>MLB</t>
        </is>
      </c>
      <c r="F92" s="24" t="inlineStr">
        <is>
          <t>Minnesota Twins</t>
        </is>
      </c>
      <c r="G92" s="24" t="inlineStr">
        <is>
          <t>Seattle Mariners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-156</v>
      </c>
      <c r="M92" s="27" t="n">
        <v>1.641026</v>
      </c>
      <c r="N92" s="28" t="n">
        <v>0.609375</v>
      </c>
      <c r="O92" s="28" t="n">
        <v>0.591702</v>
      </c>
      <c r="P92" s="28" t="n"/>
      <c r="Q92" s="28" t="n">
        <v>-0.017673</v>
      </c>
      <c r="R92" s="26" t="n">
        <v>12</v>
      </c>
      <c r="S92" s="29" t="n">
        <v>1.25</v>
      </c>
      <c r="T92" s="24" t="inlineStr">
        <is>
          <t>mlb-elo-trend-lr-v7</t>
        </is>
      </c>
      <c r="U92" s="24" t="inlineStr">
        <is>
          <t>settled</t>
        </is>
      </c>
      <c r="V92" s="24" t="inlineStr">
        <is>
          <t>win</t>
        </is>
      </c>
      <c r="W92" s="26" t="n">
        <v>3</v>
      </c>
      <c r="X92" s="26" t="n">
        <v>4</v>
      </c>
      <c r="Y92" s="25" t="n"/>
      <c r="Z92" s="26" t="n">
        <v>-156</v>
      </c>
      <c r="AA92" s="28" t="n">
        <v>0.61</v>
      </c>
      <c r="AB92" s="28" t="n">
        <v>0.000625</v>
      </c>
      <c r="AC92" s="30" t="n">
        <v>0.8013</v>
      </c>
      <c r="AD92" s="24" t="inlineStr">
        <is>
          <t>2026-08-01T23:50:54.713841Z</t>
        </is>
      </c>
      <c r="AE92" s="31" t="inlineStr">
        <is>
          <t>Learned LR call at threshold 0.6242; executable ask 0.6100 (aec-mlb-min-sea-2026-08-01); model edge vs ask -0.0183.</t>
        </is>
      </c>
      <c r="AF92" s="31" t="inlineStr">
        <is>
          <t>Learned model; shadow-qualified via operator override.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mlb-min</t>
        </is>
      </c>
      <c r="AQ92" s="24" t="inlineStr">
        <is>
          <t>Minnesota Twins</t>
        </is>
      </c>
      <c r="AR92" s="24" t="inlineStr">
        <is>
          <t>Minnesota Twins</t>
        </is>
      </c>
      <c r="AS92" s="24" t="inlineStr">
        <is>
          <t>mlb-sea</t>
        </is>
      </c>
      <c r="AT92" s="24" t="inlineStr">
        <is>
          <t>Seattle Mariners</t>
        </is>
      </c>
      <c r="AU92" s="24" t="inlineStr">
        <is>
          <t>Seattle Mariners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464eef695bfbbdaa819ec6f5e4c5bd1068ed20b92915fb2677220ae91e20d8b6</t>
        </is>
      </c>
      <c r="BB92" s="24" t="inlineStr">
        <is>
          <t>learned_lr</t>
        </is>
      </c>
      <c r="BC92" s="24" t="inlineStr">
        <is>
          <t>mlb-elo-trend-lr-v7</t>
        </is>
      </c>
      <c r="BD92" s="24" t="inlineStr">
        <is>
          <t>464eef695bfbbdaa819ec6f5e4c5bd1068ed20b92915fb2677220ae91e20d8b6</t>
        </is>
      </c>
      <c r="BE92" s="24" t="inlineStr">
        <is>
          <t>53175a4c13f251cb</t>
        </is>
      </c>
      <c r="BF92" s="24" t="inlineStr">
        <is>
          <t>1</t>
        </is>
      </c>
      <c r="BG92" s="24" t="inlineStr">
        <is>
          <t>mlb-elo-trend-lr-v7</t>
        </is>
      </c>
      <c r="BH92" s="24" t="inlineStr">
        <is>
          <t>2026-08-01T18:36:21.090185Z</t>
        </is>
      </c>
      <c r="BI92" s="24" t="inlineStr">
        <is>
          <t>["same_event","same_team_same_day","same_league_same_day"]</t>
        </is>
      </c>
      <c r="BJ92" s="25" t="n"/>
      <c r="BK92" s="26" t="n">
        <v>-156</v>
      </c>
      <c r="BL92" s="27" t="n">
        <v>1.641026</v>
      </c>
      <c r="BM92" s="28" t="n">
        <v>0.609375</v>
      </c>
      <c r="BN92" s="28" t="n">
        <v>0.606965</v>
      </c>
      <c r="BO92" s="28" t="n"/>
      <c r="BP92" s="25" t="n"/>
      <c r="BQ92" s="27" t="n">
        <v>1.641026</v>
      </c>
      <c r="BR92" s="28" t="n">
        <v>0.61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inlineStr">
        <is>
          <t>0.578722894</t>
        </is>
      </c>
      <c r="CD92" s="24" t="inlineStr">
        <is>
          <t>0.628201</t>
        </is>
      </c>
      <c r="CE92" s="24" t="inlineStr">
        <is>
          <t>0.936</t>
        </is>
      </c>
      <c r="CF92" s="24" t="inlineStr">
        <is>
          <t>1</t>
        </is>
      </c>
      <c r="CG92" s="24" t="inlineStr">
        <is>
          <t>1.2</t>
        </is>
      </c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</row>
    <row r="93" ht="36" customHeight="1">
      <c r="A93" s="24" t="inlineStr">
        <is>
          <t>dce89bd9695442a5</t>
        </is>
      </c>
      <c r="B93" s="24" t="inlineStr">
        <is>
          <t>2026-08-01T18:38:25.468461Z</t>
        </is>
      </c>
      <c r="C93" s="24" t="inlineStr">
        <is>
          <t>2026-08-01T19:07Z</t>
        </is>
      </c>
      <c r="D93" s="24" t="inlineStr">
        <is>
          <t>401816352</t>
        </is>
      </c>
      <c r="E93" s="24" t="inlineStr">
        <is>
          <t>MLB</t>
        </is>
      </c>
      <c r="F93" s="24" t="inlineStr">
        <is>
          <t>St. Louis Cardinals</t>
        </is>
      </c>
      <c r="G93" s="24" t="inlineStr">
        <is>
          <t>Toronto Blue Jays</t>
        </is>
      </c>
      <c r="H93" s="24" t="inlineStr">
        <is>
          <t>spread</t>
        </is>
      </c>
      <c r="I93" s="24" t="inlineStr">
        <is>
          <t>away</t>
        </is>
      </c>
      <c r="J93" s="25" t="n">
        <v>1.5</v>
      </c>
      <c r="K93" s="24" t="inlineStr">
        <is>
          <t>polymarket_us</t>
        </is>
      </c>
      <c r="L93" s="26" t="n">
        <v>-144</v>
      </c>
      <c r="M93" s="27" t="n">
        <v>1.694444</v>
      </c>
      <c r="N93" s="28" t="n">
        <v>0.590164</v>
      </c>
      <c r="O93" s="28" t="n">
        <v>0.5529849999999999</v>
      </c>
      <c r="P93" s="28" t="n">
        <v>0.05172</v>
      </c>
      <c r="Q93" s="28" t="n">
        <v>-0.037179</v>
      </c>
      <c r="R93" s="26" t="n">
        <v>0</v>
      </c>
      <c r="S93" s="29" t="n">
        <v>1</v>
      </c>
      <c r="T93" s="24" t="inlineStr">
        <is>
          <t>measured-edge-margin-v1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5</v>
      </c>
      <c r="Y93" s="25" t="n">
        <v>1.5</v>
      </c>
      <c r="Z93" s="26" t="n">
        <v>-144</v>
      </c>
      <c r="AA93" s="28" t="n">
        <v>0.59</v>
      </c>
      <c r="AB93" s="28" t="n">
        <v>-0.000164</v>
      </c>
      <c r="AC93" s="30" t="n">
        <v>-1</v>
      </c>
      <c r="AD93" s="24" t="inlineStr">
        <is>
          <t>2026-08-01T23:50:55.435425Z</t>
        </is>
      </c>
      <c r="AE93" s="31" t="inlineStr">
        <is>
          <t>Measured Edge Margin: Trend Engine projected 4.64-4.73; raw selected-side p=0.6584, calibrated p=0.5530.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mlb-stl</t>
        </is>
      </c>
      <c r="AQ93" s="24" t="inlineStr">
        <is>
          <t>St. Louis Cardinals</t>
        </is>
      </c>
      <c r="AR93" s="24" t="inlineStr">
        <is>
          <t>St. Louis Cardinals</t>
        </is>
      </c>
      <c r="AS93" s="24" t="inlineStr">
        <is>
          <t>mlb-tor</t>
        </is>
      </c>
      <c r="AT93" s="24" t="inlineStr">
        <is>
          <t>Toronto Blue Jays</t>
        </is>
      </c>
      <c r="AU93" s="24" t="inlineStr">
        <is>
          <t>Toronto Blue Jays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2bc2ce55b0d39a20103f724bbddbde5394909acd49297f52665b596a0ae3ae8b</t>
        </is>
      </c>
      <c r="BB93" s="24" t="inlineStr">
        <is>
          <t>flat_probability_shrinkage_toward_half</t>
        </is>
      </c>
      <c r="BC93" s="24" t="inlineStr">
        <is>
          <t>measured-edge-margin-v1</t>
        </is>
      </c>
      <c r="BD93" s="24" t="inlineStr">
        <is>
          <t>2bc2ce55b0d39a20103f724bbddbde5394909acd49297f52665b596a0ae3ae8b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2026-08-01T18:38:25.468461Z</t>
        </is>
      </c>
      <c r="BI93" s="24" t="inlineStr">
        <is>
          <t>["same_event","same_team_same_day","same_league_same_day"]</t>
        </is>
      </c>
      <c r="BJ93" s="25" t="n">
        <v>1.5</v>
      </c>
      <c r="BK93" s="26" t="n">
        <v>-144</v>
      </c>
      <c r="BL93" s="27" t="n">
        <v>1.694444</v>
      </c>
      <c r="BM93" s="28" t="n">
        <v>0.590164</v>
      </c>
      <c r="BN93" s="28" t="n">
        <v>0.5870649999999999</v>
      </c>
      <c r="BO93" s="28" t="n"/>
      <c r="BP93" s="25" t="n"/>
      <c r="BQ93" s="27" t="n">
        <v>1.694444</v>
      </c>
      <c r="BR93" s="28" t="n">
        <v>0.59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</row>
    <row r="94" ht="36" customHeight="1">
      <c r="A94" s="24" t="inlineStr">
        <is>
          <t>fde80a4b2f894318</t>
        </is>
      </c>
      <c r="B94" s="24" t="inlineStr">
        <is>
          <t>2026-08-01T18:38:25.468461Z</t>
        </is>
      </c>
      <c r="C94" s="24" t="inlineStr">
        <is>
          <t>2026-08-01T19:07Z</t>
        </is>
      </c>
      <c r="D94" s="24" t="inlineStr">
        <is>
          <t>401816352</t>
        </is>
      </c>
      <c r="E94" s="24" t="inlineStr">
        <is>
          <t>MLB</t>
        </is>
      </c>
      <c r="F94" s="24" t="inlineStr">
        <is>
          <t>St. Louis Cardinals</t>
        </is>
      </c>
      <c r="G94" s="24" t="inlineStr">
        <is>
          <t>Toronto Blue Jays</t>
        </is>
      </c>
      <c r="H94" s="24" t="inlineStr">
        <is>
          <t>total</t>
        </is>
      </c>
      <c r="I94" s="24" t="inlineStr">
        <is>
          <t>over</t>
        </is>
      </c>
      <c r="J94" s="25" t="n">
        <v>8.5</v>
      </c>
      <c r="K94" s="24" t="inlineStr">
        <is>
          <t>polymarket_us</t>
        </is>
      </c>
      <c r="L94" s="26" t="n">
        <v>111</v>
      </c>
      <c r="M94" s="27" t="n">
        <v>2.11</v>
      </c>
      <c r="N94" s="28" t="n">
        <v>0.473934</v>
      </c>
      <c r="O94" s="28" t="n">
        <v>0.528302</v>
      </c>
      <c r="P94" s="28" t="n">
        <v>0.05172</v>
      </c>
      <c r="Q94" s="28" t="n">
        <v>0.054368</v>
      </c>
      <c r="R94" s="26" t="n">
        <v>46</v>
      </c>
      <c r="S94" s="29" t="n">
        <v>1</v>
      </c>
      <c r="T94" s="24" t="inlineStr">
        <is>
          <t>measured-edge-totals-v1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5</v>
      </c>
      <c r="Y94" s="25" t="n">
        <v>8.5</v>
      </c>
      <c r="Z94" s="26" t="n">
        <v>111</v>
      </c>
      <c r="AA94" s="28" t="n">
        <v>0.475</v>
      </c>
      <c r="AB94" s="28" t="n">
        <v>0.001066</v>
      </c>
      <c r="AC94" s="30" t="n">
        <v>-1</v>
      </c>
      <c r="AD94" s="24" t="inlineStr">
        <is>
          <t>2026-08-01T23:50:56.176778Z</t>
        </is>
      </c>
      <c r="AE94" s="31" t="inlineStr">
        <is>
          <t>Measured Edge Totals: Trend Engine projected 4.64-4.73; raw selected-side p=0.5451, calibrated p=0.5283.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mlb-stl</t>
        </is>
      </c>
      <c r="AQ94" s="24" t="inlineStr">
        <is>
          <t>St. Louis Cardinals</t>
        </is>
      </c>
      <c r="AR94" s="24" t="inlineStr">
        <is>
          <t>St. Louis Cardinals</t>
        </is>
      </c>
      <c r="AS94" s="24" t="inlineStr">
        <is>
          <t>mlb-tor</t>
        </is>
      </c>
      <c r="AT94" s="24" t="inlineStr">
        <is>
          <t>Toronto Blue Jays</t>
        </is>
      </c>
      <c r="AU94" s="24" t="inlineStr">
        <is>
          <t>Toronto Blue Jays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cbc2c9bf5a9569a49e1902c816d96556d704cf10819ca3a9e927721685757d0b</t>
        </is>
      </c>
      <c r="BB94" s="24" t="inlineStr">
        <is>
          <t>flat_probability_shrinkage_toward_half</t>
        </is>
      </c>
      <c r="BC94" s="24" t="inlineStr">
        <is>
          <t>measured-edge-totals-v1</t>
        </is>
      </c>
      <c r="BD94" s="24" t="inlineStr">
        <is>
          <t>cbc2c9bf5a9569a49e1902c816d96556d704cf10819ca3a9e927721685757d0b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2026-08-01T18:38:25.468461Z</t>
        </is>
      </c>
      <c r="BI94" s="24" t="inlineStr">
        <is>
          <t>["same_event","same_team_same_day","same_league_same_day"]</t>
        </is>
      </c>
      <c r="BJ94" s="25" t="n">
        <v>8.5</v>
      </c>
      <c r="BK94" s="26" t="n">
        <v>111</v>
      </c>
      <c r="BL94" s="27" t="n">
        <v>2.11</v>
      </c>
      <c r="BM94" s="28" t="n">
        <v>0.473934</v>
      </c>
      <c r="BN94" s="28" t="n">
        <v>0.472637</v>
      </c>
      <c r="BO94" s="28" t="n"/>
      <c r="BP94" s="25" t="n"/>
      <c r="BQ94" s="27" t="n">
        <v>2.11</v>
      </c>
      <c r="BR94" s="28" t="n">
        <v>0.475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</row>
    <row r="95" ht="36" customHeight="1">
      <c r="A95" s="24" t="inlineStr">
        <is>
          <t>53a2e3a55ed248f0</t>
        </is>
      </c>
      <c r="B95" s="24" t="inlineStr">
        <is>
          <t>2026-08-01T18:38:25.468461Z</t>
        </is>
      </c>
      <c r="C95" s="24" t="inlineStr">
        <is>
          <t>2026-08-01T20:10Z</t>
        </is>
      </c>
      <c r="D95" s="24" t="inlineStr">
        <is>
          <t>401816348</t>
        </is>
      </c>
      <c r="E95" s="24" t="inlineStr">
        <is>
          <t>MLB</t>
        </is>
      </c>
      <c r="F95" s="24" t="inlineStr">
        <is>
          <t>Chicago White Sox</t>
        </is>
      </c>
      <c r="G95" s="24" t="inlineStr">
        <is>
          <t>Tampa Bay Rays</t>
        </is>
      </c>
      <c r="H95" s="24" t="inlineStr">
        <is>
          <t>spread</t>
        </is>
      </c>
      <c r="I95" s="24" t="inlineStr">
        <is>
          <t>away</t>
        </is>
      </c>
      <c r="J95" s="25" t="n">
        <v>1.5</v>
      </c>
      <c r="K95" s="24" t="inlineStr">
        <is>
          <t>polymarket_us</t>
        </is>
      </c>
      <c r="L95" s="26" t="n">
        <v>-135</v>
      </c>
      <c r="M95" s="27" t="n">
        <v>1.740741</v>
      </c>
      <c r="N95" s="28" t="n">
        <v>0.574468</v>
      </c>
      <c r="O95" s="28" t="n">
        <v>0.556866</v>
      </c>
      <c r="P95" s="28" t="n">
        <v>0.042131</v>
      </c>
      <c r="Q95" s="28" t="n">
        <v>-0.017602</v>
      </c>
      <c r="R95" s="26" t="n">
        <v>16</v>
      </c>
      <c r="S95" s="29" t="n">
        <v>1</v>
      </c>
      <c r="T95" s="24" t="inlineStr">
        <is>
          <t>measured-edge-margin-v1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>
        <v>1.5</v>
      </c>
      <c r="Z95" s="26" t="n">
        <v>-135</v>
      </c>
      <c r="AA95" s="28" t="n">
        <v>0.575</v>
      </c>
      <c r="AB95" s="28" t="n">
        <v>0.000532</v>
      </c>
      <c r="AC95" s="30" t="n">
        <v>0.7407</v>
      </c>
      <c r="AD95" s="24" t="inlineStr">
        <is>
          <t>2026-08-01T23:50:56.898718Z</t>
        </is>
      </c>
      <c r="AE95" s="31" t="inlineStr">
        <is>
          <t>Measured Edge Margin: Trend Engine projected 4.52-4.44; raw selected-side p=0.6782, calibrated p=0.5569.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mlb-cws</t>
        </is>
      </c>
      <c r="AQ95" s="24" t="inlineStr">
        <is>
          <t>Chicago White Sox</t>
        </is>
      </c>
      <c r="AR95" s="24" t="inlineStr">
        <is>
          <t>Chicago White Sox</t>
        </is>
      </c>
      <c r="AS95" s="24" t="inlineStr">
        <is>
          <t>mlb-tb</t>
        </is>
      </c>
      <c r="AT95" s="24" t="inlineStr">
        <is>
          <t>Tampa Bay Rays</t>
        </is>
      </c>
      <c r="AU95" s="24" t="inlineStr">
        <is>
          <t>Tampa Bay Rays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2bc2ce55b0d39a20103f724bbddbde5394909acd49297f52665b596a0ae3ae8b</t>
        </is>
      </c>
      <c r="BB95" s="24" t="inlineStr">
        <is>
          <t>flat_probability_shrinkage_toward_half</t>
        </is>
      </c>
      <c r="BC95" s="24" t="inlineStr">
        <is>
          <t>measured-edge-margin-v1</t>
        </is>
      </c>
      <c r="BD95" s="24" t="inlineStr">
        <is>
          <t>2bc2ce55b0d39a20103f724bbddbde5394909acd49297f52665b596a0ae3ae8b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2026-08-01T18:38:25.468461Z</t>
        </is>
      </c>
      <c r="BI95" s="24" t="inlineStr">
        <is>
          <t>["same_event","same_team_same_day","same_league_same_day"]</t>
        </is>
      </c>
      <c r="BJ95" s="25" t="n">
        <v>1.5</v>
      </c>
      <c r="BK95" s="26" t="n">
        <v>-135</v>
      </c>
      <c r="BL95" s="27" t="n">
        <v>1.740741</v>
      </c>
      <c r="BM95" s="28" t="n">
        <v>0.574468</v>
      </c>
      <c r="BN95" s="28" t="n">
        <v>0.572139</v>
      </c>
      <c r="BO95" s="28" t="n"/>
      <c r="BP95" s="25" t="n"/>
      <c r="BQ95" s="27" t="n">
        <v>1.740741</v>
      </c>
      <c r="BR95" s="28" t="n">
        <v>0.575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</row>
    <row r="96" ht="36" customHeight="1">
      <c r="A96" s="24" t="inlineStr">
        <is>
          <t>cc33b13ed9b840b9</t>
        </is>
      </c>
      <c r="B96" s="24" t="inlineStr">
        <is>
          <t>2026-08-01T18:38:25.468461Z</t>
        </is>
      </c>
      <c r="C96" s="24" t="inlineStr">
        <is>
          <t>2026-08-01T20:10Z</t>
        </is>
      </c>
      <c r="D96" s="24" t="inlineStr">
        <is>
          <t>401816348</t>
        </is>
      </c>
      <c r="E96" s="24" t="inlineStr">
        <is>
          <t>MLB</t>
        </is>
      </c>
      <c r="F96" s="24" t="inlineStr">
        <is>
          <t>Chicago White Sox</t>
        </is>
      </c>
      <c r="G96" s="24" t="inlineStr">
        <is>
          <t>Tampa Bay Rays</t>
        </is>
      </c>
      <c r="H96" s="24" t="inlineStr">
        <is>
          <t>total</t>
        </is>
      </c>
      <c r="I96" s="24" t="inlineStr">
        <is>
          <t>over</t>
        </is>
      </c>
      <c r="J96" s="25" t="n">
        <v>7.5</v>
      </c>
      <c r="K96" s="24" t="inlineStr">
        <is>
          <t>polymarket_us</t>
        </is>
      </c>
      <c r="L96" s="26" t="n">
        <v>100</v>
      </c>
      <c r="M96" s="27" t="n">
        <v>2</v>
      </c>
      <c r="N96" s="28" t="n">
        <v>0.5</v>
      </c>
      <c r="O96" s="28" t="n">
        <v>0.567639</v>
      </c>
      <c r="P96" s="28" t="n">
        <v>0.042131</v>
      </c>
      <c r="Q96" s="28" t="n">
        <v>0.067639</v>
      </c>
      <c r="R96" s="26" t="n">
        <v>59</v>
      </c>
      <c r="S96" s="29" t="n">
        <v>1.25</v>
      </c>
      <c r="T96" s="24" t="inlineStr">
        <is>
          <t>measured-edge-totals-v1</t>
        </is>
      </c>
      <c r="U96" s="24" t="inlineStr">
        <is>
          <t>settled</t>
        </is>
      </c>
      <c r="V96" s="24" t="inlineStr">
        <is>
          <t>loss</t>
        </is>
      </c>
      <c r="W96" s="26" t="n">
        <v>0</v>
      </c>
      <c r="X96" s="26" t="n">
        <v>1</v>
      </c>
      <c r="Y96" s="25" t="n">
        <v>7.5</v>
      </c>
      <c r="Z96" s="26" t="n">
        <v>100</v>
      </c>
      <c r="AA96" s="28" t="n">
        <v>0.5</v>
      </c>
      <c r="AB96" s="28" t="n">
        <v>0</v>
      </c>
      <c r="AC96" s="30" t="n">
        <v>-1.25</v>
      </c>
      <c r="AD96" s="24" t="inlineStr">
        <is>
          <t>2026-08-01T23:50:57.728981Z</t>
        </is>
      </c>
      <c r="AE96" s="31" t="inlineStr">
        <is>
          <t>Measured Edge Totals: Trend Engine projected 4.52-4.44; raw selected-side p=0.5857, calibrated p=0.5676.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mlb-cws</t>
        </is>
      </c>
      <c r="AQ96" s="24" t="inlineStr">
        <is>
          <t>Chicago White Sox</t>
        </is>
      </c>
      <c r="AR96" s="24" t="inlineStr">
        <is>
          <t>Chicago White Sox</t>
        </is>
      </c>
      <c r="AS96" s="24" t="inlineStr">
        <is>
          <t>mlb-tb</t>
        </is>
      </c>
      <c r="AT96" s="24" t="inlineStr">
        <is>
          <t>Tampa Bay Rays</t>
        </is>
      </c>
      <c r="AU96" s="24" t="inlineStr">
        <is>
          <t>Tampa Bay Rays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cbc2c9bf5a9569a49e1902c816d96556d704cf10819ca3a9e927721685757d0b</t>
        </is>
      </c>
      <c r="BB96" s="24" t="inlineStr">
        <is>
          <t>flat_probability_shrinkage_toward_half</t>
        </is>
      </c>
      <c r="BC96" s="24" t="inlineStr">
        <is>
          <t>measured-edge-totals-v1</t>
        </is>
      </c>
      <c r="BD96" s="24" t="inlineStr">
        <is>
          <t>cbc2c9bf5a9569a49e1902c816d96556d704cf10819ca3a9e927721685757d0b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2026-08-01T18:38:25.468461Z</t>
        </is>
      </c>
      <c r="BI96" s="24" t="inlineStr">
        <is>
          <t>["same_event","same_team_same_day","same_league_same_day"]</t>
        </is>
      </c>
      <c r="BJ96" s="25" t="n">
        <v>7.5</v>
      </c>
      <c r="BK96" s="26" t="n">
        <v>100</v>
      </c>
      <c r="BL96" s="27" t="n">
        <v>2</v>
      </c>
      <c r="BM96" s="28" t="n">
        <v>0.5</v>
      </c>
      <c r="BN96" s="28" t="n">
        <v>0.497512</v>
      </c>
      <c r="BO96" s="28" t="n"/>
      <c r="BP96" s="25" t="n"/>
      <c r="BQ96" s="27" t="n">
        <v>2</v>
      </c>
      <c r="BR96" s="28" t="n">
        <v>0.5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</row>
    <row r="97" ht="36" customHeight="1">
      <c r="A97" s="24" t="inlineStr">
        <is>
          <t>d3fdf8f34a1b4649</t>
        </is>
      </c>
      <c r="B97" s="24" t="inlineStr">
        <is>
          <t>2026-08-01T18:38:25.468461Z</t>
        </is>
      </c>
      <c r="C97" s="24" t="inlineStr">
        <is>
          <t>2026-08-01T20:10Z</t>
        </is>
      </c>
      <c r="D97" s="24" t="inlineStr">
        <is>
          <t>401816349</t>
        </is>
      </c>
      <c r="E97" s="24" t="inlineStr">
        <is>
          <t>MLB</t>
        </is>
      </c>
      <c r="F97" s="24" t="inlineStr">
        <is>
          <t>Miami Marlins</t>
        </is>
      </c>
      <c r="G97" s="24" t="inlineStr">
        <is>
          <t>New York Mets</t>
        </is>
      </c>
      <c r="H97" s="24" t="inlineStr">
        <is>
          <t>spread</t>
        </is>
      </c>
      <c r="I97" s="24" t="inlineStr">
        <is>
          <t>away</t>
        </is>
      </c>
      <c r="J97" s="25" t="n">
        <v>1.5</v>
      </c>
      <c r="K97" s="24" t="inlineStr">
        <is>
          <t>polymarket_us</t>
        </is>
      </c>
      <c r="L97" s="26" t="n">
        <v>-170</v>
      </c>
      <c r="M97" s="27" t="n">
        <v>1.588235</v>
      </c>
      <c r="N97" s="28" t="n">
        <v>0.62963</v>
      </c>
      <c r="O97" s="28" t="n">
        <v>0.544015</v>
      </c>
      <c r="P97" s="28" t="n">
        <v>0.05172</v>
      </c>
      <c r="Q97" s="28" t="n">
        <v>-0.085615</v>
      </c>
      <c r="R97" s="26" t="n">
        <v>0</v>
      </c>
      <c r="S97" s="29" t="n">
        <v>1</v>
      </c>
      <c r="T97" s="24" t="inlineStr">
        <is>
          <t>measured-edge-margin-v1</t>
        </is>
      </c>
      <c r="U97" s="24" t="inlineStr">
        <is>
          <t>settled</t>
        </is>
      </c>
      <c r="V97" s="24" t="inlineStr">
        <is>
          <t>win</t>
        </is>
      </c>
      <c r="W97" s="26" t="n">
        <v>6</v>
      </c>
      <c r="X97" s="26" t="n">
        <v>2</v>
      </c>
      <c r="Y97" s="25" t="n">
        <v>1.5</v>
      </c>
      <c r="Z97" s="26" t="n">
        <v>-170</v>
      </c>
      <c r="AA97" s="28" t="n">
        <v>0.63</v>
      </c>
      <c r="AB97" s="28" t="n">
        <v>0.00037</v>
      </c>
      <c r="AC97" s="30" t="n">
        <v>0.5881999999999999</v>
      </c>
      <c r="AD97" s="24" t="inlineStr">
        <is>
          <t>2026-08-01T23:50:58.540283Z</t>
        </is>
      </c>
      <c r="AE97" s="31" t="inlineStr">
        <is>
          <t>Measured Edge Margin: Trend Engine projected 4.21-4.73; raw selected-side p=0.6128, calibrated p=0.5440.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mlb-mia</t>
        </is>
      </c>
      <c r="AQ97" s="24" t="inlineStr">
        <is>
          <t>Miami Marlins</t>
        </is>
      </c>
      <c r="AR97" s="24" t="inlineStr">
        <is>
          <t>Miami Marlins</t>
        </is>
      </c>
      <c r="AS97" s="24" t="inlineStr">
        <is>
          <t>mlb-nym</t>
        </is>
      </c>
      <c r="AT97" s="24" t="inlineStr">
        <is>
          <t>New York Mets</t>
        </is>
      </c>
      <c r="AU97" s="24" t="inlineStr">
        <is>
          <t>New York Mets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2bc2ce55b0d39a20103f724bbddbde5394909acd49297f52665b596a0ae3ae8b</t>
        </is>
      </c>
      <c r="BB97" s="24" t="inlineStr">
        <is>
          <t>flat_probability_shrinkage_toward_half</t>
        </is>
      </c>
      <c r="BC97" s="24" t="inlineStr">
        <is>
          <t>measured-edge-margin-v1</t>
        </is>
      </c>
      <c r="BD97" s="24" t="inlineStr">
        <is>
          <t>2bc2ce55b0d39a20103f724bbddbde5394909acd49297f52665b596a0ae3ae8b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2026-08-01T18:38:25.468461Z</t>
        </is>
      </c>
      <c r="BI97" s="24" t="inlineStr">
        <is>
          <t>["same_event","same_team_same_day","same_league_same_day"]</t>
        </is>
      </c>
      <c r="BJ97" s="25" t="n">
        <v>1.5</v>
      </c>
      <c r="BK97" s="26" t="n">
        <v>-170</v>
      </c>
      <c r="BL97" s="27" t="n">
        <v>1.588235</v>
      </c>
      <c r="BM97" s="28" t="n">
        <v>0.62963</v>
      </c>
      <c r="BN97" s="28" t="n">
        <v>0.626866</v>
      </c>
      <c r="BO97" s="28" t="n"/>
      <c r="BP97" s="25" t="n"/>
      <c r="BQ97" s="27" t="n">
        <v>1.588235</v>
      </c>
      <c r="BR97" s="28" t="n">
        <v>0.63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</row>
    <row r="98" ht="36" customHeight="1">
      <c r="A98" s="24" t="inlineStr">
        <is>
          <t>31fc43af9c9848fa</t>
        </is>
      </c>
      <c r="B98" s="24" t="inlineStr">
        <is>
          <t>2026-08-01T18:38:25.468461Z</t>
        </is>
      </c>
      <c r="C98" s="24" t="inlineStr">
        <is>
          <t>2026-08-01T20:10Z</t>
        </is>
      </c>
      <c r="D98" s="24" t="inlineStr">
        <is>
          <t>401816349</t>
        </is>
      </c>
      <c r="E98" s="24" t="inlineStr">
        <is>
          <t>MLB</t>
        </is>
      </c>
      <c r="F98" s="24" t="inlineStr">
        <is>
          <t>Miami Marlins</t>
        </is>
      </c>
      <c r="G98" s="24" t="inlineStr">
        <is>
          <t>New York Mets</t>
        </is>
      </c>
      <c r="H98" s="24" t="inlineStr">
        <is>
          <t>total</t>
        </is>
      </c>
      <c r="I98" s="24" t="inlineStr">
        <is>
          <t>over</t>
        </is>
      </c>
      <c r="J98" s="25" t="n">
        <v>8.5</v>
      </c>
      <c r="K98" s="24" t="inlineStr">
        <is>
          <t>polymarket_us</t>
        </is>
      </c>
      <c r="L98" s="26" t="n">
        <v>-122</v>
      </c>
      <c r="M98" s="27" t="n">
        <v>1.819672</v>
      </c>
      <c r="N98" s="28" t="n">
        <v>0.54955</v>
      </c>
      <c r="O98" s="28" t="n">
        <v>0.488139</v>
      </c>
      <c r="P98" s="28" t="n">
        <v>0.05172</v>
      </c>
      <c r="Q98" s="28" t="n">
        <v>-0.061411</v>
      </c>
      <c r="R98" s="26" t="n">
        <v>0</v>
      </c>
      <c r="S98" s="29" t="n">
        <v>1</v>
      </c>
      <c r="T98" s="24" t="inlineStr">
        <is>
          <t>measured-edge-totals-v1</t>
        </is>
      </c>
      <c r="U98" s="24" t="inlineStr">
        <is>
          <t>settled</t>
        </is>
      </c>
      <c r="V98" s="24" t="inlineStr">
        <is>
          <t>loss</t>
        </is>
      </c>
      <c r="W98" s="26" t="n">
        <v>6</v>
      </c>
      <c r="X98" s="26" t="n">
        <v>2</v>
      </c>
      <c r="Y98" s="25" t="n">
        <v>8.5</v>
      </c>
      <c r="Z98" s="26" t="n">
        <v>-122</v>
      </c>
      <c r="AA98" s="28" t="n">
        <v>0.55</v>
      </c>
      <c r="AB98" s="28" t="n">
        <v>0.00045</v>
      </c>
      <c r="AC98" s="30" t="n">
        <v>-1</v>
      </c>
      <c r="AD98" s="24" t="inlineStr">
        <is>
          <t>2026-08-01T23:50:59.262224Z</t>
        </is>
      </c>
      <c r="AE98" s="31" t="inlineStr">
        <is>
          <t>Measured Edge Totals: Trend Engine projected 4.21-4.73; raw selected-side p=0.5037, calibrated p=0.4881.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mlb-mia</t>
        </is>
      </c>
      <c r="AQ98" s="24" t="inlineStr">
        <is>
          <t>Miami Marlins</t>
        </is>
      </c>
      <c r="AR98" s="24" t="inlineStr">
        <is>
          <t>Miami Marlins</t>
        </is>
      </c>
      <c r="AS98" s="24" t="inlineStr">
        <is>
          <t>mlb-nym</t>
        </is>
      </c>
      <c r="AT98" s="24" t="inlineStr">
        <is>
          <t>New York Mets</t>
        </is>
      </c>
      <c r="AU98" s="24" t="inlineStr">
        <is>
          <t>New York Mets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cbc2c9bf5a9569a49e1902c816d96556d704cf10819ca3a9e927721685757d0b</t>
        </is>
      </c>
      <c r="BB98" s="24" t="inlineStr">
        <is>
          <t>flat_probability_shrinkage_toward_half</t>
        </is>
      </c>
      <c r="BC98" s="24" t="inlineStr">
        <is>
          <t>measured-edge-totals-v1</t>
        </is>
      </c>
      <c r="BD98" s="24" t="inlineStr">
        <is>
          <t>cbc2c9bf5a9569a49e1902c816d96556d704cf10819ca3a9e927721685757d0b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2026-08-01T18:38:25.468461Z</t>
        </is>
      </c>
      <c r="BI98" s="24" t="inlineStr">
        <is>
          <t>["same_event","same_team_same_day","same_league_same_day"]</t>
        </is>
      </c>
      <c r="BJ98" s="25" t="n">
        <v>8.5</v>
      </c>
      <c r="BK98" s="26" t="n">
        <v>-122</v>
      </c>
      <c r="BL98" s="27" t="n">
        <v>1.819672</v>
      </c>
      <c r="BM98" s="28" t="n">
        <v>0.54955</v>
      </c>
      <c r="BN98" s="28" t="n">
        <v>0.547264</v>
      </c>
      <c r="BO98" s="28" t="n"/>
      <c r="BP98" s="25" t="n"/>
      <c r="BQ98" s="27" t="n">
        <v>1.819672</v>
      </c>
      <c r="BR98" s="28" t="n">
        <v>0.55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</row>
    <row r="99" ht="36" customHeight="1">
      <c r="A99" s="24" t="inlineStr">
        <is>
          <t>ec83628205ea4fed</t>
        </is>
      </c>
      <c r="B99" s="24" t="inlineStr">
        <is>
          <t>2026-08-01T18:38:25.468461Z</t>
        </is>
      </c>
      <c r="C99" s="24" t="inlineStr">
        <is>
          <t>2026-08-01T20:10Z</t>
        </is>
      </c>
      <c r="D99" s="24" t="inlineStr">
        <is>
          <t>401816360</t>
        </is>
      </c>
      <c r="E99" s="24" t="inlineStr">
        <is>
          <t>MLB</t>
        </is>
      </c>
      <c r="F99" s="24" t="inlineStr">
        <is>
          <t>Minnesota Twins</t>
        </is>
      </c>
      <c r="G99" s="24" t="inlineStr">
        <is>
          <t>Seattle Mariners</t>
        </is>
      </c>
      <c r="H99" s="24" t="inlineStr">
        <is>
          <t>spread</t>
        </is>
      </c>
      <c r="I99" s="24" t="inlineStr">
        <is>
          <t>away</t>
        </is>
      </c>
      <c r="J99" s="25" t="n">
        <v>1.5</v>
      </c>
      <c r="K99" s="24" t="inlineStr">
        <is>
          <t>polymarket_us</t>
        </is>
      </c>
      <c r="L99" s="26" t="n">
        <v>-144</v>
      </c>
      <c r="M99" s="27" t="n">
        <v>1.694444</v>
      </c>
      <c r="N99" s="28" t="n">
        <v>0.590164</v>
      </c>
      <c r="O99" s="28" t="n">
        <v>0.548643</v>
      </c>
      <c r="P99" s="28" t="n">
        <v>0.042131</v>
      </c>
      <c r="Q99" s="28" t="n">
        <v>-0.041521</v>
      </c>
      <c r="R99" s="26" t="n">
        <v>4</v>
      </c>
      <c r="S99" s="29" t="n">
        <v>1</v>
      </c>
      <c r="T99" s="24" t="inlineStr">
        <is>
          <t>measured-edge-margin-v1</t>
        </is>
      </c>
      <c r="U99" s="24" t="inlineStr">
        <is>
          <t>settled</t>
        </is>
      </c>
      <c r="V99" s="24" t="inlineStr">
        <is>
          <t>win</t>
        </is>
      </c>
      <c r="W99" s="26" t="n">
        <v>3</v>
      </c>
      <c r="X99" s="26" t="n">
        <v>4</v>
      </c>
      <c r="Y99" s="25" t="n">
        <v>1.5</v>
      </c>
      <c r="Z99" s="26" t="n">
        <v>-144</v>
      </c>
      <c r="AA99" s="28" t="n">
        <v>0.59</v>
      </c>
      <c r="AB99" s="28" t="n">
        <v>-0.000164</v>
      </c>
      <c r="AC99" s="30" t="n">
        <v>0.6944</v>
      </c>
      <c r="AD99" s="24" t="inlineStr">
        <is>
          <t>2026-08-01T23:50:59.981913Z</t>
        </is>
      </c>
      <c r="AE99" s="31" t="inlineStr">
        <is>
          <t>Measured Edge Margin: Trend Engine projected 4.36-4.68; raw selected-side p=0.6363, calibrated p=0.5486.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mlb-min</t>
        </is>
      </c>
      <c r="AQ99" s="24" t="inlineStr">
        <is>
          <t>Minnesota Twins</t>
        </is>
      </c>
      <c r="AR99" s="24" t="inlineStr">
        <is>
          <t>Minnesota Twins</t>
        </is>
      </c>
      <c r="AS99" s="24" t="inlineStr">
        <is>
          <t>mlb-sea</t>
        </is>
      </c>
      <c r="AT99" s="24" t="inlineStr">
        <is>
          <t>Seattle Mariners</t>
        </is>
      </c>
      <c r="AU99" s="24" t="inlineStr">
        <is>
          <t>Seattle Mariners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2bc2ce55b0d39a20103f724bbddbde5394909acd49297f52665b596a0ae3ae8b</t>
        </is>
      </c>
      <c r="BB99" s="24" t="inlineStr">
        <is>
          <t>flat_probability_shrinkage_toward_half</t>
        </is>
      </c>
      <c r="BC99" s="24" t="inlineStr">
        <is>
          <t>measured-edge-margin-v1</t>
        </is>
      </c>
      <c r="BD99" s="24" t="inlineStr">
        <is>
          <t>2bc2ce55b0d39a20103f724bbddbde5394909acd49297f52665b596a0ae3ae8b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2026-08-01T18:38:25.468461Z</t>
        </is>
      </c>
      <c r="BI99" s="24" t="inlineStr">
        <is>
          <t>["same_event","same_team_same_day","same_league_same_day"]</t>
        </is>
      </c>
      <c r="BJ99" s="25" t="n">
        <v>1.5</v>
      </c>
      <c r="BK99" s="26" t="n">
        <v>-144</v>
      </c>
      <c r="BL99" s="27" t="n">
        <v>1.694444</v>
      </c>
      <c r="BM99" s="28" t="n">
        <v>0.590164</v>
      </c>
      <c r="BN99" s="28" t="n">
        <v>0.5870649999999999</v>
      </c>
      <c r="BO99" s="28" t="n"/>
      <c r="BP99" s="25" t="n"/>
      <c r="BQ99" s="27" t="n">
        <v>1.694444</v>
      </c>
      <c r="BR99" s="28" t="n">
        <v>0.59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</row>
    <row r="100" ht="36" customHeight="1">
      <c r="A100" s="24" t="inlineStr">
        <is>
          <t>21428e43c77d4c5e</t>
        </is>
      </c>
      <c r="B100" s="24" t="inlineStr">
        <is>
          <t>2026-08-01T18:38:25.468461Z</t>
        </is>
      </c>
      <c r="C100" s="24" t="inlineStr">
        <is>
          <t>2026-08-01T20:10Z</t>
        </is>
      </c>
      <c r="D100" s="24" t="inlineStr">
        <is>
          <t>401816360</t>
        </is>
      </c>
      <c r="E100" s="24" t="inlineStr">
        <is>
          <t>MLB</t>
        </is>
      </c>
      <c r="F100" s="24" t="inlineStr">
        <is>
          <t>Minnesota Twins</t>
        </is>
      </c>
      <c r="G100" s="24" t="inlineStr">
        <is>
          <t>Seattle Mariners</t>
        </is>
      </c>
      <c r="H100" s="24" t="inlineStr">
        <is>
          <t>total</t>
        </is>
      </c>
      <c r="I100" s="24" t="inlineStr">
        <is>
          <t>over</t>
        </is>
      </c>
      <c r="J100" s="25" t="n">
        <v>7.5</v>
      </c>
      <c r="K100" s="24" t="inlineStr">
        <is>
          <t>polymarket_us</t>
        </is>
      </c>
      <c r="L100" s="26" t="n">
        <v>117</v>
      </c>
      <c r="M100" s="27" t="n">
        <v>2.17</v>
      </c>
      <c r="N100" s="28" t="n">
        <v>0.460829</v>
      </c>
      <c r="O100" s="28" t="n">
        <v>0.5787949999999999</v>
      </c>
      <c r="P100" s="28" t="n">
        <v>0.042131</v>
      </c>
      <c r="Q100" s="28" t="n">
        <v>0.117966</v>
      </c>
      <c r="R100" s="26" t="n">
        <v>84</v>
      </c>
      <c r="S100" s="29" t="n">
        <v>1.25</v>
      </c>
      <c r="T100" s="24" t="inlineStr">
        <is>
          <t>measured-edge-totals-v1</t>
        </is>
      </c>
      <c r="U100" s="24" t="inlineStr">
        <is>
          <t>settled</t>
        </is>
      </c>
      <c r="V100" s="24" t="inlineStr">
        <is>
          <t>loss</t>
        </is>
      </c>
      <c r="W100" s="26" t="n">
        <v>3</v>
      </c>
      <c r="X100" s="26" t="n">
        <v>4</v>
      </c>
      <c r="Y100" s="25" t="n">
        <v>7.5</v>
      </c>
      <c r="Z100" s="26" t="n">
        <v>117</v>
      </c>
      <c r="AA100" s="28" t="n">
        <v>0.46</v>
      </c>
      <c r="AB100" s="28" t="n">
        <v>-0.000829</v>
      </c>
      <c r="AC100" s="30" t="n">
        <v>-1.25</v>
      </c>
      <c r="AD100" s="24" t="inlineStr">
        <is>
          <t>2026-08-01T23:51:00.708985Z</t>
        </is>
      </c>
      <c r="AE100" s="31" t="inlineStr">
        <is>
          <t>Measured Edge Totals: Trend Engine projected 4.36-4.68; raw selected-side p=0.5971, calibrated p=0.5788.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mlb-min</t>
        </is>
      </c>
      <c r="AQ100" s="24" t="inlineStr">
        <is>
          <t>Minnesota Twins</t>
        </is>
      </c>
      <c r="AR100" s="24" t="inlineStr">
        <is>
          <t>Minnesota Twins</t>
        </is>
      </c>
      <c r="AS100" s="24" t="inlineStr">
        <is>
          <t>mlb-sea</t>
        </is>
      </c>
      <c r="AT100" s="24" t="inlineStr">
        <is>
          <t>Seattle Mariners</t>
        </is>
      </c>
      <c r="AU100" s="24" t="inlineStr">
        <is>
          <t>Seattle Mariners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cbc2c9bf5a9569a49e1902c816d96556d704cf10819ca3a9e927721685757d0b</t>
        </is>
      </c>
      <c r="BB100" s="24" t="inlineStr">
        <is>
          <t>flat_probability_shrinkage_toward_half</t>
        </is>
      </c>
      <c r="BC100" s="24" t="inlineStr">
        <is>
          <t>measured-edge-totals-v1</t>
        </is>
      </c>
      <c r="BD100" s="24" t="inlineStr">
        <is>
          <t>cbc2c9bf5a9569a49e1902c816d96556d704cf10819ca3a9e927721685757d0b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2026-08-01T18:38:25.468461Z</t>
        </is>
      </c>
      <c r="BI100" s="24" t="inlineStr">
        <is>
          <t>["same_event","same_team_same_day","same_league_same_day"]</t>
        </is>
      </c>
      <c r="BJ100" s="25" t="n">
        <v>7.5</v>
      </c>
      <c r="BK100" s="26" t="n">
        <v>117</v>
      </c>
      <c r="BL100" s="27" t="n">
        <v>2.17</v>
      </c>
      <c r="BM100" s="28" t="n">
        <v>0.460829</v>
      </c>
      <c r="BN100" s="28" t="n">
        <v>0.457711</v>
      </c>
      <c r="BO100" s="28" t="n"/>
      <c r="BP100" s="25" t="n"/>
      <c r="BQ100" s="27" t="n">
        <v>2.17</v>
      </c>
      <c r="BR100" s="28" t="n">
        <v>0.46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</row>
    <row r="101" ht="36" customHeight="1">
      <c r="A101" s="24" t="inlineStr">
        <is>
          <t>2469e3d27f3d4837</t>
        </is>
      </c>
      <c r="B101" s="24" t="inlineStr">
        <is>
          <t>2026-08-01T20:15:07.885436Z</t>
        </is>
      </c>
      <c r="C101" s="24" t="inlineStr">
        <is>
          <t>2026-08-01T18:40:00-0400</t>
        </is>
      </c>
      <c r="D101" s="24" t="inlineStr">
        <is>
          <t>401816351</t>
        </is>
      </c>
      <c r="E101" s="24" t="inlineStr">
        <is>
          <t>MLB</t>
        </is>
      </c>
      <c r="F101" s="24" t="inlineStr">
        <is>
          <t>Pittsburgh Pirates</t>
        </is>
      </c>
      <c r="G101" s="24" t="inlineStr">
        <is>
          <t>Cincinnati Reds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-113</v>
      </c>
      <c r="M101" s="27" t="n">
        <v>1.884956</v>
      </c>
      <c r="N101" s="28" t="n">
        <v>0.530516</v>
      </c>
      <c r="O101" s="28" t="n">
        <v>0.514401</v>
      </c>
      <c r="P101" s="28" t="n"/>
      <c r="Q101" s="28" t="n">
        <v>-0.016115</v>
      </c>
      <c r="R101" s="26" t="n">
        <v>14</v>
      </c>
      <c r="S101" s="29" t="n">
        <v>1</v>
      </c>
      <c r="T101" s="24" t="inlineStr">
        <is>
          <t>mlb-elo-trend-lr-v7</t>
        </is>
      </c>
      <c r="U101" s="24" t="inlineStr">
        <is>
          <t>settled</t>
        </is>
      </c>
      <c r="V101" s="24" t="inlineStr">
        <is>
          <t>win</t>
        </is>
      </c>
      <c r="W101" s="26" t="n">
        <v>4</v>
      </c>
      <c r="X101" s="26" t="n">
        <v>1</v>
      </c>
      <c r="Y101" s="25" t="n"/>
      <c r="Z101" s="26" t="n">
        <v>-113</v>
      </c>
      <c r="AA101" s="28" t="n">
        <v>0.53</v>
      </c>
      <c r="AB101" s="28" t="n">
        <v>-0.000516</v>
      </c>
      <c r="AC101" s="30" t="n">
        <v>0.885</v>
      </c>
      <c r="AD101" s="24" t="inlineStr">
        <is>
          <t>2026-08-02T03:25:53.630797Z</t>
        </is>
      </c>
      <c r="AE101" s="31" t="inlineStr">
        <is>
          <t>Learned LR call at threshold 0.6242; executable ask 0.5300 (aec-mlb-pit-cin-2026-08-01); model edge vs ask -0.0156.</t>
        </is>
      </c>
      <c r="AF101" s="31" t="inlineStr">
        <is>
          <t>Learned model; shadow-qualified via operator override.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mlb-pit</t>
        </is>
      </c>
      <c r="AQ101" s="24" t="inlineStr">
        <is>
          <t>Pittsburgh Pirates</t>
        </is>
      </c>
      <c r="AR101" s="24" t="inlineStr">
        <is>
          <t>Pittsburgh Pirates</t>
        </is>
      </c>
      <c r="AS101" s="24" t="inlineStr">
        <is>
          <t>mlb-cin</t>
        </is>
      </c>
      <c r="AT101" s="24" t="inlineStr">
        <is>
          <t>Cincinnati Reds</t>
        </is>
      </c>
      <c r="AU101" s="24" t="inlineStr">
        <is>
          <t>Cincinnati Reds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464eef695bfbbdaa819ec6f5e4c5bd1068ed20b92915fb2677220ae91e20d8b6</t>
        </is>
      </c>
      <c r="BB101" s="24" t="inlineStr">
        <is>
          <t>learned_lr</t>
        </is>
      </c>
      <c r="BC101" s="24" t="inlineStr">
        <is>
          <t>mlb-elo-trend-lr-v7</t>
        </is>
      </c>
      <c r="BD101" s="24" t="inlineStr">
        <is>
          <t>464eef695bfbbdaa819ec6f5e4c5bd1068ed20b92915fb2677220ae91e20d8b6</t>
        </is>
      </c>
      <c r="BE101" s="24" t="inlineStr">
        <is>
          <t>8c1940db78503612</t>
        </is>
      </c>
      <c r="BF101" s="24" t="inlineStr">
        <is>
          <t>1</t>
        </is>
      </c>
      <c r="BG101" s="24" t="inlineStr">
        <is>
          <t>mlb-elo-trend-lr-v7</t>
        </is>
      </c>
      <c r="BH101" s="24" t="inlineStr">
        <is>
          <t>2026-08-01T20:14:06.422794Z</t>
        </is>
      </c>
      <c r="BI101" s="24" t="inlineStr">
        <is>
          <t>["same_event","same_team_same_day","same_league_same_day"]</t>
        </is>
      </c>
      <c r="BJ101" s="25" t="n"/>
      <c r="BK101" s="26" t="n">
        <v>-113</v>
      </c>
      <c r="BL101" s="27" t="n">
        <v>1.884956</v>
      </c>
      <c r="BM101" s="28" t="n">
        <v>0.530516</v>
      </c>
      <c r="BN101" s="28" t="n">
        <v>0.527363</v>
      </c>
      <c r="BO101" s="28" t="n"/>
      <c r="BP101" s="25" t="n"/>
      <c r="BQ101" s="27" t="n">
        <v>1.884956</v>
      </c>
      <c r="BR101" s="28" t="n">
        <v>0.53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inlineStr">
        <is>
          <t>0.4970624032</t>
        </is>
      </c>
      <c r="CD101" s="24" t="inlineStr">
        <is>
          <t>1.00651</t>
        </is>
      </c>
      <c r="CE101" s="24" t="inlineStr">
        <is>
          <t>1.036</t>
        </is>
      </c>
      <c r="CF101" s="24" t="inlineStr">
        <is>
          <t>1.0084</t>
        </is>
      </c>
      <c r="CG101" s="24" t="inlineStr">
        <is>
          <t>-0.6</t>
        </is>
      </c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</row>
    <row r="102" ht="36" customHeight="1">
      <c r="A102" s="24" t="inlineStr">
        <is>
          <t>bdb8ee06112d422a</t>
        </is>
      </c>
      <c r="B102" s="24" t="inlineStr">
        <is>
          <t>2026-08-01T20:15:07.885436Z</t>
        </is>
      </c>
      <c r="C102" s="24" t="inlineStr">
        <is>
          <t>2026-08-01T19:05:00-0400</t>
        </is>
      </c>
      <c r="D102" s="24" t="inlineStr">
        <is>
          <t>401816350</t>
        </is>
      </c>
      <c r="E102" s="24" t="inlineStr">
        <is>
          <t>MLB</t>
        </is>
      </c>
      <c r="F102" s="24" t="inlineStr">
        <is>
          <t>Philadelphia Phillies</t>
        </is>
      </c>
      <c r="G102" s="24" t="inlineStr">
        <is>
          <t>Baltimore Orioles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-138</v>
      </c>
      <c r="M102" s="27" t="n">
        <v>1.724638</v>
      </c>
      <c r="N102" s="28" t="n">
        <v>0.579832</v>
      </c>
      <c r="O102" s="28" t="n">
        <v>0.513137</v>
      </c>
      <c r="P102" s="28" t="n"/>
      <c r="Q102" s="28" t="n">
        <v>-0.066695</v>
      </c>
      <c r="R102" s="26" t="n">
        <v>0</v>
      </c>
      <c r="S102" s="29" t="n">
        <v>1</v>
      </c>
      <c r="T102" s="24" t="inlineStr">
        <is>
          <t>mlb-elo-trend-lr-v7</t>
        </is>
      </c>
      <c r="U102" s="24" t="inlineStr">
        <is>
          <t>settled</t>
        </is>
      </c>
      <c r="V102" s="24" t="inlineStr">
        <is>
          <t>win</t>
        </is>
      </c>
      <c r="W102" s="26" t="n">
        <v>5</v>
      </c>
      <c r="X102" s="26" t="n">
        <v>0</v>
      </c>
      <c r="Y102" s="25" t="n"/>
      <c r="Z102" s="26" t="n">
        <v>-138</v>
      </c>
      <c r="AA102" s="28" t="n">
        <v>0.58</v>
      </c>
      <c r="AB102" s="28" t="n">
        <v>0.000168</v>
      </c>
      <c r="AC102" s="30" t="n">
        <v>0.7246</v>
      </c>
      <c r="AD102" s="24" t="inlineStr">
        <is>
          <t>2026-08-02T03:25:54.081558Z</t>
        </is>
      </c>
      <c r="AE102" s="31" t="inlineStr">
        <is>
          <t>Learned LR call at threshold 0.6242; executable ask 0.5800 (aec-mlb-phi-bal-2026-08-01); model edge vs ask -0.0669.</t>
        </is>
      </c>
      <c r="AF102" s="31" t="inlineStr">
        <is>
          <t>Learned model; shadow-qualified via operator override.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mlb-phi</t>
        </is>
      </c>
      <c r="AQ102" s="24" t="inlineStr">
        <is>
          <t>Philadelphia Phillies</t>
        </is>
      </c>
      <c r="AR102" s="24" t="inlineStr">
        <is>
          <t>Philadelphia Phillies</t>
        </is>
      </c>
      <c r="AS102" s="24" t="inlineStr">
        <is>
          <t>mlb-bal</t>
        </is>
      </c>
      <c r="AT102" s="24" t="inlineStr">
        <is>
          <t>Baltimore Orioles</t>
        </is>
      </c>
      <c r="AU102" s="24" t="inlineStr">
        <is>
          <t>Baltimore Orioles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464eef695bfbbdaa819ec6f5e4c5bd1068ed20b92915fb2677220ae91e20d8b6</t>
        </is>
      </c>
      <c r="BB102" s="24" t="inlineStr">
        <is>
          <t>learned_lr</t>
        </is>
      </c>
      <c r="BC102" s="24" t="inlineStr">
        <is>
          <t>mlb-elo-trend-lr-v7</t>
        </is>
      </c>
      <c r="BD102" s="24" t="inlineStr">
        <is>
          <t>464eef695bfbbdaa819ec6f5e4c5bd1068ed20b92915fb2677220ae91e20d8b6</t>
        </is>
      </c>
      <c r="BE102" s="24" t="inlineStr">
        <is>
          <t>d586eb6336d4b039</t>
        </is>
      </c>
      <c r="BF102" s="24" t="inlineStr">
        <is>
          <t>1</t>
        </is>
      </c>
      <c r="BG102" s="24" t="inlineStr">
        <is>
          <t>mlb-elo-trend-lr-v7</t>
        </is>
      </c>
      <c r="BH102" s="24" t="inlineStr">
        <is>
          <t>2026-08-01T20:14:07.264311Z</t>
        </is>
      </c>
      <c r="BI102" s="24" t="inlineStr">
        <is>
          <t>["same_event","same_team_same_day","same_league_same_day"]</t>
        </is>
      </c>
      <c r="BJ102" s="25" t="n"/>
      <c r="BK102" s="26" t="n">
        <v>-138</v>
      </c>
      <c r="BL102" s="27" t="n">
        <v>1.724638</v>
      </c>
      <c r="BM102" s="28" t="n">
        <v>0.579832</v>
      </c>
      <c r="BN102" s="28" t="n">
        <v>0.577114</v>
      </c>
      <c r="BO102" s="28" t="n"/>
      <c r="BP102" s="25" t="n"/>
      <c r="BQ102" s="27" t="n">
        <v>1.724638</v>
      </c>
      <c r="BR102" s="28" t="n">
        <v>0.58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inlineStr">
        <is>
          <t>0.4932721792</t>
        </is>
      </c>
      <c r="CD102" s="24" t="inlineStr">
        <is>
          <t>1.020825</t>
        </is>
      </c>
      <c r="CE102" s="24" t="inlineStr">
        <is>
          <t>1.03</t>
        </is>
      </c>
      <c r="CF102" s="24" t="inlineStr">
        <is>
          <t>1.0145</t>
        </is>
      </c>
      <c r="CG102" s="24" t="inlineStr">
        <is>
          <t>1.6</t>
        </is>
      </c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</row>
    <row r="103" ht="36" customHeight="1">
      <c r="A103" s="24" t="inlineStr">
        <is>
          <t>9afb3d9535a94f55</t>
        </is>
      </c>
      <c r="B103" s="24" t="inlineStr">
        <is>
          <t>2026-08-01T20:15:07.885436Z</t>
        </is>
      </c>
      <c r="C103" s="24" t="inlineStr">
        <is>
          <t>2026-08-01T19:10:00-0400</t>
        </is>
      </c>
      <c r="D103" s="24" t="inlineStr">
        <is>
          <t>401816355</t>
        </is>
      </c>
      <c r="E103" s="24" t="inlineStr">
        <is>
          <t>MLB</t>
        </is>
      </c>
      <c r="F103" s="24" t="inlineStr">
        <is>
          <t>Texas Rangers</t>
        </is>
      </c>
      <c r="G103" s="24" t="inlineStr">
        <is>
          <t>Houston Astros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115</v>
      </c>
      <c r="M103" s="27" t="n">
        <v>2.15</v>
      </c>
      <c r="N103" s="28" t="n">
        <v>0.465116</v>
      </c>
      <c r="O103" s="28" t="n">
        <v>0.542652</v>
      </c>
      <c r="P103" s="28" t="n"/>
      <c r="Q103" s="28" t="n">
        <v>0.07753599999999999</v>
      </c>
      <c r="R103" s="26" t="n">
        <v>60</v>
      </c>
      <c r="S103" s="29" t="n">
        <v>1</v>
      </c>
      <c r="T103" s="24" t="inlineStr">
        <is>
          <t>mlb-elo-trend-lr-v7</t>
        </is>
      </c>
      <c r="U103" s="24" t="inlineStr">
        <is>
          <t>settled</t>
        </is>
      </c>
      <c r="V103" s="24" t="inlineStr">
        <is>
          <t>win</t>
        </is>
      </c>
      <c r="W103" s="26" t="n">
        <v>4</v>
      </c>
      <c r="X103" s="26" t="n">
        <v>5</v>
      </c>
      <c r="Y103" s="25" t="n"/>
      <c r="Z103" s="26" t="n">
        <v>115</v>
      </c>
      <c r="AA103" s="28" t="n">
        <v>0.465</v>
      </c>
      <c r="AB103" s="28" t="n">
        <v>-0.000116</v>
      </c>
      <c r="AC103" s="30" t="n">
        <v>1.15</v>
      </c>
      <c r="AD103" s="24" t="inlineStr">
        <is>
          <t>2026-08-02T03:25:54.632517Z</t>
        </is>
      </c>
      <c r="AE103" s="31" t="inlineStr">
        <is>
          <t>Learned LR call at threshold 0.6242; executable ask 0.4650 (aec-mlb-tex-hou-2026-08-01); model edge vs ask +0.0777.</t>
        </is>
      </c>
      <c r="AF103" s="31" t="inlineStr">
        <is>
          <t>Learned model; shadow-qualified via operator override.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mlb-tex</t>
        </is>
      </c>
      <c r="AQ103" s="24" t="inlineStr">
        <is>
          <t>Texas Rangers</t>
        </is>
      </c>
      <c r="AR103" s="24" t="inlineStr">
        <is>
          <t>Texas Rangers</t>
        </is>
      </c>
      <c r="AS103" s="24" t="inlineStr">
        <is>
          <t>mlb-hou</t>
        </is>
      </c>
      <c r="AT103" s="24" t="inlineStr">
        <is>
          <t>Houston Astros</t>
        </is>
      </c>
      <c r="AU103" s="24" t="inlineStr">
        <is>
          <t>Houston Astros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464eef695bfbbdaa819ec6f5e4c5bd1068ed20b92915fb2677220ae91e20d8b6</t>
        </is>
      </c>
      <c r="BB103" s="24" t="inlineStr">
        <is>
          <t>learned_lr</t>
        </is>
      </c>
      <c r="BC103" s="24" t="inlineStr">
        <is>
          <t>mlb-elo-trend-lr-v7</t>
        </is>
      </c>
      <c r="BD103" s="24" t="inlineStr">
        <is>
          <t>464eef695bfbbdaa819ec6f5e4c5bd1068ed20b92915fb2677220ae91e20d8b6</t>
        </is>
      </c>
      <c r="BE103" s="24" t="inlineStr">
        <is>
          <t>f2965fa6c6fef7a3</t>
        </is>
      </c>
      <c r="BF103" s="24" t="inlineStr">
        <is>
          <t>1</t>
        </is>
      </c>
      <c r="BG103" s="24" t="inlineStr">
        <is>
          <t>mlb-elo-trend-lr-v7</t>
        </is>
      </c>
      <c r="BH103" s="24" t="inlineStr">
        <is>
          <t>2026-08-01T20:14:08.292559Z</t>
        </is>
      </c>
      <c r="BI103" s="24" t="inlineStr">
        <is>
          <t>["same_event","same_team_same_day","same_league_same_day"]</t>
        </is>
      </c>
      <c r="BJ103" s="25" t="n"/>
      <c r="BK103" s="26" t="n">
        <v>115</v>
      </c>
      <c r="BL103" s="27" t="n">
        <v>2.15</v>
      </c>
      <c r="BM103" s="28" t="n">
        <v>0.465116</v>
      </c>
      <c r="BN103" s="28" t="n">
        <v>0.462687</v>
      </c>
      <c r="BO103" s="28" t="n"/>
      <c r="BP103" s="25" t="n"/>
      <c r="BQ103" s="27" t="n">
        <v>2.15</v>
      </c>
      <c r="BR103" s="28" t="n">
        <v>0.465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inlineStr">
        <is>
          <t>0.5536392121</t>
        </is>
      </c>
      <c r="CD103" s="24" t="inlineStr">
        <is>
          <t>2.366358</t>
        </is>
      </c>
      <c r="CE103" s="24" t="inlineStr">
        <is>
          <t>0.956</t>
        </is>
      </c>
      <c r="CF103" s="24" t="inlineStr">
        <is>
          <t>1</t>
        </is>
      </c>
      <c r="CG103" s="24" t="inlineStr">
        <is>
          <t>0.6</t>
        </is>
      </c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</row>
    <row r="104" ht="36" customHeight="1">
      <c r="A104" s="24" t="inlineStr">
        <is>
          <t>80decdff0e21477d</t>
        </is>
      </c>
      <c r="B104" s="24" t="inlineStr">
        <is>
          <t>2026-08-01T20:15:07.885436Z</t>
        </is>
      </c>
      <c r="C104" s="24" t="inlineStr">
        <is>
          <t>2026-08-01T19:15:00-0400</t>
        </is>
      </c>
      <c r="D104" s="24" t="inlineStr">
        <is>
          <t>401816347</t>
        </is>
      </c>
      <c r="E104" s="24" t="inlineStr">
        <is>
          <t>MLB</t>
        </is>
      </c>
      <c r="F104" s="24" t="inlineStr">
        <is>
          <t>Arizona Diamondbacks</t>
        </is>
      </c>
      <c r="G104" s="24" t="inlineStr">
        <is>
          <t>Cleveland Guardians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-163</v>
      </c>
      <c r="M104" s="27" t="n">
        <v>1.613497</v>
      </c>
      <c r="N104" s="28" t="n">
        <v>0.619772</v>
      </c>
      <c r="O104" s="28" t="n">
        <v>0.534072</v>
      </c>
      <c r="P104" s="28" t="n"/>
      <c r="Q104" s="28" t="n">
        <v>-0.0857</v>
      </c>
      <c r="R104" s="26" t="n">
        <v>0</v>
      </c>
      <c r="S104" s="29" t="n">
        <v>1</v>
      </c>
      <c r="T104" s="24" t="inlineStr">
        <is>
          <t>mlb-elo-trend-lr-v7</t>
        </is>
      </c>
      <c r="U104" s="24" t="inlineStr">
        <is>
          <t>settled</t>
        </is>
      </c>
      <c r="V104" s="24" t="inlineStr">
        <is>
          <t>loss</t>
        </is>
      </c>
      <c r="W104" s="26" t="n">
        <v>12</v>
      </c>
      <c r="X104" s="26" t="n">
        <v>8</v>
      </c>
      <c r="Y104" s="25" t="n"/>
      <c r="Z104" s="26" t="n">
        <v>-163</v>
      </c>
      <c r="AA104" s="28" t="n">
        <v>0.62</v>
      </c>
      <c r="AB104" s="28" t="n">
        <v>0.000228</v>
      </c>
      <c r="AC104" s="30" t="n">
        <v>-1</v>
      </c>
      <c r="AD104" s="24" t="inlineStr">
        <is>
          <t>2026-08-02T03:25:55.198220Z</t>
        </is>
      </c>
      <c r="AE104" s="31" t="inlineStr">
        <is>
          <t>Learned LR call at threshold 0.6242; executable ask 0.6200 (aec-mlb-az-cle-2026-08-01); model edge vs ask -0.0859.</t>
        </is>
      </c>
      <c r="AF104" s="31" t="inlineStr">
        <is>
          <t>Learned model; shadow-qualified via operator override.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mlb-ari</t>
        </is>
      </c>
      <c r="AQ104" s="24" t="inlineStr">
        <is>
          <t>Arizona Diamondbacks</t>
        </is>
      </c>
      <c r="AR104" s="24" t="inlineStr">
        <is>
          <t>Arizona Diamondbacks</t>
        </is>
      </c>
      <c r="AS104" s="24" t="inlineStr">
        <is>
          <t>mlb-cle</t>
        </is>
      </c>
      <c r="AT104" s="24" t="inlineStr">
        <is>
          <t>Cleveland Guardians</t>
        </is>
      </c>
      <c r="AU104" s="24" t="inlineStr">
        <is>
          <t>Cleveland Guardians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464eef695bfbbdaa819ec6f5e4c5bd1068ed20b92915fb2677220ae91e20d8b6</t>
        </is>
      </c>
      <c r="BB104" s="24" t="inlineStr">
        <is>
          <t>learned_lr</t>
        </is>
      </c>
      <c r="BC104" s="24" t="inlineStr">
        <is>
          <t>mlb-elo-trend-lr-v7</t>
        </is>
      </c>
      <c r="BD104" s="24" t="inlineStr">
        <is>
          <t>464eef695bfbbdaa819ec6f5e4c5bd1068ed20b92915fb2677220ae91e20d8b6</t>
        </is>
      </c>
      <c r="BE104" s="24" t="inlineStr">
        <is>
          <t>5291b1c09a366ec8</t>
        </is>
      </c>
      <c r="BF104" s="24" t="inlineStr">
        <is>
          <t>1</t>
        </is>
      </c>
      <c r="BG104" s="24" t="inlineStr">
        <is>
          <t>mlb-elo-trend-lr-v7</t>
        </is>
      </c>
      <c r="BH104" s="24" t="inlineStr">
        <is>
          <t>2026-08-01T20:14:10.378899Z</t>
        </is>
      </c>
      <c r="BI104" s="24" t="inlineStr">
        <is>
          <t>["same_event","same_team_same_day","same_league_same_day"]</t>
        </is>
      </c>
      <c r="BJ104" s="25" t="n"/>
      <c r="BK104" s="26" t="n">
        <v>-163</v>
      </c>
      <c r="BL104" s="27" t="n">
        <v>1.613497</v>
      </c>
      <c r="BM104" s="28" t="n">
        <v>0.619772</v>
      </c>
      <c r="BN104" s="28" t="n">
        <v>0.616915</v>
      </c>
      <c r="BO104" s="28" t="n"/>
      <c r="BP104" s="25" t="n"/>
      <c r="BQ104" s="27" t="n">
        <v>1.613497</v>
      </c>
      <c r="BR104" s="28" t="n">
        <v>0.62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0.5245055589</t>
        </is>
      </c>
      <c r="CD104" s="24" t="inlineStr">
        <is>
          <t>-0.916106</t>
        </is>
      </c>
      <c r="CE104" s="24" t="inlineStr">
        <is>
          <t>0.966</t>
        </is>
      </c>
      <c r="CF104" s="24" t="inlineStr">
        <is>
          <t>1.0098</t>
        </is>
      </c>
      <c r="CG104" s="24" t="inlineStr">
        <is>
          <t>-1.6</t>
        </is>
      </c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</row>
    <row r="105" ht="36" customHeight="1">
      <c r="A105" s="24" t="inlineStr">
        <is>
          <t>826ef427778d489b</t>
        </is>
      </c>
      <c r="B105" s="24" t="inlineStr">
        <is>
          <t>2026-08-01T20:15:07.885436Z</t>
        </is>
      </c>
      <c r="C105" s="24" t="inlineStr">
        <is>
          <t>2026-08-01T19:15:00-0400</t>
        </is>
      </c>
      <c r="D105" s="24" t="inlineStr">
        <is>
          <t>401816353</t>
        </is>
      </c>
      <c r="E105" s="24" t="inlineStr">
        <is>
          <t>MLB</t>
        </is>
      </c>
      <c r="F105" s="24" t="inlineStr">
        <is>
          <t>Washington Nationals</t>
        </is>
      </c>
      <c r="G105" s="24" t="inlineStr">
        <is>
          <t>Atlanta Braves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-160</v>
      </c>
      <c r="M105" s="27" t="n">
        <v>1.625</v>
      </c>
      <c r="N105" s="28" t="n">
        <v>0.615385</v>
      </c>
      <c r="O105" s="28" t="n">
        <v>0.6128</v>
      </c>
      <c r="P105" s="28" t="n"/>
      <c r="Q105" s="28" t="n">
        <v>-0.002585</v>
      </c>
      <c r="R105" s="26" t="n">
        <v>20</v>
      </c>
      <c r="S105" s="29" t="n">
        <v>1.5</v>
      </c>
      <c r="T105" s="24" t="inlineStr">
        <is>
          <t>mlb-elo-trend-lr-v7</t>
        </is>
      </c>
      <c r="U105" s="24" t="inlineStr">
        <is>
          <t>settled</t>
        </is>
      </c>
      <c r="V105" s="24" t="inlineStr">
        <is>
          <t>win</t>
        </is>
      </c>
      <c r="W105" s="26" t="n">
        <v>3</v>
      </c>
      <c r="X105" s="26" t="n">
        <v>8</v>
      </c>
      <c r="Y105" s="25" t="n"/>
      <c r="Z105" s="26" t="n">
        <v>-160</v>
      </c>
      <c r="AA105" s="28" t="n">
        <v>0.615</v>
      </c>
      <c r="AB105" s="28" t="n">
        <v>-0.000385</v>
      </c>
      <c r="AC105" s="30" t="n">
        <v>0.9375</v>
      </c>
      <c r="AD105" s="24" t="inlineStr">
        <is>
          <t>2026-08-02T03:25:55.762276Z</t>
        </is>
      </c>
      <c r="AE105" s="31" t="inlineStr">
        <is>
          <t>Learned LR call at threshold 0.6242; executable ask 0.6150 (aec-mlb-wsh-atl-2026-08-01); model edge vs ask -0.0022.</t>
        </is>
      </c>
      <c r="AF105" s="31" t="inlineStr">
        <is>
          <t>Learned model; shadow-qualified via operator override.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mlb-wsh</t>
        </is>
      </c>
      <c r="AQ105" s="24" t="inlineStr">
        <is>
          <t>Washington Nationals</t>
        </is>
      </c>
      <c r="AR105" s="24" t="inlineStr">
        <is>
          <t>Washington Nationals</t>
        </is>
      </c>
      <c r="AS105" s="24" t="inlineStr">
        <is>
          <t>mlb-atl</t>
        </is>
      </c>
      <c r="AT105" s="24" t="inlineStr">
        <is>
          <t>Atlanta Braves</t>
        </is>
      </c>
      <c r="AU105" s="24" t="inlineStr">
        <is>
          <t>Atlanta Braves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464eef695bfbbdaa819ec6f5e4c5bd1068ed20b92915fb2677220ae91e20d8b6</t>
        </is>
      </c>
      <c r="BB105" s="24" t="inlineStr">
        <is>
          <t>learned_lr</t>
        </is>
      </c>
      <c r="BC105" s="24" t="inlineStr">
        <is>
          <t>mlb-elo-trend-lr-v7</t>
        </is>
      </c>
      <c r="BD105" s="24" t="inlineStr">
        <is>
          <t>464eef695bfbbdaa819ec6f5e4c5bd1068ed20b92915fb2677220ae91e20d8b6</t>
        </is>
      </c>
      <c r="BE105" s="24" t="inlineStr">
        <is>
          <t>d766ec0b9c7d91f2</t>
        </is>
      </c>
      <c r="BF105" s="24" t="inlineStr">
        <is>
          <t>1</t>
        </is>
      </c>
      <c r="BG105" s="24" t="inlineStr">
        <is>
          <t>mlb-elo-trend-lr-v7</t>
        </is>
      </c>
      <c r="BH105" s="24" t="inlineStr">
        <is>
          <t>2026-08-01T20:14:11.394186Z</t>
        </is>
      </c>
      <c r="BI105" s="24" t="inlineStr">
        <is>
          <t>["same_event","same_team_same_day","same_league_same_day"]</t>
        </is>
      </c>
      <c r="BJ105" s="25" t="n"/>
      <c r="BK105" s="26" t="n">
        <v>-160</v>
      </c>
      <c r="BL105" s="27" t="n">
        <v>1.625</v>
      </c>
      <c r="BM105" s="28" t="n">
        <v>0.615385</v>
      </c>
      <c r="BN105" s="28" t="n">
        <v>0.61194</v>
      </c>
      <c r="BO105" s="28" t="n"/>
      <c r="BP105" s="25" t="n"/>
      <c r="BQ105" s="27" t="n">
        <v>1.625</v>
      </c>
      <c r="BR105" s="28" t="n">
        <v>0.615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0.6266199013</t>
        </is>
      </c>
      <c r="CD105" s="24" t="inlineStr">
        <is>
          <t>0.430565</t>
        </is>
      </c>
      <c r="CE105" s="24" t="inlineStr">
        <is>
          <t>0.929</t>
        </is>
      </c>
      <c r="CF105" s="24" t="inlineStr">
        <is>
          <t>1.0145</t>
        </is>
      </c>
      <c r="CG105" s="24" t="inlineStr">
        <is>
          <t>-0.4</t>
        </is>
      </c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</row>
    <row r="106" ht="36" customHeight="1">
      <c r="A106" s="24" t="inlineStr">
        <is>
          <t>33337a0a2b594340</t>
        </is>
      </c>
      <c r="B106" s="24" t="inlineStr">
        <is>
          <t>2026-08-01T20:15:07.885436Z</t>
        </is>
      </c>
      <c r="C106" s="24" t="inlineStr">
        <is>
          <t>2026-08-01T19:15:00-0400</t>
        </is>
      </c>
      <c r="D106" s="24" t="inlineStr">
        <is>
          <t>401816354</t>
        </is>
      </c>
      <c r="E106" s="24" t="inlineStr">
        <is>
          <t>MLB</t>
        </is>
      </c>
      <c r="F106" s="24" t="inlineStr">
        <is>
          <t>New York Yankees</t>
        </is>
      </c>
      <c r="G106" s="24" t="inlineStr">
        <is>
          <t>Chicago Cubs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-111</v>
      </c>
      <c r="M106" s="27" t="n">
        <v>1.900901</v>
      </c>
      <c r="N106" s="28" t="n">
        <v>0.526066</v>
      </c>
      <c r="O106" s="28" t="n">
        <v>0.546777</v>
      </c>
      <c r="P106" s="28" t="n"/>
      <c r="Q106" s="28" t="n">
        <v>0.020711</v>
      </c>
      <c r="R106" s="26" t="n">
        <v>32</v>
      </c>
      <c r="S106" s="29" t="n">
        <v>1</v>
      </c>
      <c r="T106" s="24" t="inlineStr">
        <is>
          <t>mlb-elo-trend-lr-v7</t>
        </is>
      </c>
      <c r="U106" s="24" t="inlineStr">
        <is>
          <t>settled</t>
        </is>
      </c>
      <c r="V106" s="24" t="inlineStr">
        <is>
          <t>win</t>
        </is>
      </c>
      <c r="W106" s="26" t="n">
        <v>2</v>
      </c>
      <c r="X106" s="26" t="n">
        <v>5</v>
      </c>
      <c r="Y106" s="25" t="n"/>
      <c r="Z106" s="26" t="n">
        <v>-111</v>
      </c>
      <c r="AA106" s="28" t="n">
        <v>0.525</v>
      </c>
      <c r="AB106" s="28" t="n">
        <v>-0.001066</v>
      </c>
      <c r="AC106" s="30" t="n">
        <v>0.9009</v>
      </c>
      <c r="AD106" s="24" t="inlineStr">
        <is>
          <t>2026-08-02T03:25:56.350258Z</t>
        </is>
      </c>
      <c r="AE106" s="31" t="inlineStr">
        <is>
          <t>Learned LR call at threshold 0.6242; executable ask 0.5250 (aec-mlb-nyy-chc-2026-08-01); model edge vs ask +0.0218.</t>
        </is>
      </c>
      <c r="AF106" s="31" t="inlineStr">
        <is>
          <t>Learned model; shadow-qualified via operator override.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mlb-nyy</t>
        </is>
      </c>
      <c r="AQ106" s="24" t="inlineStr">
        <is>
          <t>New York Yankees</t>
        </is>
      </c>
      <c r="AR106" s="24" t="inlineStr">
        <is>
          <t>New York Yankees</t>
        </is>
      </c>
      <c r="AS106" s="24" t="inlineStr">
        <is>
          <t>mlb-chc</t>
        </is>
      </c>
      <c r="AT106" s="24" t="inlineStr">
        <is>
          <t>Chicago Cubs</t>
        </is>
      </c>
      <c r="AU106" s="24" t="inlineStr">
        <is>
          <t>Chicago Cubs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464eef695bfbbdaa819ec6f5e4c5bd1068ed20b92915fb2677220ae91e20d8b6</t>
        </is>
      </c>
      <c r="BB106" s="24" t="inlineStr">
        <is>
          <t>learned_lr</t>
        </is>
      </c>
      <c r="BC106" s="24" t="inlineStr">
        <is>
          <t>mlb-elo-trend-lr-v7</t>
        </is>
      </c>
      <c r="BD106" s="24" t="inlineStr">
        <is>
          <t>464eef695bfbbdaa819ec6f5e4c5bd1068ed20b92915fb2677220ae91e20d8b6</t>
        </is>
      </c>
      <c r="BE106" s="24" t="inlineStr">
        <is>
          <t>7cb47d99adfeb29c</t>
        </is>
      </c>
      <c r="BF106" s="24" t="inlineStr">
        <is>
          <t>1</t>
        </is>
      </c>
      <c r="BG106" s="24" t="inlineStr">
        <is>
          <t>mlb-elo-trend-lr-v7</t>
        </is>
      </c>
      <c r="BH106" s="24" t="inlineStr">
        <is>
          <t>2026-08-01T20:14:09.257400Z</t>
        </is>
      </c>
      <c r="BI106" s="24" t="inlineStr">
        <is>
          <t>["same_event","same_team_same_day","same_league_same_day"]</t>
        </is>
      </c>
      <c r="BJ106" s="25" t="n"/>
      <c r="BK106" s="26" t="n">
        <v>-111</v>
      </c>
      <c r="BL106" s="27" t="n">
        <v>1.900901</v>
      </c>
      <c r="BM106" s="28" t="n">
        <v>0.526066</v>
      </c>
      <c r="BN106" s="28" t="n">
        <v>0.522388</v>
      </c>
      <c r="BO106" s="28" t="n"/>
      <c r="BP106" s="25" t="n"/>
      <c r="BQ106" s="27" t="n">
        <v>1.900901</v>
      </c>
      <c r="BR106" s="28" t="n">
        <v>0.525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0.5407844181</t>
        </is>
      </c>
      <c r="CD106" s="24" t="inlineStr">
        <is>
          <t>-0.04604</t>
        </is>
      </c>
      <c r="CE106" s="24" t="inlineStr">
        <is>
          <t>0.986</t>
        </is>
      </c>
      <c r="CF106" s="24" t="inlineStr">
        <is>
          <t>1.0117</t>
        </is>
      </c>
      <c r="CG106" s="24" t="inlineStr">
        <is>
          <t>-0.6</t>
        </is>
      </c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</row>
    <row r="107" ht="36" customHeight="1">
      <c r="A107" s="24" t="inlineStr">
        <is>
          <t>4aa24f315791436a</t>
        </is>
      </c>
      <c r="B107" s="24" t="inlineStr">
        <is>
          <t>2026-08-01T20:15:41.530944Z</t>
        </is>
      </c>
      <c r="C107" s="24" t="inlineStr">
        <is>
          <t>2026-08-01T22:40Z</t>
        </is>
      </c>
      <c r="D107" s="24" t="inlineStr">
        <is>
          <t>401816351</t>
        </is>
      </c>
      <c r="E107" s="24" t="inlineStr">
        <is>
          <t>MLB</t>
        </is>
      </c>
      <c r="F107" s="24" t="inlineStr">
        <is>
          <t>Pittsburgh Pirates</t>
        </is>
      </c>
      <c r="G107" s="24" t="inlineStr">
        <is>
          <t>Cincinnati Reds</t>
        </is>
      </c>
      <c r="H107" s="24" t="inlineStr">
        <is>
          <t>spread</t>
        </is>
      </c>
      <c r="I107" s="24" t="inlineStr">
        <is>
          <t>home</t>
        </is>
      </c>
      <c r="J107" s="25" t="n">
        <v>1.5</v>
      </c>
      <c r="K107" s="24" t="inlineStr">
        <is>
          <t>polymarket_us</t>
        </is>
      </c>
      <c r="L107" s="26" t="n">
        <v>-147</v>
      </c>
      <c r="M107" s="27" t="n">
        <v>1.680272</v>
      </c>
      <c r="N107" s="28" t="n">
        <v>0.5951419999999999</v>
      </c>
      <c r="O107" s="28" t="n">
        <v>0.641669</v>
      </c>
      <c r="P107" s="28" t="n">
        <v>0.042131</v>
      </c>
      <c r="Q107" s="28" t="n">
        <v>0.046527</v>
      </c>
      <c r="R107" s="26" t="n">
        <v>48</v>
      </c>
      <c r="S107" s="29" t="n">
        <v>1.75</v>
      </c>
      <c r="T107" s="24" t="inlineStr">
        <is>
          <t>measured-edge-margin-v2</t>
        </is>
      </c>
      <c r="U107" s="24" t="inlineStr">
        <is>
          <t>settled</t>
        </is>
      </c>
      <c r="V107" s="24" t="inlineStr">
        <is>
          <t>loss</t>
        </is>
      </c>
      <c r="W107" s="26" t="n">
        <v>4</v>
      </c>
      <c r="X107" s="26" t="n">
        <v>1</v>
      </c>
      <c r="Y107" s="25" t="n">
        <v>1.5</v>
      </c>
      <c r="Z107" s="26" t="n">
        <v>-147</v>
      </c>
      <c r="AA107" s="28" t="n">
        <v>0.595</v>
      </c>
      <c r="AB107" s="28" t="n">
        <v>-0.000142</v>
      </c>
      <c r="AC107" s="30" t="n">
        <v>-1.75</v>
      </c>
      <c r="AD107" s="24" t="inlineStr">
        <is>
          <t>2026-08-02T03:25:57.031730Z</t>
        </is>
      </c>
      <c r="AE107" s="31" t="inlineStr">
        <is>
          <t>Measured Edge Margin: Trend Engine projected 4.48-5.03; raw selected-side p=0.7158, calibrated p=0.6417.</t>
        </is>
      </c>
      <c r="AF107" s="31" t="inlineStr">
        <is>
          <t>Research-only; lineup, bullpen, park, weather, xFIP, and wRC+ may be neutral fallbacks; market availability and BBO depth may change before first pitch.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mlb-pit</t>
        </is>
      </c>
      <c r="AQ107" s="24" t="inlineStr">
        <is>
          <t>Pittsburgh Pirates</t>
        </is>
      </c>
      <c r="AR107" s="24" t="inlineStr">
        <is>
          <t>Pittsburgh Pirates</t>
        </is>
      </c>
      <c r="AS107" s="24" t="inlineStr">
        <is>
          <t>mlb-cin</t>
        </is>
      </c>
      <c r="AT107" s="24" t="inlineStr">
        <is>
          <t>Cincinnati Reds</t>
        </is>
      </c>
      <c r="AU107" s="24" t="inlineStr">
        <is>
          <t>Cincinnati Reds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8360b122264b796b0fb193095cfe4506c7e064e5f3f8c0a659aec41efd08dd25</t>
        </is>
      </c>
      <c r="BB107" s="24" t="inlineStr">
        <is>
          <t>flat_probability_shrinkage_toward_half</t>
        </is>
      </c>
      <c r="BC107" s="24" t="inlineStr">
        <is>
          <t>measured-edge-margin-v2</t>
        </is>
      </c>
      <c r="BD107" s="24" t="inlineStr">
        <is>
          <t>8360b122264b796b0fb193095cfe4506c7e064e5f3f8c0a659aec41efd08dd25</t>
        </is>
      </c>
      <c r="BE107" s="24" t="inlineStr">
        <is>
          <t>v3</t>
        </is>
      </c>
      <c r="BF107" s="24" t="inlineStr">
        <is>
          <t>1</t>
        </is>
      </c>
      <c r="BG107" s="24" t="inlineStr">
        <is>
          <t>measured-edge-paired-v1</t>
        </is>
      </c>
      <c r="BH107" s="24" t="inlineStr">
        <is>
          <t>2026-08-01T20:15:41.530944Z</t>
        </is>
      </c>
      <c r="BI107" s="24" t="inlineStr">
        <is>
          <t>["same_event","same_team_same_day","same_league_same_day"]</t>
        </is>
      </c>
      <c r="BJ107" s="25" t="n">
        <v>1.5</v>
      </c>
      <c r="BK107" s="26" t="n">
        <v>-147</v>
      </c>
      <c r="BL107" s="27" t="n">
        <v>1.680272</v>
      </c>
      <c r="BM107" s="28" t="n">
        <v>0.5951419999999999</v>
      </c>
      <c r="BN107" s="28" t="n">
        <v>0.59204</v>
      </c>
      <c r="BO107" s="28" t="n"/>
      <c r="BP107" s="25" t="n"/>
      <c r="BQ107" s="27" t="n">
        <v>1.680272</v>
      </c>
      <c r="BR107" s="28" t="n">
        <v>0.595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</row>
    <row r="108" ht="36" customHeight="1">
      <c r="A108" s="24" t="inlineStr">
        <is>
          <t>f8042d9d33e049b2</t>
        </is>
      </c>
      <c r="B108" s="24" t="inlineStr">
        <is>
          <t>2026-08-01T20:15:41.530944Z</t>
        </is>
      </c>
      <c r="C108" s="24" t="inlineStr">
        <is>
          <t>2026-08-01T22:40Z</t>
        </is>
      </c>
      <c r="D108" s="24" t="inlineStr">
        <is>
          <t>401816351</t>
        </is>
      </c>
      <c r="E108" s="24" t="inlineStr">
        <is>
          <t>MLB</t>
        </is>
      </c>
      <c r="F108" s="24" t="inlineStr">
        <is>
          <t>Pittsburgh Pirates</t>
        </is>
      </c>
      <c r="G108" s="24" t="inlineStr">
        <is>
          <t>Cincinnati Reds</t>
        </is>
      </c>
      <c r="H108" s="24" t="inlineStr">
        <is>
          <t>total</t>
        </is>
      </c>
      <c r="I108" s="24" t="inlineStr">
        <is>
          <t>over</t>
        </is>
      </c>
      <c r="J108" s="25" t="n">
        <v>8.5</v>
      </c>
      <c r="K108" s="24" t="inlineStr">
        <is>
          <t>polymarket_us</t>
        </is>
      </c>
      <c r="L108" s="26" t="n">
        <v>106</v>
      </c>
      <c r="M108" s="27" t="n">
        <v>2.06</v>
      </c>
      <c r="N108" s="28" t="n">
        <v>0.485437</v>
      </c>
      <c r="O108" s="28" t="n">
        <v>0.529614</v>
      </c>
      <c r="P108" s="28" t="n">
        <v>0.042131</v>
      </c>
      <c r="Q108" s="28" t="n">
        <v>0.044177</v>
      </c>
      <c r="R108" s="26" t="n">
        <v>47</v>
      </c>
      <c r="S108" s="29" t="n">
        <v>1</v>
      </c>
      <c r="T108" s="24" t="inlineStr">
        <is>
          <t>measured-edge-totals-v2</t>
        </is>
      </c>
      <c r="U108" s="24" t="inlineStr">
        <is>
          <t>settled</t>
        </is>
      </c>
      <c r="V108" s="24" t="inlineStr">
        <is>
          <t>loss</t>
        </is>
      </c>
      <c r="W108" s="26" t="n">
        <v>4</v>
      </c>
      <c r="X108" s="26" t="n">
        <v>1</v>
      </c>
      <c r="Y108" s="25" t="n">
        <v>8.5</v>
      </c>
      <c r="Z108" s="26" t="n">
        <v>106</v>
      </c>
      <c r="AA108" s="28" t="n">
        <v>0.485</v>
      </c>
      <c r="AB108" s="28" t="n">
        <v>-0.000437</v>
      </c>
      <c r="AC108" s="30" t="n">
        <v>-1</v>
      </c>
      <c r="AD108" s="24" t="inlineStr">
        <is>
          <t>2026-08-02T03:25:57.664534Z</t>
        </is>
      </c>
      <c r="AE108" s="31" t="inlineStr">
        <is>
          <t>Measured Edge Totals: Trend Engine projected 4.48-5.03; raw selected-side p=0.5634, calibrated p=0.5296.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inlineStr">
        <is>
          <t>mlb-pit</t>
        </is>
      </c>
      <c r="AQ108" s="24" t="inlineStr">
        <is>
          <t>Pittsburgh Pirates</t>
        </is>
      </c>
      <c r="AR108" s="24" t="inlineStr">
        <is>
          <t>Pittsburgh Pirates</t>
        </is>
      </c>
      <c r="AS108" s="24" t="inlineStr">
        <is>
          <t>mlb-cin</t>
        </is>
      </c>
      <c r="AT108" s="24" t="inlineStr">
        <is>
          <t>Cincinnati Reds</t>
        </is>
      </c>
      <c r="AU108" s="24" t="inlineStr">
        <is>
          <t>Cincinnati Reds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433578016242b27f9c1c7132cc6b5a2bcc7dd1b0234590c12a944455a88e71bd</t>
        </is>
      </c>
      <c r="BB108" s="24" t="inlineStr">
        <is>
          <t>flat_probability_shrinkage_toward_half</t>
        </is>
      </c>
      <c r="BC108" s="24" t="inlineStr">
        <is>
          <t>measured-edge-totals-v2</t>
        </is>
      </c>
      <c r="BD108" s="24" t="inlineStr">
        <is>
          <t>433578016242b27f9c1c7132cc6b5a2bcc7dd1b0234590c12a944455a88e71bd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2026-08-01T20:15:41.530944Z</t>
        </is>
      </c>
      <c r="BI108" s="24" t="inlineStr">
        <is>
          <t>["same_event","same_team_same_day","same_league_same_day"]</t>
        </is>
      </c>
      <c r="BJ108" s="25" t="n">
        <v>8.5</v>
      </c>
      <c r="BK108" s="26" t="n">
        <v>106</v>
      </c>
      <c r="BL108" s="27" t="n">
        <v>2.06</v>
      </c>
      <c r="BM108" s="28" t="n">
        <v>0.485437</v>
      </c>
      <c r="BN108" s="28" t="n">
        <v>0.482587</v>
      </c>
      <c r="BO108" s="28" t="n"/>
      <c r="BP108" s="25" t="n"/>
      <c r="BQ108" s="27" t="n">
        <v>2.06</v>
      </c>
      <c r="BR108" s="28" t="n">
        <v>0.485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</row>
    <row r="109" ht="36" customHeight="1">
      <c r="A109" s="24" t="inlineStr">
        <is>
          <t>467a3dcd365542d4</t>
        </is>
      </c>
      <c r="B109" s="24" t="inlineStr">
        <is>
          <t>2026-08-01T20:15:41.530944Z</t>
        </is>
      </c>
      <c r="C109" s="24" t="inlineStr">
        <is>
          <t>2026-08-01T23:05Z</t>
        </is>
      </c>
      <c r="D109" s="24" t="inlineStr">
        <is>
          <t>401816350</t>
        </is>
      </c>
      <c r="E109" s="24" t="inlineStr">
        <is>
          <t>MLB</t>
        </is>
      </c>
      <c r="F109" s="24" t="inlineStr">
        <is>
          <t>Philadelphia Phillies</t>
        </is>
      </c>
      <c r="G109" s="24" t="inlineStr">
        <is>
          <t>Baltimore Orioles</t>
        </is>
      </c>
      <c r="H109" s="24" t="inlineStr">
        <is>
          <t>spread</t>
        </is>
      </c>
      <c r="I109" s="24" t="inlineStr">
        <is>
          <t>home</t>
        </is>
      </c>
      <c r="J109" s="25" t="n">
        <v>1.5</v>
      </c>
      <c r="K109" s="24" t="inlineStr">
        <is>
          <t>polymarket_us</t>
        </is>
      </c>
      <c r="L109" s="26" t="n">
        <v>-125</v>
      </c>
      <c r="M109" s="27" t="n">
        <v>1.8</v>
      </c>
      <c r="N109" s="28" t="n">
        <v>0.555556</v>
      </c>
      <c r="O109" s="28" t="n">
        <v>0.634813</v>
      </c>
      <c r="P109" s="28" t="n">
        <v>0.042131</v>
      </c>
      <c r="Q109" s="28" t="n">
        <v>0.07925699999999999</v>
      </c>
      <c r="R109" s="26" t="n">
        <v>64</v>
      </c>
      <c r="S109" s="29" t="n">
        <v>1.5</v>
      </c>
      <c r="T109" s="24" t="inlineStr">
        <is>
          <t>measured-edge-margin-v2</t>
        </is>
      </c>
      <c r="U109" s="24" t="inlineStr">
        <is>
          <t>settled</t>
        </is>
      </c>
      <c r="V109" s="24" t="inlineStr">
        <is>
          <t>loss</t>
        </is>
      </c>
      <c r="W109" s="26" t="n">
        <v>5</v>
      </c>
      <c r="X109" s="26" t="n">
        <v>0</v>
      </c>
      <c r="Y109" s="25" t="n">
        <v>1.5</v>
      </c>
      <c r="Z109" s="26" t="n">
        <v>-125</v>
      </c>
      <c r="AA109" s="28" t="n">
        <v>0.555</v>
      </c>
      <c r="AB109" s="28" t="n">
        <v>-0.000556</v>
      </c>
      <c r="AC109" s="30" t="n">
        <v>-1.5</v>
      </c>
      <c r="AD109" s="24" t="inlineStr">
        <is>
          <t>2026-08-02T03:25:58.270271Z</t>
        </is>
      </c>
      <c r="AE109" s="31" t="inlineStr">
        <is>
          <t>Measured Edge Margin: Trend Engine projected 4.43-4.91; raw selected-side p=0.7054, calibrated p=0.6348.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mlb-phi</t>
        </is>
      </c>
      <c r="AQ109" s="24" t="inlineStr">
        <is>
          <t>Philadelphia Phillies</t>
        </is>
      </c>
      <c r="AR109" s="24" t="inlineStr">
        <is>
          <t>Philadelphia Phillies</t>
        </is>
      </c>
      <c r="AS109" s="24" t="inlineStr">
        <is>
          <t>mlb-bal</t>
        </is>
      </c>
      <c r="AT109" s="24" t="inlineStr">
        <is>
          <t>Baltimore Orioles</t>
        </is>
      </c>
      <c r="AU109" s="24" t="inlineStr">
        <is>
          <t>Baltimore Orioles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8360b122264b796b0fb193095cfe4506c7e064e5f3f8c0a659aec41efd08dd25</t>
        </is>
      </c>
      <c r="BB109" s="24" t="inlineStr">
        <is>
          <t>flat_probability_shrinkage_toward_half</t>
        </is>
      </c>
      <c r="BC109" s="24" t="inlineStr">
        <is>
          <t>measured-edge-margin-v2</t>
        </is>
      </c>
      <c r="BD109" s="24" t="inlineStr">
        <is>
          <t>8360b122264b796b0fb193095cfe4506c7e064e5f3f8c0a659aec41efd08dd25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2026-08-01T20:15:41.530944Z</t>
        </is>
      </c>
      <c r="BI109" s="24" t="inlineStr">
        <is>
          <t>["same_event","same_team_same_day","same_league_same_day"]</t>
        </is>
      </c>
      <c r="BJ109" s="25" t="n">
        <v>1.5</v>
      </c>
      <c r="BK109" s="26" t="n">
        <v>-125</v>
      </c>
      <c r="BL109" s="27" t="n">
        <v>1.8</v>
      </c>
      <c r="BM109" s="28" t="n">
        <v>0.555556</v>
      </c>
      <c r="BN109" s="28" t="n">
        <v>0.552239</v>
      </c>
      <c r="BO109" s="28" t="n"/>
      <c r="BP109" s="25" t="n"/>
      <c r="BQ109" s="27" t="n">
        <v>1.8</v>
      </c>
      <c r="BR109" s="28" t="n">
        <v>0.555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</row>
    <row r="110" ht="36" customHeight="1">
      <c r="A110" s="24" t="inlineStr">
        <is>
          <t>524e6e93080f4caf</t>
        </is>
      </c>
      <c r="B110" s="24" t="inlineStr">
        <is>
          <t>2026-08-01T20:15:41.530944Z</t>
        </is>
      </c>
      <c r="C110" s="24" t="inlineStr">
        <is>
          <t>2026-08-01T23:05Z</t>
        </is>
      </c>
      <c r="D110" s="24" t="inlineStr">
        <is>
          <t>401816350</t>
        </is>
      </c>
      <c r="E110" s="24" t="inlineStr">
        <is>
          <t>MLB</t>
        </is>
      </c>
      <c r="F110" s="24" t="inlineStr">
        <is>
          <t>Philadelphia Phillies</t>
        </is>
      </c>
      <c r="G110" s="24" t="inlineStr">
        <is>
          <t>Baltimore Orioles</t>
        </is>
      </c>
      <c r="H110" s="24" t="inlineStr">
        <is>
          <t>total</t>
        </is>
      </c>
      <c r="I110" s="24" t="inlineStr">
        <is>
          <t>over</t>
        </is>
      </c>
      <c r="J110" s="25" t="n">
        <v>8.5</v>
      </c>
      <c r="K110" s="24" t="inlineStr">
        <is>
          <t>polymarket_us</t>
        </is>
      </c>
      <c r="L110" s="26" t="n">
        <v>111</v>
      </c>
      <c r="M110" s="27" t="n">
        <v>2.11</v>
      </c>
      <c r="N110" s="28" t="n">
        <v>0.473934</v>
      </c>
      <c r="O110" s="28" t="n">
        <v>0.523873</v>
      </c>
      <c r="P110" s="28" t="n">
        <v>0.042131</v>
      </c>
      <c r="Q110" s="28" t="n">
        <v>0.049939</v>
      </c>
      <c r="R110" s="26" t="n">
        <v>50</v>
      </c>
      <c r="S110" s="29" t="n">
        <v>1</v>
      </c>
      <c r="T110" s="24" t="inlineStr">
        <is>
          <t>measured-edge-totals-v2</t>
        </is>
      </c>
      <c r="U110" s="24" t="inlineStr">
        <is>
          <t>settled</t>
        </is>
      </c>
      <c r="V110" s="24" t="inlineStr">
        <is>
          <t>loss</t>
        </is>
      </c>
      <c r="W110" s="26" t="n">
        <v>5</v>
      </c>
      <c r="X110" s="26" t="n">
        <v>0</v>
      </c>
      <c r="Y110" s="25" t="n">
        <v>8.5</v>
      </c>
      <c r="Z110" s="26" t="n">
        <v>111</v>
      </c>
      <c r="AA110" s="28" t="n">
        <v>0.475</v>
      </c>
      <c r="AB110" s="28" t="n">
        <v>0.001066</v>
      </c>
      <c r="AC110" s="30" t="n">
        <v>-1</v>
      </c>
      <c r="AD110" s="24" t="inlineStr">
        <is>
          <t>2026-08-02T03:25:58.832776Z</t>
        </is>
      </c>
      <c r="AE110" s="31" t="inlineStr">
        <is>
          <t>Measured Edge Totals: Trend Engine projected 4.43-4.91; raw selected-side p=0.5466, calibrated p=0.5239.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mlb-phi</t>
        </is>
      </c>
      <c r="AQ110" s="24" t="inlineStr">
        <is>
          <t>Philadelphia Phillies</t>
        </is>
      </c>
      <c r="AR110" s="24" t="inlineStr">
        <is>
          <t>Philadelphia Phillies</t>
        </is>
      </c>
      <c r="AS110" s="24" t="inlineStr">
        <is>
          <t>mlb-bal</t>
        </is>
      </c>
      <c r="AT110" s="24" t="inlineStr">
        <is>
          <t>Baltimore Orioles</t>
        </is>
      </c>
      <c r="AU110" s="24" t="inlineStr">
        <is>
          <t>Baltimore Orioles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433578016242b27f9c1c7132cc6b5a2bcc7dd1b0234590c12a944455a88e71bd</t>
        </is>
      </c>
      <c r="BB110" s="24" t="inlineStr">
        <is>
          <t>flat_probability_shrinkage_toward_half</t>
        </is>
      </c>
      <c r="BC110" s="24" t="inlineStr">
        <is>
          <t>measured-edge-totals-v2</t>
        </is>
      </c>
      <c r="BD110" s="24" t="inlineStr">
        <is>
          <t>433578016242b27f9c1c7132cc6b5a2bcc7dd1b0234590c12a944455a88e71bd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2026-08-01T20:15:41.530944Z</t>
        </is>
      </c>
      <c r="BI110" s="24" t="inlineStr">
        <is>
          <t>["same_event","same_team_same_day","same_league_same_day"]</t>
        </is>
      </c>
      <c r="BJ110" s="25" t="n">
        <v>8.5</v>
      </c>
      <c r="BK110" s="26" t="n">
        <v>111</v>
      </c>
      <c r="BL110" s="27" t="n">
        <v>2.11</v>
      </c>
      <c r="BM110" s="28" t="n">
        <v>0.473934</v>
      </c>
      <c r="BN110" s="28" t="n">
        <v>0.472637</v>
      </c>
      <c r="BO110" s="28" t="n"/>
      <c r="BP110" s="25" t="n"/>
      <c r="BQ110" s="27" t="n">
        <v>2.11</v>
      </c>
      <c r="BR110" s="28" t="n">
        <v>0.475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</row>
    <row r="111" ht="36" customHeight="1">
      <c r="A111" s="24" t="inlineStr">
        <is>
          <t>a4bc30a0261348a3</t>
        </is>
      </c>
      <c r="B111" s="24" t="inlineStr">
        <is>
          <t>2026-08-01T20:15:41.530944Z</t>
        </is>
      </c>
      <c r="C111" s="24" t="inlineStr">
        <is>
          <t>2026-08-01T23:10Z</t>
        </is>
      </c>
      <c r="D111" s="24" t="inlineStr">
        <is>
          <t>401816355</t>
        </is>
      </c>
      <c r="E111" s="24" t="inlineStr">
        <is>
          <t>MLB</t>
        </is>
      </c>
      <c r="F111" s="24" t="inlineStr">
        <is>
          <t>Texas Rangers</t>
        </is>
      </c>
      <c r="G111" s="24" t="inlineStr">
        <is>
          <t>Houston Astros</t>
        </is>
      </c>
      <c r="H111" s="24" t="inlineStr">
        <is>
          <t>spread</t>
        </is>
      </c>
      <c r="I111" s="24" t="inlineStr">
        <is>
          <t>home</t>
        </is>
      </c>
      <c r="J111" s="25" t="n">
        <v>1.5</v>
      </c>
      <c r="K111" s="24" t="inlineStr">
        <is>
          <t>polymarket_us</t>
        </is>
      </c>
      <c r="L111" s="26" t="n">
        <v>-147</v>
      </c>
      <c r="M111" s="27" t="n">
        <v>1.680272</v>
      </c>
      <c r="N111" s="28" t="n">
        <v>0.5951419999999999</v>
      </c>
      <c r="O111" s="28" t="n">
        <v>0.599055</v>
      </c>
      <c r="P111" s="28" t="n">
        <v>0.05172</v>
      </c>
      <c r="Q111" s="28" t="n">
        <v>0.003913</v>
      </c>
      <c r="R111" s="26" t="n">
        <v>21</v>
      </c>
      <c r="S111" s="29" t="n">
        <v>1.25</v>
      </c>
      <c r="T111" s="24" t="inlineStr">
        <is>
          <t>measured-edge-margin-v2</t>
        </is>
      </c>
      <c r="U111" s="24" t="inlineStr">
        <is>
          <t>settled</t>
        </is>
      </c>
      <c r="V111" s="24" t="inlineStr">
        <is>
          <t>win</t>
        </is>
      </c>
      <c r="W111" s="26" t="n">
        <v>4</v>
      </c>
      <c r="X111" s="26" t="n">
        <v>5</v>
      </c>
      <c r="Y111" s="25" t="n">
        <v>1.5</v>
      </c>
      <c r="Z111" s="26" t="n">
        <v>-147</v>
      </c>
      <c r="AA111" s="28" t="n">
        <v>0.595</v>
      </c>
      <c r="AB111" s="28" t="n">
        <v>-0.000142</v>
      </c>
      <c r="AC111" s="30" t="n">
        <v>0.8502999999999999</v>
      </c>
      <c r="AD111" s="24" t="inlineStr">
        <is>
          <t>2026-08-02T03:25:59.357983Z</t>
        </is>
      </c>
      <c r="AE111" s="31" t="inlineStr">
        <is>
          <t>Measured Edge Margin: Trend Engine projected 4.79-4.61; raw selected-side p=0.6509, calibrated p=0.5991.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mlb-tex</t>
        </is>
      </c>
      <c r="AQ111" s="24" t="inlineStr">
        <is>
          <t>Texas Rangers</t>
        </is>
      </c>
      <c r="AR111" s="24" t="inlineStr">
        <is>
          <t>Texas Rangers</t>
        </is>
      </c>
      <c r="AS111" s="24" t="inlineStr">
        <is>
          <t>mlb-hou</t>
        </is>
      </c>
      <c r="AT111" s="24" t="inlineStr">
        <is>
          <t>Houston Astros</t>
        </is>
      </c>
      <c r="AU111" s="24" t="inlineStr">
        <is>
          <t>Houston Astros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8360b122264b796b0fb193095cfe4506c7e064e5f3f8c0a659aec41efd08dd25</t>
        </is>
      </c>
      <c r="BB111" s="24" t="inlineStr">
        <is>
          <t>flat_probability_shrinkage_toward_half</t>
        </is>
      </c>
      <c r="BC111" s="24" t="inlineStr">
        <is>
          <t>measured-edge-margin-v2</t>
        </is>
      </c>
      <c r="BD111" s="24" t="inlineStr">
        <is>
          <t>8360b122264b796b0fb193095cfe4506c7e064e5f3f8c0a659aec41efd08dd25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2026-08-01T20:15:41.530944Z</t>
        </is>
      </c>
      <c r="BI111" s="24" t="inlineStr">
        <is>
          <t>["same_event","same_team_same_day","same_league_same_day"]</t>
        </is>
      </c>
      <c r="BJ111" s="25" t="n">
        <v>1.5</v>
      </c>
      <c r="BK111" s="26" t="n">
        <v>-147</v>
      </c>
      <c r="BL111" s="27" t="n">
        <v>1.680272</v>
      </c>
      <c r="BM111" s="28" t="n">
        <v>0.5951419999999999</v>
      </c>
      <c r="BN111" s="28" t="n">
        <v>0.59204</v>
      </c>
      <c r="BO111" s="28" t="n"/>
      <c r="BP111" s="25" t="n"/>
      <c r="BQ111" s="27" t="n">
        <v>1.680272</v>
      </c>
      <c r="BR111" s="28" t="n">
        <v>0.595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</row>
    <row r="112" ht="36" customHeight="1">
      <c r="A112" s="24" t="inlineStr">
        <is>
          <t>a13b680f399c4008</t>
        </is>
      </c>
      <c r="B112" s="24" t="inlineStr">
        <is>
          <t>2026-08-01T20:15:41.530944Z</t>
        </is>
      </c>
      <c r="C112" s="24" t="inlineStr">
        <is>
          <t>2026-08-01T23:10Z</t>
        </is>
      </c>
      <c r="D112" s="24" t="inlineStr">
        <is>
          <t>401816355</t>
        </is>
      </c>
      <c r="E112" s="24" t="inlineStr">
        <is>
          <t>MLB</t>
        </is>
      </c>
      <c r="F112" s="24" t="inlineStr">
        <is>
          <t>Texas Rangers</t>
        </is>
      </c>
      <c r="G112" s="24" t="inlineStr">
        <is>
          <t>Houston Astros</t>
        </is>
      </c>
      <c r="H112" s="24" t="inlineStr">
        <is>
          <t>total</t>
        </is>
      </c>
      <c r="I112" s="24" t="inlineStr">
        <is>
          <t>over</t>
        </is>
      </c>
      <c r="J112" s="25" t="n">
        <v>8.5</v>
      </c>
      <c r="K112" s="24" t="inlineStr">
        <is>
          <t>polymarket_us</t>
        </is>
      </c>
      <c r="L112" s="26" t="n">
        <v>106</v>
      </c>
      <c r="M112" s="27" t="n">
        <v>2.06</v>
      </c>
      <c r="N112" s="28" t="n">
        <v>0.485437</v>
      </c>
      <c r="O112" s="28" t="n">
        <v>0.526641</v>
      </c>
      <c r="P112" s="28" t="n">
        <v>0.05172</v>
      </c>
      <c r="Q112" s="28" t="n">
        <v>0.041204</v>
      </c>
      <c r="R112" s="26" t="n">
        <v>40</v>
      </c>
      <c r="S112" s="29" t="n">
        <v>1</v>
      </c>
      <c r="T112" s="24" t="inlineStr">
        <is>
          <t>measured-edge-totals-v2</t>
        </is>
      </c>
      <c r="U112" s="24" t="inlineStr">
        <is>
          <t>settled</t>
        </is>
      </c>
      <c r="V112" s="24" t="inlineStr">
        <is>
          <t>win</t>
        </is>
      </c>
      <c r="W112" s="26" t="n">
        <v>4</v>
      </c>
      <c r="X112" s="26" t="n">
        <v>5</v>
      </c>
      <c r="Y112" s="25" t="n">
        <v>8.5</v>
      </c>
      <c r="Z112" s="26" t="n">
        <v>106</v>
      </c>
      <c r="AA112" s="28" t="n">
        <v>0.485</v>
      </c>
      <c r="AB112" s="28" t="n">
        <v>-0.000437</v>
      </c>
      <c r="AC112" s="30" t="n">
        <v>1.06</v>
      </c>
      <c r="AD112" s="24" t="inlineStr">
        <is>
          <t>2026-08-02T03:25:59.884982Z</t>
        </is>
      </c>
      <c r="AE112" s="31" t="inlineStr">
        <is>
          <t>Measured Edge Totals: Trend Engine projected 4.79-4.61; raw selected-side p=0.5547, calibrated p=0.5266.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mlb-tex</t>
        </is>
      </c>
      <c r="AQ112" s="24" t="inlineStr">
        <is>
          <t>Texas Rangers</t>
        </is>
      </c>
      <c r="AR112" s="24" t="inlineStr">
        <is>
          <t>Texas Rangers</t>
        </is>
      </c>
      <c r="AS112" s="24" t="inlineStr">
        <is>
          <t>mlb-hou</t>
        </is>
      </c>
      <c r="AT112" s="24" t="inlineStr">
        <is>
          <t>Houston Astros</t>
        </is>
      </c>
      <c r="AU112" s="24" t="inlineStr">
        <is>
          <t>Houston Astros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433578016242b27f9c1c7132cc6b5a2bcc7dd1b0234590c12a944455a88e71bd</t>
        </is>
      </c>
      <c r="BB112" s="24" t="inlineStr">
        <is>
          <t>flat_probability_shrinkage_toward_half</t>
        </is>
      </c>
      <c r="BC112" s="24" t="inlineStr">
        <is>
          <t>measured-edge-totals-v2</t>
        </is>
      </c>
      <c r="BD112" s="24" t="inlineStr">
        <is>
          <t>433578016242b27f9c1c7132cc6b5a2bcc7dd1b0234590c12a944455a88e71bd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2026-08-01T20:15:41.530944Z</t>
        </is>
      </c>
      <c r="BI112" s="24" t="inlineStr">
        <is>
          <t>["same_event","same_team_same_day","same_league_same_day"]</t>
        </is>
      </c>
      <c r="BJ112" s="25" t="n">
        <v>8.5</v>
      </c>
      <c r="BK112" s="26" t="n">
        <v>106</v>
      </c>
      <c r="BL112" s="27" t="n">
        <v>2.06</v>
      </c>
      <c r="BM112" s="28" t="n">
        <v>0.485437</v>
      </c>
      <c r="BN112" s="28" t="n">
        <v>0.482587</v>
      </c>
      <c r="BO112" s="28" t="n"/>
      <c r="BP112" s="25" t="n"/>
      <c r="BQ112" s="27" t="n">
        <v>2.06</v>
      </c>
      <c r="BR112" s="28" t="n">
        <v>0.485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</row>
    <row r="113" ht="36" customHeight="1">
      <c r="A113" s="24" t="inlineStr">
        <is>
          <t>025e6dfc254a4339</t>
        </is>
      </c>
      <c r="B113" s="24" t="inlineStr">
        <is>
          <t>2026-08-01T20:15:41.530944Z</t>
        </is>
      </c>
      <c r="C113" s="24" t="inlineStr">
        <is>
          <t>2026-08-01T23:15Z</t>
        </is>
      </c>
      <c r="D113" s="24" t="inlineStr">
        <is>
          <t>401816347</t>
        </is>
      </c>
      <c r="E113" s="24" t="inlineStr">
        <is>
          <t>MLB</t>
        </is>
      </c>
      <c r="F113" s="24" t="inlineStr">
        <is>
          <t>Arizona Diamondbacks</t>
        </is>
      </c>
      <c r="G113" s="24" t="inlineStr">
        <is>
          <t>Cleveland Guardians</t>
        </is>
      </c>
      <c r="H113" s="24" t="inlineStr">
        <is>
          <t>spread</t>
        </is>
      </c>
      <c r="I113" s="24" t="inlineStr">
        <is>
          <t>away</t>
        </is>
      </c>
      <c r="J113" s="25" t="n">
        <v>1.5</v>
      </c>
      <c r="K113" s="24" t="inlineStr">
        <is>
          <t>polymarket_us</t>
        </is>
      </c>
      <c r="L113" s="26" t="n">
        <v>-133</v>
      </c>
      <c r="M113" s="27" t="n">
        <v>1.75188</v>
      </c>
      <c r="N113" s="28" t="n">
        <v>0.570815</v>
      </c>
      <c r="O113" s="28" t="n">
        <v>0.567924</v>
      </c>
      <c r="P113" s="28" t="n">
        <v>0.05172</v>
      </c>
      <c r="Q113" s="28" t="n">
        <v>-0.002891</v>
      </c>
      <c r="R113" s="26" t="n">
        <v>18</v>
      </c>
      <c r="S113" s="29" t="n">
        <v>1</v>
      </c>
      <c r="T113" s="24" t="inlineStr">
        <is>
          <t>measured-edge-margin-v2</t>
        </is>
      </c>
      <c r="U113" s="24" t="inlineStr">
        <is>
          <t>settled</t>
        </is>
      </c>
      <c r="V113" s="24" t="inlineStr">
        <is>
          <t>win</t>
        </is>
      </c>
      <c r="W113" s="26" t="n">
        <v>12</v>
      </c>
      <c r="X113" s="26" t="n">
        <v>8</v>
      </c>
      <c r="Y113" s="25" t="n">
        <v>1.5</v>
      </c>
      <c r="Z113" s="26" t="n">
        <v>-133</v>
      </c>
      <c r="AA113" s="28" t="n">
        <v>0.57</v>
      </c>
      <c r="AB113" s="28" t="n">
        <v>-0.000815</v>
      </c>
      <c r="AC113" s="30" t="n">
        <v>0.7519</v>
      </c>
      <c r="AD113" s="24" t="inlineStr">
        <is>
          <t>2026-08-02T03:26:00.414987Z</t>
        </is>
      </c>
      <c r="AE113" s="31" t="inlineStr">
        <is>
          <t>Measured Edge Margin: Trend Engine projected 4.02-4.73; raw selected-side p=0.6035, calibrated p=0.5679.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mlb-ari</t>
        </is>
      </c>
      <c r="AQ113" s="24" t="inlineStr">
        <is>
          <t>Arizona Diamondbacks</t>
        </is>
      </c>
      <c r="AR113" s="24" t="inlineStr">
        <is>
          <t>Arizona Diamondbacks</t>
        </is>
      </c>
      <c r="AS113" s="24" t="inlineStr">
        <is>
          <t>mlb-cle</t>
        </is>
      </c>
      <c r="AT113" s="24" t="inlineStr">
        <is>
          <t>Cleveland Guardians</t>
        </is>
      </c>
      <c r="AU113" s="24" t="inlineStr">
        <is>
          <t>Cleveland Guardians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8360b122264b796b0fb193095cfe4506c7e064e5f3f8c0a659aec41efd08dd25</t>
        </is>
      </c>
      <c r="BB113" s="24" t="inlineStr">
        <is>
          <t>flat_probability_shrinkage_toward_half</t>
        </is>
      </c>
      <c r="BC113" s="24" t="inlineStr">
        <is>
          <t>measured-edge-margin-v2</t>
        </is>
      </c>
      <c r="BD113" s="24" t="inlineStr">
        <is>
          <t>8360b122264b796b0fb193095cfe4506c7e064e5f3f8c0a659aec41efd08dd25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2026-08-01T20:15:41.530944Z</t>
        </is>
      </c>
      <c r="BI113" s="24" t="inlineStr">
        <is>
          <t>["same_event","same_team_same_day","same_league_same_day"]</t>
        </is>
      </c>
      <c r="BJ113" s="25" t="n">
        <v>1.5</v>
      </c>
      <c r="BK113" s="26" t="n">
        <v>-133</v>
      </c>
      <c r="BL113" s="27" t="n">
        <v>1.75188</v>
      </c>
      <c r="BM113" s="28" t="n">
        <v>0.570815</v>
      </c>
      <c r="BN113" s="28" t="n">
        <v>0.567164</v>
      </c>
      <c r="BO113" s="28" t="n"/>
      <c r="BP113" s="25" t="n"/>
      <c r="BQ113" s="27" t="n">
        <v>1.75188</v>
      </c>
      <c r="BR113" s="28" t="n">
        <v>0.57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</row>
    <row r="114" ht="36" customHeight="1">
      <c r="A114" s="24" t="inlineStr">
        <is>
          <t>e7eb99b6b7d34a9d</t>
        </is>
      </c>
      <c r="B114" s="24" t="inlineStr">
        <is>
          <t>2026-08-01T20:15:41.530944Z</t>
        </is>
      </c>
      <c r="C114" s="24" t="inlineStr">
        <is>
          <t>2026-08-01T23:15Z</t>
        </is>
      </c>
      <c r="D114" s="24" t="inlineStr">
        <is>
          <t>401816347</t>
        </is>
      </c>
      <c r="E114" s="24" t="inlineStr">
        <is>
          <t>MLB</t>
        </is>
      </c>
      <c r="F114" s="24" t="inlineStr">
        <is>
          <t>Arizona Diamondbacks</t>
        </is>
      </c>
      <c r="G114" s="24" t="inlineStr">
        <is>
          <t>Cleveland Guardians</t>
        </is>
      </c>
      <c r="H114" s="24" t="inlineStr">
        <is>
          <t>total</t>
        </is>
      </c>
      <c r="I114" s="24" t="inlineStr">
        <is>
          <t>under</t>
        </is>
      </c>
      <c r="J114" s="25" t="n">
        <v>8.5</v>
      </c>
      <c r="K114" s="24" t="inlineStr">
        <is>
          <t>polymarket_us</t>
        </is>
      </c>
      <c r="L114" s="26" t="n">
        <v>-111</v>
      </c>
      <c r="M114" s="27" t="n">
        <v>1.900901</v>
      </c>
      <c r="N114" s="28" t="n">
        <v>0.526066</v>
      </c>
      <c r="O114" s="28" t="n">
        <v>0.509231</v>
      </c>
      <c r="P114" s="28" t="n">
        <v>0.05172</v>
      </c>
      <c r="Q114" s="28" t="n">
        <v>-0.016835</v>
      </c>
      <c r="R114" s="26" t="n">
        <v>11</v>
      </c>
      <c r="S114" s="29" t="n">
        <v>1</v>
      </c>
      <c r="T114" s="24" t="inlineStr">
        <is>
          <t>measured-edge-totals-v2</t>
        </is>
      </c>
      <c r="U114" s="24" t="inlineStr">
        <is>
          <t>settled</t>
        </is>
      </c>
      <c r="V114" s="24" t="inlineStr">
        <is>
          <t>loss</t>
        </is>
      </c>
      <c r="W114" s="26" t="n">
        <v>12</v>
      </c>
      <c r="X114" s="26" t="n">
        <v>8</v>
      </c>
      <c r="Y114" s="25" t="n">
        <v>8.5</v>
      </c>
      <c r="Z114" s="26" t="n">
        <v>-111</v>
      </c>
      <c r="AA114" s="28" t="n">
        <v>0.525</v>
      </c>
      <c r="AB114" s="28" t="n">
        <v>-0.001066</v>
      </c>
      <c r="AC114" s="30" t="n">
        <v>-1</v>
      </c>
      <c r="AD114" s="24" t="inlineStr">
        <is>
          <t>2026-08-02T03:26:00.966797Z</t>
        </is>
      </c>
      <c r="AE114" s="31" t="inlineStr">
        <is>
          <t>Measured Edge Totals: Trend Engine projected 4.02-4.73; raw selected-side p=0.5038, calibrated p=0.5092.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mlb-ari</t>
        </is>
      </c>
      <c r="AQ114" s="24" t="inlineStr">
        <is>
          <t>Arizona Diamondbacks</t>
        </is>
      </c>
      <c r="AR114" s="24" t="inlineStr">
        <is>
          <t>Arizona Diamondbacks</t>
        </is>
      </c>
      <c r="AS114" s="24" t="inlineStr">
        <is>
          <t>mlb-cle</t>
        </is>
      </c>
      <c r="AT114" s="24" t="inlineStr">
        <is>
          <t>Cleveland Guardians</t>
        </is>
      </c>
      <c r="AU114" s="24" t="inlineStr">
        <is>
          <t>Cleveland Guardians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433578016242b27f9c1c7132cc6b5a2bcc7dd1b0234590c12a944455a88e71bd</t>
        </is>
      </c>
      <c r="BB114" s="24" t="inlineStr">
        <is>
          <t>flat_probability_shrinkage_toward_half</t>
        </is>
      </c>
      <c r="BC114" s="24" t="inlineStr">
        <is>
          <t>measured-edge-totals-v2</t>
        </is>
      </c>
      <c r="BD114" s="24" t="inlineStr">
        <is>
          <t>433578016242b27f9c1c7132cc6b5a2bcc7dd1b0234590c12a944455a88e71bd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2026-08-01T20:15:41.530944Z</t>
        </is>
      </c>
      <c r="BI114" s="24" t="inlineStr">
        <is>
          <t>["same_event","same_team_same_day","same_league_same_day"]</t>
        </is>
      </c>
      <c r="BJ114" s="25" t="n">
        <v>8.5</v>
      </c>
      <c r="BK114" s="26" t="n">
        <v>-111</v>
      </c>
      <c r="BL114" s="27" t="n">
        <v>1.900901</v>
      </c>
      <c r="BM114" s="28" t="n">
        <v>0.526066</v>
      </c>
      <c r="BN114" s="28" t="n">
        <v>0.522388</v>
      </c>
      <c r="BO114" s="28" t="n"/>
      <c r="BP114" s="25" t="n"/>
      <c r="BQ114" s="27" t="n">
        <v>1.900901</v>
      </c>
      <c r="BR114" s="28" t="n">
        <v>0.525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</row>
    <row r="115" ht="36" customHeight="1">
      <c r="A115" s="24" t="inlineStr">
        <is>
          <t>c6abafb6682c4b30</t>
        </is>
      </c>
      <c r="B115" s="24" t="inlineStr">
        <is>
          <t>2026-08-01T20:15:41.530944Z</t>
        </is>
      </c>
      <c r="C115" s="24" t="inlineStr">
        <is>
          <t>2026-08-01T23:15Z</t>
        </is>
      </c>
      <c r="D115" s="24" t="inlineStr">
        <is>
          <t>401816353</t>
        </is>
      </c>
      <c r="E115" s="24" t="inlineStr">
        <is>
          <t>MLB</t>
        </is>
      </c>
      <c r="F115" s="24" t="inlineStr">
        <is>
          <t>Washington Nationals</t>
        </is>
      </c>
      <c r="G115" s="24" t="inlineStr">
        <is>
          <t>Atlanta Braves</t>
        </is>
      </c>
      <c r="H115" s="24" t="inlineStr">
        <is>
          <t>spread</t>
        </is>
      </c>
      <c r="I115" s="24" t="inlineStr">
        <is>
          <t>away</t>
        </is>
      </c>
      <c r="J115" s="25" t="n">
        <v>1.5</v>
      </c>
      <c r="K115" s="24" t="inlineStr">
        <is>
          <t>polymarket_us</t>
        </is>
      </c>
      <c r="L115" s="26" t="n">
        <v>-127</v>
      </c>
      <c r="M115" s="27" t="n">
        <v>1.787402</v>
      </c>
      <c r="N115" s="28" t="n">
        <v>0.5594710000000001</v>
      </c>
      <c r="O115" s="28" t="n">
        <v>0.571729</v>
      </c>
      <c r="P115" s="28" t="n">
        <v>0.042131</v>
      </c>
      <c r="Q115" s="28" t="n">
        <v>0.012258</v>
      </c>
      <c r="R115" s="26" t="n">
        <v>31</v>
      </c>
      <c r="S115" s="29" t="n">
        <v>1.25</v>
      </c>
      <c r="T115" s="24" t="inlineStr">
        <is>
          <t>measured-edge-margin-v2</t>
        </is>
      </c>
      <c r="U115" s="24" t="inlineStr">
        <is>
          <t>settled</t>
        </is>
      </c>
      <c r="V115" s="24" t="inlineStr">
        <is>
          <t>loss</t>
        </is>
      </c>
      <c r="W115" s="26" t="n">
        <v>3</v>
      </c>
      <c r="X115" s="26" t="n">
        <v>8</v>
      </c>
      <c r="Y115" s="25" t="n">
        <v>1.5</v>
      </c>
      <c r="Z115" s="26" t="n">
        <v>-127</v>
      </c>
      <c r="AA115" s="28" t="n">
        <v>0.5600000000000001</v>
      </c>
      <c r="AB115" s="28" t="n">
        <v>0.000529</v>
      </c>
      <c r="AC115" s="30" t="n">
        <v>-1.25</v>
      </c>
      <c r="AD115" s="24" t="inlineStr">
        <is>
          <t>2026-08-02T03:26:01.546903Z</t>
        </is>
      </c>
      <c r="AE115" s="31" t="inlineStr">
        <is>
          <t>Measured Edge Margin: Trend Engine projected 4.41-5.01; raw selected-side p=0.6092, calibrated p=0.5717.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mlb-wsh</t>
        </is>
      </c>
      <c r="AQ115" s="24" t="inlineStr">
        <is>
          <t>Washington Nationals</t>
        </is>
      </c>
      <c r="AR115" s="24" t="inlineStr">
        <is>
          <t>Washington Nationals</t>
        </is>
      </c>
      <c r="AS115" s="24" t="inlineStr">
        <is>
          <t>mlb-atl</t>
        </is>
      </c>
      <c r="AT115" s="24" t="inlineStr">
        <is>
          <t>Atlanta Braves</t>
        </is>
      </c>
      <c r="AU115" s="24" t="inlineStr">
        <is>
          <t>Atlanta Braves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8360b122264b796b0fb193095cfe4506c7e064e5f3f8c0a659aec41efd08dd25</t>
        </is>
      </c>
      <c r="BB115" s="24" t="inlineStr">
        <is>
          <t>flat_probability_shrinkage_toward_half</t>
        </is>
      </c>
      <c r="BC115" s="24" t="inlineStr">
        <is>
          <t>measured-edge-margin-v2</t>
        </is>
      </c>
      <c r="BD115" s="24" t="inlineStr">
        <is>
          <t>8360b122264b796b0fb193095cfe4506c7e064e5f3f8c0a659aec41efd08dd25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2026-08-01T20:15:41.530944Z</t>
        </is>
      </c>
      <c r="BI115" s="24" t="inlineStr">
        <is>
          <t>["same_event","same_team_same_day","same_league_same_day"]</t>
        </is>
      </c>
      <c r="BJ115" s="25" t="n">
        <v>1.5</v>
      </c>
      <c r="BK115" s="26" t="n">
        <v>-127</v>
      </c>
      <c r="BL115" s="27" t="n">
        <v>1.787402</v>
      </c>
      <c r="BM115" s="28" t="n">
        <v>0.5594710000000001</v>
      </c>
      <c r="BN115" s="28" t="n">
        <v>0.557214</v>
      </c>
      <c r="BO115" s="28" t="n"/>
      <c r="BP115" s="25" t="n"/>
      <c r="BQ115" s="27" t="n">
        <v>1.787402</v>
      </c>
      <c r="BR115" s="28" t="n">
        <v>0.5600000000000001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</row>
    <row r="116" ht="36" customHeight="1">
      <c r="A116" s="24" t="inlineStr">
        <is>
          <t>6fb5c07d4adc473f</t>
        </is>
      </c>
      <c r="B116" s="24" t="inlineStr">
        <is>
          <t>2026-08-01T20:15:41.530944Z</t>
        </is>
      </c>
      <c r="C116" s="24" t="inlineStr">
        <is>
          <t>2026-08-01T23:15Z</t>
        </is>
      </c>
      <c r="D116" s="24" t="inlineStr">
        <is>
          <t>401816353</t>
        </is>
      </c>
      <c r="E116" s="24" t="inlineStr">
        <is>
          <t>MLB</t>
        </is>
      </c>
      <c r="F116" s="24" t="inlineStr">
        <is>
          <t>Washington Nationals</t>
        </is>
      </c>
      <c r="G116" s="24" t="inlineStr">
        <is>
          <t>Atlanta Braves</t>
        </is>
      </c>
      <c r="H116" s="24" t="inlineStr">
        <is>
          <t>total</t>
        </is>
      </c>
      <c r="I116" s="24" t="inlineStr">
        <is>
          <t>under</t>
        </is>
      </c>
      <c r="J116" s="25" t="n">
        <v>9.5</v>
      </c>
      <c r="K116" s="24" t="inlineStr">
        <is>
          <t>polymarket_us</t>
        </is>
      </c>
      <c r="L116" s="26" t="n">
        <v>-111</v>
      </c>
      <c r="M116" s="27" t="n">
        <v>1.900901</v>
      </c>
      <c r="N116" s="28" t="n">
        <v>0.526066</v>
      </c>
      <c r="O116" s="28" t="n">
        <v>0.527495</v>
      </c>
      <c r="P116" s="28" t="n">
        <v>0.042131</v>
      </c>
      <c r="Q116" s="28" t="n">
        <v>0.001429</v>
      </c>
      <c r="R116" s="26" t="n">
        <v>25</v>
      </c>
      <c r="S116" s="29" t="n">
        <v>1</v>
      </c>
      <c r="T116" s="24" t="inlineStr">
        <is>
          <t>measured-edge-totals-v2</t>
        </is>
      </c>
      <c r="U116" s="24" t="inlineStr">
        <is>
          <t>settled</t>
        </is>
      </c>
      <c r="V116" s="24" t="inlineStr">
        <is>
          <t>loss</t>
        </is>
      </c>
      <c r="W116" s="26" t="n">
        <v>3</v>
      </c>
      <c r="X116" s="26" t="n">
        <v>8</v>
      </c>
      <c r="Y116" s="25" t="n">
        <v>9.5</v>
      </c>
      <c r="Z116" s="26" t="n">
        <v>-111</v>
      </c>
      <c r="AA116" s="28" t="n">
        <v>0.525</v>
      </c>
      <c r="AB116" s="28" t="n">
        <v>-0.001066</v>
      </c>
      <c r="AC116" s="30" t="n">
        <v>-1</v>
      </c>
      <c r="AD116" s="24" t="inlineStr">
        <is>
          <t>2026-08-02T03:26:02.159533Z</t>
        </is>
      </c>
      <c r="AE116" s="31" t="inlineStr">
        <is>
          <t>Measured Edge Totals: Trend Engine projected 4.41-5.01; raw selected-side p=0.5572, calibrated p=0.5275.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mlb-wsh</t>
        </is>
      </c>
      <c r="AQ116" s="24" t="inlineStr">
        <is>
          <t>Washington Nationals</t>
        </is>
      </c>
      <c r="AR116" s="24" t="inlineStr">
        <is>
          <t>Washington Nationals</t>
        </is>
      </c>
      <c r="AS116" s="24" t="inlineStr">
        <is>
          <t>mlb-atl</t>
        </is>
      </c>
      <c r="AT116" s="24" t="inlineStr">
        <is>
          <t>Atlanta Braves</t>
        </is>
      </c>
      <c r="AU116" s="24" t="inlineStr">
        <is>
          <t>Atlanta Braves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433578016242b27f9c1c7132cc6b5a2bcc7dd1b0234590c12a944455a88e71bd</t>
        </is>
      </c>
      <c r="BB116" s="24" t="inlineStr">
        <is>
          <t>flat_probability_shrinkage_toward_half</t>
        </is>
      </c>
      <c r="BC116" s="24" t="inlineStr">
        <is>
          <t>measured-edge-totals-v2</t>
        </is>
      </c>
      <c r="BD116" s="24" t="inlineStr">
        <is>
          <t>433578016242b27f9c1c7132cc6b5a2bcc7dd1b0234590c12a944455a88e71bd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2026-08-01T20:15:41.530944Z</t>
        </is>
      </c>
      <c r="BI116" s="24" t="inlineStr">
        <is>
          <t>["same_event","same_team_same_day","same_league_same_day"]</t>
        </is>
      </c>
      <c r="BJ116" s="25" t="n">
        <v>9.5</v>
      </c>
      <c r="BK116" s="26" t="n">
        <v>-111</v>
      </c>
      <c r="BL116" s="27" t="n">
        <v>1.900901</v>
      </c>
      <c r="BM116" s="28" t="n">
        <v>0.526066</v>
      </c>
      <c r="BN116" s="28" t="n">
        <v>0.522388</v>
      </c>
      <c r="BO116" s="28" t="n"/>
      <c r="BP116" s="25" t="n"/>
      <c r="BQ116" s="27" t="n">
        <v>1.900901</v>
      </c>
      <c r="BR116" s="28" t="n">
        <v>0.525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</row>
    <row r="117" ht="36" customHeight="1">
      <c r="A117" s="24" t="inlineStr">
        <is>
          <t>65c158a1a4f34697</t>
        </is>
      </c>
      <c r="B117" s="24" t="inlineStr">
        <is>
          <t>2026-08-01T20:15:41.530944Z</t>
        </is>
      </c>
      <c r="C117" s="24" t="inlineStr">
        <is>
          <t>2026-08-01T23:15Z</t>
        </is>
      </c>
      <c r="D117" s="24" t="inlineStr">
        <is>
          <t>401816354</t>
        </is>
      </c>
      <c r="E117" s="24" t="inlineStr">
        <is>
          <t>MLB</t>
        </is>
      </c>
      <c r="F117" s="24" t="inlineStr">
        <is>
          <t>New York Yankees</t>
        </is>
      </c>
      <c r="G117" s="24" t="inlineStr">
        <is>
          <t>Chicago Cubs</t>
        </is>
      </c>
      <c r="H117" s="24" t="inlineStr">
        <is>
          <t>spread</t>
        </is>
      </c>
      <c r="I117" s="24" t="inlineStr">
        <is>
          <t>home</t>
        </is>
      </c>
      <c r="J117" s="25" t="n">
        <v>1.5</v>
      </c>
      <c r="K117" s="24" t="inlineStr">
        <is>
          <t>polymarket_us</t>
        </is>
      </c>
      <c r="L117" s="26" t="n">
        <v>-194</v>
      </c>
      <c r="M117" s="27" t="n">
        <v>1.515464</v>
      </c>
      <c r="N117" s="28" t="n">
        <v>0.659864</v>
      </c>
      <c r="O117" s="28" t="n">
        <v>0.608372</v>
      </c>
      <c r="P117" s="28" t="n">
        <v>0.042131</v>
      </c>
      <c r="Q117" s="28" t="n">
        <v>-0.051492</v>
      </c>
      <c r="R117" s="26" t="n">
        <v>0</v>
      </c>
      <c r="S117" s="29" t="n">
        <v>1.5</v>
      </c>
      <c r="T117" s="24" t="inlineStr">
        <is>
          <t>measured-edge-margin-v2</t>
        </is>
      </c>
      <c r="U117" s="24" t="inlineStr">
        <is>
          <t>settled</t>
        </is>
      </c>
      <c r="V117" s="24" t="inlineStr">
        <is>
          <t>win</t>
        </is>
      </c>
      <c r="W117" s="26" t="n">
        <v>2</v>
      </c>
      <c r="X117" s="26" t="n">
        <v>5</v>
      </c>
      <c r="Y117" s="25" t="n">
        <v>1.5</v>
      </c>
      <c r="Z117" s="26" t="n">
        <v>-194</v>
      </c>
      <c r="AA117" s="28" t="n">
        <v>0.66</v>
      </c>
      <c r="AB117" s="28" t="n">
        <v>0.000136</v>
      </c>
      <c r="AC117" s="30" t="n">
        <v>0.7732</v>
      </c>
      <c r="AD117" s="24" t="inlineStr">
        <is>
          <t>2026-08-02T03:26:02.756178Z</t>
        </is>
      </c>
      <c r="AE117" s="31" t="inlineStr">
        <is>
          <t>Measured Edge Margin: Trend Engine projected 4.74-4.76; raw selected-side p=0.6651, calibrated p=0.6084.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mlb-nyy</t>
        </is>
      </c>
      <c r="AQ117" s="24" t="inlineStr">
        <is>
          <t>New York Yankees</t>
        </is>
      </c>
      <c r="AR117" s="24" t="inlineStr">
        <is>
          <t>New York Yankees</t>
        </is>
      </c>
      <c r="AS117" s="24" t="inlineStr">
        <is>
          <t>mlb-chc</t>
        </is>
      </c>
      <c r="AT117" s="24" t="inlineStr">
        <is>
          <t>Chicago Cubs</t>
        </is>
      </c>
      <c r="AU117" s="24" t="inlineStr">
        <is>
          <t>Chicago Cubs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8360b122264b796b0fb193095cfe4506c7e064e5f3f8c0a659aec41efd08dd25</t>
        </is>
      </c>
      <c r="BB117" s="24" t="inlineStr">
        <is>
          <t>flat_probability_shrinkage_toward_half</t>
        </is>
      </c>
      <c r="BC117" s="24" t="inlineStr">
        <is>
          <t>measured-edge-margin-v2</t>
        </is>
      </c>
      <c r="BD117" s="24" t="inlineStr">
        <is>
          <t>8360b122264b796b0fb193095cfe4506c7e064e5f3f8c0a659aec41efd08dd25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2026-08-01T20:15:41.530944Z</t>
        </is>
      </c>
      <c r="BI117" s="24" t="inlineStr">
        <is>
          <t>["same_event","same_team_same_day","same_league_same_day"]</t>
        </is>
      </c>
      <c r="BJ117" s="25" t="n">
        <v>1.5</v>
      </c>
      <c r="BK117" s="26" t="n">
        <v>-194</v>
      </c>
      <c r="BL117" s="27" t="n">
        <v>1.515464</v>
      </c>
      <c r="BM117" s="28" t="n">
        <v>0.659864</v>
      </c>
      <c r="BN117" s="28" t="n">
        <v>0.656716</v>
      </c>
      <c r="BO117" s="28" t="n"/>
      <c r="BP117" s="25" t="n"/>
      <c r="BQ117" s="27" t="n">
        <v>1.515464</v>
      </c>
      <c r="BR117" s="28" t="n">
        <v>0.66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</row>
    <row r="118" ht="36" customHeight="1">
      <c r="A118" s="24" t="inlineStr">
        <is>
          <t>dccae496dc9d4020</t>
        </is>
      </c>
      <c r="B118" s="24" t="inlineStr">
        <is>
          <t>2026-08-01T20:15:41.530944Z</t>
        </is>
      </c>
      <c r="C118" s="24" t="inlineStr">
        <is>
          <t>2026-08-01T23:15Z</t>
        </is>
      </c>
      <c r="D118" s="24" t="inlineStr">
        <is>
          <t>401816354</t>
        </is>
      </c>
      <c r="E118" s="24" t="inlineStr">
        <is>
          <t>MLB</t>
        </is>
      </c>
      <c r="F118" s="24" t="inlineStr">
        <is>
          <t>New York Yankees</t>
        </is>
      </c>
      <c r="G118" s="24" t="inlineStr">
        <is>
          <t>Chicago Cubs</t>
        </is>
      </c>
      <c r="H118" s="24" t="inlineStr">
        <is>
          <t>total</t>
        </is>
      </c>
      <c r="I118" s="24" t="inlineStr">
        <is>
          <t>over</t>
        </is>
      </c>
      <c r="J118" s="25" t="n">
        <v>6.5</v>
      </c>
      <c r="K118" s="24" t="inlineStr">
        <is>
          <t>polymarket_us</t>
        </is>
      </c>
      <c r="L118" s="26" t="n">
        <v>113</v>
      </c>
      <c r="M118" s="27" t="n">
        <v>2.13</v>
      </c>
      <c r="N118" s="28" t="n">
        <v>0.469484</v>
      </c>
      <c r="O118" s="28" t="n">
        <v>0.592316</v>
      </c>
      <c r="P118" s="28" t="n">
        <v>0.042131</v>
      </c>
      <c r="Q118" s="28" t="n">
        <v>0.122832</v>
      </c>
      <c r="R118" s="26" t="n">
        <v>86</v>
      </c>
      <c r="S118" s="29" t="n">
        <v>1.25</v>
      </c>
      <c r="T118" s="24" t="inlineStr">
        <is>
          <t>measured-edge-totals-v2</t>
        </is>
      </c>
      <c r="U118" s="24" t="inlineStr">
        <is>
          <t>settled</t>
        </is>
      </c>
      <c r="V118" s="24" t="inlineStr">
        <is>
          <t>win</t>
        </is>
      </c>
      <c r="W118" s="26" t="n">
        <v>2</v>
      </c>
      <c r="X118" s="26" t="n">
        <v>5</v>
      </c>
      <c r="Y118" s="25" t="n">
        <v>6.5</v>
      </c>
      <c r="Z118" s="26" t="n">
        <v>113</v>
      </c>
      <c r="AA118" s="28" t="n">
        <v>0.47</v>
      </c>
      <c r="AB118" s="28" t="n">
        <v>0.000516</v>
      </c>
      <c r="AC118" s="30" t="n">
        <v>1.4125</v>
      </c>
      <c r="AD118" s="24" t="inlineStr">
        <is>
          <t>2026-08-02T03:26:03.339275Z</t>
        </is>
      </c>
      <c r="AE118" s="31" t="inlineStr">
        <is>
          <t>Measured Edge Totals: Trend Engine projected 4.74-4.76; raw selected-side p=0.7469, calibrated p=0.5923.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mlb-nyy</t>
        </is>
      </c>
      <c r="AQ118" s="24" t="inlineStr">
        <is>
          <t>New York Yankees</t>
        </is>
      </c>
      <c r="AR118" s="24" t="inlineStr">
        <is>
          <t>New York Yankees</t>
        </is>
      </c>
      <c r="AS118" s="24" t="inlineStr">
        <is>
          <t>mlb-chc</t>
        </is>
      </c>
      <c r="AT118" s="24" t="inlineStr">
        <is>
          <t>Chicago Cubs</t>
        </is>
      </c>
      <c r="AU118" s="24" t="inlineStr">
        <is>
          <t>Chicago Cubs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433578016242b27f9c1c7132cc6b5a2bcc7dd1b0234590c12a944455a88e71bd</t>
        </is>
      </c>
      <c r="BB118" s="24" t="inlineStr">
        <is>
          <t>flat_probability_shrinkage_toward_half</t>
        </is>
      </c>
      <c r="BC118" s="24" t="inlineStr">
        <is>
          <t>measured-edge-totals-v2</t>
        </is>
      </c>
      <c r="BD118" s="24" t="inlineStr">
        <is>
          <t>433578016242b27f9c1c7132cc6b5a2bcc7dd1b0234590c12a944455a88e71bd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2026-08-01T20:15:41.530944Z</t>
        </is>
      </c>
      <c r="BI118" s="24" t="inlineStr">
        <is>
          <t>["same_event","same_team_same_day","same_league_same_day"]</t>
        </is>
      </c>
      <c r="BJ118" s="25" t="n">
        <v>6.5</v>
      </c>
      <c r="BK118" s="26" t="n">
        <v>113</v>
      </c>
      <c r="BL118" s="27" t="n">
        <v>2.13</v>
      </c>
      <c r="BM118" s="28" t="n">
        <v>0.469484</v>
      </c>
      <c r="BN118" s="28" t="n">
        <v>0.467662</v>
      </c>
      <c r="BO118" s="28" t="n"/>
      <c r="BP118" s="25" t="n"/>
      <c r="BQ118" s="27" t="n">
        <v>2.13</v>
      </c>
      <c r="BR118" s="28" t="n">
        <v>0.47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</row>
    <row r="119" ht="36" customHeight="1">
      <c r="A119" s="24" t="inlineStr">
        <is>
          <t>3b5841d83fef493f</t>
        </is>
      </c>
      <c r="B119" s="24" t="inlineStr">
        <is>
          <t>2026-08-01T23:52:21.502342Z</t>
        </is>
      </c>
      <c r="C119" s="24" t="inlineStr">
        <is>
          <t>2026-08-01T20:10:00-0400</t>
        </is>
      </c>
      <c r="D119" s="24" t="inlineStr">
        <is>
          <t>401816356</t>
        </is>
      </c>
      <c r="E119" s="24" t="inlineStr">
        <is>
          <t>MLB</t>
        </is>
      </c>
      <c r="F119" s="24" t="inlineStr">
        <is>
          <t>Kansas City Royals</t>
        </is>
      </c>
      <c r="G119" s="24" t="inlineStr">
        <is>
          <t>Colorado Rockies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115</v>
      </c>
      <c r="M119" s="27" t="n">
        <v>2.15</v>
      </c>
      <c r="N119" s="28" t="n">
        <v>0.465116</v>
      </c>
      <c r="O119" s="28" t="n">
        <v>0.59943</v>
      </c>
      <c r="P119" s="28" t="n"/>
      <c r="Q119" s="28" t="n">
        <v>0.134314</v>
      </c>
      <c r="R119" s="26" t="n">
        <v>88</v>
      </c>
      <c r="S119" s="29" t="n">
        <v>1.25</v>
      </c>
      <c r="T119" s="24" t="inlineStr">
        <is>
          <t>mlb-elo-trend-lr-v7</t>
        </is>
      </c>
      <c r="U119" s="24" t="inlineStr">
        <is>
          <t>settled</t>
        </is>
      </c>
      <c r="V119" s="24" t="inlineStr">
        <is>
          <t>loss</t>
        </is>
      </c>
      <c r="W119" s="26" t="n">
        <v>6</v>
      </c>
      <c r="X119" s="26" t="n">
        <v>12</v>
      </c>
      <c r="Y119" s="25" t="n"/>
      <c r="Z119" s="26" t="n">
        <v>115</v>
      </c>
      <c r="AA119" s="28" t="n">
        <v>0.465</v>
      </c>
      <c r="AB119" s="28" t="n">
        <v>-0.000116</v>
      </c>
      <c r="AC119" s="30" t="n">
        <v>-1.25</v>
      </c>
      <c r="AD119" s="24" t="inlineStr">
        <is>
          <t>2026-08-02T03:26:03.879357Z</t>
        </is>
      </c>
      <c r="AE119" s="31" t="inlineStr">
        <is>
          <t>Learned LR call at threshold 0.6242; executable ask 0.4650 (aec-mlb-kc-col-2026-08-01); model edge vs ask +0.1344.</t>
        </is>
      </c>
      <c r="AF119" s="31" t="inlineStr">
        <is>
          <t>Learned model; shadow-qualified via operator override.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mlb-kc</t>
        </is>
      </c>
      <c r="AQ119" s="24" t="inlineStr">
        <is>
          <t>Kansas City Royals</t>
        </is>
      </c>
      <c r="AR119" s="24" t="inlineStr">
        <is>
          <t>Kansas City Royals</t>
        </is>
      </c>
      <c r="AS119" s="24" t="inlineStr">
        <is>
          <t>mlb-col</t>
        </is>
      </c>
      <c r="AT119" s="24" t="inlineStr">
        <is>
          <t>Colorado Rockies</t>
        </is>
      </c>
      <c r="AU119" s="24" t="inlineStr">
        <is>
          <t>Colorado Rockies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464eef695bfbbdaa819ec6f5e4c5bd1068ed20b92915fb2677220ae91e20d8b6</t>
        </is>
      </c>
      <c r="BB119" s="24" t="inlineStr">
        <is>
          <t>learned_lr</t>
        </is>
      </c>
      <c r="BC119" s="24" t="inlineStr">
        <is>
          <t>mlb-elo-trend-lr-v7</t>
        </is>
      </c>
      <c r="BD119" s="24" t="inlineStr">
        <is>
          <t>464eef695bfbbdaa819ec6f5e4c5bd1068ed20b92915fb2677220ae91e20d8b6</t>
        </is>
      </c>
      <c r="BE119" s="24" t="inlineStr">
        <is>
          <t>f816e731583b605d</t>
        </is>
      </c>
      <c r="BF119" s="24" t="inlineStr">
        <is>
          <t>1</t>
        </is>
      </c>
      <c r="BG119" s="24" t="inlineStr">
        <is>
          <t>mlb-elo-trend-lr-v7</t>
        </is>
      </c>
      <c r="BH119" s="24" t="inlineStr">
        <is>
          <t>2026-08-01T23:51:47.419062Z</t>
        </is>
      </c>
      <c r="BI119" s="24" t="inlineStr">
        <is>
          <t>["same_event","same_team_same_day","same_league_same_day"]</t>
        </is>
      </c>
      <c r="BJ119" s="25" t="n"/>
      <c r="BK119" s="26" t="n">
        <v>115</v>
      </c>
      <c r="BL119" s="27" t="n">
        <v>2.15</v>
      </c>
      <c r="BM119" s="28" t="n">
        <v>0.465116</v>
      </c>
      <c r="BN119" s="28" t="n">
        <v>0.462687</v>
      </c>
      <c r="BO119" s="28" t="n"/>
      <c r="BP119" s="25" t="n"/>
      <c r="BQ119" s="27" t="n">
        <v>2.15</v>
      </c>
      <c r="BR119" s="28" t="n">
        <v>0.465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inlineStr">
        <is>
          <t>0.4336227344</t>
        </is>
      </c>
      <c r="CD119" s="24" t="inlineStr">
        <is>
          <t>0.282629</t>
        </is>
      </c>
      <c r="CE119" s="24" t="inlineStr">
        <is>
          <t>1.193</t>
        </is>
      </c>
      <c r="CF119" s="24" t="inlineStr">
        <is>
          <t>1.0257</t>
        </is>
      </c>
      <c r="CG119" s="24" t="inlineStr">
        <is>
          <t>2.2</t>
        </is>
      </c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</row>
    <row r="120" ht="36" customHeight="1">
      <c r="A120" s="24" t="inlineStr">
        <is>
          <t>49b9445418b14f77</t>
        </is>
      </c>
      <c r="B120" s="24" t="inlineStr">
        <is>
          <t>2026-08-01T23:52:21.502342Z</t>
        </is>
      </c>
      <c r="C120" s="24" t="inlineStr">
        <is>
          <t>2026-08-01T20:40:00-0400</t>
        </is>
      </c>
      <c r="D120" s="24" t="inlineStr">
        <is>
          <t>401816361</t>
        </is>
      </c>
      <c r="E120" s="24" t="inlineStr">
        <is>
          <t>MLB</t>
        </is>
      </c>
      <c r="F120" s="24" t="inlineStr">
        <is>
          <t>San Francisco Giants</t>
        </is>
      </c>
      <c r="G120" s="24" t="inlineStr">
        <is>
          <t>San Diego Padres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-141</v>
      </c>
      <c r="M120" s="27" t="n">
        <v>1.70922</v>
      </c>
      <c r="N120" s="28" t="n">
        <v>0.585062</v>
      </c>
      <c r="O120" s="28" t="n">
        <v>0.586302</v>
      </c>
      <c r="P120" s="28" t="n"/>
      <c r="Q120" s="28" t="n">
        <v>0.00124</v>
      </c>
      <c r="R120" s="26" t="n">
        <v>22</v>
      </c>
      <c r="S120" s="29" t="n">
        <v>1.25</v>
      </c>
      <c r="T120" s="24" t="inlineStr">
        <is>
          <t>mlb-elo-trend-lr-v7</t>
        </is>
      </c>
      <c r="U120" s="24" t="inlineStr">
        <is>
          <t>settled</t>
        </is>
      </c>
      <c r="V120" s="24" t="inlineStr">
        <is>
          <t>win</t>
        </is>
      </c>
      <c r="W120" s="26" t="n">
        <v>5</v>
      </c>
      <c r="X120" s="26" t="n">
        <v>6</v>
      </c>
      <c r="Y120" s="25" t="n"/>
      <c r="Z120" s="26" t="n">
        <v>-141</v>
      </c>
      <c r="AA120" s="28" t="n">
        <v>0.585</v>
      </c>
      <c r="AB120" s="28" t="n">
        <v>-6.2e-05</v>
      </c>
      <c r="AC120" s="30" t="n">
        <v>0.8865</v>
      </c>
      <c r="AD120" s="24" t="inlineStr">
        <is>
          <t>2026-08-02T04:26:12.354214Z</t>
        </is>
      </c>
      <c r="AE120" s="31" t="inlineStr">
        <is>
          <t>Learned LR call at threshold 0.6242; executable ask 0.5850 (aec-mlb-sf-sd-2026-08-01); model edge vs ask +0.0013.</t>
        </is>
      </c>
      <c r="AF120" s="31" t="inlineStr">
        <is>
          <t>Learned model; shadow-qualified via operator override.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mlb-sf</t>
        </is>
      </c>
      <c r="AQ120" s="24" t="inlineStr">
        <is>
          <t>San Francisco Giants</t>
        </is>
      </c>
      <c r="AR120" s="24" t="inlineStr">
        <is>
          <t>San Francisco Giants</t>
        </is>
      </c>
      <c r="AS120" s="24" t="inlineStr">
        <is>
          <t>mlb-sd</t>
        </is>
      </c>
      <c r="AT120" s="24" t="inlineStr">
        <is>
          <t>San Diego Padres</t>
        </is>
      </c>
      <c r="AU120" s="24" t="inlineStr">
        <is>
          <t>San Diego Padres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464eef695bfbbdaa819ec6f5e4c5bd1068ed20b92915fb2677220ae91e20d8b6</t>
        </is>
      </c>
      <c r="BB120" s="24" t="inlineStr">
        <is>
          <t>learned_lr</t>
        </is>
      </c>
      <c r="BC120" s="24" t="inlineStr">
        <is>
          <t>mlb-elo-trend-lr-v7</t>
        </is>
      </c>
      <c r="BD120" s="24" t="inlineStr">
        <is>
          <t>464eef695bfbbdaa819ec6f5e4c5bd1068ed20b92915fb2677220ae91e20d8b6</t>
        </is>
      </c>
      <c r="BE120" s="24" t="inlineStr">
        <is>
          <t>3254957dc6cbdcf2</t>
        </is>
      </c>
      <c r="BF120" s="24" t="inlineStr">
        <is>
          <t>1</t>
        </is>
      </c>
      <c r="BG120" s="24" t="inlineStr">
        <is>
          <t>mlb-elo-trend-lr-v7</t>
        </is>
      </c>
      <c r="BH120" s="24" t="inlineStr">
        <is>
          <t>2026-08-01T23:51:48.315062Z</t>
        </is>
      </c>
      <c r="BI120" s="24" t="inlineStr">
        <is>
          <t>["same_event","same_team_same_day","same_league_same_day"]</t>
        </is>
      </c>
      <c r="BJ120" s="25" t="n"/>
      <c r="BK120" s="26" t="n">
        <v>-141</v>
      </c>
      <c r="BL120" s="27" t="n">
        <v>1.70922</v>
      </c>
      <c r="BM120" s="28" t="n">
        <v>0.585062</v>
      </c>
      <c r="BN120" s="28" t="n">
        <v>0.58209</v>
      </c>
      <c r="BO120" s="28" t="n"/>
      <c r="BP120" s="25" t="n"/>
      <c r="BQ120" s="27" t="n">
        <v>1.70922</v>
      </c>
      <c r="BR120" s="28" t="n">
        <v>0.585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inlineStr">
        <is>
          <t>0.5921899564</t>
        </is>
      </c>
      <c r="CD120" s="24" t="inlineStr">
        <is>
          <t>-0.027918</t>
        </is>
      </c>
      <c r="CE120" s="24" t="inlineStr">
        <is>
          <t>0.945</t>
        </is>
      </c>
      <c r="CF120" s="24" t="inlineStr">
        <is>
          <t>1.0097</t>
        </is>
      </c>
      <c r="CG120" s="24" t="inlineStr">
        <is>
          <t>-1.8</t>
        </is>
      </c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</row>
    <row r="121" ht="36" customHeight="1">
      <c r="A121" s="24" t="inlineStr">
        <is>
          <t>dac17ac452fb4da5</t>
        </is>
      </c>
      <c r="B121" s="24" t="inlineStr">
        <is>
          <t>2026-08-01T23:52:21.502342Z</t>
        </is>
      </c>
      <c r="C121" s="24" t="inlineStr">
        <is>
          <t>2026-08-01T21:10:00-0400</t>
        </is>
      </c>
      <c r="D121" s="24" t="inlineStr">
        <is>
          <t>401816357</t>
        </is>
      </c>
      <c r="E121" s="24" t="inlineStr">
        <is>
          <t>MLB</t>
        </is>
      </c>
      <c r="F121" s="24" t="inlineStr">
        <is>
          <t>Boston Red Sox</t>
        </is>
      </c>
      <c r="G121" s="24" t="inlineStr">
        <is>
          <t>Los Angeles Dodgers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-167</v>
      </c>
      <c r="M121" s="27" t="n">
        <v>1.598802</v>
      </c>
      <c r="N121" s="28" t="n">
        <v>0.625468</v>
      </c>
      <c r="O121" s="28" t="n">
        <v>0.561639</v>
      </c>
      <c r="P121" s="28" t="n"/>
      <c r="Q121" s="28" t="n">
        <v>-0.063829</v>
      </c>
      <c r="R121" s="26" t="n">
        <v>0</v>
      </c>
      <c r="S121" s="29" t="n">
        <v>1</v>
      </c>
      <c r="T121" s="24" t="inlineStr">
        <is>
          <t>mlb-elo-trend-lr-v7</t>
        </is>
      </c>
      <c r="U121" s="24" t="inlineStr">
        <is>
          <t>settled</t>
        </is>
      </c>
      <c r="V121" s="24" t="inlineStr">
        <is>
          <t>loss</t>
        </is>
      </c>
      <c r="W121" s="26" t="n">
        <v>3</v>
      </c>
      <c r="X121" s="26" t="n">
        <v>2</v>
      </c>
      <c r="Y121" s="25" t="n"/>
      <c r="Z121" s="26" t="n">
        <v>-167</v>
      </c>
      <c r="AA121" s="28" t="n">
        <v>0.625</v>
      </c>
      <c r="AB121" s="28" t="n">
        <v>-0.000468</v>
      </c>
      <c r="AC121" s="30" t="n">
        <v>-1</v>
      </c>
      <c r="AD121" s="24" t="inlineStr">
        <is>
          <t>2026-08-02T03:26:04.410132Z</t>
        </is>
      </c>
      <c r="AE121" s="31" t="inlineStr">
        <is>
          <t>Learned LR call at threshold 0.6242; executable ask 0.6250 (aec-mlb-bos-lad-2026-08-01); model edge vs ask -0.0634.</t>
        </is>
      </c>
      <c r="AF121" s="31" t="inlineStr">
        <is>
          <t>Learned model; shadow-qualified via operator override.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mlb-bos</t>
        </is>
      </c>
      <c r="AQ121" s="24" t="inlineStr">
        <is>
          <t>Boston Red Sox</t>
        </is>
      </c>
      <c r="AR121" s="24" t="inlineStr">
        <is>
          <t>Boston Red Sox</t>
        </is>
      </c>
      <c r="AS121" s="24" t="inlineStr">
        <is>
          <t>mlb-lad</t>
        </is>
      </c>
      <c r="AT121" s="24" t="inlineStr">
        <is>
          <t>Los Angeles Dodgers</t>
        </is>
      </c>
      <c r="AU121" s="24" t="inlineStr">
        <is>
          <t>Los Angeles Dodgers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464eef695bfbbdaa819ec6f5e4c5bd1068ed20b92915fb2677220ae91e20d8b6</t>
        </is>
      </c>
      <c r="BB121" s="24" t="inlineStr">
        <is>
          <t>learned_lr</t>
        </is>
      </c>
      <c r="BC121" s="24" t="inlineStr">
        <is>
          <t>mlb-elo-trend-lr-v7</t>
        </is>
      </c>
      <c r="BD121" s="24" t="inlineStr">
        <is>
          <t>464eef695bfbbdaa819ec6f5e4c5bd1068ed20b92915fb2677220ae91e20d8b6</t>
        </is>
      </c>
      <c r="BE121" s="24" t="inlineStr">
        <is>
          <t>066806f0bd99b27f</t>
        </is>
      </c>
      <c r="BF121" s="24" t="inlineStr">
        <is>
          <t>1</t>
        </is>
      </c>
      <c r="BG121" s="24" t="inlineStr">
        <is>
          <t>mlb-elo-trend-lr-v7</t>
        </is>
      </c>
      <c r="BH121" s="24" t="inlineStr">
        <is>
          <t>2026-08-01T23:51:49.237000Z</t>
        </is>
      </c>
      <c r="BI121" s="24" t="inlineStr">
        <is>
          <t>["same_event","same_team_same_day","same_league_same_day"]</t>
        </is>
      </c>
      <c r="BJ121" s="25" t="n"/>
      <c r="BK121" s="26" t="n">
        <v>-167</v>
      </c>
      <c r="BL121" s="27" t="n">
        <v>1.598802</v>
      </c>
      <c r="BM121" s="28" t="n">
        <v>0.625468</v>
      </c>
      <c r="BN121" s="28" t="n">
        <v>0.621891</v>
      </c>
      <c r="BO121" s="28" t="n"/>
      <c r="BP121" s="25" t="n"/>
      <c r="BQ121" s="27" t="n">
        <v>1.598802</v>
      </c>
      <c r="BR121" s="28" t="n">
        <v>0.625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inlineStr">
        <is>
          <t>0.5509882979</t>
        </is>
      </c>
      <c r="CD121" s="24" t="inlineStr">
        <is>
          <t>-0.724816</t>
        </is>
      </c>
      <c r="CE121" s="24" t="inlineStr">
        <is>
          <t>1.026</t>
        </is>
      </c>
      <c r="CF121" s="24" t="inlineStr">
        <is>
          <t>1.0134</t>
        </is>
      </c>
      <c r="CG121" s="24" t="inlineStr">
        <is>
          <t>2.4</t>
        </is>
      </c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</row>
    <row r="122" ht="36" customHeight="1">
      <c r="A122" s="24" t="inlineStr">
        <is>
          <t>34961301f0b6462c</t>
        </is>
      </c>
      <c r="B122" s="24" t="inlineStr">
        <is>
          <t>2026-08-01T23:52:21.502342Z</t>
        </is>
      </c>
      <c r="C122" s="24" t="inlineStr">
        <is>
          <t>2026-08-01T21:38:00-0400</t>
        </is>
      </c>
      <c r="D122" s="24" t="inlineStr">
        <is>
          <t>401816359</t>
        </is>
      </c>
      <c r="E122" s="24" t="inlineStr">
        <is>
          <t>MLB</t>
        </is>
      </c>
      <c r="F122" s="24" t="inlineStr">
        <is>
          <t>Milwaukee Brewers</t>
        </is>
      </c>
      <c r="G122" s="24" t="inlineStr">
        <is>
          <t>Los Angeles Angels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-138</v>
      </c>
      <c r="M122" s="27" t="n">
        <v>1.724638</v>
      </c>
      <c r="N122" s="28" t="n">
        <v>0.579832</v>
      </c>
      <c r="O122" s="28" t="n">
        <v>0.623445</v>
      </c>
      <c r="P122" s="28" t="n"/>
      <c r="Q122" s="28" t="n">
        <v>0.043613</v>
      </c>
      <c r="R122" s="26" t="n">
        <v>43</v>
      </c>
      <c r="S122" s="29" t="n">
        <v>1.5</v>
      </c>
      <c r="T122" s="24" t="inlineStr">
        <is>
          <t>mlb-elo-trend-lr-v7</t>
        </is>
      </c>
      <c r="U122" s="24" t="inlineStr">
        <is>
          <t>settled</t>
        </is>
      </c>
      <c r="V122" s="24" t="inlineStr">
        <is>
          <t>win</t>
        </is>
      </c>
      <c r="W122" s="26" t="n">
        <v>3</v>
      </c>
      <c r="X122" s="26" t="n">
        <v>1</v>
      </c>
      <c r="Y122" s="25" t="n"/>
      <c r="Z122" s="26" t="n">
        <v>-138</v>
      </c>
      <c r="AA122" s="28" t="n">
        <v>0.58</v>
      </c>
      <c r="AB122" s="28" t="n">
        <v>0.000168</v>
      </c>
      <c r="AC122" s="30" t="n">
        <v>1.087</v>
      </c>
      <c r="AD122" s="24" t="inlineStr">
        <is>
          <t>2026-08-02T04:26:13.049162Z</t>
        </is>
      </c>
      <c r="AE122" s="31" t="inlineStr">
        <is>
          <t>Learned LR call at threshold 0.6242; executable ask 0.5800 (aec-mlb-mil-laa-2026-08-01); model edge vs ask +0.0434.</t>
        </is>
      </c>
      <c r="AF122" s="31" t="inlineStr">
        <is>
          <t>Learned model; shadow-qualified via operator override.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mlb-mil</t>
        </is>
      </c>
      <c r="AQ122" s="24" t="inlineStr">
        <is>
          <t>Milwaukee Brewers</t>
        </is>
      </c>
      <c r="AR122" s="24" t="inlineStr">
        <is>
          <t>Milwaukee Brewers</t>
        </is>
      </c>
      <c r="AS122" s="24" t="inlineStr">
        <is>
          <t>mlb-laa</t>
        </is>
      </c>
      <c r="AT122" s="24" t="inlineStr">
        <is>
          <t>Los Angeles Angels</t>
        </is>
      </c>
      <c r="AU122" s="24" t="inlineStr">
        <is>
          <t>Los Angeles Angels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464eef695bfbbdaa819ec6f5e4c5bd1068ed20b92915fb2677220ae91e20d8b6</t>
        </is>
      </c>
      <c r="BB122" s="24" t="inlineStr">
        <is>
          <t>learned_lr</t>
        </is>
      </c>
      <c r="BC122" s="24" t="inlineStr">
        <is>
          <t>mlb-elo-trend-lr-v7</t>
        </is>
      </c>
      <c r="BD122" s="24" t="inlineStr">
        <is>
          <t>464eef695bfbbdaa819ec6f5e4c5bd1068ed20b92915fb2677220ae91e20d8b6</t>
        </is>
      </c>
      <c r="BE122" s="24" t="inlineStr">
        <is>
          <t>bf9d0c69dcbae233</t>
        </is>
      </c>
      <c r="BF122" s="24" t="inlineStr">
        <is>
          <t>1</t>
        </is>
      </c>
      <c r="BG122" s="24" t="inlineStr">
        <is>
          <t>mlb-elo-trend-lr-v7</t>
        </is>
      </c>
      <c r="BH122" s="24" t="inlineStr">
        <is>
          <t>2026-08-01T23:51:49.966869Z</t>
        </is>
      </c>
      <c r="BI122" s="24" t="inlineStr">
        <is>
          <t>["same_event","same_team_same_day","same_league_same_day"]</t>
        </is>
      </c>
      <c r="BJ122" s="25" t="n"/>
      <c r="BK122" s="26" t="n">
        <v>-138</v>
      </c>
      <c r="BL122" s="27" t="n">
        <v>1.724638</v>
      </c>
      <c r="BM122" s="28" t="n">
        <v>0.579832</v>
      </c>
      <c r="BN122" s="28" t="n">
        <v>0.577114</v>
      </c>
      <c r="BO122" s="28" t="n"/>
      <c r="BP122" s="25" t="n"/>
      <c r="BQ122" s="27" t="n">
        <v>1.724638</v>
      </c>
      <c r="BR122" s="28" t="n">
        <v>0.58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inlineStr">
        <is>
          <t>0.3303372609</t>
        </is>
      </c>
      <c r="CD122" s="24" t="inlineStr">
        <is>
          <t>-0.606627</t>
        </is>
      </c>
      <c r="CE122" s="24" t="inlineStr">
        <is>
          <t>1.01</t>
        </is>
      </c>
      <c r="CF122" s="24" t="inlineStr">
        <is>
          <t>1.0096</t>
        </is>
      </c>
      <c r="CG122" s="24" t="inlineStr">
        <is>
          <t>0</t>
        </is>
      </c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</row>
    <row r="123" ht="36" customHeight="1">
      <c r="A123" s="24" t="inlineStr">
        <is>
          <t>906e1e669bac4779</t>
        </is>
      </c>
      <c r="B123" s="24" t="inlineStr">
        <is>
          <t>2026-08-01T23:52:21.502342Z</t>
        </is>
      </c>
      <c r="C123" s="24" t="inlineStr">
        <is>
          <t>2026-08-01T21:40:00-0400</t>
        </is>
      </c>
      <c r="D123" s="24" t="inlineStr">
        <is>
          <t>401816358</t>
        </is>
      </c>
      <c r="E123" s="24" t="inlineStr">
        <is>
          <t>MLB</t>
        </is>
      </c>
      <c r="F123" s="24" t="inlineStr">
        <is>
          <t>Detroit Tigers</t>
        </is>
      </c>
      <c r="G123" s="24" t="inlineStr">
        <is>
          <t>Athletics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-163</v>
      </c>
      <c r="M123" s="27" t="n">
        <v>1.613497</v>
      </c>
      <c r="N123" s="28" t="n">
        <v>0.619772</v>
      </c>
      <c r="O123" s="28" t="n">
        <v>0.55925</v>
      </c>
      <c r="P123" s="28" t="n"/>
      <c r="Q123" s="28" t="n">
        <v>-0.060522</v>
      </c>
      <c r="R123" s="26" t="n">
        <v>0</v>
      </c>
      <c r="S123" s="29" t="n">
        <v>1</v>
      </c>
      <c r="T123" s="24" t="inlineStr">
        <is>
          <t>mlb-elo-trend-lr-v7</t>
        </is>
      </c>
      <c r="U123" s="24" t="inlineStr">
        <is>
          <t>settled</t>
        </is>
      </c>
      <c r="V123" s="24" t="inlineStr">
        <is>
          <t>win</t>
        </is>
      </c>
      <c r="W123" s="26" t="n">
        <v>8</v>
      </c>
      <c r="X123" s="26" t="n">
        <v>6</v>
      </c>
      <c r="Y123" s="25" t="n"/>
      <c r="Z123" s="26" t="n">
        <v>-163</v>
      </c>
      <c r="AA123" s="28" t="n">
        <v>0.62</v>
      </c>
      <c r="AB123" s="28" t="n">
        <v>0.000228</v>
      </c>
      <c r="AC123" s="30" t="n">
        <v>0.6135</v>
      </c>
      <c r="AD123" s="24" t="inlineStr">
        <is>
          <t>2026-08-02T05:39:16.890092Z</t>
        </is>
      </c>
      <c r="AE123" s="31" t="inlineStr">
        <is>
          <t>Learned LR call at threshold 0.6242; executable ask 0.6200 (aec-mlb-det-ath-2026-08-01); model edge vs ask -0.0607.</t>
        </is>
      </c>
      <c r="AF123" s="31" t="inlineStr">
        <is>
          <t>Learned model; shadow-qualified via operator override.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mlb-det</t>
        </is>
      </c>
      <c r="AQ123" s="24" t="inlineStr">
        <is>
          <t>Detroit Tigers</t>
        </is>
      </c>
      <c r="AR123" s="24" t="inlineStr">
        <is>
          <t>Detroit Tigers</t>
        </is>
      </c>
      <c r="AS123" s="24" t="inlineStr">
        <is>
          <t>mlb-ath</t>
        </is>
      </c>
      <c r="AT123" s="24" t="inlineStr">
        <is>
          <t>Athletics</t>
        </is>
      </c>
      <c r="AU123" s="24" t="inlineStr">
        <is>
          <t>Athletics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464eef695bfbbdaa819ec6f5e4c5bd1068ed20b92915fb2677220ae91e20d8b6</t>
        </is>
      </c>
      <c r="BB123" s="24" t="inlineStr">
        <is>
          <t>learned_lr</t>
        </is>
      </c>
      <c r="BC123" s="24" t="inlineStr">
        <is>
          <t>mlb-elo-trend-lr-v7</t>
        </is>
      </c>
      <c r="BD123" s="24" t="inlineStr">
        <is>
          <t>464eef695bfbbdaa819ec6f5e4c5bd1068ed20b92915fb2677220ae91e20d8b6</t>
        </is>
      </c>
      <c r="BE123" s="24" t="inlineStr">
        <is>
          <t>c336d1fbc170b694</t>
        </is>
      </c>
      <c r="BF123" s="24" t="inlineStr">
        <is>
          <t>1</t>
        </is>
      </c>
      <c r="BG123" s="24" t="inlineStr">
        <is>
          <t>mlb-elo-trend-lr-v7</t>
        </is>
      </c>
      <c r="BH123" s="24" t="inlineStr">
        <is>
          <t>2026-08-01T23:51:51.085087Z</t>
        </is>
      </c>
      <c r="BI123" s="24" t="inlineStr">
        <is>
          <t>["same_event","same_team_same_day","same_league_same_day"]</t>
        </is>
      </c>
      <c r="BJ123" s="25" t="n"/>
      <c r="BK123" s="26" t="n">
        <v>-163</v>
      </c>
      <c r="BL123" s="27" t="n">
        <v>1.613497</v>
      </c>
      <c r="BM123" s="28" t="n">
        <v>0.619772</v>
      </c>
      <c r="BN123" s="28" t="n">
        <v>0.616915</v>
      </c>
      <c r="BO123" s="28" t="n"/>
      <c r="BP123" s="25" t="n"/>
      <c r="BQ123" s="27" t="n">
        <v>1.613497</v>
      </c>
      <c r="BR123" s="28" t="n">
        <v>0.62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inlineStr">
        <is>
          <t>0.4182489247</t>
        </is>
      </c>
      <c r="CD123" s="24" t="inlineStr">
        <is>
          <t>-3.451557</t>
        </is>
      </c>
      <c r="CE123" s="24" t="inlineStr">
        <is>
          <t>1.153</t>
        </is>
      </c>
      <c r="CF123" s="24" t="inlineStr">
        <is>
          <t>1.0254</t>
        </is>
      </c>
      <c r="CG123" s="24" t="inlineStr">
        <is>
          <t>1</t>
        </is>
      </c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</row>
    <row r="124" ht="36" customHeight="1">
      <c r="A124" s="24" t="inlineStr">
        <is>
          <t>a8302dcd85cc4351</t>
        </is>
      </c>
      <c r="B124" s="24" t="inlineStr">
        <is>
          <t>2026-08-01T23:52:39.479166Z</t>
        </is>
      </c>
      <c r="C124" s="24" t="inlineStr">
        <is>
          <t>2026-08-02T00:10Z</t>
        </is>
      </c>
      <c r="D124" s="24" t="inlineStr">
        <is>
          <t>401816356</t>
        </is>
      </c>
      <c r="E124" s="24" t="inlineStr">
        <is>
          <t>MLB</t>
        </is>
      </c>
      <c r="F124" s="24" t="inlineStr">
        <is>
          <t>Kansas City Royals</t>
        </is>
      </c>
      <c r="G124" s="24" t="inlineStr">
        <is>
          <t>Colorado Rockies</t>
        </is>
      </c>
      <c r="H124" s="24" t="inlineStr">
        <is>
          <t>spread</t>
        </is>
      </c>
      <c r="I124" s="24" t="inlineStr">
        <is>
          <t>away</t>
        </is>
      </c>
      <c r="J124" s="25" t="n">
        <v>1.5</v>
      </c>
      <c r="K124" s="24" t="inlineStr">
        <is>
          <t>polymarket_us</t>
        </is>
      </c>
      <c r="L124" s="26" t="n">
        <v>-167</v>
      </c>
      <c r="M124" s="27" t="n">
        <v>1.598802</v>
      </c>
      <c r="N124" s="28" t="n">
        <v>0.625468</v>
      </c>
      <c r="O124" s="28" t="n">
        <v>0.608274</v>
      </c>
      <c r="P124" s="28" t="n">
        <v>0.042131</v>
      </c>
      <c r="Q124" s="28" t="n">
        <v>-0.017194</v>
      </c>
      <c r="R124" s="26" t="n">
        <v>16</v>
      </c>
      <c r="S124" s="29" t="n">
        <v>1.5</v>
      </c>
      <c r="T124" s="24" t="inlineStr">
        <is>
          <t>measured-edge-margin-v2</t>
        </is>
      </c>
      <c r="U124" s="24" t="inlineStr">
        <is>
          <t>settled</t>
        </is>
      </c>
      <c r="V124" s="24" t="inlineStr">
        <is>
          <t>loss</t>
        </is>
      </c>
      <c r="W124" s="26" t="n">
        <v>6</v>
      </c>
      <c r="X124" s="26" t="n">
        <v>12</v>
      </c>
      <c r="Y124" s="25" t="n">
        <v>1.5</v>
      </c>
      <c r="Z124" s="26" t="n">
        <v>-167</v>
      </c>
      <c r="AA124" s="28" t="n">
        <v>0.625</v>
      </c>
      <c r="AB124" s="28" t="n">
        <v>-0.000468</v>
      </c>
      <c r="AC124" s="30" t="n">
        <v>-1.5</v>
      </c>
      <c r="AD124" s="24" t="inlineStr">
        <is>
          <t>2026-08-02T03:26:04.987733Z</t>
        </is>
      </c>
      <c r="AE124" s="31" t="inlineStr">
        <is>
          <t>Measured Edge Margin: Trend Engine projected 5.10-5.03; raw selected-side p=0.6650, calibrated p=0.6083.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NO_CALL_MODEL_UNVALIDATED</t>
        </is>
      </c>
      <c r="AP124" s="24" t="inlineStr">
        <is>
          <t>mlb-kc</t>
        </is>
      </c>
      <c r="AQ124" s="24" t="inlineStr">
        <is>
          <t>Kansas City Royals</t>
        </is>
      </c>
      <c r="AR124" s="24" t="inlineStr">
        <is>
          <t>Kansas City Royals</t>
        </is>
      </c>
      <c r="AS124" s="24" t="inlineStr">
        <is>
          <t>mlb-col</t>
        </is>
      </c>
      <c r="AT124" s="24" t="inlineStr">
        <is>
          <t>Colorado Rockies</t>
        </is>
      </c>
      <c r="AU124" s="24" t="inlineStr">
        <is>
          <t>Colorado Rockies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8360b122264b796b0fb193095cfe4506c7e064e5f3f8c0a659aec41efd08dd25</t>
        </is>
      </c>
      <c r="BB124" s="24" t="inlineStr">
        <is>
          <t>flat_probability_shrinkage_toward_half</t>
        </is>
      </c>
      <c r="BC124" s="24" t="inlineStr">
        <is>
          <t>measured-edge-margin-v2</t>
        </is>
      </c>
      <c r="BD124" s="24" t="inlineStr">
        <is>
          <t>8360b122264b796b0fb193095cfe4506c7e064e5f3f8c0a659aec41efd08dd25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2026-08-01T23:52:39.479166Z</t>
        </is>
      </c>
      <c r="BI124" s="24" t="inlineStr">
        <is>
          <t>["same_event","same_team_same_day","same_league_same_day"]</t>
        </is>
      </c>
      <c r="BJ124" s="25" t="n">
        <v>1.5</v>
      </c>
      <c r="BK124" s="26" t="n">
        <v>-167</v>
      </c>
      <c r="BL124" s="27" t="n">
        <v>1.598802</v>
      </c>
      <c r="BM124" s="28" t="n">
        <v>0.625468</v>
      </c>
      <c r="BN124" s="28" t="n">
        <v>0.621891</v>
      </c>
      <c r="BO124" s="28" t="n"/>
      <c r="BP124" s="25" t="n"/>
      <c r="BQ124" s="27" t="n">
        <v>1.598802</v>
      </c>
      <c r="BR124" s="28" t="n">
        <v>0.625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</row>
    <row r="125" ht="36" customHeight="1">
      <c r="A125" s="24" t="inlineStr">
        <is>
          <t>0f21a302528244cc</t>
        </is>
      </c>
      <c r="B125" s="24" t="inlineStr">
        <is>
          <t>2026-08-01T23:52:39.479166Z</t>
        </is>
      </c>
      <c r="C125" s="24" t="inlineStr">
        <is>
          <t>2026-08-02T00:10Z</t>
        </is>
      </c>
      <c r="D125" s="24" t="inlineStr">
        <is>
          <t>401816356</t>
        </is>
      </c>
      <c r="E125" s="24" t="inlineStr">
        <is>
          <t>MLB</t>
        </is>
      </c>
      <c r="F125" s="24" t="inlineStr">
        <is>
          <t>Kansas City Royals</t>
        </is>
      </c>
      <c r="G125" s="24" t="inlineStr">
        <is>
          <t>Colorado Rockies</t>
        </is>
      </c>
      <c r="H125" s="24" t="inlineStr">
        <is>
          <t>total</t>
        </is>
      </c>
      <c r="I125" s="24" t="inlineStr">
        <is>
          <t>under</t>
        </is>
      </c>
      <c r="J125" s="25" t="n">
        <v>11.5</v>
      </c>
      <c r="K125" s="24" t="inlineStr">
        <is>
          <t>polymarket_us</t>
        </is>
      </c>
      <c r="L125" s="26" t="n">
        <v>100</v>
      </c>
      <c r="M125" s="27" t="n">
        <v>2</v>
      </c>
      <c r="N125" s="28" t="n">
        <v>0.5</v>
      </c>
      <c r="O125" s="28" t="n">
        <v>0.561409</v>
      </c>
      <c r="P125" s="28" t="n">
        <v>0.042131</v>
      </c>
      <c r="Q125" s="28" t="n">
        <v>0.061409</v>
      </c>
      <c r="R125" s="26" t="n">
        <v>55</v>
      </c>
      <c r="S125" s="29" t="n">
        <v>1.25</v>
      </c>
      <c r="T125" s="24" t="inlineStr">
        <is>
          <t>measured-edge-totals-v2</t>
        </is>
      </c>
      <c r="U125" s="24" t="inlineStr">
        <is>
          <t>settled</t>
        </is>
      </c>
      <c r="V125" s="24" t="inlineStr">
        <is>
          <t>loss</t>
        </is>
      </c>
      <c r="W125" s="26" t="n">
        <v>6</v>
      </c>
      <c r="X125" s="26" t="n">
        <v>12</v>
      </c>
      <c r="Y125" s="25" t="n">
        <v>11.5</v>
      </c>
      <c r="Z125" s="26" t="n">
        <v>100</v>
      </c>
      <c r="AA125" s="28" t="n">
        <v>0.5</v>
      </c>
      <c r="AB125" s="28" t="n">
        <v>0</v>
      </c>
      <c r="AC125" s="30" t="n">
        <v>-1.25</v>
      </c>
      <c r="AD125" s="24" t="inlineStr">
        <is>
          <t>2026-08-02T03:26:05.548958Z</t>
        </is>
      </c>
      <c r="AE125" s="31" t="inlineStr">
        <is>
          <t>Measured Edge Totals: Trend Engine projected 5.10-5.03; raw selected-side p=0.6564, calibrated p=0.5614.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NO_CALL_MODEL_UNVALIDATED</t>
        </is>
      </c>
      <c r="AP125" s="24" t="inlineStr">
        <is>
          <t>mlb-kc</t>
        </is>
      </c>
      <c r="AQ125" s="24" t="inlineStr">
        <is>
          <t>Kansas City Royals</t>
        </is>
      </c>
      <c r="AR125" s="24" t="inlineStr">
        <is>
          <t>Kansas City Royals</t>
        </is>
      </c>
      <c r="AS125" s="24" t="inlineStr">
        <is>
          <t>mlb-col</t>
        </is>
      </c>
      <c r="AT125" s="24" t="inlineStr">
        <is>
          <t>Colorado Rockies</t>
        </is>
      </c>
      <c r="AU125" s="24" t="inlineStr">
        <is>
          <t>Colorado Rockies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433578016242b27f9c1c7132cc6b5a2bcc7dd1b0234590c12a944455a88e71bd</t>
        </is>
      </c>
      <c r="BB125" s="24" t="inlineStr">
        <is>
          <t>flat_probability_shrinkage_toward_half</t>
        </is>
      </c>
      <c r="BC125" s="24" t="inlineStr">
        <is>
          <t>measured-edge-totals-v2</t>
        </is>
      </c>
      <c r="BD125" s="24" t="inlineStr">
        <is>
          <t>433578016242b27f9c1c7132cc6b5a2bcc7dd1b0234590c12a944455a88e71bd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2026-08-01T23:52:39.479166Z</t>
        </is>
      </c>
      <c r="BI125" s="24" t="inlineStr">
        <is>
          <t>["same_event","same_team_same_day","same_league_same_day"]</t>
        </is>
      </c>
      <c r="BJ125" s="25" t="n">
        <v>11.5</v>
      </c>
      <c r="BK125" s="26" t="n">
        <v>100</v>
      </c>
      <c r="BL125" s="27" t="n">
        <v>2</v>
      </c>
      <c r="BM125" s="28" t="n">
        <v>0.5</v>
      </c>
      <c r="BN125" s="28" t="n">
        <v>0.497512</v>
      </c>
      <c r="BO125" s="28" t="n"/>
      <c r="BP125" s="25" t="n"/>
      <c r="BQ125" s="27" t="n">
        <v>2</v>
      </c>
      <c r="BR125" s="28" t="n">
        <v>0.5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</row>
    <row r="126" ht="36" customHeight="1">
      <c r="A126" s="24" t="inlineStr">
        <is>
          <t>cd2d9862386a4efc</t>
        </is>
      </c>
      <c r="B126" s="24" t="inlineStr">
        <is>
          <t>2026-08-01T23:52:39.479166Z</t>
        </is>
      </c>
      <c r="C126" s="24" t="inlineStr">
        <is>
          <t>2026-08-02T00:40Z</t>
        </is>
      </c>
      <c r="D126" s="24" t="inlineStr">
        <is>
          <t>401816361</t>
        </is>
      </c>
      <c r="E126" s="24" t="inlineStr">
        <is>
          <t>MLB</t>
        </is>
      </c>
      <c r="F126" s="24" t="inlineStr">
        <is>
          <t>San Francisco Giants</t>
        </is>
      </c>
      <c r="G126" s="24" t="inlineStr">
        <is>
          <t>San Diego Padres</t>
        </is>
      </c>
      <c r="H126" s="24" t="inlineStr">
        <is>
          <t>spread</t>
        </is>
      </c>
      <c r="I126" s="24" t="inlineStr">
        <is>
          <t>away</t>
        </is>
      </c>
      <c r="J126" s="25" t="n">
        <v>1.5</v>
      </c>
      <c r="K126" s="24" t="inlineStr">
        <is>
          <t>polymarket_us</t>
        </is>
      </c>
      <c r="L126" s="26" t="n">
        <v>-153</v>
      </c>
      <c r="M126" s="27" t="n">
        <v>1.653595</v>
      </c>
      <c r="N126" s="28" t="n">
        <v>0.604743</v>
      </c>
      <c r="O126" s="28" t="n">
        <v>0.621429</v>
      </c>
      <c r="P126" s="28" t="n">
        <v>0.042131</v>
      </c>
      <c r="Q126" s="28" t="n">
        <v>0.016686</v>
      </c>
      <c r="R126" s="26" t="n">
        <v>33</v>
      </c>
      <c r="S126" s="29" t="n">
        <v>1.5</v>
      </c>
      <c r="T126" s="24" t="inlineStr">
        <is>
          <t>measured-edge-margin-v2</t>
        </is>
      </c>
      <c r="U126" s="24" t="inlineStr">
        <is>
          <t>settled</t>
        </is>
      </c>
      <c r="V126" s="24" t="inlineStr">
        <is>
          <t>win</t>
        </is>
      </c>
      <c r="W126" s="26" t="n">
        <v>5</v>
      </c>
      <c r="X126" s="26" t="n">
        <v>6</v>
      </c>
      <c r="Y126" s="25" t="n">
        <v>1.5</v>
      </c>
      <c r="Z126" s="26" t="n">
        <v>-153</v>
      </c>
      <c r="AA126" s="28" t="n">
        <v>0.605</v>
      </c>
      <c r="AB126" s="28" t="n">
        <v>0.000257</v>
      </c>
      <c r="AC126" s="30" t="n">
        <v>0.9804</v>
      </c>
      <c r="AD126" s="24" t="inlineStr">
        <is>
          <t>2026-08-02T04:26:13.568842Z</t>
        </is>
      </c>
      <c r="AE126" s="31" t="inlineStr">
        <is>
          <t>Measured Edge Margin: Trend Engine projected 4.97-4.72; raw selected-side p=0.6850, calibrated p=0.6214.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NO_CALL_MODEL_UNVALIDATED</t>
        </is>
      </c>
      <c r="AP126" s="24" t="inlineStr">
        <is>
          <t>mlb-sf</t>
        </is>
      </c>
      <c r="AQ126" s="24" t="inlineStr">
        <is>
          <t>San Francisco Giants</t>
        </is>
      </c>
      <c r="AR126" s="24" t="inlineStr">
        <is>
          <t>San Francisco Giants</t>
        </is>
      </c>
      <c r="AS126" s="24" t="inlineStr">
        <is>
          <t>mlb-sd</t>
        </is>
      </c>
      <c r="AT126" s="24" t="inlineStr">
        <is>
          <t>San Diego Padres</t>
        </is>
      </c>
      <c r="AU126" s="24" t="inlineStr">
        <is>
          <t>San Diego Padres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8360b122264b796b0fb193095cfe4506c7e064e5f3f8c0a659aec41efd08dd25</t>
        </is>
      </c>
      <c r="BB126" s="24" t="inlineStr">
        <is>
          <t>flat_probability_shrinkage_toward_half</t>
        </is>
      </c>
      <c r="BC126" s="24" t="inlineStr">
        <is>
          <t>measured-edge-margin-v2</t>
        </is>
      </c>
      <c r="BD126" s="24" t="inlineStr">
        <is>
          <t>8360b122264b796b0fb193095cfe4506c7e064e5f3f8c0a659aec41efd08dd25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2026-08-01T23:52:39.479166Z</t>
        </is>
      </c>
      <c r="BI126" s="24" t="inlineStr">
        <is>
          <t>["same_event","same_team_same_day","same_league_same_day"]</t>
        </is>
      </c>
      <c r="BJ126" s="25" t="n">
        <v>1.5</v>
      </c>
      <c r="BK126" s="26" t="n">
        <v>-153</v>
      </c>
      <c r="BL126" s="27" t="n">
        <v>1.653595</v>
      </c>
      <c r="BM126" s="28" t="n">
        <v>0.604743</v>
      </c>
      <c r="BN126" s="28" t="n">
        <v>0.60199</v>
      </c>
      <c r="BO126" s="28" t="n"/>
      <c r="BP126" s="25" t="n"/>
      <c r="BQ126" s="27" t="n">
        <v>1.653595</v>
      </c>
      <c r="BR126" s="28" t="n">
        <v>0.605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</row>
    <row r="127" ht="36" customHeight="1">
      <c r="A127" s="24" t="inlineStr">
        <is>
          <t>460d3ac964b54fb9</t>
        </is>
      </c>
      <c r="B127" s="24" t="inlineStr">
        <is>
          <t>2026-08-01T23:52:39.479166Z</t>
        </is>
      </c>
      <c r="C127" s="24" t="inlineStr">
        <is>
          <t>2026-08-02T00:40Z</t>
        </is>
      </c>
      <c r="D127" s="24" t="inlineStr">
        <is>
          <t>401816361</t>
        </is>
      </c>
      <c r="E127" s="24" t="inlineStr">
        <is>
          <t>MLB</t>
        </is>
      </c>
      <c r="F127" s="24" t="inlineStr">
        <is>
          <t>San Francisco Giants</t>
        </is>
      </c>
      <c r="G127" s="24" t="inlineStr">
        <is>
          <t>San Diego Padres</t>
        </is>
      </c>
      <c r="H127" s="24" t="inlineStr">
        <is>
          <t>total</t>
        </is>
      </c>
      <c r="I127" s="24" t="inlineStr">
        <is>
          <t>over</t>
        </is>
      </c>
      <c r="J127" s="25" t="n">
        <v>8.5</v>
      </c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0.5338000000000001</v>
      </c>
      <c r="P127" s="28" t="n">
        <v>0.042131</v>
      </c>
      <c r="Q127" s="28" t="n">
        <v>0.053031</v>
      </c>
      <c r="R127" s="26" t="n">
        <v>51</v>
      </c>
      <c r="S127" s="29" t="n">
        <v>1</v>
      </c>
      <c r="T127" s="24" t="inlineStr">
        <is>
          <t>measured-edge-totals-v2</t>
        </is>
      </c>
      <c r="U127" s="24" t="inlineStr">
        <is>
          <t>settled</t>
        </is>
      </c>
      <c r="V127" s="24" t="inlineStr">
        <is>
          <t>win</t>
        </is>
      </c>
      <c r="W127" s="26" t="n">
        <v>5</v>
      </c>
      <c r="X127" s="26" t="n">
        <v>6</v>
      </c>
      <c r="Y127" s="25" t="n">
        <v>8.5</v>
      </c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2026-08-02T04:26:14.039588Z</t>
        </is>
      </c>
      <c r="AE127" s="31" t="inlineStr">
        <is>
          <t>Measured Edge Totals: Trend Engine projected 4.97-4.72; raw selected-side p=0.5756, calibrated p=0.5338.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NO_CALL_MODEL_UNVALIDATED</t>
        </is>
      </c>
      <c r="AP127" s="24" t="inlineStr">
        <is>
          <t>mlb-sf</t>
        </is>
      </c>
      <c r="AQ127" s="24" t="inlineStr">
        <is>
          <t>San Francisco Giants</t>
        </is>
      </c>
      <c r="AR127" s="24" t="inlineStr">
        <is>
          <t>San Francisco Giants</t>
        </is>
      </c>
      <c r="AS127" s="24" t="inlineStr">
        <is>
          <t>mlb-sd</t>
        </is>
      </c>
      <c r="AT127" s="24" t="inlineStr">
        <is>
          <t>San Diego Padres</t>
        </is>
      </c>
      <c r="AU127" s="24" t="inlineStr">
        <is>
          <t>San Diego Padres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433578016242b27f9c1c7132cc6b5a2bcc7dd1b0234590c12a944455a88e71bd</t>
        </is>
      </c>
      <c r="BB127" s="24" t="inlineStr">
        <is>
          <t>flat_probability_shrinkage_toward_half</t>
        </is>
      </c>
      <c r="BC127" s="24" t="inlineStr">
        <is>
          <t>measured-edge-totals-v2</t>
        </is>
      </c>
      <c r="BD127" s="24" t="inlineStr">
        <is>
          <t>433578016242b27f9c1c7132cc6b5a2bcc7dd1b0234590c12a944455a88e71bd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2026-08-01T23:52:39.479166Z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108</v>
      </c>
      <c r="BL127" s="27" t="n">
        <v>2.08</v>
      </c>
      <c r="BM127" s="28" t="n">
        <v>0.480769</v>
      </c>
      <c r="BN127" s="28" t="n">
        <v>0.477612</v>
      </c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</row>
    <row r="128" ht="36" customHeight="1">
      <c r="A128" s="24" t="inlineStr">
        <is>
          <t>33bd68b7d7af45d1</t>
        </is>
      </c>
      <c r="B128" s="24" t="inlineStr">
        <is>
          <t>2026-08-01T23:52:39.479166Z</t>
        </is>
      </c>
      <c r="C128" s="24" t="inlineStr">
        <is>
          <t>2026-08-02T01:10Z</t>
        </is>
      </c>
      <c r="D128" s="24" t="inlineStr">
        <is>
          <t>401816357</t>
        </is>
      </c>
      <c r="E128" s="24" t="inlineStr">
        <is>
          <t>MLB</t>
        </is>
      </c>
      <c r="F128" s="24" t="inlineStr">
        <is>
          <t>Boston Red Sox</t>
        </is>
      </c>
      <c r="G128" s="24" t="inlineStr">
        <is>
          <t>Los Angeles Dodgers</t>
        </is>
      </c>
      <c r="H128" s="24" t="inlineStr">
        <is>
          <t>spread</t>
        </is>
      </c>
      <c r="I128" s="24" t="inlineStr">
        <is>
          <t>away</t>
        </is>
      </c>
      <c r="J128" s="25" t="n">
        <v>1.5</v>
      </c>
      <c r="K128" s="24" t="inlineStr">
        <is>
          <t>polymarket_us</t>
        </is>
      </c>
      <c r="L128" s="26" t="n">
        <v>-138</v>
      </c>
      <c r="M128" s="27" t="n">
        <v>1.724638</v>
      </c>
      <c r="N128" s="28" t="n">
        <v>0.579832</v>
      </c>
      <c r="O128" s="28" t="n">
        <v>0.5855399999999999</v>
      </c>
      <c r="P128" s="28" t="n">
        <v>0.042131</v>
      </c>
      <c r="Q128" s="28" t="n">
        <v>0.005708</v>
      </c>
      <c r="R128" s="26" t="n">
        <v>28</v>
      </c>
      <c r="S128" s="29" t="n">
        <v>1.25</v>
      </c>
      <c r="T128" s="24" t="inlineStr">
        <is>
          <t>measured-edge-margin-v2</t>
        </is>
      </c>
      <c r="U128" s="24" t="inlineStr">
        <is>
          <t>settled</t>
        </is>
      </c>
      <c r="V128" s="24" t="inlineStr">
        <is>
          <t>win</t>
        </is>
      </c>
      <c r="W128" s="26" t="n">
        <v>3</v>
      </c>
      <c r="X128" s="26" t="n">
        <v>2</v>
      </c>
      <c r="Y128" s="25" t="n">
        <v>1.5</v>
      </c>
      <c r="Z128" s="26" t="n">
        <v>-138</v>
      </c>
      <c r="AA128" s="28" t="n">
        <v>0.58</v>
      </c>
      <c r="AB128" s="28" t="n">
        <v>0.000168</v>
      </c>
      <c r="AC128" s="30" t="n">
        <v>0.9058</v>
      </c>
      <c r="AD128" s="24" t="inlineStr">
        <is>
          <t>2026-08-02T03:26:06.086063Z</t>
        </is>
      </c>
      <c r="AE128" s="31" t="inlineStr">
        <is>
          <t>Measured Edge Margin: Trend Engine projected 4.26-4.73; raw selected-side p=0.6303, calibrated p=0.5855.</t>
        </is>
      </c>
      <c r="AF128" s="31" t="inlineStr">
        <is>
          <t>Research-only; lineup, bullpen, park, weather, xFIP, and wRC+ may be neutral fallbacks; market availability and BBO depth may change before first pitch.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NO_CALL_MODEL_UNVALIDATED</t>
        </is>
      </c>
      <c r="AP128" s="24" t="inlineStr">
        <is>
          <t>mlb-bos</t>
        </is>
      </c>
      <c r="AQ128" s="24" t="inlineStr">
        <is>
          <t>Boston Red Sox</t>
        </is>
      </c>
      <c r="AR128" s="24" t="inlineStr">
        <is>
          <t>Boston Red Sox</t>
        </is>
      </c>
      <c r="AS128" s="24" t="inlineStr">
        <is>
          <t>mlb-lad</t>
        </is>
      </c>
      <c r="AT128" s="24" t="inlineStr">
        <is>
          <t>Los Angeles Dodgers</t>
        </is>
      </c>
      <c r="AU128" s="24" t="inlineStr">
        <is>
          <t>Los Angeles Dodgers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research</t>
        </is>
      </c>
      <c r="BA128" s="24" t="inlineStr">
        <is>
          <t>8360b122264b796b0fb193095cfe4506c7e064e5f3f8c0a659aec41efd08dd25</t>
        </is>
      </c>
      <c r="BB128" s="24" t="inlineStr">
        <is>
          <t>flat_probability_shrinkage_toward_half</t>
        </is>
      </c>
      <c r="BC128" s="24" t="inlineStr">
        <is>
          <t>measured-edge-margin-v2</t>
        </is>
      </c>
      <c r="BD128" s="24" t="inlineStr">
        <is>
          <t>8360b122264b796b0fb193095cfe4506c7e064e5f3f8c0a659aec41efd08dd25</t>
        </is>
      </c>
      <c r="BE128" s="24" t="inlineStr">
        <is>
          <t>v3</t>
        </is>
      </c>
      <c r="BF128" s="24" t="inlineStr">
        <is>
          <t>1</t>
        </is>
      </c>
      <c r="BG128" s="24" t="inlineStr">
        <is>
          <t>measured-edge-paired-v1</t>
        </is>
      </c>
      <c r="BH128" s="24" t="inlineStr">
        <is>
          <t>2026-08-01T23:52:39.479166Z</t>
        </is>
      </c>
      <c r="BI128" s="24" t="inlineStr">
        <is>
          <t>["same_event","same_team_same_day","same_league_same_day"]</t>
        </is>
      </c>
      <c r="BJ128" s="25" t="n">
        <v>1.5</v>
      </c>
      <c r="BK128" s="26" t="n">
        <v>-138</v>
      </c>
      <c r="BL128" s="27" t="n">
        <v>1.724638</v>
      </c>
      <c r="BM128" s="28" t="n">
        <v>0.579832</v>
      </c>
      <c r="BN128" s="28" t="n">
        <v>0.577114</v>
      </c>
      <c r="BO128" s="28" t="n"/>
      <c r="BP128" s="25" t="n"/>
      <c r="BQ128" s="27" t="n">
        <v>1.724638</v>
      </c>
      <c r="BR128" s="28" t="n">
        <v>0.58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</row>
    <row r="129" ht="36" customHeight="1">
      <c r="A129" s="24" t="inlineStr">
        <is>
          <t>fd4b348108b34346</t>
        </is>
      </c>
      <c r="B129" s="24" t="inlineStr">
        <is>
          <t>2026-08-01T23:52:39.479166Z</t>
        </is>
      </c>
      <c r="C129" s="24" t="inlineStr">
        <is>
          <t>2026-08-02T01:10Z</t>
        </is>
      </c>
      <c r="D129" s="24" t="inlineStr">
        <is>
          <t>401816357</t>
        </is>
      </c>
      <c r="E129" s="24" t="inlineStr">
        <is>
          <t>MLB</t>
        </is>
      </c>
      <c r="F129" s="24" t="inlineStr">
        <is>
          <t>Boston Red Sox</t>
        </is>
      </c>
      <c r="G129" s="24" t="inlineStr">
        <is>
          <t>Los Angeles Dodgers</t>
        </is>
      </c>
      <c r="H129" s="24" t="inlineStr">
        <is>
          <t>total</t>
        </is>
      </c>
      <c r="I129" s="24" t="inlineStr">
        <is>
          <t>over</t>
        </is>
      </c>
      <c r="J129" s="25" t="n">
        <v>7.5</v>
      </c>
      <c r="K129" s="24" t="inlineStr">
        <is>
          <t>polymarket_us</t>
        </is>
      </c>
      <c r="L129" s="26" t="n">
        <v>117</v>
      </c>
      <c r="M129" s="27" t="n">
        <v>2.17</v>
      </c>
      <c r="N129" s="28" t="n">
        <v>0.460829</v>
      </c>
      <c r="O129" s="28" t="n">
        <v>0.536875</v>
      </c>
      <c r="P129" s="28" t="n">
        <v>0.042131</v>
      </c>
      <c r="Q129" s="28" t="n">
        <v>0.076046</v>
      </c>
      <c r="R129" s="26" t="n">
        <v>63</v>
      </c>
      <c r="S129" s="29" t="n">
        <v>1</v>
      </c>
      <c r="T129" s="24" t="inlineStr">
        <is>
          <t>measured-edge-totals-v2</t>
        </is>
      </c>
      <c r="U129" s="24" t="inlineStr">
        <is>
          <t>settled</t>
        </is>
      </c>
      <c r="V129" s="24" t="inlineStr">
        <is>
          <t>loss</t>
        </is>
      </c>
      <c r="W129" s="26" t="n">
        <v>3</v>
      </c>
      <c r="X129" s="26" t="n">
        <v>2</v>
      </c>
      <c r="Y129" s="25" t="n">
        <v>7.5</v>
      </c>
      <c r="Z129" s="26" t="n">
        <v>117</v>
      </c>
      <c r="AA129" s="28" t="n">
        <v>0.46</v>
      </c>
      <c r="AB129" s="28" t="n">
        <v>-0.000829</v>
      </c>
      <c r="AC129" s="30" t="n">
        <v>-1</v>
      </c>
      <c r="AD129" s="24" t="inlineStr">
        <is>
          <t>2026-08-02T03:26:06.617227Z</t>
        </is>
      </c>
      <c r="AE129" s="31" t="inlineStr">
        <is>
          <t>Measured Edge Totals: Trend Engine projected 4.26-4.73; raw selected-side p=0.5847, calibrated p=0.5369.</t>
        </is>
      </c>
      <c r="AF129" s="31" t="inlineStr">
        <is>
          <t>Research-only; lineup, bullpen, park, weather, xFIP, and wRC+ may be neutral fallbacks; market availability and BBO depth may change before first pitch.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NO_CALL_MODEL_UNVALIDATED</t>
        </is>
      </c>
      <c r="AP129" s="24" t="inlineStr">
        <is>
          <t>mlb-bos</t>
        </is>
      </c>
      <c r="AQ129" s="24" t="inlineStr">
        <is>
          <t>Boston Red Sox</t>
        </is>
      </c>
      <c r="AR129" s="24" t="inlineStr">
        <is>
          <t>Boston Red Sox</t>
        </is>
      </c>
      <c r="AS129" s="24" t="inlineStr">
        <is>
          <t>mlb-lad</t>
        </is>
      </c>
      <c r="AT129" s="24" t="inlineStr">
        <is>
          <t>Los Angeles Dodgers</t>
        </is>
      </c>
      <c r="AU129" s="24" t="inlineStr">
        <is>
          <t>Los Angeles Dodgers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research</t>
        </is>
      </c>
      <c r="BA129" s="24" t="inlineStr">
        <is>
          <t>433578016242b27f9c1c7132cc6b5a2bcc7dd1b0234590c12a944455a88e71bd</t>
        </is>
      </c>
      <c r="BB129" s="24" t="inlineStr">
        <is>
          <t>flat_probability_shrinkage_toward_half</t>
        </is>
      </c>
      <c r="BC129" s="24" t="inlineStr">
        <is>
          <t>measured-edge-totals-v2</t>
        </is>
      </c>
      <c r="BD129" s="24" t="inlineStr">
        <is>
          <t>433578016242b27f9c1c7132cc6b5a2bcc7dd1b0234590c12a944455a88e71bd</t>
        </is>
      </c>
      <c r="BE129" s="24" t="inlineStr">
        <is>
          <t>v3</t>
        </is>
      </c>
      <c r="BF129" s="24" t="inlineStr">
        <is>
          <t>1</t>
        </is>
      </c>
      <c r="BG129" s="24" t="inlineStr">
        <is>
          <t>measured-edge-paired-v1</t>
        </is>
      </c>
      <c r="BH129" s="24" t="inlineStr">
        <is>
          <t>2026-08-01T23:52:39.479166Z</t>
        </is>
      </c>
      <c r="BI129" s="24" t="inlineStr">
        <is>
          <t>["same_event","same_team_same_day","same_league_same_day"]</t>
        </is>
      </c>
      <c r="BJ129" s="25" t="n">
        <v>7.5</v>
      </c>
      <c r="BK129" s="26" t="n">
        <v>117</v>
      </c>
      <c r="BL129" s="27" t="n">
        <v>2.17</v>
      </c>
      <c r="BM129" s="28" t="n">
        <v>0.460829</v>
      </c>
      <c r="BN129" s="28" t="n">
        <v>0.457711</v>
      </c>
      <c r="BO129" s="28" t="n"/>
      <c r="BP129" s="25" t="n"/>
      <c r="BQ129" s="27" t="n">
        <v>2.17</v>
      </c>
      <c r="BR129" s="28" t="n">
        <v>0.46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</row>
    <row r="130" ht="36" customHeight="1">
      <c r="A130" s="24" t="inlineStr">
        <is>
          <t>a68808b3454d43b2</t>
        </is>
      </c>
      <c r="B130" s="24" t="inlineStr">
        <is>
          <t>2026-08-01T23:52:39.479166Z</t>
        </is>
      </c>
      <c r="C130" s="24" t="inlineStr">
        <is>
          <t>2026-08-02T01:38Z</t>
        </is>
      </c>
      <c r="D130" s="24" t="inlineStr">
        <is>
          <t>401816359</t>
        </is>
      </c>
      <c r="E130" s="24" t="inlineStr">
        <is>
          <t>MLB</t>
        </is>
      </c>
      <c r="F130" s="24" t="inlineStr">
        <is>
          <t>Milwaukee Brewers</t>
        </is>
      </c>
      <c r="G130" s="24" t="inlineStr">
        <is>
          <t>Los Angeles Angels</t>
        </is>
      </c>
      <c r="H130" s="24" t="inlineStr">
        <is>
          <t>spread</t>
        </is>
      </c>
      <c r="I130" s="24" t="inlineStr">
        <is>
          <t>home</t>
        </is>
      </c>
      <c r="J130" s="25" t="n">
        <v>1.5</v>
      </c>
      <c r="K130" s="24" t="inlineStr">
        <is>
          <t>polymarket_us</t>
        </is>
      </c>
      <c r="L130" s="26" t="n">
        <v>-117</v>
      </c>
      <c r="M130" s="27" t="n">
        <v>1.854701</v>
      </c>
      <c r="N130" s="28" t="n">
        <v>0.539171</v>
      </c>
      <c r="O130" s="28" t="n">
        <v>0.6323530000000001</v>
      </c>
      <c r="P130" s="28" t="n">
        <v>0.042131</v>
      </c>
      <c r="Q130" s="28" t="n">
        <v>0.093182</v>
      </c>
      <c r="R130" s="26" t="n">
        <v>71</v>
      </c>
      <c r="S130" s="29" t="n">
        <v>1.5</v>
      </c>
      <c r="T130" s="24" t="inlineStr">
        <is>
          <t>measured-edge-margin-v2</t>
        </is>
      </c>
      <c r="U130" s="24" t="inlineStr">
        <is>
          <t>settled</t>
        </is>
      </c>
      <c r="V130" s="24" t="inlineStr">
        <is>
          <t>loss</t>
        </is>
      </c>
      <c r="W130" s="26" t="n">
        <v>3</v>
      </c>
      <c r="X130" s="26" t="n">
        <v>1</v>
      </c>
      <c r="Y130" s="25" t="n">
        <v>1.5</v>
      </c>
      <c r="Z130" s="26" t="n">
        <v>-117</v>
      </c>
      <c r="AA130" s="28" t="n">
        <v>0.54</v>
      </c>
      <c r="AB130" s="28" t="n">
        <v>0.000829</v>
      </c>
      <c r="AC130" s="30" t="n">
        <v>-1.5</v>
      </c>
      <c r="AD130" s="24" t="inlineStr">
        <is>
          <t>2026-08-02T04:26:14.595420Z</t>
        </is>
      </c>
      <c r="AE130" s="31" t="inlineStr">
        <is>
          <t>Measured Edge Margin: Trend Engine projected 4.46-4.83; raw selected-side p=0.7016, calibrated p=0.6324.</t>
        </is>
      </c>
      <c r="AF130" s="31" t="inlineStr">
        <is>
          <t>Research-only; lineup, bullpen, park, weather, xFIP, and wRC+ may be neutral fallbacks; market availability and BBO depth may change before first pitch.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NO_CALL_MODEL_UNVALIDATED</t>
        </is>
      </c>
      <c r="AP130" s="24" t="inlineStr">
        <is>
          <t>mlb-mil</t>
        </is>
      </c>
      <c r="AQ130" s="24" t="inlineStr">
        <is>
          <t>Milwaukee Brewers</t>
        </is>
      </c>
      <c r="AR130" s="24" t="inlineStr">
        <is>
          <t>Milwaukee Brewers</t>
        </is>
      </c>
      <c r="AS130" s="24" t="inlineStr">
        <is>
          <t>mlb-laa</t>
        </is>
      </c>
      <c r="AT130" s="24" t="inlineStr">
        <is>
          <t>Los Angeles Angels</t>
        </is>
      </c>
      <c r="AU130" s="24" t="inlineStr">
        <is>
          <t>Los Angeles Angels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research</t>
        </is>
      </c>
      <c r="BA130" s="24" t="inlineStr">
        <is>
          <t>8360b122264b796b0fb193095cfe4506c7e064e5f3f8c0a659aec41efd08dd25</t>
        </is>
      </c>
      <c r="BB130" s="24" t="inlineStr">
        <is>
          <t>flat_probability_shrinkage_toward_half</t>
        </is>
      </c>
      <c r="BC130" s="24" t="inlineStr">
        <is>
          <t>measured-edge-margin-v2</t>
        </is>
      </c>
      <c r="BD130" s="24" t="inlineStr">
        <is>
          <t>8360b122264b796b0fb193095cfe4506c7e064e5f3f8c0a659aec41efd08dd25</t>
        </is>
      </c>
      <c r="BE130" s="24" t="inlineStr">
        <is>
          <t>v3</t>
        </is>
      </c>
      <c r="BF130" s="24" t="inlineStr">
        <is>
          <t>1</t>
        </is>
      </c>
      <c r="BG130" s="24" t="inlineStr">
        <is>
          <t>measured-edge-paired-v1</t>
        </is>
      </c>
      <c r="BH130" s="24" t="inlineStr">
        <is>
          <t>2026-08-01T23:52:39.479166Z</t>
        </is>
      </c>
      <c r="BI130" s="24" t="inlineStr">
        <is>
          <t>["same_event","same_team_same_day","same_league_same_day"]</t>
        </is>
      </c>
      <c r="BJ130" s="25" t="n">
        <v>1.5</v>
      </c>
      <c r="BK130" s="26" t="n">
        <v>-117</v>
      </c>
      <c r="BL130" s="27" t="n">
        <v>1.854701</v>
      </c>
      <c r="BM130" s="28" t="n">
        <v>0.539171</v>
      </c>
      <c r="BN130" s="28" t="n">
        <v>0.537313</v>
      </c>
      <c r="BO130" s="28" t="n"/>
      <c r="BP130" s="25" t="n"/>
      <c r="BQ130" s="27" t="n">
        <v>1.854701</v>
      </c>
      <c r="BR130" s="28" t="n">
        <v>0.54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</row>
    <row r="131" ht="36" customHeight="1">
      <c r="A131" s="24" t="inlineStr">
        <is>
          <t>2476d7cf9c294516</t>
        </is>
      </c>
      <c r="B131" s="24" t="inlineStr">
        <is>
          <t>2026-08-01T23:52:39.479166Z</t>
        </is>
      </c>
      <c r="C131" s="24" t="inlineStr">
        <is>
          <t>2026-08-02T01:38Z</t>
        </is>
      </c>
      <c r="D131" s="24" t="inlineStr">
        <is>
          <t>401816359</t>
        </is>
      </c>
      <c r="E131" s="24" t="inlineStr">
        <is>
          <t>MLB</t>
        </is>
      </c>
      <c r="F131" s="24" t="inlineStr">
        <is>
          <t>Milwaukee Brewers</t>
        </is>
      </c>
      <c r="G131" s="24" t="inlineStr">
        <is>
          <t>Los Angeles Angels</t>
        </is>
      </c>
      <c r="H131" s="24" t="inlineStr">
        <is>
          <t>total</t>
        </is>
      </c>
      <c r="I131" s="24" t="inlineStr">
        <is>
          <t>over</t>
        </is>
      </c>
      <c r="J131" s="25" t="n">
        <v>8.5</v>
      </c>
      <c r="K131" s="24" t="inlineStr">
        <is>
          <t>polymarket_us</t>
        </is>
      </c>
      <c r="L131" s="26" t="n">
        <v>-120</v>
      </c>
      <c r="M131" s="27" t="n">
        <v>1.833333</v>
      </c>
      <c r="N131" s="28" t="n">
        <v>0.545455</v>
      </c>
      <c r="O131" s="28" t="n">
        <v>0.521054</v>
      </c>
      <c r="P131" s="28" t="n">
        <v>0.042131</v>
      </c>
      <c r="Q131" s="28" t="n">
        <v>-0.024401</v>
      </c>
      <c r="R131" s="26" t="n">
        <v>13</v>
      </c>
      <c r="S131" s="29" t="n">
        <v>1</v>
      </c>
      <c r="T131" s="24" t="inlineStr">
        <is>
          <t>measured-edge-totals-v2</t>
        </is>
      </c>
      <c r="U131" s="24" t="inlineStr">
        <is>
          <t>settled</t>
        </is>
      </c>
      <c r="V131" s="24" t="inlineStr">
        <is>
          <t>loss</t>
        </is>
      </c>
      <c r="W131" s="26" t="n">
        <v>3</v>
      </c>
      <c r="X131" s="26" t="n">
        <v>1</v>
      </c>
      <c r="Y131" s="25" t="n">
        <v>8.5</v>
      </c>
      <c r="Z131" s="26" t="n">
        <v>-120</v>
      </c>
      <c r="AA131" s="28" t="n">
        <v>0.545</v>
      </c>
      <c r="AB131" s="28" t="n">
        <v>-0.000455</v>
      </c>
      <c r="AC131" s="30" t="n">
        <v>-1</v>
      </c>
      <c r="AD131" s="24" t="inlineStr">
        <is>
          <t>2026-08-02T04:26:15.051688Z</t>
        </is>
      </c>
      <c r="AE131" s="31" t="inlineStr">
        <is>
          <t>Measured Edge Totals: Trend Engine projected 4.46-4.83; raw selected-side p=0.5383, calibrated p=0.5211.</t>
        </is>
      </c>
      <c r="AF131" s="31" t="inlineStr">
        <is>
          <t>Research-only; lineup, bullpen, park, weather, xFIP, and wRC+ may be neutral fallbacks; market availability and BBO depth may change before first pitch.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NO_CALL_MODEL_UNVALIDATED</t>
        </is>
      </c>
      <c r="AP131" s="24" t="inlineStr">
        <is>
          <t>mlb-mil</t>
        </is>
      </c>
      <c r="AQ131" s="24" t="inlineStr">
        <is>
          <t>Milwaukee Brewers</t>
        </is>
      </c>
      <c r="AR131" s="24" t="inlineStr">
        <is>
          <t>Milwaukee Brewers</t>
        </is>
      </c>
      <c r="AS131" s="24" t="inlineStr">
        <is>
          <t>mlb-laa</t>
        </is>
      </c>
      <c r="AT131" s="24" t="inlineStr">
        <is>
          <t>Los Angeles Angels</t>
        </is>
      </c>
      <c r="AU131" s="24" t="inlineStr">
        <is>
          <t>Los Angeles Angels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research</t>
        </is>
      </c>
      <c r="BA131" s="24" t="inlineStr">
        <is>
          <t>433578016242b27f9c1c7132cc6b5a2bcc7dd1b0234590c12a944455a88e71bd</t>
        </is>
      </c>
      <c r="BB131" s="24" t="inlineStr">
        <is>
          <t>flat_probability_shrinkage_toward_half</t>
        </is>
      </c>
      <c r="BC131" s="24" t="inlineStr">
        <is>
          <t>measured-edge-totals-v2</t>
        </is>
      </c>
      <c r="BD131" s="24" t="inlineStr">
        <is>
          <t>433578016242b27f9c1c7132cc6b5a2bcc7dd1b0234590c12a944455a88e71bd</t>
        </is>
      </c>
      <c r="BE131" s="24" t="inlineStr">
        <is>
          <t>v3</t>
        </is>
      </c>
      <c r="BF131" s="24" t="inlineStr">
        <is>
          <t>1</t>
        </is>
      </c>
      <c r="BG131" s="24" t="inlineStr">
        <is>
          <t>measured-edge-paired-v1</t>
        </is>
      </c>
      <c r="BH131" s="24" t="inlineStr">
        <is>
          <t>2026-08-01T23:52:39.479166Z</t>
        </is>
      </c>
      <c r="BI131" s="24" t="inlineStr">
        <is>
          <t>["same_event","same_team_same_day","same_league_same_day"]</t>
        </is>
      </c>
      <c r="BJ131" s="25" t="n">
        <v>8.5</v>
      </c>
      <c r="BK131" s="26" t="n">
        <v>-120</v>
      </c>
      <c r="BL131" s="27" t="n">
        <v>1.833333</v>
      </c>
      <c r="BM131" s="28" t="n">
        <v>0.545455</v>
      </c>
      <c r="BN131" s="28" t="n">
        <v>0.542289</v>
      </c>
      <c r="BO131" s="28" t="n"/>
      <c r="BP131" s="25" t="n"/>
      <c r="BQ131" s="27" t="n">
        <v>1.833333</v>
      </c>
      <c r="BR131" s="28" t="n">
        <v>0.545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</row>
    <row r="132" ht="36" customHeight="1">
      <c r="A132" s="24" t="inlineStr">
        <is>
          <t>6c913b248fc5448c</t>
        </is>
      </c>
      <c r="B132" s="24" t="inlineStr">
        <is>
          <t>2026-08-01T23:52:39.479166Z</t>
        </is>
      </c>
      <c r="C132" s="24" t="inlineStr">
        <is>
          <t>2026-08-02T01:40Z</t>
        </is>
      </c>
      <c r="D132" s="24" t="inlineStr">
        <is>
          <t>401816358</t>
        </is>
      </c>
      <c r="E132" s="24" t="inlineStr">
        <is>
          <t>MLB</t>
        </is>
      </c>
      <c r="F132" s="24" t="inlineStr">
        <is>
          <t>Detroit Tigers</t>
        </is>
      </c>
      <c r="G132" s="24" t="inlineStr">
        <is>
          <t>Athletics</t>
        </is>
      </c>
      <c r="H132" s="24" t="inlineStr">
        <is>
          <t>spread</t>
        </is>
      </c>
      <c r="I132" s="24" t="inlineStr">
        <is>
          <t>home</t>
        </is>
      </c>
      <c r="J132" s="25" t="n">
        <v>1.5</v>
      </c>
      <c r="K132" s="24" t="inlineStr">
        <is>
          <t>polymarket_us</t>
        </is>
      </c>
      <c r="L132" s="26" t="n">
        <v>106</v>
      </c>
      <c r="M132" s="27" t="n">
        <v>2.06</v>
      </c>
      <c r="N132" s="28" t="n">
        <v>0.485437</v>
      </c>
      <c r="O132" s="28" t="n">
        <v>0.605321</v>
      </c>
      <c r="P132" s="28" t="n">
        <v>0.042131</v>
      </c>
      <c r="Q132" s="28" t="n">
        <v>0.119884</v>
      </c>
      <c r="R132" s="26" t="n">
        <v>85</v>
      </c>
      <c r="S132" s="29" t="n">
        <v>1.5</v>
      </c>
      <c r="T132" s="24" t="inlineStr">
        <is>
          <t>measured-edge-margin-v2</t>
        </is>
      </c>
      <c r="U132" s="24" t="inlineStr">
        <is>
          <t>settled</t>
        </is>
      </c>
      <c r="V132" s="24" t="inlineStr">
        <is>
          <t>loss</t>
        </is>
      </c>
      <c r="W132" s="26" t="n">
        <v>8</v>
      </c>
      <c r="X132" s="26" t="n">
        <v>6</v>
      </c>
      <c r="Y132" s="25" t="n">
        <v>1.5</v>
      </c>
      <c r="Z132" s="26" t="n">
        <v>106</v>
      </c>
      <c r="AA132" s="28" t="n">
        <v>0.485</v>
      </c>
      <c r="AB132" s="28" t="n">
        <v>-0.000437</v>
      </c>
      <c r="AC132" s="30" t="n">
        <v>-1.5</v>
      </c>
      <c r="AD132" s="24" t="inlineStr">
        <is>
          <t>2026-08-02T05:39:17.917036Z</t>
        </is>
      </c>
      <c r="AE132" s="31" t="inlineStr">
        <is>
          <t>Measured Edge Margin: Trend Engine projected 5.11-5.12; raw selected-side p=0.6604, calibrated p=0.6053.</t>
        </is>
      </c>
      <c r="AF132" s="31" t="inlineStr">
        <is>
          <t>Research-only; lineup, bullpen, park, weather, xFIP, and wRC+ may be neutral fallbacks; market availability and BBO depth may change before first pitch.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research_observation</t>
        </is>
      </c>
      <c r="AL132" s="26" t="n">
        <v>3</v>
      </c>
      <c r="AM132" s="24" t="inlineStr">
        <is>
          <t>RESEARCH_OBSERVATION</t>
        </is>
      </c>
      <c r="AN132" s="24" t="inlineStr">
        <is>
          <t>NO_CALL</t>
        </is>
      </c>
      <c r="AO132" s="24" t="inlineStr">
        <is>
          <t>NO_CALL_MODEL_UNVALIDATED</t>
        </is>
      </c>
      <c r="AP132" s="24" t="inlineStr">
        <is>
          <t>mlb-det</t>
        </is>
      </c>
      <c r="AQ132" s="24" t="inlineStr">
        <is>
          <t>Detroit Tigers</t>
        </is>
      </c>
      <c r="AR132" s="24" t="inlineStr">
        <is>
          <t>Detroit Tigers</t>
        </is>
      </c>
      <c r="AS132" s="24" t="inlineStr">
        <is>
          <t>mlb-ath</t>
        </is>
      </c>
      <c r="AT132" s="24" t="inlineStr">
        <is>
          <t>Athletics</t>
        </is>
      </c>
      <c r="AU132" s="24" t="inlineStr">
        <is>
          <t>Athletics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research</t>
        </is>
      </c>
      <c r="BA132" s="24" t="inlineStr">
        <is>
          <t>8360b122264b796b0fb193095cfe4506c7e064e5f3f8c0a659aec41efd08dd25</t>
        </is>
      </c>
      <c r="BB132" s="24" t="inlineStr">
        <is>
          <t>flat_probability_shrinkage_toward_half</t>
        </is>
      </c>
      <c r="BC132" s="24" t="inlineStr">
        <is>
          <t>measured-edge-margin-v2</t>
        </is>
      </c>
      <c r="BD132" s="24" t="inlineStr">
        <is>
          <t>8360b122264b796b0fb193095cfe4506c7e064e5f3f8c0a659aec41efd08dd25</t>
        </is>
      </c>
      <c r="BE132" s="24" t="inlineStr">
        <is>
          <t>v3</t>
        </is>
      </c>
      <c r="BF132" s="24" t="inlineStr">
        <is>
          <t>1</t>
        </is>
      </c>
      <c r="BG132" s="24" t="inlineStr">
        <is>
          <t>measured-edge-paired-v1</t>
        </is>
      </c>
      <c r="BH132" s="24" t="inlineStr">
        <is>
          <t>2026-08-01T23:52:39.479166Z</t>
        </is>
      </c>
      <c r="BI132" s="24" t="inlineStr">
        <is>
          <t>["same_event","same_team_same_day","same_league_same_day"]</t>
        </is>
      </c>
      <c r="BJ132" s="25" t="n">
        <v>1.5</v>
      </c>
      <c r="BK132" s="26" t="n">
        <v>106</v>
      </c>
      <c r="BL132" s="27" t="n">
        <v>2.06</v>
      </c>
      <c r="BM132" s="28" t="n">
        <v>0.485437</v>
      </c>
      <c r="BN132" s="28" t="n">
        <v>0.482587</v>
      </c>
      <c r="BO132" s="28" t="n"/>
      <c r="BP132" s="25" t="n"/>
      <c r="BQ132" s="27" t="n">
        <v>2.06</v>
      </c>
      <c r="BR132" s="28" t="n">
        <v>0.485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</row>
    <row r="133" ht="36" customHeight="1">
      <c r="A133" s="24" t="inlineStr">
        <is>
          <t>76c280e71b0f4b3b</t>
        </is>
      </c>
      <c r="B133" s="24" t="inlineStr">
        <is>
          <t>2026-08-01T23:52:39.479166Z</t>
        </is>
      </c>
      <c r="C133" s="24" t="inlineStr">
        <is>
          <t>2026-08-02T01:40Z</t>
        </is>
      </c>
      <c r="D133" s="24" t="inlineStr">
        <is>
          <t>401816358</t>
        </is>
      </c>
      <c r="E133" s="24" t="inlineStr">
        <is>
          <t>MLB</t>
        </is>
      </c>
      <c r="F133" s="24" t="inlineStr">
        <is>
          <t>Detroit Tigers</t>
        </is>
      </c>
      <c r="G133" s="24" t="inlineStr">
        <is>
          <t>Athletics</t>
        </is>
      </c>
      <c r="H133" s="24" t="inlineStr">
        <is>
          <t>total</t>
        </is>
      </c>
      <c r="I133" s="24" t="inlineStr">
        <is>
          <t>under</t>
        </is>
      </c>
      <c r="J133" s="25" t="n">
        <v>10.5</v>
      </c>
      <c r="K133" s="24" t="inlineStr">
        <is>
          <t>polymarket_us</t>
        </is>
      </c>
      <c r="L133" s="26" t="n">
        <v>-108</v>
      </c>
      <c r="M133" s="27" t="n">
        <v>1.925926</v>
      </c>
      <c r="N133" s="28" t="n">
        <v>0.519231</v>
      </c>
      <c r="O133" s="28" t="n">
        <v>0.526846</v>
      </c>
      <c r="P133" s="28" t="n">
        <v>0.042131</v>
      </c>
      <c r="Q133" s="28" t="n">
        <v>0.007615</v>
      </c>
      <c r="R133" s="26" t="n">
        <v>29</v>
      </c>
      <c r="S133" s="29" t="n">
        <v>1</v>
      </c>
      <c r="T133" s="24" t="inlineStr">
        <is>
          <t>measured-edge-totals-v2</t>
        </is>
      </c>
      <c r="U133" s="24" t="inlineStr">
        <is>
          <t>settled</t>
        </is>
      </c>
      <c r="V133" s="24" t="inlineStr">
        <is>
          <t>loss</t>
        </is>
      </c>
      <c r="W133" s="26" t="n">
        <v>8</v>
      </c>
      <c r="X133" s="26" t="n">
        <v>6</v>
      </c>
      <c r="Y133" s="25" t="n">
        <v>10.5</v>
      </c>
      <c r="Z133" s="26" t="n">
        <v>-108</v>
      </c>
      <c r="AA133" s="28" t="n">
        <v>0.52</v>
      </c>
      <c r="AB133" s="28" t="n">
        <v>0.000769</v>
      </c>
      <c r="AC133" s="30" t="n">
        <v>-1</v>
      </c>
      <c r="AD133" s="24" t="inlineStr">
        <is>
          <t>2026-08-02T05:39:18.942737Z</t>
        </is>
      </c>
      <c r="AE133" s="31" t="inlineStr">
        <is>
          <t>Measured Edge Totals: Trend Engine projected 5.11-5.12; raw selected-side p=0.5553, calibrated p=0.5268.</t>
        </is>
      </c>
      <c r="AF133" s="31" t="inlineStr">
        <is>
          <t>Research-only; lineup, bullpen, park, weather, xFIP, and wRC+ may be neutral fallbacks; market availability and BBO depth may change before first pitch.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NO_CALL_MODEL_UNVALIDATED</t>
        </is>
      </c>
      <c r="AP133" s="24" t="inlineStr">
        <is>
          <t>mlb-det</t>
        </is>
      </c>
      <c r="AQ133" s="24" t="inlineStr">
        <is>
          <t>Detroit Tigers</t>
        </is>
      </c>
      <c r="AR133" s="24" t="inlineStr">
        <is>
          <t>Detroit Tigers</t>
        </is>
      </c>
      <c r="AS133" s="24" t="inlineStr">
        <is>
          <t>mlb-ath</t>
        </is>
      </c>
      <c r="AT133" s="24" t="inlineStr">
        <is>
          <t>Athletics</t>
        </is>
      </c>
      <c r="AU133" s="24" t="inlineStr">
        <is>
          <t>Athletics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research</t>
        </is>
      </c>
      <c r="BA133" s="24" t="inlineStr">
        <is>
          <t>433578016242b27f9c1c7132cc6b5a2bcc7dd1b0234590c12a944455a88e71bd</t>
        </is>
      </c>
      <c r="BB133" s="24" t="inlineStr">
        <is>
          <t>flat_probability_shrinkage_toward_half</t>
        </is>
      </c>
      <c r="BC133" s="24" t="inlineStr">
        <is>
          <t>measured-edge-totals-v2</t>
        </is>
      </c>
      <c r="BD133" s="24" t="inlineStr">
        <is>
          <t>433578016242b27f9c1c7132cc6b5a2bcc7dd1b0234590c12a944455a88e71bd</t>
        </is>
      </c>
      <c r="BE133" s="24" t="inlineStr">
        <is>
          <t>v3</t>
        </is>
      </c>
      <c r="BF133" s="24" t="inlineStr">
        <is>
          <t>1</t>
        </is>
      </c>
      <c r="BG133" s="24" t="inlineStr">
        <is>
          <t>measured-edge-paired-v1</t>
        </is>
      </c>
      <c r="BH133" s="24" t="inlineStr">
        <is>
          <t>2026-08-01T23:52:39.479166Z</t>
        </is>
      </c>
      <c r="BI133" s="24" t="inlineStr">
        <is>
          <t>["same_event","same_team_same_day","same_league_same_day"]</t>
        </is>
      </c>
      <c r="BJ133" s="25" t="n">
        <v>10.5</v>
      </c>
      <c r="BK133" s="26" t="n">
        <v>-108</v>
      </c>
      <c r="BL133" s="27" t="n">
        <v>1.925926</v>
      </c>
      <c r="BM133" s="28" t="n">
        <v>0.519231</v>
      </c>
      <c r="BN133" s="28" t="n">
        <v>0.517413</v>
      </c>
      <c r="BO133" s="28" t="n"/>
      <c r="BP133" s="25" t="n"/>
      <c r="BQ133" s="27" t="n">
        <v>1.925926</v>
      </c>
      <c r="BR133" s="28" t="n">
        <v>0.52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</row>
    <row r="134" ht="36" customHeight="1">
      <c r="A134" s="24" t="inlineStr">
        <is>
          <t>7a7b4ead9f41446d</t>
        </is>
      </c>
      <c r="B134" s="24" t="inlineStr">
        <is>
          <t>2026-07-27T17:35:44.644443Z</t>
        </is>
      </c>
      <c r="C134" s="24" t="inlineStr">
        <is>
          <t>2026-07-27T18:00Z</t>
        </is>
      </c>
      <c r="D134" s="24" t="inlineStr">
        <is>
          <t>401886548</t>
        </is>
      </c>
      <c r="E134" s="24" t="inlineStr">
        <is>
          <t>SOCCER</t>
        </is>
      </c>
      <c r="F134" s="24" t="inlineStr">
        <is>
          <t>Venezia</t>
        </is>
      </c>
      <c r="G134" s="24" t="inlineStr">
        <is>
          <t>Galatasaray</t>
        </is>
      </c>
      <c r="H134" s="24" t="inlineStr">
        <is>
          <t>total</t>
        </is>
      </c>
      <c r="I134" s="24" t="inlineStr">
        <is>
          <t>under</t>
        </is>
      </c>
      <c r="J134" s="25" t="n">
        <v>2.5</v>
      </c>
      <c r="K134" s="24" t="inlineStr">
        <is>
          <t>polymarket_us</t>
        </is>
      </c>
      <c r="L134" s="26" t="n">
        <v>203</v>
      </c>
      <c r="M134" s="27" t="n">
        <v>3.03</v>
      </c>
      <c r="N134" s="28" t="n">
        <v>0.330033</v>
      </c>
      <c r="O134" s="28" t="n">
        <v>0.523162</v>
      </c>
      <c r="P134" s="28" t="n">
        <v>0.08</v>
      </c>
      <c r="Q134" s="28" t="n">
        <v>0.193129</v>
      </c>
      <c r="R134" s="26" t="n">
        <v>99</v>
      </c>
      <c r="S134" s="29" t="n">
        <v>1</v>
      </c>
      <c r="T134" s="24" t="inlineStr">
        <is>
          <t>soccer-poisson-dc-v1</t>
        </is>
      </c>
      <c r="U134" s="24" t="inlineStr">
        <is>
          <t>settled</t>
        </is>
      </c>
      <c r="V134" s="24" t="inlineStr">
        <is>
          <t>loss</t>
        </is>
      </c>
      <c r="W134" s="26" t="n">
        <v>3</v>
      </c>
      <c r="X134" s="26" t="n">
        <v>0</v>
      </c>
      <c r="Y134" s="25" t="n"/>
      <c r="Z134" s="26" t="n"/>
      <c r="AA134" s="28" t="n"/>
      <c r="AB134" s="28" t="n"/>
      <c r="AC134" s="30" t="n">
        <v>-1</v>
      </c>
      <c r="AD134" s="24" t="inlineStr">
        <is>
          <t>2026-07-27T22:51:58.565109Z</t>
        </is>
      </c>
      <c r="AE134" s="31" t="inlineStr">
        <is>
          <t>Poisson-DC rates 1.63 (home) / 0.95 (away) from EWMA attack/defense strengths. Executable ask 0.3300 (tsc-clbf-gal-ven-2026-07-27-2pt5).</t>
        </is>
      </c>
      <c r="AF134" s="31" t="inlineStr">
        <is>
          <t>Research-only soccer score model; draw-aware, but not yet locked-holdout qualified.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NO_CALL_MODEL_UNVALIDATED</t>
        </is>
      </c>
      <c r="AP134" s="24" t="inlineStr">
        <is>
          <t>Venezia</t>
        </is>
      </c>
      <c r="AQ134" s="24" t="inlineStr">
        <is>
          <t>Venezia</t>
        </is>
      </c>
      <c r="AR134" s="24" t="inlineStr">
        <is>
          <t>Venezia</t>
        </is>
      </c>
      <c r="AS134" s="24" t="inlineStr">
        <is>
          <t>Galatasaray</t>
        </is>
      </c>
      <c r="AT134" s="24" t="inlineStr">
        <is>
          <t>Galatasaray</t>
        </is>
      </c>
      <c r="AU134" s="24" t="inlineStr">
        <is>
          <t>Galatasaray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research</t>
        </is>
      </c>
      <c r="BA134" s="24" t="inlineStr">
        <is>
          <t>0361718a19f38c3d244b71cb6b1f2e7e14a86925e833d2186645250fc084b969</t>
        </is>
      </c>
      <c r="BB134" s="24" t="inlineStr">
        <is>
          <t>poisson_dixon_coles</t>
        </is>
      </c>
      <c r="BC134" s="24" t="inlineStr">
        <is>
          <t>soccer-poisson-dc-v1</t>
        </is>
      </c>
      <c r="BD134" s="24" t="inlineStr">
        <is>
          <t>0361718a19f38c3d244b71cb6b1f2e7e14a86925e833d2186645250fc084b969</t>
        </is>
      </c>
      <c r="BE134" s="24" t="inlineStr">
        <is>
          <t>soccer-poisson-dc-v1</t>
        </is>
      </c>
      <c r="BF134" s="24" t="inlineStr">
        <is>
          <t>1</t>
        </is>
      </c>
      <c r="BG134" s="24" t="inlineStr">
        <is>
          <t>0361718a19f38c3d244b71cb6b1f2e7e14a86925e833d2186645250fc084b969</t>
        </is>
      </c>
      <c r="BH134" s="24" t="inlineStr">
        <is>
          <t>2026-07-27T17:34:15.330265Z</t>
        </is>
      </c>
      <c r="BI134" s="24" t="inlineStr">
        <is>
          <t>["same_event","same_team_same_day","same_league_same_day"]</t>
        </is>
      </c>
      <c r="BJ134" s="25" t="n">
        <v>2.5</v>
      </c>
      <c r="BK134" s="26" t="n">
        <v>203</v>
      </c>
      <c r="BL134" s="27" t="n">
        <v>3.03</v>
      </c>
      <c r="BM134" s="28" t="n">
        <v>0.330033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</row>
    <row r="135" ht="36" customHeight="1">
      <c r="A135" s="24" t="inlineStr">
        <is>
          <t>19fc9ad985604d74</t>
        </is>
      </c>
      <c r="B135" s="24" t="inlineStr">
        <is>
          <t>2026-07-27T17:35:44.644443Z</t>
        </is>
      </c>
      <c r="C135" s="24" t="inlineStr">
        <is>
          <t>2026-07-27T18:00Z</t>
        </is>
      </c>
      <c r="D135" s="24" t="inlineStr">
        <is>
          <t>401886548</t>
        </is>
      </c>
      <c r="E135" s="24" t="inlineStr">
        <is>
          <t>SOCCER</t>
        </is>
      </c>
      <c r="F135" s="24" t="inlineStr">
        <is>
          <t>Venezia</t>
        </is>
      </c>
      <c r="G135" s="24" t="inlineStr">
        <is>
          <t>Galatasaray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-178</v>
      </c>
      <c r="M135" s="27" t="n">
        <v>1.561798</v>
      </c>
      <c r="N135" s="28" t="n">
        <v>0.640288</v>
      </c>
      <c r="O135" s="28" t="n">
        <v>0.5234799999999999</v>
      </c>
      <c r="P135" s="28" t="n">
        <v>0.08</v>
      </c>
      <c r="Q135" s="28" t="n">
        <v>-0.116808</v>
      </c>
      <c r="R135" s="26" t="n">
        <v>0</v>
      </c>
      <c r="S135" s="29" t="n">
        <v>1</v>
      </c>
      <c r="T135" s="24" t="inlineStr">
        <is>
          <t>soccer-poisson-dc-v1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0</v>
      </c>
      <c r="Y135" s="25" t="n"/>
      <c r="Z135" s="26" t="n"/>
      <c r="AA135" s="28" t="n"/>
      <c r="AB135" s="28" t="n"/>
      <c r="AC135" s="30" t="n">
        <v>-1</v>
      </c>
      <c r="AD135" s="24" t="inlineStr">
        <is>
          <t>2026-07-27T22:51:58.610670Z</t>
        </is>
      </c>
      <c r="AE135" s="31" t="inlineStr">
        <is>
          <t>Poisson-DC rates 1.63 (home) / 0.95 (away) from EWMA attack/defense strengths. Executable ask 0.6400 (atc-clbf-gal-ven-2026-07-27-gal).</t>
        </is>
      </c>
      <c r="AF135" s="31" t="inlineStr">
        <is>
          <t>Research-only soccer score model; draw-aware, but not yet locked-holdout qualified.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NO_CALL_MODEL_UNVALIDATED</t>
        </is>
      </c>
      <c r="AP135" s="24" t="inlineStr">
        <is>
          <t>Venezia</t>
        </is>
      </c>
      <c r="AQ135" s="24" t="inlineStr">
        <is>
          <t>Venezia</t>
        </is>
      </c>
      <c r="AR135" s="24" t="inlineStr">
        <is>
          <t>Venezia</t>
        </is>
      </c>
      <c r="AS135" s="24" t="inlineStr">
        <is>
          <t>Galatasaray</t>
        </is>
      </c>
      <c r="AT135" s="24" t="inlineStr">
        <is>
          <t>Galatasaray</t>
        </is>
      </c>
      <c r="AU135" s="24" t="inlineStr">
        <is>
          <t>Galatasaray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research</t>
        </is>
      </c>
      <c r="BA135" s="24" t="inlineStr">
        <is>
          <t>0361718a19f38c3d244b71cb6b1f2e7e14a86925e833d2186645250fc084b969</t>
        </is>
      </c>
      <c r="BB135" s="24" t="inlineStr">
        <is>
          <t>poisson_dixon_coles</t>
        </is>
      </c>
      <c r="BC135" s="24" t="inlineStr">
        <is>
          <t>soccer-poisson-dc-v1</t>
        </is>
      </c>
      <c r="BD135" s="24" t="inlineStr">
        <is>
          <t>0361718a19f38c3d244b71cb6b1f2e7e14a86925e833d2186645250fc084b969</t>
        </is>
      </c>
      <c r="BE135" s="24" t="inlineStr">
        <is>
          <t>soccer-poisson-dc-v1</t>
        </is>
      </c>
      <c r="BF135" s="24" t="inlineStr">
        <is>
          <t>1</t>
        </is>
      </c>
      <c r="BG135" s="24" t="inlineStr">
        <is>
          <t>0361718a19f38c3d244b71cb6b1f2e7e14a86925e833d2186645250fc084b969</t>
        </is>
      </c>
      <c r="BH135" s="24" t="inlineStr">
        <is>
          <t>2026-07-27T17:34:15.326479Z</t>
        </is>
      </c>
      <c r="BI135" s="24" t="inlineStr">
        <is>
          <t>["same_event","same_team_same_day","same_league_same_day"]</t>
        </is>
      </c>
      <c r="BJ135" s="25" t="n"/>
      <c r="BK135" s="26" t="n">
        <v>-178</v>
      </c>
      <c r="BL135" s="27" t="n">
        <v>1.561798</v>
      </c>
      <c r="BM135" s="28" t="n">
        <v>0.640288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</row>
    <row r="136" ht="36" customHeight="1">
      <c r="A136" s="24" t="inlineStr">
        <is>
          <t>c75f6d1022da4a63</t>
        </is>
      </c>
      <c r="B136" s="24" t="inlineStr">
        <is>
          <t>2026-07-27T22:53:46.963522Z</t>
        </is>
      </c>
      <c r="C136" s="24" t="inlineStr">
        <is>
          <t>2026-07-27T23:00Z</t>
        </is>
      </c>
      <c r="D136" s="24" t="inlineStr">
        <is>
          <t>401843998</t>
        </is>
      </c>
      <c r="E136" s="24" t="inlineStr">
        <is>
          <t>SOCCER</t>
        </is>
      </c>
      <c r="F136" s="24" t="inlineStr">
        <is>
          <t>Almagro</t>
        </is>
      </c>
      <c r="G136" s="24" t="inlineStr">
        <is>
          <t>Atlanta</t>
        </is>
      </c>
      <c r="H136" s="24" t="inlineStr">
        <is>
          <t>total</t>
        </is>
      </c>
      <c r="I136" s="24" t="inlineStr">
        <is>
          <t>over</t>
        </is>
      </c>
      <c r="J136" s="25" t="n">
        <v>2.5</v>
      </c>
      <c r="K136" s="24" t="inlineStr">
        <is>
          <t>polymarket_us</t>
        </is>
      </c>
      <c r="L136" s="26" t="n">
        <v>170</v>
      </c>
      <c r="M136" s="27" t="n">
        <v>2.7</v>
      </c>
      <c r="N136" s="28" t="n">
        <v>0.37037</v>
      </c>
      <c r="O136" s="28" t="n">
        <v>0.550664</v>
      </c>
      <c r="P136" s="28" t="n">
        <v>0.2</v>
      </c>
      <c r="Q136" s="28" t="n">
        <v>0.180294</v>
      </c>
      <c r="R136" s="26" t="n">
        <v>20</v>
      </c>
      <c r="S136" s="29" t="n">
        <v>1</v>
      </c>
      <c r="T136" s="24" t="inlineStr">
        <is>
          <t>soccer-poisson-dc-v1</t>
        </is>
      </c>
      <c r="U136" s="24" t="inlineStr">
        <is>
          <t>settled</t>
        </is>
      </c>
      <c r="V136" s="24" t="inlineStr">
        <is>
          <t>win</t>
        </is>
      </c>
      <c r="W136" s="26" t="n">
        <v>3</v>
      </c>
      <c r="X136" s="26" t="n">
        <v>1</v>
      </c>
      <c r="Y136" s="25" t="n"/>
      <c r="Z136" s="26" t="n"/>
      <c r="AA136" s="28" t="n"/>
      <c r="AB136" s="28" t="n"/>
      <c r="AC136" s="30" t="n">
        <v>1.7</v>
      </c>
      <c r="AD136" s="24" t="inlineStr">
        <is>
          <t>2026-07-28T01:57:11.783634Z</t>
        </is>
      </c>
      <c r="AE136" s="31" t="inlineStr">
        <is>
          <t>Poisson-DC rates 1.64 (home) / 1.24 (away) from EWMA attack/defense strengths. Executable ask 0.3700 (tsc-arg2-atl-alm-2026-07-27-2pt5).</t>
        </is>
      </c>
      <c r="AF136" s="31" t="inlineStr">
        <is>
          <t>Research-only soccer score model; draw-aware, but not yet locked-holdout qualified.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NO_CALL_MODEL_UNVALIDATED</t>
        </is>
      </c>
      <c r="AP136" s="24" t="inlineStr">
        <is>
          <t>Almagro</t>
        </is>
      </c>
      <c r="AQ136" s="24" t="inlineStr">
        <is>
          <t>Almagro</t>
        </is>
      </c>
      <c r="AR136" s="24" t="inlineStr">
        <is>
          <t>Almagro</t>
        </is>
      </c>
      <c r="AS136" s="24" t="inlineStr">
        <is>
          <t>Atlanta</t>
        </is>
      </c>
      <c r="AT136" s="24" t="inlineStr">
        <is>
          <t>Atlanta</t>
        </is>
      </c>
      <c r="AU136" s="24" t="inlineStr">
        <is>
          <t>Atlanta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0361718a19f38c3d244b71cb6b1f2e7e14a86925e833d2186645250fc084b969</t>
        </is>
      </c>
      <c r="BB136" s="24" t="inlineStr">
        <is>
          <t>poisson_dixon_coles</t>
        </is>
      </c>
      <c r="BC136" s="24" t="inlineStr">
        <is>
          <t>soccer-poisson-dc-v1</t>
        </is>
      </c>
      <c r="BD136" s="24" t="inlineStr">
        <is>
          <t>0361718a19f38c3d244b71cb6b1f2e7e14a86925e833d2186645250fc084b969</t>
        </is>
      </c>
      <c r="BE136" s="24" t="inlineStr">
        <is>
          <t>soccer-poisson-dc-v1</t>
        </is>
      </c>
      <c r="BF136" s="24" t="inlineStr">
        <is>
          <t>1</t>
        </is>
      </c>
      <c r="BG136" s="24" t="inlineStr">
        <is>
          <t>0361718a19f38c3d244b71cb6b1f2e7e14a86925e833d2186645250fc084b969</t>
        </is>
      </c>
      <c r="BH136" s="24" t="inlineStr">
        <is>
          <t>2026-07-27T22:52:46.180696Z</t>
        </is>
      </c>
      <c r="BI136" s="24" t="inlineStr">
        <is>
          <t>["same_event","same_team_same_day","same_league_same_day"]</t>
        </is>
      </c>
      <c r="BJ136" s="25" t="n">
        <v>2.5</v>
      </c>
      <c r="BK136" s="26" t="n">
        <v>170</v>
      </c>
      <c r="BL136" s="27" t="n">
        <v>2.7</v>
      </c>
      <c r="BM136" s="28" t="n">
        <v>0.37037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</row>
    <row r="137" ht="36" customHeight="1">
      <c r="A137" s="24" t="inlineStr">
        <is>
          <t>a46c289941a345c2</t>
        </is>
      </c>
      <c r="B137" s="24" t="inlineStr">
        <is>
          <t>2026-07-27T22:53:46.963522Z</t>
        </is>
      </c>
      <c r="C137" s="24" t="inlineStr">
        <is>
          <t>2026-07-27T23:00Z</t>
        </is>
      </c>
      <c r="D137" s="24" t="inlineStr">
        <is>
          <t>401843998</t>
        </is>
      </c>
      <c r="E137" s="24" t="inlineStr">
        <is>
          <t>SOCCER</t>
        </is>
      </c>
      <c r="F137" s="24" t="inlineStr">
        <is>
          <t>Almagro</t>
        </is>
      </c>
      <c r="G137" s="24" t="inlineStr">
        <is>
          <t>Atlanta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-156</v>
      </c>
      <c r="M137" s="27" t="n">
        <v>1.641026</v>
      </c>
      <c r="N137" s="28" t="n">
        <v>0.609375</v>
      </c>
      <c r="O137" s="28" t="n">
        <v>0.456199</v>
      </c>
      <c r="P137" s="28" t="n">
        <v>0.2</v>
      </c>
      <c r="Q137" s="28" t="n">
        <v>-0.153176</v>
      </c>
      <c r="R137" s="26" t="n">
        <v>0</v>
      </c>
      <c r="S137" s="29" t="n">
        <v>1</v>
      </c>
      <c r="T137" s="24" t="inlineStr">
        <is>
          <t>soccer-poisson-dc-v1</t>
        </is>
      </c>
      <c r="U137" s="24" t="inlineStr">
        <is>
          <t>settled</t>
        </is>
      </c>
      <c r="V137" s="24" t="inlineStr">
        <is>
          <t>loss</t>
        </is>
      </c>
      <c r="W137" s="26" t="n">
        <v>3</v>
      </c>
      <c r="X137" s="26" t="n">
        <v>1</v>
      </c>
      <c r="Y137" s="25" t="n"/>
      <c r="Z137" s="26" t="n"/>
      <c r="AA137" s="28" t="n"/>
      <c r="AB137" s="28" t="n"/>
      <c r="AC137" s="30" t="n">
        <v>-1</v>
      </c>
      <c r="AD137" s="24" t="inlineStr">
        <is>
          <t>2026-07-28T01:57:11.829328Z</t>
        </is>
      </c>
      <c r="AE137" s="31" t="inlineStr">
        <is>
          <t>Poisson-DC rates 1.64 (home) / 1.24 (away) from EWMA attack/defense strengths. Executable ask 0.6100 (atc-arg2-atl-alm-2026-07-27-atl).</t>
        </is>
      </c>
      <c r="AF137" s="31" t="inlineStr">
        <is>
          <t>Research-only soccer score model; draw-aware, but not yet locked-holdout qualified.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NO_CALL_MODEL_UNVALIDATED</t>
        </is>
      </c>
      <c r="AP137" s="24" t="inlineStr">
        <is>
          <t>Almagro</t>
        </is>
      </c>
      <c r="AQ137" s="24" t="inlineStr">
        <is>
          <t>Almagro</t>
        </is>
      </c>
      <c r="AR137" s="24" t="inlineStr">
        <is>
          <t>Almagro</t>
        </is>
      </c>
      <c r="AS137" s="24" t="inlineStr">
        <is>
          <t>Atlanta</t>
        </is>
      </c>
      <c r="AT137" s="24" t="inlineStr">
        <is>
          <t>Atlanta</t>
        </is>
      </c>
      <c r="AU137" s="24" t="inlineStr">
        <is>
          <t>Atlanta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0361718a19f38c3d244b71cb6b1f2e7e14a86925e833d2186645250fc084b969</t>
        </is>
      </c>
      <c r="BB137" s="24" t="inlineStr">
        <is>
          <t>poisson_dixon_coles</t>
        </is>
      </c>
      <c r="BC137" s="24" t="inlineStr">
        <is>
          <t>soccer-poisson-dc-v1</t>
        </is>
      </c>
      <c r="BD137" s="24" t="inlineStr">
        <is>
          <t>0361718a19f38c3d244b71cb6b1f2e7e14a86925e833d2186645250fc084b969</t>
        </is>
      </c>
      <c r="BE137" s="24" t="inlineStr">
        <is>
          <t>soccer-poisson-dc-v1</t>
        </is>
      </c>
      <c r="BF137" s="24" t="inlineStr">
        <is>
          <t>1</t>
        </is>
      </c>
      <c r="BG137" s="24" t="inlineStr">
        <is>
          <t>0361718a19f38c3d244b71cb6b1f2e7e14a86925e833d2186645250fc084b969</t>
        </is>
      </c>
      <c r="BH137" s="24" t="inlineStr">
        <is>
          <t>2026-07-27T22:52:46.097852Z</t>
        </is>
      </c>
      <c r="BI137" s="24" t="inlineStr">
        <is>
          <t>["same_event","same_team_same_day","same_league_same_day"]</t>
        </is>
      </c>
      <c r="BJ137" s="25" t="n"/>
      <c r="BK137" s="26" t="n">
        <v>-156</v>
      </c>
      <c r="BL137" s="27" t="n">
        <v>1.641026</v>
      </c>
      <c r="BM137" s="28" t="n">
        <v>0.609375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</row>
    <row r="138" ht="36" customHeight="1">
      <c r="A138" s="24" t="inlineStr">
        <is>
          <t>5dcf18c1bd674c37</t>
        </is>
      </c>
      <c r="B138" s="24" t="inlineStr">
        <is>
          <t>2026-07-28T20:34:14.874473Z</t>
        </is>
      </c>
      <c r="C138" s="24" t="inlineStr">
        <is>
          <t>2026-07-28T22:30Z</t>
        </is>
      </c>
      <c r="D138" s="24" t="inlineStr">
        <is>
          <t>401860254</t>
        </is>
      </c>
      <c r="E138" s="24" t="inlineStr">
        <is>
          <t>SOCCER</t>
        </is>
      </c>
      <c r="F138" s="24" t="inlineStr">
        <is>
          <t>Avaí</t>
        </is>
      </c>
      <c r="G138" s="24" t="inlineStr">
        <is>
          <t>Juventude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-127</v>
      </c>
      <c r="M138" s="27" t="n">
        <v>1.787402</v>
      </c>
      <c r="N138" s="28" t="n">
        <v>0.5594710000000001</v>
      </c>
      <c r="O138" s="28" t="n">
        <v>0.456199</v>
      </c>
      <c r="P138" s="28" t="n">
        <v>0.2</v>
      </c>
      <c r="Q138" s="28" t="n">
        <v>-0.103272</v>
      </c>
      <c r="R138" s="26" t="n">
        <v>0</v>
      </c>
      <c r="S138" s="29" t="n">
        <v>1</v>
      </c>
      <c r="T138" s="24" t="inlineStr">
        <is>
          <t>soccer-poisson-dc-v1</t>
        </is>
      </c>
      <c r="U138" s="24" t="inlineStr">
        <is>
          <t>settled</t>
        </is>
      </c>
      <c r="V138" s="24" t="inlineStr">
        <is>
          <t>win</t>
        </is>
      </c>
      <c r="W138" s="26" t="n">
        <v>0</v>
      </c>
      <c r="X138" s="26" t="n">
        <v>1</v>
      </c>
      <c r="Y138" s="25" t="n"/>
      <c r="Z138" s="26" t="n"/>
      <c r="AA138" s="28" t="n"/>
      <c r="AB138" s="28" t="n"/>
      <c r="AC138" s="30" t="n">
        <v>0.7874</v>
      </c>
      <c r="AD138" s="24" t="inlineStr">
        <is>
          <t>2026-07-29T02:41:46.905781Z</t>
        </is>
      </c>
      <c r="AE138" s="31" t="inlineStr">
        <is>
          <t>Poisson-DC rates 1.64 (home) / 1.24 (away) from EWMA attack/defense strengths. Executable ask 0.5600 (atc-brb-juv-ava-2026-07-28-juv).</t>
        </is>
      </c>
      <c r="AF138" s="31" t="inlineStr">
        <is>
          <t>Research-only soccer score model; draw-aware, but not yet locked-holdout qualified.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NO_CALL_MODEL_UNVALIDATED</t>
        </is>
      </c>
      <c r="AP138" s="24" t="inlineStr">
        <is>
          <t>Avaí</t>
        </is>
      </c>
      <c r="AQ138" s="24" t="inlineStr">
        <is>
          <t>Avaí</t>
        </is>
      </c>
      <c r="AR138" s="24" t="inlineStr">
        <is>
          <t>Avaí</t>
        </is>
      </c>
      <c r="AS138" s="24" t="inlineStr">
        <is>
          <t>Juventude</t>
        </is>
      </c>
      <c r="AT138" s="24" t="inlineStr">
        <is>
          <t>Juventude</t>
        </is>
      </c>
      <c r="AU138" s="24" t="inlineStr">
        <is>
          <t>Juventude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research</t>
        </is>
      </c>
      <c r="BA138" s="24" t="inlineStr">
        <is>
          <t>0361718a19f38c3d244b71cb6b1f2e7e14a86925e833d2186645250fc084b969</t>
        </is>
      </c>
      <c r="BB138" s="24" t="inlineStr">
        <is>
          <t>poisson_dixon_coles</t>
        </is>
      </c>
      <c r="BC138" s="24" t="inlineStr">
        <is>
          <t>soccer-poisson-dc-v1</t>
        </is>
      </c>
      <c r="BD138" s="24" t="inlineStr">
        <is>
          <t>0361718a19f38c3d244b71cb6b1f2e7e14a86925e833d2186645250fc084b969</t>
        </is>
      </c>
      <c r="BE138" s="24" t="inlineStr">
        <is>
          <t>soccer-poisson-dc-v1</t>
        </is>
      </c>
      <c r="BF138" s="24" t="inlineStr">
        <is>
          <t>1</t>
        </is>
      </c>
      <c r="BG138" s="24" t="inlineStr">
        <is>
          <t>0361718a19f38c3d244b71cb6b1f2e7e14a86925e833d2186645250fc084b969</t>
        </is>
      </c>
      <c r="BH138" s="24" t="inlineStr">
        <is>
          <t>2026-07-28T20:32:26.107744Z</t>
        </is>
      </c>
      <c r="BI138" s="24" t="inlineStr">
        <is>
          <t>["same_event","same_team_same_day","same_league_same_day"]</t>
        </is>
      </c>
      <c r="BJ138" s="25" t="n"/>
      <c r="BK138" s="26" t="n">
        <v>-127</v>
      </c>
      <c r="BL138" s="27" t="n">
        <v>1.787402</v>
      </c>
      <c r="BM138" s="28" t="n">
        <v>0.5594710000000001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</row>
    <row r="139" ht="36" customHeight="1">
      <c r="A139" s="24" t="inlineStr">
        <is>
          <t>71dc8bd5d8eb498a</t>
        </is>
      </c>
      <c r="B139" s="24" t="inlineStr">
        <is>
          <t>2026-07-28T20:34:14.874473Z</t>
        </is>
      </c>
      <c r="C139" s="24" t="inlineStr">
        <is>
          <t>2026-07-28T22:00Z</t>
        </is>
      </c>
      <c r="D139" s="24" t="inlineStr">
        <is>
          <t>401841452</t>
        </is>
      </c>
      <c r="E139" s="24" t="inlineStr">
        <is>
          <t>SOCCER</t>
        </is>
      </c>
      <c r="F139" s="24" t="inlineStr">
        <is>
          <t>Gimnasia (Mendoza)</t>
        </is>
      </c>
      <c r="G139" s="24" t="inlineStr">
        <is>
          <t>San Lorenzo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100</v>
      </c>
      <c r="M139" s="27" t="n">
        <v>2</v>
      </c>
      <c r="N139" s="28" t="n">
        <v>0.5</v>
      </c>
      <c r="O139" s="28" t="n">
        <v>0.456199</v>
      </c>
      <c r="P139" s="28" t="n">
        <v>0.2</v>
      </c>
      <c r="Q139" s="28" t="n">
        <v>-0.043801</v>
      </c>
      <c r="R139" s="26" t="n">
        <v>0</v>
      </c>
      <c r="S139" s="29" t="n">
        <v>1</v>
      </c>
      <c r="T139" s="24" t="inlineStr">
        <is>
          <t>soccer-poisson-dc-v1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/>
      <c r="AA139" s="28" t="n"/>
      <c r="AB139" s="28" t="n"/>
      <c r="AC139" s="30" t="n">
        <v>1</v>
      </c>
      <c r="AD139" s="24" t="inlineStr">
        <is>
          <t>2026-07-29T02:41:47.313571Z</t>
        </is>
      </c>
      <c r="AE139" s="31" t="inlineStr">
        <is>
          <t>Poisson-DC rates 1.64 (home) / 1.24 (away) from EWMA attack/defense strengths. Executable ask 0.5000 (atc-lpa-slo-gye-2026-07-28-slo).</t>
        </is>
      </c>
      <c r="AF139" s="31" t="inlineStr">
        <is>
          <t>Research-only soccer score model; draw-aware, but not yet locked-holdout qualified.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NO_CALL_MODEL_UNVALIDATED</t>
        </is>
      </c>
      <c r="AP139" s="24" t="inlineStr">
        <is>
          <t>Gimnasia (Mendoza)</t>
        </is>
      </c>
      <c r="AQ139" s="24" t="inlineStr">
        <is>
          <t>Gimnasia (Mendoza)</t>
        </is>
      </c>
      <c r="AR139" s="24" t="inlineStr">
        <is>
          <t>Gimnasia (Mendoza)</t>
        </is>
      </c>
      <c r="AS139" s="24" t="inlineStr">
        <is>
          <t>San Lorenzo</t>
        </is>
      </c>
      <c r="AT139" s="24" t="inlineStr">
        <is>
          <t>San Lorenzo</t>
        </is>
      </c>
      <c r="AU139" s="24" t="inlineStr">
        <is>
          <t>San Lorenzo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research</t>
        </is>
      </c>
      <c r="BA139" s="24" t="inlineStr">
        <is>
          <t>0361718a19f38c3d244b71cb6b1f2e7e14a86925e833d2186645250fc084b969</t>
        </is>
      </c>
      <c r="BB139" s="24" t="inlineStr">
        <is>
          <t>poisson_dixon_coles</t>
        </is>
      </c>
      <c r="BC139" s="24" t="inlineStr">
        <is>
          <t>soccer-poisson-dc-v1</t>
        </is>
      </c>
      <c r="BD139" s="24" t="inlineStr">
        <is>
          <t>0361718a19f38c3d244b71cb6b1f2e7e14a86925e833d2186645250fc084b969</t>
        </is>
      </c>
      <c r="BE139" s="24" t="inlineStr">
        <is>
          <t>soccer-poisson-dc-v1</t>
        </is>
      </c>
      <c r="BF139" s="24" t="inlineStr">
        <is>
          <t>1</t>
        </is>
      </c>
      <c r="BG139" s="24" t="inlineStr">
        <is>
          <t>0361718a19f38c3d244b71cb6b1f2e7e14a86925e833d2186645250fc084b969</t>
        </is>
      </c>
      <c r="BH139" s="24" t="inlineStr">
        <is>
          <t>2026-07-28T20:32:27.095637Z</t>
        </is>
      </c>
      <c r="BI139" s="24" t="inlineStr">
        <is>
          <t>["same_event","same_team_same_day","same_league_same_day"]</t>
        </is>
      </c>
      <c r="BJ139" s="25" t="n"/>
      <c r="BK139" s="26" t="n">
        <v>100</v>
      </c>
      <c r="BL139" s="27" t="n">
        <v>2</v>
      </c>
      <c r="BM139" s="28" t="n">
        <v>0.5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</row>
    <row r="140" ht="36" customHeight="1">
      <c r="A140" s="24" t="inlineStr">
        <is>
          <t>538e4eae98a44836</t>
        </is>
      </c>
      <c r="B140" s="24" t="inlineStr">
        <is>
          <t>2026-07-28T20:34:14.874473Z</t>
        </is>
      </c>
      <c r="C140" s="24" t="inlineStr">
        <is>
          <t>2026-07-28T22:00Z</t>
        </is>
      </c>
      <c r="D140" s="24" t="inlineStr">
        <is>
          <t>401874071</t>
        </is>
      </c>
      <c r="E140" s="24" t="inlineStr">
        <is>
          <t>SOCCER</t>
        </is>
      </c>
      <c r="F140" s="24" t="inlineStr">
        <is>
          <t>Nacional</t>
        </is>
      </c>
      <c r="G140" s="24" t="inlineStr">
        <is>
          <t>Tigre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122</v>
      </c>
      <c r="M140" s="27" t="n">
        <v>2.22</v>
      </c>
      <c r="N140" s="28" t="n">
        <v>0.45045</v>
      </c>
      <c r="O140" s="28" t="n">
        <v>0.456199</v>
      </c>
      <c r="P140" s="28" t="n">
        <v>0.2</v>
      </c>
      <c r="Q140" s="28" t="n">
        <v>0.005749</v>
      </c>
      <c r="R140" s="26" t="n">
        <v>0</v>
      </c>
      <c r="S140" s="29" t="n">
        <v>1</v>
      </c>
      <c r="T140" s="24" t="inlineStr">
        <is>
          <t>soccer-poisson-dc-v1</t>
        </is>
      </c>
      <c r="U140" s="24" t="inlineStr">
        <is>
          <t>settled</t>
        </is>
      </c>
      <c r="V140" s="24" t="inlineStr">
        <is>
          <t>loss</t>
        </is>
      </c>
      <c r="W140" s="26" t="n">
        <v>2</v>
      </c>
      <c r="X140" s="26" t="n">
        <v>1</v>
      </c>
      <c r="Y140" s="25" t="n"/>
      <c r="Z140" s="26" t="n"/>
      <c r="AA140" s="28" t="n"/>
      <c r="AB140" s="28" t="n"/>
      <c r="AC140" s="30" t="n">
        <v>-1</v>
      </c>
      <c r="AD140" s="24" t="inlineStr">
        <is>
          <t>2026-07-29T02:41:49.355103Z</t>
        </is>
      </c>
      <c r="AE140" s="31" t="inlineStr">
        <is>
          <t>Poisson-DC rates 1.64 (home) / 1.24 (away) from EWMA attack/defense strengths. Executable ask 0.4500 (atc-sud-tig-nac-2026-07-28-tig).</t>
        </is>
      </c>
      <c r="AF140" s="31" t="inlineStr">
        <is>
          <t>Research-only soccer score model; draw-aware, but not yet locked-holdout qualified.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NO_CALL_MODEL_UNVALIDATED</t>
        </is>
      </c>
      <c r="AP140" s="24" t="inlineStr">
        <is>
          <t>Nacional</t>
        </is>
      </c>
      <c r="AQ140" s="24" t="inlineStr">
        <is>
          <t>Nacional</t>
        </is>
      </c>
      <c r="AR140" s="24" t="inlineStr">
        <is>
          <t>Nacional</t>
        </is>
      </c>
      <c r="AS140" s="24" t="inlineStr">
        <is>
          <t>Tigre</t>
        </is>
      </c>
      <c r="AT140" s="24" t="inlineStr">
        <is>
          <t>Tigre</t>
        </is>
      </c>
      <c r="AU140" s="24" t="inlineStr">
        <is>
          <t>Tigre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0361718a19f38c3d244b71cb6b1f2e7e14a86925e833d2186645250fc084b969</t>
        </is>
      </c>
      <c r="BB140" s="24" t="inlineStr">
        <is>
          <t>poisson_dixon_coles</t>
        </is>
      </c>
      <c r="BC140" s="24" t="inlineStr">
        <is>
          <t>soccer-poisson-dc-v1</t>
        </is>
      </c>
      <c r="BD140" s="24" t="inlineStr">
        <is>
          <t>0361718a19f38c3d244b71cb6b1f2e7e14a86925e833d2186645250fc084b969</t>
        </is>
      </c>
      <c r="BE140" s="24" t="inlineStr">
        <is>
          <t>soccer-poisson-dc-v1</t>
        </is>
      </c>
      <c r="BF140" s="24" t="inlineStr">
        <is>
          <t>1</t>
        </is>
      </c>
      <c r="BG140" s="24" t="inlineStr">
        <is>
          <t>0361718a19f38c3d244b71cb6b1f2e7e14a86925e833d2186645250fc084b969</t>
        </is>
      </c>
      <c r="BH140" s="24" t="inlineStr">
        <is>
          <t>2026-07-28T20:32:28.187625Z</t>
        </is>
      </c>
      <c r="BI140" s="24" t="inlineStr">
        <is>
          <t>["same_event","same_team_same_day","same_league_same_day"]</t>
        </is>
      </c>
      <c r="BJ140" s="25" t="n"/>
      <c r="BK140" s="26" t="n">
        <v>122</v>
      </c>
      <c r="BL140" s="27" t="n">
        <v>2.22</v>
      </c>
      <c r="BM140" s="28" t="n">
        <v>0.45045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</row>
    <row r="141" ht="36" customHeight="1">
      <c r="A141" s="24" t="inlineStr">
        <is>
          <t>9d29b7c025c54f14</t>
        </is>
      </c>
      <c r="B141" s="24" t="inlineStr">
        <is>
          <t>2026-07-28T23:39:16.759753Z</t>
        </is>
      </c>
      <c r="C141" s="24" t="inlineStr">
        <is>
          <t>2026-07-29T00:35Z</t>
        </is>
      </c>
      <c r="D141" s="24" t="inlineStr">
        <is>
          <t>401860253</t>
        </is>
      </c>
      <c r="E141" s="24" t="inlineStr">
        <is>
          <t>SOCCER</t>
        </is>
      </c>
      <c r="F141" s="24" t="inlineStr">
        <is>
          <t>Botafogo-SP</t>
        </is>
      </c>
      <c r="G141" s="24" t="inlineStr">
        <is>
          <t>Fortaleza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-104</v>
      </c>
      <c r="M141" s="27" t="n">
        <v>1.961538</v>
      </c>
      <c r="N141" s="28" t="n">
        <v>0.509804</v>
      </c>
      <c r="O141" s="28" t="n">
        <v>0.456199</v>
      </c>
      <c r="P141" s="28" t="n">
        <v>0.2</v>
      </c>
      <c r="Q141" s="28" t="n">
        <v>-0.053605</v>
      </c>
      <c r="R141" s="26" t="n">
        <v>0</v>
      </c>
      <c r="S141" s="29" t="n">
        <v>1</v>
      </c>
      <c r="T141" s="24" t="inlineStr">
        <is>
          <t>soccer-poisson-dc-v1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/>
      <c r="AA141" s="28" t="n"/>
      <c r="AB141" s="28" t="n"/>
      <c r="AC141" s="30" t="n">
        <v>0.9615</v>
      </c>
      <c r="AD141" s="24" t="inlineStr">
        <is>
          <t>2026-07-29T02:41:49.433624Z</t>
        </is>
      </c>
      <c r="AE141" s="31" t="inlineStr">
        <is>
          <t>Poisson-DC rates 1.64 (home) / 1.24 (away) from EWMA attack/defense strengths. Executable ask 0.5100 (atc-brb-fec-bot-2026-07-28-fec).</t>
        </is>
      </c>
      <c r="AF141" s="31" t="inlineStr">
        <is>
          <t>Research-only soccer score model; draw-aware, but not yet locked-holdout qualified.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NO_CALL_MODEL_UNVALIDATED</t>
        </is>
      </c>
      <c r="AP141" s="24" t="inlineStr">
        <is>
          <t>Botafogo-SP</t>
        </is>
      </c>
      <c r="AQ141" s="24" t="inlineStr">
        <is>
          <t>Botafogo-SP</t>
        </is>
      </c>
      <c r="AR141" s="24" t="inlineStr">
        <is>
          <t>Botafogo-SP</t>
        </is>
      </c>
      <c r="AS141" s="24" t="inlineStr">
        <is>
          <t>Fortaleza</t>
        </is>
      </c>
      <c r="AT141" s="24" t="inlineStr">
        <is>
          <t>Fortaleza</t>
        </is>
      </c>
      <c r="AU141" s="24" t="inlineStr">
        <is>
          <t>Fortaleza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research</t>
        </is>
      </c>
      <c r="BA141" s="24" t="inlineStr">
        <is>
          <t>0361718a19f38c3d244b71cb6b1f2e7e14a86925e833d2186645250fc084b969</t>
        </is>
      </c>
      <c r="BB141" s="24" t="inlineStr">
        <is>
          <t>poisson_dixon_coles</t>
        </is>
      </c>
      <c r="BC141" s="24" t="inlineStr">
        <is>
          <t>soccer-poisson-dc-v1</t>
        </is>
      </c>
      <c r="BD141" s="24" t="inlineStr">
        <is>
          <t>0361718a19f38c3d244b71cb6b1f2e7e14a86925e833d2186645250fc084b969</t>
        </is>
      </c>
      <c r="BE141" s="24" t="inlineStr">
        <is>
          <t>soccer-poisson-dc-v1</t>
        </is>
      </c>
      <c r="BF141" s="24" t="inlineStr">
        <is>
          <t>1</t>
        </is>
      </c>
      <c r="BG141" s="24" t="inlineStr">
        <is>
          <t>0361718a19f38c3d244b71cb6b1f2e7e14a86925e833d2186645250fc084b969</t>
        </is>
      </c>
      <c r="BH141" s="24" t="inlineStr">
        <is>
          <t>2026-07-28T23:37:59.431647Z</t>
        </is>
      </c>
      <c r="BI141" s="24" t="inlineStr">
        <is>
          <t>["same_event","same_team_same_day","same_league_same_day"]</t>
        </is>
      </c>
      <c r="BJ141" s="25" t="n"/>
      <c r="BK141" s="26" t="n">
        <v>-104</v>
      </c>
      <c r="BL141" s="27" t="n">
        <v>1.961538</v>
      </c>
      <c r="BM141" s="28" t="n">
        <v>0.509804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</row>
    <row r="142" ht="36" customHeight="1">
      <c r="A142" s="24" t="inlineStr">
        <is>
          <t>5d005d5149204d49</t>
        </is>
      </c>
      <c r="B142" s="24" t="inlineStr">
        <is>
          <t>2026-07-29T08:55:19.773254Z</t>
        </is>
      </c>
      <c r="C142" s="24" t="inlineStr">
        <is>
          <t>2026-07-29T10:00Z</t>
        </is>
      </c>
      <c r="D142" s="24" t="inlineStr">
        <is>
          <t>401872736</t>
        </is>
      </c>
      <c r="E142" s="24" t="inlineStr">
        <is>
          <t>SOCCER</t>
        </is>
      </c>
      <c r="F142" s="24" t="inlineStr">
        <is>
          <t>Borussia Dortmund</t>
        </is>
      </c>
      <c r="G142" s="24" t="inlineStr">
        <is>
          <t>Cerezo Osaka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-178</v>
      </c>
      <c r="M142" s="27" t="n">
        <v>1.561798</v>
      </c>
      <c r="N142" s="28" t="n">
        <v>0.640288</v>
      </c>
      <c r="O142" s="28" t="n">
        <v>0.440542</v>
      </c>
      <c r="P142" s="28" t="n">
        <v>0.2</v>
      </c>
      <c r="Q142" s="28" t="n">
        <v>-0.199746</v>
      </c>
      <c r="R142" s="26" t="n">
        <v>0</v>
      </c>
      <c r="S142" s="29" t="n">
        <v>1</v>
      </c>
      <c r="T142" s="24" t="inlineStr">
        <is>
          <t>soccer-poisson-dc-v1</t>
        </is>
      </c>
      <c r="U142" s="24" t="inlineStr">
        <is>
          <t>settled</t>
        </is>
      </c>
      <c r="V142" s="24" t="inlineStr">
        <is>
          <t>loss</t>
        </is>
      </c>
      <c r="W142" s="26" t="n">
        <v>0</v>
      </c>
      <c r="X142" s="26" t="n">
        <v>1</v>
      </c>
      <c r="Y142" s="25" t="n"/>
      <c r="Z142" s="26" t="n"/>
      <c r="AA142" s="28" t="n"/>
      <c r="AB142" s="28" t="n"/>
      <c r="AC142" s="30" t="n">
        <v>-1</v>
      </c>
      <c r="AD142" s="24" t="inlineStr">
        <is>
          <t>2026-07-29T15:04:55.440111Z</t>
        </is>
      </c>
      <c r="AE142" s="31" t="inlineStr">
        <is>
          <t>Poisson-DC rates 1.39 (home) / 1.71 (away) from EWMA attack/defense strengths. Executable ask 0.6400 (atc-clbf-cer-bvb-2026-07-29-bvb).</t>
        </is>
      </c>
      <c r="AF142" s="31" t="inlineStr">
        <is>
          <t>Research-only soccer score model; draw-aware, but not yet locked-holdout qualified.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research_observation</t>
        </is>
      </c>
      <c r="AL142" s="26" t="n">
        <v>3</v>
      </c>
      <c r="AM142" s="24" t="inlineStr">
        <is>
          <t>RESEARCH_OBSERVATION</t>
        </is>
      </c>
      <c r="AN142" s="24" t="inlineStr">
        <is>
          <t>NO_CALL</t>
        </is>
      </c>
      <c r="AO142" s="24" t="inlineStr">
        <is>
          <t>NO_CALL_MODEL_UNVALIDATED</t>
        </is>
      </c>
      <c r="AP142" s="24" t="inlineStr">
        <is>
          <t>Borussia Dortmund</t>
        </is>
      </c>
      <c r="AQ142" s="24" t="inlineStr">
        <is>
          <t>Borussia Dortmund</t>
        </is>
      </c>
      <c r="AR142" s="24" t="inlineStr">
        <is>
          <t>Borussia Dortmund</t>
        </is>
      </c>
      <c r="AS142" s="24" t="inlineStr">
        <is>
          <t>Cerezo Osaka</t>
        </is>
      </c>
      <c r="AT142" s="24" t="inlineStr">
        <is>
          <t>Cerezo Osaka</t>
        </is>
      </c>
      <c r="AU142" s="24" t="inlineStr">
        <is>
          <t>Cerezo Osaka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research</t>
        </is>
      </c>
      <c r="BA142" s="24" t="inlineStr">
        <is>
          <t>0361718a19f38c3d244b71cb6b1f2e7e14a86925e833d2186645250fc084b969</t>
        </is>
      </c>
      <c r="BB142" s="24" t="inlineStr">
        <is>
          <t>poisson_dixon_coles</t>
        </is>
      </c>
      <c r="BC142" s="24" t="inlineStr">
        <is>
          <t>soccer-poisson-dc-v1</t>
        </is>
      </c>
      <c r="BD142" s="24" t="inlineStr">
        <is>
          <t>0361718a19f38c3d244b71cb6b1f2e7e14a86925e833d2186645250fc084b969</t>
        </is>
      </c>
      <c r="BE142" s="24" t="inlineStr">
        <is>
          <t>soccer-poisson-dc-v1</t>
        </is>
      </c>
      <c r="BF142" s="24" t="inlineStr">
        <is>
          <t>1</t>
        </is>
      </c>
      <c r="BG142" s="24" t="inlineStr">
        <is>
          <t>0361718a19f38c3d244b71cb6b1f2e7e14a86925e833d2186645250fc084b969</t>
        </is>
      </c>
      <c r="BH142" s="24" t="inlineStr">
        <is>
          <t>2026-07-29T08:52:45.504203Z</t>
        </is>
      </c>
      <c r="BI142" s="24" t="inlineStr">
        <is>
          <t>["same_event","same_team_same_day","same_league_same_day"]</t>
        </is>
      </c>
      <c r="BJ142" s="25" t="n"/>
      <c r="BK142" s="26" t="n">
        <v>-178</v>
      </c>
      <c r="BL142" s="27" t="n">
        <v>1.561798</v>
      </c>
      <c r="BM142" s="28" t="n">
        <v>0.640288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</row>
    <row r="143" ht="36" customHeight="1">
      <c r="A143" s="24" t="inlineStr">
        <is>
          <t>f8c013a541034830</t>
        </is>
      </c>
      <c r="B143" s="24" t="inlineStr">
        <is>
          <t>2026-07-29T15:07:40.379188Z</t>
        </is>
      </c>
      <c r="C143" s="24" t="inlineStr">
        <is>
          <t>2026-07-29T17:30Z</t>
        </is>
      </c>
      <c r="D143" s="24" t="inlineStr">
        <is>
          <t>401841461</t>
        </is>
      </c>
      <c r="E143" s="24" t="inlineStr">
        <is>
          <t>SOCCER</t>
        </is>
      </c>
      <c r="F143" s="24" t="inlineStr">
        <is>
          <t>Aldosivi</t>
        </is>
      </c>
      <c r="G143" s="24" t="inlineStr">
        <is>
          <t>Barracas Central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144</v>
      </c>
      <c r="M143" s="27" t="n">
        <v>2.44</v>
      </c>
      <c r="N143" s="28" t="n">
        <v>0.409836</v>
      </c>
      <c r="O143" s="28" t="n">
        <v>0.456199</v>
      </c>
      <c r="P143" s="28" t="n">
        <v>0.2</v>
      </c>
      <c r="Q143" s="28" t="n">
        <v>0.046363</v>
      </c>
      <c r="R143" s="26" t="n">
        <v>0</v>
      </c>
      <c r="S143" s="29" t="n">
        <v>1</v>
      </c>
      <c r="T143" s="24" t="inlineStr">
        <is>
          <t>soccer-poisson-dc-v1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1</v>
      </c>
      <c r="Y143" s="25" t="n"/>
      <c r="Z143" s="26" t="n"/>
      <c r="AA143" s="28" t="n"/>
      <c r="AB143" s="28" t="n"/>
      <c r="AC143" s="30" t="n">
        <v>1.44</v>
      </c>
      <c r="AD143" s="24" t="inlineStr">
        <is>
          <t>2026-07-30T04:12:52.147509Z</t>
        </is>
      </c>
      <c r="AE143" s="31" t="inlineStr">
        <is>
          <t>Poisson-DC rates 1.64 (home) / 1.24 (away) from EWMA attack/defense strengths. Executable ask 0.4100 (atc-lpa-bar-ald-2026-07-29-bar).</t>
        </is>
      </c>
      <c r="AF143" s="31" t="inlineStr">
        <is>
          <t>Research-only soccer score model; draw-aware, but not yet locked-holdout qualified.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NO_CALL_MODEL_UNVALIDATED</t>
        </is>
      </c>
      <c r="AP143" s="24" t="inlineStr">
        <is>
          <t>Aldosivi</t>
        </is>
      </c>
      <c r="AQ143" s="24" t="inlineStr">
        <is>
          <t>Aldosivi</t>
        </is>
      </c>
      <c r="AR143" s="24" t="inlineStr">
        <is>
          <t>Aldosivi</t>
        </is>
      </c>
      <c r="AS143" s="24" t="inlineStr">
        <is>
          <t>Barracas Central</t>
        </is>
      </c>
      <c r="AT143" s="24" t="inlineStr">
        <is>
          <t>Barracas Central</t>
        </is>
      </c>
      <c r="AU143" s="24" t="inlineStr">
        <is>
          <t>Barracas Central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0361718a19f38c3d244b71cb6b1f2e7e14a86925e833d2186645250fc084b969</t>
        </is>
      </c>
      <c r="BB143" s="24" t="inlineStr">
        <is>
          <t>poisson_dixon_coles</t>
        </is>
      </c>
      <c r="BC143" s="24" t="inlineStr">
        <is>
          <t>soccer-poisson-dc-v1</t>
        </is>
      </c>
      <c r="BD143" s="24" t="inlineStr">
        <is>
          <t>0361718a19f38c3d244b71cb6b1f2e7e14a86925e833d2186645250fc084b969</t>
        </is>
      </c>
      <c r="BE143" s="24" t="inlineStr">
        <is>
          <t>soccer-poisson-dc-v1</t>
        </is>
      </c>
      <c r="BF143" s="24" t="inlineStr">
        <is>
          <t>1</t>
        </is>
      </c>
      <c r="BG143" s="24" t="inlineStr">
        <is>
          <t>0361718a19f38c3d244b71cb6b1f2e7e14a86925e833d2186645250fc084b969</t>
        </is>
      </c>
      <c r="BH143" s="24" t="inlineStr">
        <is>
          <t>2026-07-29T15:06:01.050931Z</t>
        </is>
      </c>
      <c r="BI143" s="24" t="inlineStr">
        <is>
          <t>["same_event","same_team_same_day","same_league_same_day"]</t>
        </is>
      </c>
      <c r="BJ143" s="25" t="n"/>
      <c r="BK143" s="26" t="n">
        <v>144</v>
      </c>
      <c r="BL143" s="27" t="n">
        <v>2.44</v>
      </c>
      <c r="BM143" s="28" t="n">
        <v>0.409836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</row>
    <row r="144" ht="36" customHeight="1">
      <c r="A144" s="24" t="inlineStr">
        <is>
          <t>9eab45bc1b49434a</t>
        </is>
      </c>
      <c r="B144" s="24" t="inlineStr">
        <is>
          <t>2026-07-29T17:45:15.881226Z</t>
        </is>
      </c>
      <c r="C144" s="24" t="inlineStr">
        <is>
          <t>2026-07-29T22:30Z</t>
        </is>
      </c>
      <c r="D144" s="24" t="inlineStr">
        <is>
          <t>401841170</t>
        </is>
      </c>
      <c r="E144" s="24" t="inlineStr">
        <is>
          <t>SOCCER</t>
        </is>
      </c>
      <c r="F144" s="24" t="inlineStr">
        <is>
          <t>Remo</t>
        </is>
      </c>
      <c r="G144" s="24" t="inlineStr">
        <is>
          <t>Mirassol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-138</v>
      </c>
      <c r="M144" s="27" t="n">
        <v>1.724638</v>
      </c>
      <c r="N144" s="28" t="n">
        <v>0.579832</v>
      </c>
      <c r="O144" s="28" t="n">
        <v>0.456199</v>
      </c>
      <c r="P144" s="28" t="n">
        <v>0.2</v>
      </c>
      <c r="Q144" s="28" t="n">
        <v>-0.123633</v>
      </c>
      <c r="R144" s="26" t="n">
        <v>0</v>
      </c>
      <c r="S144" s="29" t="n">
        <v>1</v>
      </c>
      <c r="T144" s="24" t="inlineStr">
        <is>
          <t>soccer-poisson-dc-v1</t>
        </is>
      </c>
      <c r="U144" s="24" t="inlineStr">
        <is>
          <t>settled</t>
        </is>
      </c>
      <c r="V144" s="24" t="inlineStr">
        <is>
          <t>win</t>
        </is>
      </c>
      <c r="W144" s="26" t="n">
        <v>1</v>
      </c>
      <c r="X144" s="26" t="n">
        <v>2</v>
      </c>
      <c r="Y144" s="25" t="n"/>
      <c r="Z144" s="26" t="n"/>
      <c r="AA144" s="28" t="n"/>
      <c r="AB144" s="28" t="n"/>
      <c r="AC144" s="30" t="n">
        <v>0.7246</v>
      </c>
      <c r="AD144" s="24" t="inlineStr">
        <is>
          <t>2026-07-30T04:12:52.337713Z</t>
        </is>
      </c>
      <c r="AE144" s="31" t="inlineStr">
        <is>
          <t>Poisson-DC rates 1.64 (home) / 1.24 (away) from EWMA attack/defense strengths. Executable ask 0.5800 (atc-bra-mir-cre-2026-07-29-mir).</t>
        </is>
      </c>
      <c r="AF144" s="31" t="inlineStr">
        <is>
          <t>Research-only soccer score model; draw-aware, but not yet locked-holdout qualified.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NO_CALL_MODEL_UNVALIDATED</t>
        </is>
      </c>
      <c r="AP144" s="24" t="inlineStr">
        <is>
          <t>Remo</t>
        </is>
      </c>
      <c r="AQ144" s="24" t="inlineStr">
        <is>
          <t>Remo</t>
        </is>
      </c>
      <c r="AR144" s="24" t="inlineStr">
        <is>
          <t>Remo</t>
        </is>
      </c>
      <c r="AS144" s="24" t="inlineStr">
        <is>
          <t>Mirassol</t>
        </is>
      </c>
      <c r="AT144" s="24" t="inlineStr">
        <is>
          <t>Mirassol</t>
        </is>
      </c>
      <c r="AU144" s="24" t="inlineStr">
        <is>
          <t>Mirassol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research</t>
        </is>
      </c>
      <c r="BA144" s="24" t="inlineStr">
        <is>
          <t>0361718a19f38c3d244b71cb6b1f2e7e14a86925e833d2186645250fc084b969</t>
        </is>
      </c>
      <c r="BB144" s="24" t="inlineStr">
        <is>
          <t>poisson_dixon_coles</t>
        </is>
      </c>
      <c r="BC144" s="24" t="inlineStr">
        <is>
          <t>soccer-poisson-dc-v1</t>
        </is>
      </c>
      <c r="BD144" s="24" t="inlineStr">
        <is>
          <t>0361718a19f38c3d244b71cb6b1f2e7e14a86925e833d2186645250fc084b969</t>
        </is>
      </c>
      <c r="BE144" s="24" t="inlineStr">
        <is>
          <t>soccer-poisson-dc-v1</t>
        </is>
      </c>
      <c r="BF144" s="24" t="inlineStr">
        <is>
          <t>1</t>
        </is>
      </c>
      <c r="BG144" s="24" t="inlineStr">
        <is>
          <t>0361718a19f38c3d244b71cb6b1f2e7e14a86925e833d2186645250fc084b969</t>
        </is>
      </c>
      <c r="BH144" s="24" t="inlineStr">
        <is>
          <t>2026-07-29T17:43:19.742689Z</t>
        </is>
      </c>
      <c r="BI144" s="24" t="inlineStr">
        <is>
          <t>["same_event","same_team_same_day","same_league_same_day"]</t>
        </is>
      </c>
      <c r="BJ144" s="25" t="n"/>
      <c r="BK144" s="26" t="n">
        <v>-138</v>
      </c>
      <c r="BL144" s="27" t="n">
        <v>1.724638</v>
      </c>
      <c r="BM144" s="28" t="n">
        <v>0.579832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</row>
    <row r="145" ht="36" customHeight="1">
      <c r="A145" s="24" t="inlineStr">
        <is>
          <t>e4ff84b7e06b4da7</t>
        </is>
      </c>
      <c r="B145" s="24" t="inlineStr">
        <is>
          <t>2026-07-29T17:45:15.881226Z</t>
        </is>
      </c>
      <c r="C145" s="24" t="inlineStr">
        <is>
          <t>2026-07-29T22:15Z</t>
        </is>
      </c>
      <c r="D145" s="24" t="inlineStr">
        <is>
          <t>401841457</t>
        </is>
      </c>
      <c r="E145" s="24" t="inlineStr">
        <is>
          <t>SOCCER</t>
        </is>
      </c>
      <c r="F145" s="24" t="inlineStr">
        <is>
          <t>River Plate</t>
        </is>
      </c>
      <c r="G145" s="24" t="inlineStr">
        <is>
          <t>Gimnasia La Plata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355</v>
      </c>
      <c r="M145" s="27" t="n">
        <v>4.55</v>
      </c>
      <c r="N145" s="28" t="n">
        <v>0.21978</v>
      </c>
      <c r="O145" s="28" t="n">
        <v>0.456199</v>
      </c>
      <c r="P145" s="28" t="n">
        <v>0.2</v>
      </c>
      <c r="Q145" s="28" t="n">
        <v>0.236419</v>
      </c>
      <c r="R145" s="26" t="n">
        <v>48</v>
      </c>
      <c r="S145" s="29" t="n">
        <v>1</v>
      </c>
      <c r="T145" s="24" t="inlineStr">
        <is>
          <t>soccer-poisson-dc-v1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/>
      <c r="AA145" s="28" t="n"/>
      <c r="AB145" s="28" t="n"/>
      <c r="AC145" s="30" t="n">
        <v>3.55</v>
      </c>
      <c r="AD145" s="24" t="inlineStr">
        <is>
          <t>2026-07-30T04:12:52.533511Z</t>
        </is>
      </c>
      <c r="AE145" s="31" t="inlineStr">
        <is>
          <t>Poisson-DC rates 1.64 (home) / 1.24 (away) from EWMA attack/defense strengths. Executable ask 0.2200 (atc-lpa-gim-riv-2026-07-29-gim).</t>
        </is>
      </c>
      <c r="AF145" s="31" t="inlineStr">
        <is>
          <t>Research-only soccer score model; draw-aware, but not yet locked-holdout qualified.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research_observation</t>
        </is>
      </c>
      <c r="AL145" s="26" t="n">
        <v>3</v>
      </c>
      <c r="AM145" s="24" t="inlineStr">
        <is>
          <t>RESEARCH_OBSERVATION</t>
        </is>
      </c>
      <c r="AN145" s="24" t="inlineStr">
        <is>
          <t>NO_CALL</t>
        </is>
      </c>
      <c r="AO145" s="24" t="inlineStr">
        <is>
          <t>NO_CALL_MODEL_UNVALIDATED</t>
        </is>
      </c>
      <c r="AP145" s="24" t="inlineStr">
        <is>
          <t>River Plate</t>
        </is>
      </c>
      <c r="AQ145" s="24" t="inlineStr">
        <is>
          <t>River Plate</t>
        </is>
      </c>
      <c r="AR145" s="24" t="inlineStr">
        <is>
          <t>River Plate</t>
        </is>
      </c>
      <c r="AS145" s="24" t="inlineStr">
        <is>
          <t>Gimnasia La Plata</t>
        </is>
      </c>
      <c r="AT145" s="24" t="inlineStr">
        <is>
          <t>Gimnasia La Plata</t>
        </is>
      </c>
      <c r="AU145" s="24" t="inlineStr">
        <is>
          <t>Gimnasia La Plata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research</t>
        </is>
      </c>
      <c r="BA145" s="24" t="inlineStr">
        <is>
          <t>0361718a19f38c3d244b71cb6b1f2e7e14a86925e833d2186645250fc084b969</t>
        </is>
      </c>
      <c r="BB145" s="24" t="inlineStr">
        <is>
          <t>poisson_dixon_coles</t>
        </is>
      </c>
      <c r="BC145" s="24" t="inlineStr">
        <is>
          <t>soccer-poisson-dc-v1</t>
        </is>
      </c>
      <c r="BD145" s="24" t="inlineStr">
        <is>
          <t>0361718a19f38c3d244b71cb6b1f2e7e14a86925e833d2186645250fc084b969</t>
        </is>
      </c>
      <c r="BE145" s="24" t="inlineStr">
        <is>
          <t>soccer-poisson-dc-v1</t>
        </is>
      </c>
      <c r="BF145" s="24" t="inlineStr">
        <is>
          <t>1</t>
        </is>
      </c>
      <c r="BG145" s="24" t="inlineStr">
        <is>
          <t>0361718a19f38c3d244b71cb6b1f2e7e14a86925e833d2186645250fc084b969</t>
        </is>
      </c>
      <c r="BH145" s="24" t="inlineStr">
        <is>
          <t>2026-07-29T17:43:20.814669Z</t>
        </is>
      </c>
      <c r="BI145" s="24" t="inlineStr">
        <is>
          <t>["same_event","same_team_same_day","same_league_same_day"]</t>
        </is>
      </c>
      <c r="BJ145" s="25" t="n"/>
      <c r="BK145" s="26" t="n">
        <v>355</v>
      </c>
      <c r="BL145" s="27" t="n">
        <v>4.55</v>
      </c>
      <c r="BM145" s="28" t="n">
        <v>0.21978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</row>
    <row r="146" ht="36" customHeight="1">
      <c r="A146" s="24" t="inlineStr">
        <is>
          <t>6fe762116e044f29</t>
        </is>
      </c>
      <c r="B146" s="24" t="inlineStr">
        <is>
          <t>2026-07-29T17:45:15.881226Z</t>
        </is>
      </c>
      <c r="C146" s="24" t="inlineStr">
        <is>
          <t>2026-07-29T23:30Z</t>
        </is>
      </c>
      <c r="D146" s="24" t="inlineStr">
        <is>
          <t>401863532</t>
        </is>
      </c>
      <c r="E146" s="24" t="inlineStr">
        <is>
          <t>SOCCER</t>
        </is>
      </c>
      <c r="F146" s="24" t="inlineStr">
        <is>
          <t>Wrexham</t>
        </is>
      </c>
      <c r="G146" s="24" t="inlineStr">
        <is>
          <t>Liverpool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-233</v>
      </c>
      <c r="M146" s="27" t="n">
        <v>1.429185</v>
      </c>
      <c r="N146" s="28" t="n">
        <v>0.6997</v>
      </c>
      <c r="O146" s="28" t="n">
        <v>0.5541700000000001</v>
      </c>
      <c r="P146" s="28" t="n">
        <v>0.04</v>
      </c>
      <c r="Q146" s="28" t="n">
        <v>-0.14553</v>
      </c>
      <c r="R146" s="26" t="n">
        <v>0</v>
      </c>
      <c r="S146" s="29" t="n">
        <v>1</v>
      </c>
      <c r="T146" s="24" t="inlineStr">
        <is>
          <t>soccer-poisson-dc-v1</t>
        </is>
      </c>
      <c r="U146" s="24" t="inlineStr">
        <is>
          <t>settled</t>
        </is>
      </c>
      <c r="V146" s="24" t="inlineStr">
        <is>
          <t>win</t>
        </is>
      </c>
      <c r="W146" s="26" t="n">
        <v>0</v>
      </c>
      <c r="X146" s="26" t="n">
        <v>1</v>
      </c>
      <c r="Y146" s="25" t="n"/>
      <c r="Z146" s="26" t="n"/>
      <c r="AA146" s="28" t="n"/>
      <c r="AB146" s="28" t="n"/>
      <c r="AC146" s="30" t="n">
        <v>0.4292</v>
      </c>
      <c r="AD146" s="24" t="inlineStr">
        <is>
          <t>2026-07-30T04:12:55.723807Z</t>
        </is>
      </c>
      <c r="AE146" s="31" t="inlineStr">
        <is>
          <t>Poisson-DC rates 2.12 (home) / 1.29 (away) from EWMA attack/defense strengths. Executable ask 0.7000 (atc-clbf-lfc-wre-2026-07-29-lfc).</t>
        </is>
      </c>
      <c r="AF146" s="31" t="inlineStr">
        <is>
          <t>Research-only soccer score model; draw-aware, but not yet locked-holdout qualified.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NO_CALL_MODEL_UNVALIDATED</t>
        </is>
      </c>
      <c r="AP146" s="24" t="inlineStr">
        <is>
          <t>Wrexham</t>
        </is>
      </c>
      <c r="AQ146" s="24" t="inlineStr">
        <is>
          <t>Wrexham</t>
        </is>
      </c>
      <c r="AR146" s="24" t="inlineStr">
        <is>
          <t>Wrexham</t>
        </is>
      </c>
      <c r="AS146" s="24" t="inlineStr">
        <is>
          <t>Liverpool</t>
        </is>
      </c>
      <c r="AT146" s="24" t="inlineStr">
        <is>
          <t>Liverpool</t>
        </is>
      </c>
      <c r="AU146" s="24" t="inlineStr">
        <is>
          <t>Liverpool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research</t>
        </is>
      </c>
      <c r="BA146" s="24" t="inlineStr">
        <is>
          <t>0361718a19f38c3d244b71cb6b1f2e7e14a86925e833d2186645250fc084b969</t>
        </is>
      </c>
      <c r="BB146" s="24" t="inlineStr">
        <is>
          <t>poisson_dixon_coles</t>
        </is>
      </c>
      <c r="BC146" s="24" t="inlineStr">
        <is>
          <t>soccer-poisson-dc-v1</t>
        </is>
      </c>
      <c r="BD146" s="24" t="inlineStr">
        <is>
          <t>0361718a19f38c3d244b71cb6b1f2e7e14a86925e833d2186645250fc084b969</t>
        </is>
      </c>
      <c r="BE146" s="24" t="inlineStr">
        <is>
          <t>soccer-poisson-dc-v1</t>
        </is>
      </c>
      <c r="BF146" s="24" t="inlineStr">
        <is>
          <t>1</t>
        </is>
      </c>
      <c r="BG146" s="24" t="inlineStr">
        <is>
          <t>0361718a19f38c3d244b71cb6b1f2e7e14a86925e833d2186645250fc084b969</t>
        </is>
      </c>
      <c r="BH146" s="24" t="inlineStr">
        <is>
          <t>2026-07-29T17:43:24.705734Z</t>
        </is>
      </c>
      <c r="BI146" s="24" t="inlineStr">
        <is>
          <t>["same_event","same_team_same_day","same_league_same_day"]</t>
        </is>
      </c>
      <c r="BJ146" s="25" t="n"/>
      <c r="BK146" s="26" t="n">
        <v>-233</v>
      </c>
      <c r="BL146" s="27" t="n">
        <v>1.429185</v>
      </c>
      <c r="BM146" s="28" t="n">
        <v>0.6997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</row>
    <row r="147" ht="36" customHeight="1">
      <c r="A147" s="24" t="inlineStr">
        <is>
          <t>5f5afef2c6ff418f</t>
        </is>
      </c>
      <c r="B147" s="24" t="inlineStr">
        <is>
          <t>2026-07-30T21:08:36.264404Z</t>
        </is>
      </c>
      <c r="C147" s="24" t="inlineStr">
        <is>
          <t>2026-07-31T00:30Z</t>
        </is>
      </c>
      <c r="D147" s="24" t="inlineStr">
        <is>
          <t>401841173</t>
        </is>
      </c>
      <c r="E147" s="24" t="inlineStr">
        <is>
          <t>SOCCER</t>
        </is>
      </c>
      <c r="F147" s="24" t="inlineStr">
        <is>
          <t>Cruzeiro</t>
        </is>
      </c>
      <c r="G147" s="24" t="inlineStr">
        <is>
          <t>Coritiba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245</v>
      </c>
      <c r="M147" s="27" t="n">
        <v>3.45</v>
      </c>
      <c r="N147" s="28" t="n">
        <v>0.289855</v>
      </c>
      <c r="O147" s="28" t="n">
        <v>0.456135</v>
      </c>
      <c r="P147" s="28" t="n">
        <v>0.2</v>
      </c>
      <c r="Q147" s="28" t="n">
        <v>0.16628</v>
      </c>
      <c r="R147" s="26" t="n">
        <v>13</v>
      </c>
      <c r="S147" s="29" t="n">
        <v>1</v>
      </c>
      <c r="T147" s="24" t="inlineStr">
        <is>
          <t>soccer-poisson-dc-v1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/>
      <c r="AA147" s="28" t="n"/>
      <c r="AB147" s="28" t="n"/>
      <c r="AC147" s="30" t="n">
        <v>-1</v>
      </c>
      <c r="AD147" s="24" t="inlineStr">
        <is>
          <t>2026-07-31T04:29:36.196646Z</t>
        </is>
      </c>
      <c r="AE147" s="31" t="inlineStr">
        <is>
          <t>Poisson-DC rates 1.64 (home) / 1.24 (away) from EWMA attack/defense strengths. Executable ask 0.2900 (atc-bra-cor-cru-2026-07-30-cor).</t>
        </is>
      </c>
      <c r="AF147" s="31" t="inlineStr">
        <is>
          <t>Research-only soccer score model; draw-aware, but not yet locked-holdout qualified.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research_observation</t>
        </is>
      </c>
      <c r="AL147" s="26" t="n">
        <v>3</v>
      </c>
      <c r="AM147" s="24" t="inlineStr">
        <is>
          <t>RESEARCH_OBSERVATION</t>
        </is>
      </c>
      <c r="AN147" s="24" t="inlineStr">
        <is>
          <t>NO_CALL</t>
        </is>
      </c>
      <c r="AO147" s="24" t="inlineStr">
        <is>
          <t>NO_CALL_MODEL_UNVALIDATED</t>
        </is>
      </c>
      <c r="AP147" s="24" t="inlineStr">
        <is>
          <t>Cruzeiro</t>
        </is>
      </c>
      <c r="AQ147" s="24" t="inlineStr">
        <is>
          <t>Cruzeiro</t>
        </is>
      </c>
      <c r="AR147" s="24" t="inlineStr">
        <is>
          <t>Cruzeiro</t>
        </is>
      </c>
      <c r="AS147" s="24" t="inlineStr">
        <is>
          <t>Coritiba</t>
        </is>
      </c>
      <c r="AT147" s="24" t="inlineStr">
        <is>
          <t>Coritiba</t>
        </is>
      </c>
      <c r="AU147" s="24" t="inlineStr">
        <is>
          <t>Coritiba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34d1568aad0ff11b5db35f118324684f93281e1c21fa7b80be7a4a4e2cb4bb03</t>
        </is>
      </c>
      <c r="BB147" s="24" t="inlineStr">
        <is>
          <t>poisson_dixon_coles</t>
        </is>
      </c>
      <c r="BC147" s="24" t="inlineStr">
        <is>
          <t>soccer-poisson-dc-v1</t>
        </is>
      </c>
      <c r="BD147" s="24" t="inlineStr">
        <is>
          <t>34d1568aad0ff11b5db35f118324684f93281e1c21fa7b80be7a4a4e2cb4bb03</t>
        </is>
      </c>
      <c r="BE147" s="24" t="inlineStr">
        <is>
          <t>soccer-poisson-dc-v1</t>
        </is>
      </c>
      <c r="BF147" s="24" t="inlineStr">
        <is>
          <t>1</t>
        </is>
      </c>
      <c r="BG147" s="24" t="inlineStr">
        <is>
          <t>34d1568aad0ff11b5db35f118324684f93281e1c21fa7b80be7a4a4e2cb4bb03</t>
        </is>
      </c>
      <c r="BH147" s="24" t="inlineStr">
        <is>
          <t>2026-07-30T21:07:20.486954Z</t>
        </is>
      </c>
      <c r="BI147" s="24" t="inlineStr">
        <is>
          <t>["same_event","same_team_same_day","same_league_same_day"]</t>
        </is>
      </c>
      <c r="BJ147" s="25" t="n"/>
      <c r="BK147" s="26" t="n">
        <v>245</v>
      </c>
      <c r="BL147" s="27" t="n">
        <v>3.45</v>
      </c>
      <c r="BM147" s="28" t="n">
        <v>0.289855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</row>
    <row r="148" ht="36" customHeight="1">
      <c r="A148" s="24" t="inlineStr">
        <is>
          <t>9bfe664e8e5b4a8b</t>
        </is>
      </c>
      <c r="B148" s="24" t="inlineStr">
        <is>
          <t>2026-07-30T21:08:36.264404Z</t>
        </is>
      </c>
      <c r="C148" s="24" t="inlineStr">
        <is>
          <t>2026-07-31T00:15Z</t>
        </is>
      </c>
      <c r="D148" s="24" t="inlineStr">
        <is>
          <t>401841456</t>
        </is>
      </c>
      <c r="E148" s="24" t="inlineStr">
        <is>
          <t>SOCCER</t>
        </is>
      </c>
      <c r="F148" s="24" t="inlineStr">
        <is>
          <t>Newell's Old Boys</t>
        </is>
      </c>
      <c r="G148" s="24" t="inlineStr">
        <is>
          <t>Independiente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-156</v>
      </c>
      <c r="M148" s="27" t="n">
        <v>1.641026</v>
      </c>
      <c r="N148" s="28" t="n">
        <v>0.609375</v>
      </c>
      <c r="O148" s="28" t="n">
        <v>0.456135</v>
      </c>
      <c r="P148" s="28" t="n">
        <v>0.2</v>
      </c>
      <c r="Q148" s="28" t="n">
        <v>-0.15324</v>
      </c>
      <c r="R148" s="26" t="n">
        <v>0</v>
      </c>
      <c r="S148" s="29" t="n">
        <v>1</v>
      </c>
      <c r="T148" s="24" t="inlineStr">
        <is>
          <t>soccer-poisson-dc-v1</t>
        </is>
      </c>
      <c r="U148" s="24" t="inlineStr">
        <is>
          <t>settled</t>
        </is>
      </c>
      <c r="V148" s="24" t="inlineStr">
        <is>
          <t>win</t>
        </is>
      </c>
      <c r="W148" s="26" t="n">
        <v>0</v>
      </c>
      <c r="X148" s="26" t="n">
        <v>1</v>
      </c>
      <c r="Y148" s="25" t="n"/>
      <c r="Z148" s="26" t="n"/>
      <c r="AA148" s="28" t="n"/>
      <c r="AB148" s="28" t="n"/>
      <c r="AC148" s="30" t="n">
        <v>0.641</v>
      </c>
      <c r="AD148" s="24" t="inlineStr">
        <is>
          <t>2026-07-31T04:29:36.979280Z</t>
        </is>
      </c>
      <c r="AE148" s="31" t="inlineStr">
        <is>
          <t>Poisson-DC rates 1.64 (home) / 1.24 (away) from EWMA attack/defense strengths. Executable ask 0.6100 (atc-lpa-ind-new-2026-07-30-ind).</t>
        </is>
      </c>
      <c r="AF148" s="31" t="inlineStr">
        <is>
          <t>Research-only soccer score model; draw-aware, but not yet locked-holdout qualified.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NO_CALL_MODEL_UNVALIDATED</t>
        </is>
      </c>
      <c r="AP148" s="24" t="inlineStr">
        <is>
          <t>Newell's Old Boys</t>
        </is>
      </c>
      <c r="AQ148" s="24" t="inlineStr">
        <is>
          <t>Newell's Old Boys</t>
        </is>
      </c>
      <c r="AR148" s="24" t="inlineStr">
        <is>
          <t>Newell's Old Boys</t>
        </is>
      </c>
      <c r="AS148" s="24" t="inlineStr">
        <is>
          <t>Independiente</t>
        </is>
      </c>
      <c r="AT148" s="24" t="inlineStr">
        <is>
          <t>Independiente</t>
        </is>
      </c>
      <c r="AU148" s="24" t="inlineStr">
        <is>
          <t>Independiente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34d1568aad0ff11b5db35f118324684f93281e1c21fa7b80be7a4a4e2cb4bb03</t>
        </is>
      </c>
      <c r="BB148" s="24" t="inlineStr">
        <is>
          <t>poisson_dixon_coles</t>
        </is>
      </c>
      <c r="BC148" s="24" t="inlineStr">
        <is>
          <t>soccer-poisson-dc-v1</t>
        </is>
      </c>
      <c r="BD148" s="24" t="inlineStr">
        <is>
          <t>34d1568aad0ff11b5db35f118324684f93281e1c21fa7b80be7a4a4e2cb4bb03</t>
        </is>
      </c>
      <c r="BE148" s="24" t="inlineStr">
        <is>
          <t>soccer-poisson-dc-v1</t>
        </is>
      </c>
      <c r="BF148" s="24" t="inlineStr">
        <is>
          <t>1</t>
        </is>
      </c>
      <c r="BG148" s="24" t="inlineStr">
        <is>
          <t>34d1568aad0ff11b5db35f118324684f93281e1c21fa7b80be7a4a4e2cb4bb03</t>
        </is>
      </c>
      <c r="BH148" s="24" t="inlineStr">
        <is>
          <t>2026-07-30T21:07:21.770185Z</t>
        </is>
      </c>
      <c r="BI148" s="24" t="inlineStr">
        <is>
          <t>["same_event","same_team_same_day","same_league_same_day"]</t>
        </is>
      </c>
      <c r="BJ148" s="25" t="n"/>
      <c r="BK148" s="26" t="n">
        <v>-156</v>
      </c>
      <c r="BL148" s="27" t="n">
        <v>1.641026</v>
      </c>
      <c r="BM148" s="28" t="n">
        <v>0.609375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</row>
    <row r="149" ht="36" customHeight="1">
      <c r="A149" s="24" t="inlineStr">
        <is>
          <t>97c8cc75e04649d2</t>
        </is>
      </c>
      <c r="B149" s="24" t="inlineStr">
        <is>
          <t>2026-07-30T21:08:36.264404Z</t>
        </is>
      </c>
      <c r="C149" s="24" t="inlineStr">
        <is>
          <t>2026-07-31T00:30Z</t>
        </is>
      </c>
      <c r="D149" s="24" t="inlineStr">
        <is>
          <t>401874162</t>
        </is>
      </c>
      <c r="E149" s="24" t="inlineStr">
        <is>
          <t>SOCCER</t>
        </is>
      </c>
      <c r="F149" s="24" t="inlineStr">
        <is>
          <t>Independiente Santa Fe</t>
        </is>
      </c>
      <c r="G149" s="24" t="inlineStr">
        <is>
          <t>Caracas FC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223</v>
      </c>
      <c r="M149" s="27" t="n">
        <v>3.23</v>
      </c>
      <c r="N149" s="28" t="n">
        <v>0.309598</v>
      </c>
      <c r="O149" s="28" t="n">
        <v>0.456135</v>
      </c>
      <c r="P149" s="28" t="n">
        <v>0.2</v>
      </c>
      <c r="Q149" s="28" t="n">
        <v>0.146537</v>
      </c>
      <c r="R149" s="26" t="n">
        <v>3</v>
      </c>
      <c r="S149" s="29" t="n">
        <v>1</v>
      </c>
      <c r="T149" s="24" t="inlineStr">
        <is>
          <t>soccer-poisson-dc-v1</t>
        </is>
      </c>
      <c r="U149" s="24" t="inlineStr">
        <is>
          <t>settled</t>
        </is>
      </c>
      <c r="V149" s="24" t="inlineStr">
        <is>
          <t>loss</t>
        </is>
      </c>
      <c r="W149" s="26" t="n">
        <v>3</v>
      </c>
      <c r="X149" s="26" t="n">
        <v>0</v>
      </c>
      <c r="Y149" s="25" t="n"/>
      <c r="Z149" s="26" t="n"/>
      <c r="AA149" s="28" t="n"/>
      <c r="AB149" s="28" t="n"/>
      <c r="AC149" s="30" t="n">
        <v>-1</v>
      </c>
      <c r="AD149" s="24" t="inlineStr">
        <is>
          <t>2026-07-31T04:29:39.457874Z</t>
        </is>
      </c>
      <c r="AE149" s="31" t="inlineStr">
        <is>
          <t>Poisson-DC rates 1.64 (home) / 1.24 (away) from EWMA attack/defense strengths. Executable ask 0.3100 (atc-sud-cfa-isf-2026-07-30-cfa).</t>
        </is>
      </c>
      <c r="AF149" s="31" t="inlineStr">
        <is>
          <t>Research-only soccer score model; draw-aware, but not yet locked-holdout qualified.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NO_CALL_MODEL_UNVALIDATED</t>
        </is>
      </c>
      <c r="AP149" s="24" t="inlineStr">
        <is>
          <t>Independiente Santa Fe</t>
        </is>
      </c>
      <c r="AQ149" s="24" t="inlineStr">
        <is>
          <t>Independiente Santa Fe</t>
        </is>
      </c>
      <c r="AR149" s="24" t="inlineStr">
        <is>
          <t>Independiente Santa Fe</t>
        </is>
      </c>
      <c r="AS149" s="24" t="inlineStr">
        <is>
          <t>Caracas FC</t>
        </is>
      </c>
      <c r="AT149" s="24" t="inlineStr">
        <is>
          <t>Caracas FC</t>
        </is>
      </c>
      <c r="AU149" s="24" t="inlineStr">
        <is>
          <t>Caracas FC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34d1568aad0ff11b5db35f118324684f93281e1c21fa7b80be7a4a4e2cb4bb03</t>
        </is>
      </c>
      <c r="BB149" s="24" t="inlineStr">
        <is>
          <t>poisson_dixon_coles</t>
        </is>
      </c>
      <c r="BC149" s="24" t="inlineStr">
        <is>
          <t>soccer-poisson-dc-v1</t>
        </is>
      </c>
      <c r="BD149" s="24" t="inlineStr">
        <is>
          <t>34d1568aad0ff11b5db35f118324684f93281e1c21fa7b80be7a4a4e2cb4bb03</t>
        </is>
      </c>
      <c r="BE149" s="24" t="inlineStr">
        <is>
          <t>soccer-poisson-dc-v1</t>
        </is>
      </c>
      <c r="BF149" s="24" t="inlineStr">
        <is>
          <t>1</t>
        </is>
      </c>
      <c r="BG149" s="24" t="inlineStr">
        <is>
          <t>34d1568aad0ff11b5db35f118324684f93281e1c21fa7b80be7a4a4e2cb4bb03</t>
        </is>
      </c>
      <c r="BH149" s="24" t="inlineStr">
        <is>
          <t>2026-07-30T21:07:22.865296Z</t>
        </is>
      </c>
      <c r="BI149" s="24" t="inlineStr">
        <is>
          <t>["same_event","same_team_same_day","same_league_same_day"]</t>
        </is>
      </c>
      <c r="BJ149" s="25" t="n"/>
      <c r="BK149" s="26" t="n">
        <v>223</v>
      </c>
      <c r="BL149" s="27" t="n">
        <v>3.23</v>
      </c>
      <c r="BM149" s="28" t="n">
        <v>0.309598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</row>
    <row r="150" ht="36" customHeight="1">
      <c r="A150" s="24" t="inlineStr">
        <is>
          <t>5332b99f26d14835</t>
        </is>
      </c>
      <c r="B150" s="24" t="inlineStr">
        <is>
          <t>2026-07-30T21:08:36.264404Z</t>
        </is>
      </c>
      <c r="C150" s="24" t="inlineStr">
        <is>
          <t>2026-07-31T00:30Z</t>
        </is>
      </c>
      <c r="D150" s="24" t="inlineStr">
        <is>
          <t>401874164</t>
        </is>
      </c>
      <c r="E150" s="24" t="inlineStr">
        <is>
          <t>SOCCER</t>
        </is>
      </c>
      <c r="F150" s="24" t="inlineStr">
        <is>
          <t>Boca Juniors</t>
        </is>
      </c>
      <c r="G150" s="24" t="inlineStr">
        <is>
          <t>O'Higgins</t>
        </is>
      </c>
      <c r="H150" s="24" t="inlineStr">
        <is>
          <t>moneyline</t>
        </is>
      </c>
      <c r="I150" s="24" t="inlineStr">
        <is>
          <t>away</t>
        </is>
      </c>
      <c r="J150" s="25" t="n"/>
      <c r="K150" s="24" t="inlineStr">
        <is>
          <t>polymarket_us</t>
        </is>
      </c>
      <c r="L150" s="26" t="n">
        <v>-104</v>
      </c>
      <c r="M150" s="27" t="n">
        <v>1.961538</v>
      </c>
      <c r="N150" s="28" t="n">
        <v>0.509804</v>
      </c>
      <c r="O150" s="28" t="n">
        <v>0.396866</v>
      </c>
      <c r="P150" s="28" t="n">
        <v>0.19</v>
      </c>
      <c r="Q150" s="28" t="n">
        <v>-0.112938</v>
      </c>
      <c r="R150" s="26" t="n">
        <v>0</v>
      </c>
      <c r="S150" s="29" t="n">
        <v>1</v>
      </c>
      <c r="T150" s="24" t="inlineStr">
        <is>
          <t>soccer-poisson-dc-v1</t>
        </is>
      </c>
      <c r="U150" s="24" t="inlineStr">
        <is>
          <t>settled</t>
        </is>
      </c>
      <c r="V150" s="24" t="inlineStr">
        <is>
          <t>loss</t>
        </is>
      </c>
      <c r="W150" s="26" t="n">
        <v>0</v>
      </c>
      <c r="X150" s="26" t="n">
        <v>1</v>
      </c>
      <c r="Y150" s="25" t="n"/>
      <c r="Z150" s="26" t="n"/>
      <c r="AA150" s="28" t="n"/>
      <c r="AB150" s="28" t="n"/>
      <c r="AC150" s="30" t="n">
        <v>-1</v>
      </c>
      <c r="AD150" s="24" t="inlineStr">
        <is>
          <t>2026-07-31T04:29:39.572875Z</t>
        </is>
      </c>
      <c r="AE150" s="31" t="inlineStr">
        <is>
          <t>Poisson-DC rates 1.30 (home) / 1.46 (away) from EWMA attack/defense strengths. Executable ask 0.5100 (atc-sud-ohi-boc-2026-07-30-boc).</t>
        </is>
      </c>
      <c r="AF150" s="31" t="inlineStr">
        <is>
          <t>Research-only soccer score model; draw-aware, but not yet locked-holdout qualified.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NO_CALL_MODEL_UNVALIDATED</t>
        </is>
      </c>
      <c r="AP150" s="24" t="inlineStr">
        <is>
          <t>Boca Juniors</t>
        </is>
      </c>
      <c r="AQ150" s="24" t="inlineStr">
        <is>
          <t>Boca Juniors</t>
        </is>
      </c>
      <c r="AR150" s="24" t="inlineStr">
        <is>
          <t>Boca Juniors</t>
        </is>
      </c>
      <c r="AS150" s="24" t="inlineStr">
        <is>
          <t>O'Higgins</t>
        </is>
      </c>
      <c r="AT150" s="24" t="inlineStr">
        <is>
          <t>O'Higgins</t>
        </is>
      </c>
      <c r="AU150" s="24" t="inlineStr">
        <is>
          <t>O'Higgins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34d1568aad0ff11b5db35f118324684f93281e1c21fa7b80be7a4a4e2cb4bb03</t>
        </is>
      </c>
      <c r="BB150" s="24" t="inlineStr">
        <is>
          <t>poisson_dixon_coles</t>
        </is>
      </c>
      <c r="BC150" s="24" t="inlineStr">
        <is>
          <t>soccer-poisson-dc-v1</t>
        </is>
      </c>
      <c r="BD150" s="24" t="inlineStr">
        <is>
          <t>34d1568aad0ff11b5db35f118324684f93281e1c21fa7b80be7a4a4e2cb4bb03</t>
        </is>
      </c>
      <c r="BE150" s="24" t="inlineStr">
        <is>
          <t>soccer-poisson-dc-v1</t>
        </is>
      </c>
      <c r="BF150" s="24" t="inlineStr">
        <is>
          <t>1</t>
        </is>
      </c>
      <c r="BG150" s="24" t="inlineStr">
        <is>
          <t>34d1568aad0ff11b5db35f118324684f93281e1c21fa7b80be7a4a4e2cb4bb03</t>
        </is>
      </c>
      <c r="BH150" s="24" t="inlineStr">
        <is>
          <t>2026-07-30T21:07:23.262683Z</t>
        </is>
      </c>
      <c r="BI150" s="24" t="inlineStr">
        <is>
          <t>["same_event","same_team_same_day","same_league_same_day"]</t>
        </is>
      </c>
      <c r="BJ150" s="25" t="n"/>
      <c r="BK150" s="26" t="n">
        <v>-104</v>
      </c>
      <c r="BL150" s="27" t="n">
        <v>1.961538</v>
      </c>
      <c r="BM150" s="28" t="n">
        <v>0.509804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</row>
    <row r="151" ht="36" customHeight="1">
      <c r="A151" s="24" t="inlineStr">
        <is>
          <t>0ea3ba73ea6147e2</t>
        </is>
      </c>
      <c r="B151" s="24" t="inlineStr">
        <is>
          <t>2026-07-30T21:08:36.264404Z</t>
        </is>
      </c>
      <c r="C151" s="24" t="inlineStr">
        <is>
          <t>2026-07-30T23:30Z</t>
        </is>
      </c>
      <c r="D151" s="24" t="inlineStr">
        <is>
          <t>401897750</t>
        </is>
      </c>
      <c r="E151" s="24" t="inlineStr">
        <is>
          <t>SOCCER</t>
        </is>
      </c>
      <c r="F151" s="24" t="inlineStr">
        <is>
          <t>Leeds United</t>
        </is>
      </c>
      <c r="G151" s="24" t="inlineStr">
        <is>
          <t>Sunderland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178</v>
      </c>
      <c r="M151" s="27" t="n">
        <v>2.78</v>
      </c>
      <c r="N151" s="28" t="n">
        <v>0.359712</v>
      </c>
      <c r="O151" s="28" t="n">
        <v>0.356905</v>
      </c>
      <c r="P151" s="28" t="n">
        <v>0.04</v>
      </c>
      <c r="Q151" s="28" t="n">
        <v>-0.002807</v>
      </c>
      <c r="R151" s="26" t="n">
        <v>25</v>
      </c>
      <c r="S151" s="29" t="n">
        <v>1.75</v>
      </c>
      <c r="T151" s="24" t="inlineStr">
        <is>
          <t>soccer-poisson-dc-v1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/>
      <c r="AA151" s="28" t="n"/>
      <c r="AB151" s="28" t="n"/>
      <c r="AC151" s="30" t="n">
        <v>-1.75</v>
      </c>
      <c r="AD151" s="24" t="inlineStr">
        <is>
          <t>2026-07-31T04:29:40.244393Z</t>
        </is>
      </c>
      <c r="AE151" s="31" t="inlineStr">
        <is>
          <t>Poisson-DC rates 1.19 (home) / 1.15 (away) from EWMA attack/defense strengths. Executable ask 0.3600 (atc-clbf-lee-sun-2026-07-30-sun).</t>
        </is>
      </c>
      <c r="AF151" s="31" t="inlineStr">
        <is>
          <t>Research-only soccer score model; draw-aware, but not yet locked-holdout qualified.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NO_CALL_MODEL_UNVALIDATED</t>
        </is>
      </c>
      <c r="AP151" s="24" t="inlineStr">
        <is>
          <t>Leeds United</t>
        </is>
      </c>
      <c r="AQ151" s="24" t="inlineStr">
        <is>
          <t>Leeds United</t>
        </is>
      </c>
      <c r="AR151" s="24" t="inlineStr">
        <is>
          <t>Leeds United</t>
        </is>
      </c>
      <c r="AS151" s="24" t="inlineStr">
        <is>
          <t>Sunderland</t>
        </is>
      </c>
      <c r="AT151" s="24" t="inlineStr">
        <is>
          <t>Sunderland</t>
        </is>
      </c>
      <c r="AU151" s="24" t="inlineStr">
        <is>
          <t>Sunderland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34d1568aad0ff11b5db35f118324684f93281e1c21fa7b80be7a4a4e2cb4bb03</t>
        </is>
      </c>
      <c r="BB151" s="24" t="inlineStr">
        <is>
          <t>poisson_dixon_coles</t>
        </is>
      </c>
      <c r="BC151" s="24" t="inlineStr">
        <is>
          <t>soccer-poisson-dc-v1</t>
        </is>
      </c>
      <c r="BD151" s="24" t="inlineStr">
        <is>
          <t>34d1568aad0ff11b5db35f118324684f93281e1c21fa7b80be7a4a4e2cb4bb03</t>
        </is>
      </c>
      <c r="BE151" s="24" t="inlineStr">
        <is>
          <t>soccer-poisson-dc-v1</t>
        </is>
      </c>
      <c r="BF151" s="24" t="inlineStr">
        <is>
          <t>1</t>
        </is>
      </c>
      <c r="BG151" s="24" t="inlineStr">
        <is>
          <t>34d1568aad0ff11b5db35f118324684f93281e1c21fa7b80be7a4a4e2cb4bb03</t>
        </is>
      </c>
      <c r="BH151" s="24" t="inlineStr">
        <is>
          <t>2026-07-30T21:07:23.815408Z</t>
        </is>
      </c>
      <c r="BI151" s="24" t="inlineStr">
        <is>
          <t>["same_event","same_team_same_day","same_league_same_day"]</t>
        </is>
      </c>
      <c r="BJ151" s="25" t="n"/>
      <c r="BK151" s="26" t="n">
        <v>178</v>
      </c>
      <c r="BL151" s="27" t="n">
        <v>2.78</v>
      </c>
      <c r="BM151" s="28" t="n">
        <v>0.359712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</row>
    <row r="152" ht="36" customHeight="1">
      <c r="A152" s="24" t="inlineStr">
        <is>
          <t>c200651130f34160</t>
        </is>
      </c>
      <c r="B152" s="24" t="inlineStr">
        <is>
          <t>2026-07-31T13:42:15.135577Z</t>
        </is>
      </c>
      <c r="C152" s="24" t="inlineStr">
        <is>
          <t>2026-07-31T16:00Z</t>
        </is>
      </c>
      <c r="D152" s="24" t="inlineStr">
        <is>
          <t>401887800</t>
        </is>
      </c>
      <c r="E152" s="24" t="inlineStr">
        <is>
          <t>SOCCER</t>
        </is>
      </c>
      <c r="F152" s="24" t="inlineStr">
        <is>
          <t>Nice</t>
        </is>
      </c>
      <c r="G152" s="24" t="inlineStr">
        <is>
          <t>Juventus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-178</v>
      </c>
      <c r="M152" s="27" t="n">
        <v>1.561798</v>
      </c>
      <c r="N152" s="28" t="n">
        <v>0.640288</v>
      </c>
      <c r="O152" s="28" t="n">
        <v>0.657201</v>
      </c>
      <c r="P152" s="28" t="n">
        <v>0.04</v>
      </c>
      <c r="Q152" s="28" t="n">
        <v>0.016913</v>
      </c>
      <c r="R152" s="26" t="n">
        <v>34</v>
      </c>
      <c r="S152" s="29" t="n">
        <v>1.75</v>
      </c>
      <c r="T152" s="24" t="inlineStr">
        <is>
          <t>soccer-poisson-dc-v1</t>
        </is>
      </c>
      <c r="U152" s="24" t="inlineStr">
        <is>
          <t>settled</t>
        </is>
      </c>
      <c r="V152" s="24" t="inlineStr">
        <is>
          <t>win</t>
        </is>
      </c>
      <c r="W152" s="26" t="n">
        <v>0</v>
      </c>
      <c r="X152" s="26" t="n">
        <v>2</v>
      </c>
      <c r="Y152" s="25" t="n"/>
      <c r="Z152" s="26" t="n"/>
      <c r="AA152" s="28" t="n"/>
      <c r="AB152" s="28" t="n"/>
      <c r="AC152" s="30" t="n">
        <v>0.9831</v>
      </c>
      <c r="AD152" s="24" t="inlineStr">
        <is>
          <t>2026-07-31T19:51:18.407364Z</t>
        </is>
      </c>
      <c r="AE152" s="31" t="inlineStr">
        <is>
          <t>Poisson-DC rates 1.85 (home) / 0.63 (away) from EWMA attack/defense strengths. Executable ask 0.6400 (atc-clbf-juv-nic-2026-07-31-juv).</t>
        </is>
      </c>
      <c r="AF152" s="31" t="inlineStr">
        <is>
          <t>Research-only soccer score model; draw-aware, but not yet locked-holdout qualified.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NO_CALL_MODEL_UNVALIDATED</t>
        </is>
      </c>
      <c r="AP152" s="24" t="inlineStr">
        <is>
          <t>Nice</t>
        </is>
      </c>
      <c r="AQ152" s="24" t="inlineStr">
        <is>
          <t>Nice</t>
        </is>
      </c>
      <c r="AR152" s="24" t="inlineStr">
        <is>
          <t>Nice</t>
        </is>
      </c>
      <c r="AS152" s="24" t="inlineStr">
        <is>
          <t>Juventus</t>
        </is>
      </c>
      <c r="AT152" s="24" t="inlineStr">
        <is>
          <t>Juventus</t>
        </is>
      </c>
      <c r="AU152" s="24" t="inlineStr">
        <is>
          <t>Juventus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34d1568aad0ff11b5db35f118324684f93281e1c21fa7b80be7a4a4e2cb4bb03</t>
        </is>
      </c>
      <c r="BB152" s="24" t="inlineStr">
        <is>
          <t>poisson_dixon_coles</t>
        </is>
      </c>
      <c r="BC152" s="24" t="inlineStr">
        <is>
          <t>soccer-poisson-dc-v1</t>
        </is>
      </c>
      <c r="BD152" s="24" t="inlineStr">
        <is>
          <t>34d1568aad0ff11b5db35f118324684f93281e1c21fa7b80be7a4a4e2cb4bb03</t>
        </is>
      </c>
      <c r="BE152" s="24" t="inlineStr">
        <is>
          <t>soccer-poisson-dc-v1</t>
        </is>
      </c>
      <c r="BF152" s="24" t="inlineStr">
        <is>
          <t>1</t>
        </is>
      </c>
      <c r="BG152" s="24" t="inlineStr">
        <is>
          <t>34d1568aad0ff11b5db35f118324684f93281e1c21fa7b80be7a4a4e2cb4bb03</t>
        </is>
      </c>
      <c r="BH152" s="24" t="inlineStr">
        <is>
          <t>2026-07-31T13:39:47.941159Z</t>
        </is>
      </c>
      <c r="BI152" s="24" t="inlineStr">
        <is>
          <t>["same_event","same_team_same_day","same_league_same_day"]</t>
        </is>
      </c>
      <c r="BJ152" s="25" t="n"/>
      <c r="BK152" s="26" t="n">
        <v>-178</v>
      </c>
      <c r="BL152" s="27" t="n">
        <v>1.561798</v>
      </c>
      <c r="BM152" s="28" t="n">
        <v>0.640288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</row>
    <row r="153" ht="36" customHeight="1">
      <c r="A153" s="24" t="inlineStr">
        <is>
          <t>36b16f24c1db4baa</t>
        </is>
      </c>
      <c r="B153" s="24" t="inlineStr">
        <is>
          <t>2026-07-31T19:55:16.083099Z</t>
        </is>
      </c>
      <c r="C153" s="24" t="inlineStr">
        <is>
          <t>2026-07-31T20:00Z</t>
        </is>
      </c>
      <c r="D153" s="24" t="inlineStr">
        <is>
          <t>401885639</t>
        </is>
      </c>
      <c r="E153" s="24" t="inlineStr">
        <is>
          <t>SOCCER</t>
        </is>
      </c>
      <c r="F153" s="24" t="inlineStr">
        <is>
          <t>Comerciantes Unidos</t>
        </is>
      </c>
      <c r="G153" s="24" t="inlineStr">
        <is>
          <t>Los Chankas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104</v>
      </c>
      <c r="M153" s="27" t="n">
        <v>2.04</v>
      </c>
      <c r="N153" s="28" t="n">
        <v>0.490196</v>
      </c>
      <c r="O153" s="28" t="n">
        <v>0.461873</v>
      </c>
      <c r="P153" s="28" t="n">
        <v>0.2</v>
      </c>
      <c r="Q153" s="28" t="n">
        <v>-0.028323</v>
      </c>
      <c r="R153" s="26" t="n">
        <v>0</v>
      </c>
      <c r="S153" s="29" t="n">
        <v>1</v>
      </c>
      <c r="T153" s="24" t="inlineStr">
        <is>
          <t>soccer-poisson-dc-v1</t>
        </is>
      </c>
      <c r="U153" s="24" t="inlineStr">
        <is>
          <t>settled</t>
        </is>
      </c>
      <c r="V153" s="24" t="inlineStr">
        <is>
          <t>win</t>
        </is>
      </c>
      <c r="W153" s="26" t="n">
        <v>2</v>
      </c>
      <c r="X153" s="26" t="n">
        <v>3</v>
      </c>
      <c r="Y153" s="25" t="n"/>
      <c r="Z153" s="26" t="n"/>
      <c r="AA153" s="28" t="n"/>
      <c r="AB153" s="28" t="n"/>
      <c r="AC153" s="30" t="n">
        <v>1.04</v>
      </c>
      <c r="AD153" s="24" t="inlineStr">
        <is>
          <t>2026-07-31T23:28:42.654733Z</t>
        </is>
      </c>
      <c r="AE153" s="31" t="inlineStr">
        <is>
          <t>Poisson-DC rates 1.72 (home) / 1.30 (away) from EWMA attack/defense strengths. Executable ask 0.4900 (atc-pl1-cha-cou-2026-07-31-cha).</t>
        </is>
      </c>
      <c r="AF153" s="31" t="inlineStr">
        <is>
          <t>Research-only soccer score model; draw-aware, but not yet locked-holdout qualified.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NO_CALL_MODEL_UNVALIDATED</t>
        </is>
      </c>
      <c r="AP153" s="24" t="inlineStr">
        <is>
          <t>Comerciantes Unidos</t>
        </is>
      </c>
      <c r="AQ153" s="24" t="inlineStr">
        <is>
          <t>Comerciantes Unidos</t>
        </is>
      </c>
      <c r="AR153" s="24" t="inlineStr">
        <is>
          <t>Comerciantes Unidos</t>
        </is>
      </c>
      <c r="AS153" s="24" t="inlineStr">
        <is>
          <t>Los Chankas</t>
        </is>
      </c>
      <c r="AT153" s="24" t="inlineStr">
        <is>
          <t>Los Chankas</t>
        </is>
      </c>
      <c r="AU153" s="24" t="inlineStr">
        <is>
          <t>Los Chankas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research</t>
        </is>
      </c>
      <c r="BA153" s="24" t="inlineStr">
        <is>
          <t>34d1568aad0ff11b5db35f118324684f93281e1c21fa7b80be7a4a4e2cb4bb03</t>
        </is>
      </c>
      <c r="BB153" s="24" t="inlineStr">
        <is>
          <t>poisson_dixon_coles</t>
        </is>
      </c>
      <c r="BC153" s="24" t="inlineStr">
        <is>
          <t>soccer-poisson-dc-v1</t>
        </is>
      </c>
      <c r="BD153" s="24" t="inlineStr">
        <is>
          <t>34d1568aad0ff11b5db35f118324684f93281e1c21fa7b80be7a4a4e2cb4bb03</t>
        </is>
      </c>
      <c r="BE153" s="24" t="inlineStr">
        <is>
          <t>soccer-poisson-dc-v1</t>
        </is>
      </c>
      <c r="BF153" s="24" t="inlineStr">
        <is>
          <t>1</t>
        </is>
      </c>
      <c r="BG153" s="24" t="inlineStr">
        <is>
          <t>34d1568aad0ff11b5db35f118324684f93281e1c21fa7b80be7a4a4e2cb4bb03</t>
        </is>
      </c>
      <c r="BH153" s="24" t="inlineStr">
        <is>
          <t>2026-07-31T19:53:00.380208Z</t>
        </is>
      </c>
      <c r="BI153" s="24" t="inlineStr">
        <is>
          <t>["same_event","same_team_same_day","same_league_same_day"]</t>
        </is>
      </c>
      <c r="BJ153" s="25" t="n"/>
      <c r="BK153" s="26" t="n">
        <v>104</v>
      </c>
      <c r="BL153" s="27" t="n">
        <v>2.04</v>
      </c>
      <c r="BM153" s="28" t="n">
        <v>0.490196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</row>
    <row r="154" ht="36" customHeight="1">
      <c r="A154" s="24" t="inlineStr">
        <is>
          <t>11de6f56f5344bcf</t>
        </is>
      </c>
      <c r="B154" s="24" t="inlineStr">
        <is>
          <t>2026-07-31T21:07:21.705734Z</t>
        </is>
      </c>
      <c r="C154" s="24" t="inlineStr">
        <is>
          <t>2026-07-31T22:00Z</t>
        </is>
      </c>
      <c r="D154" s="24" t="inlineStr">
        <is>
          <t>401872731</t>
        </is>
      </c>
      <c r="E154" s="24" t="inlineStr">
        <is>
          <t>SOCCER</t>
        </is>
      </c>
      <c r="F154" s="24" t="inlineStr">
        <is>
          <t>Montevideo Wanderers</t>
        </is>
      </c>
      <c r="G154" s="24" t="inlineStr">
        <is>
          <t>Montevideo City Torque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-122</v>
      </c>
      <c r="M154" s="27" t="n">
        <v>1.819672</v>
      </c>
      <c r="N154" s="28" t="n">
        <v>0.54955</v>
      </c>
      <c r="O154" s="28" t="n">
        <v>0.440521</v>
      </c>
      <c r="P154" s="28" t="n">
        <v>0.2</v>
      </c>
      <c r="Q154" s="28" t="n">
        <v>-0.109029</v>
      </c>
      <c r="R154" s="26" t="n">
        <v>0</v>
      </c>
      <c r="S154" s="29" t="n">
        <v>1</v>
      </c>
      <c r="T154" s="24" t="inlineStr">
        <is>
          <t>soccer-poisson-dc-v1</t>
        </is>
      </c>
      <c r="U154" s="24" t="inlineStr">
        <is>
          <t>settled</t>
        </is>
      </c>
      <c r="V154" s="24" t="inlineStr">
        <is>
          <t>loss</t>
        </is>
      </c>
      <c r="W154" s="26" t="n">
        <v>2</v>
      </c>
      <c r="X154" s="26" t="n">
        <v>0</v>
      </c>
      <c r="Y154" s="25" t="n"/>
      <c r="Z154" s="26" t="n"/>
      <c r="AA154" s="28" t="n"/>
      <c r="AB154" s="28" t="n"/>
      <c r="AC154" s="30" t="n">
        <v>-1</v>
      </c>
      <c r="AD154" s="24" t="inlineStr">
        <is>
          <t>2026-08-01T03:00:15.210003Z</t>
        </is>
      </c>
      <c r="AE154" s="31" t="inlineStr">
        <is>
          <t>Poisson-DC rates 1.46 (home) / 1.10 (away) from EWMA attack/defense strengths. Executable ask 0.5500 (atc-uru1-tor-wan-2026-07-31-tor).</t>
        </is>
      </c>
      <c r="AF154" s="31" t="inlineStr">
        <is>
          <t>Research-only soccer score model; draw-aware, but not yet locked-holdout qualified.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NO_CALL_MODEL_UNVALIDATED</t>
        </is>
      </c>
      <c r="AP154" s="24" t="inlineStr">
        <is>
          <t>Montevideo Wanderers</t>
        </is>
      </c>
      <c r="AQ154" s="24" t="inlineStr">
        <is>
          <t>Montevideo Wanderers</t>
        </is>
      </c>
      <c r="AR154" s="24" t="inlineStr">
        <is>
          <t>Montevideo Wanderers</t>
        </is>
      </c>
      <c r="AS154" s="24" t="inlineStr">
        <is>
          <t>Montevideo City Torque</t>
        </is>
      </c>
      <c r="AT154" s="24" t="inlineStr">
        <is>
          <t>Montevideo City Torque</t>
        </is>
      </c>
      <c r="AU154" s="24" t="inlineStr">
        <is>
          <t>Montevideo City Torque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34d1568aad0ff11b5db35f118324684f93281e1c21fa7b80be7a4a4e2cb4bb03</t>
        </is>
      </c>
      <c r="BB154" s="24" t="inlineStr">
        <is>
          <t>poisson_dixon_coles</t>
        </is>
      </c>
      <c r="BC154" s="24" t="inlineStr">
        <is>
          <t>soccer-poisson-dc-v1</t>
        </is>
      </c>
      <c r="BD154" s="24" t="inlineStr">
        <is>
          <t>34d1568aad0ff11b5db35f118324684f93281e1c21fa7b80be7a4a4e2cb4bb03</t>
        </is>
      </c>
      <c r="BE154" s="24" t="inlineStr">
        <is>
          <t>soccer-poisson-dc-v1</t>
        </is>
      </c>
      <c r="BF154" s="24" t="inlineStr">
        <is>
          <t>1</t>
        </is>
      </c>
      <c r="BG154" s="24" t="inlineStr">
        <is>
          <t>34d1568aad0ff11b5db35f118324684f93281e1c21fa7b80be7a4a4e2cb4bb03</t>
        </is>
      </c>
      <c r="BH154" s="24" t="inlineStr">
        <is>
          <t>2026-07-31T21:05:05.319813Z</t>
        </is>
      </c>
      <c r="BI154" s="24" t="inlineStr">
        <is>
          <t>["same_event","same_team_same_day","same_league_same_day"]</t>
        </is>
      </c>
      <c r="BJ154" s="25" t="n"/>
      <c r="BK154" s="26" t="n">
        <v>-122</v>
      </c>
      <c r="BL154" s="27" t="n">
        <v>1.819672</v>
      </c>
      <c r="BM154" s="28" t="n">
        <v>0.54955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</row>
    <row r="155" ht="36" customHeight="1">
      <c r="A155" s="24" t="inlineStr">
        <is>
          <t>4f0ea301459047d5</t>
        </is>
      </c>
      <c r="B155" s="24" t="inlineStr">
        <is>
          <t>2026-08-01T06:40:10.134766Z</t>
        </is>
      </c>
      <c r="C155" s="24" t="inlineStr">
        <is>
          <t>2026-08-01T10:00Z</t>
        </is>
      </c>
      <c r="D155" s="24" t="inlineStr">
        <is>
          <t>401872737</t>
        </is>
      </c>
      <c r="E155" s="24" t="inlineStr">
        <is>
          <t>SOCCER</t>
        </is>
      </c>
      <c r="F155" s="24" t="inlineStr">
        <is>
          <t>Borussia Dortmund</t>
        </is>
      </c>
      <c r="G155" s="24" t="inlineStr">
        <is>
          <t>FC Tokyo</t>
        </is>
      </c>
      <c r="H155" s="24" t="inlineStr">
        <is>
          <t>moneyline</t>
        </is>
      </c>
      <c r="I155" s="24" t="inlineStr">
        <is>
          <t>away</t>
        </is>
      </c>
      <c r="J155" s="25" t="n"/>
      <c r="K155" s="24" t="inlineStr">
        <is>
          <t>polymarket_us</t>
        </is>
      </c>
      <c r="L155" s="26" t="n">
        <v>-122</v>
      </c>
      <c r="M155" s="27" t="n">
        <v>1.819672</v>
      </c>
      <c r="N155" s="28" t="n">
        <v>0.54955</v>
      </c>
      <c r="O155" s="28" t="n">
        <v>0.45654</v>
      </c>
      <c r="P155" s="28" t="n">
        <v>0.2</v>
      </c>
      <c r="Q155" s="28" t="n">
        <v>-0.09301</v>
      </c>
      <c r="R155" s="26" t="n">
        <v>0</v>
      </c>
      <c r="S155" s="29" t="n">
        <v>1</v>
      </c>
      <c r="T155" s="24" t="inlineStr">
        <is>
          <t>soccer-poisson-dc-v1</t>
        </is>
      </c>
      <c r="U155" s="24" t="inlineStr">
        <is>
          <t>settled</t>
        </is>
      </c>
      <c r="V155" s="24" t="inlineStr">
        <is>
          <t>win</t>
        </is>
      </c>
      <c r="W155" s="26" t="n">
        <v>1</v>
      </c>
      <c r="X155" s="26" t="n">
        <v>0</v>
      </c>
      <c r="Y155" s="25" t="n"/>
      <c r="Z155" s="26" t="n"/>
      <c r="AA155" s="28" t="n"/>
      <c r="AB155" s="28" t="n"/>
      <c r="AC155" s="30" t="n">
        <v>0.8197</v>
      </c>
      <c r="AD155" s="24" t="inlineStr">
        <is>
          <t>2026-08-01T13:41:19.925310Z</t>
        </is>
      </c>
      <c r="AE155" s="31" t="inlineStr">
        <is>
          <t>Poisson-DC rates 1.38 (home) / 1.77 (away) from EWMA attack/defense strengths. Executable ask 0.5500 (atc-clbf-tok-bvb-2026-08-01-bvb).</t>
        </is>
      </c>
      <c r="AF155" s="31" t="inlineStr">
        <is>
          <t>Research-only soccer score model; draw-aware, but not yet locked-holdout qualified.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NO_CALL_MODEL_UNVALIDATED</t>
        </is>
      </c>
      <c r="AP155" s="24" t="inlineStr">
        <is>
          <t>Borussia Dortmund</t>
        </is>
      </c>
      <c r="AQ155" s="24" t="inlineStr">
        <is>
          <t>Borussia Dortmund</t>
        </is>
      </c>
      <c r="AR155" s="24" t="inlineStr">
        <is>
          <t>Borussia Dortmund</t>
        </is>
      </c>
      <c r="AS155" s="24" t="inlineStr">
        <is>
          <t>FC Tokyo</t>
        </is>
      </c>
      <c r="AT155" s="24" t="inlineStr">
        <is>
          <t>FC Tokyo</t>
        </is>
      </c>
      <c r="AU155" s="24" t="inlineStr">
        <is>
          <t>FC Tokyo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34d1568aad0ff11b5db35f118324684f93281e1c21fa7b80be7a4a4e2cb4bb03</t>
        </is>
      </c>
      <c r="BB155" s="24" t="inlineStr">
        <is>
          <t>poisson_dixon_coles</t>
        </is>
      </c>
      <c r="BC155" s="24" t="inlineStr">
        <is>
          <t>soccer-poisson-dc-v1</t>
        </is>
      </c>
      <c r="BD155" s="24" t="inlineStr">
        <is>
          <t>34d1568aad0ff11b5db35f118324684f93281e1c21fa7b80be7a4a4e2cb4bb03</t>
        </is>
      </c>
      <c r="BE155" s="24" t="inlineStr">
        <is>
          <t>soccer-poisson-dc-v1</t>
        </is>
      </c>
      <c r="BF155" s="24" t="inlineStr">
        <is>
          <t>1</t>
        </is>
      </c>
      <c r="BG155" s="24" t="inlineStr">
        <is>
          <t>34d1568aad0ff11b5db35f118324684f93281e1c21fa7b80be7a4a4e2cb4bb03</t>
        </is>
      </c>
      <c r="BH155" s="24" t="inlineStr">
        <is>
          <t>2026-08-01T06:36:26.090957Z</t>
        </is>
      </c>
      <c r="BI155" s="24" t="inlineStr">
        <is>
          <t>["same_event","same_team_same_day","same_league_same_day"]</t>
        </is>
      </c>
      <c r="BJ155" s="25" t="n"/>
      <c r="BK155" s="26" t="n">
        <v>-122</v>
      </c>
      <c r="BL155" s="27" t="n">
        <v>1.819672</v>
      </c>
      <c r="BM155" s="28" t="n">
        <v>0.54955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</row>
    <row r="156" ht="36" customHeight="1">
      <c r="A156" s="24" t="inlineStr">
        <is>
          <t>02eb8e6babd749a2</t>
        </is>
      </c>
      <c r="B156" s="24" t="inlineStr">
        <is>
          <t>2026-08-01T16:52:27.367453Z</t>
        </is>
      </c>
      <c r="C156" s="24" t="inlineStr">
        <is>
          <t>2026-08-01T18:00Z</t>
        </is>
      </c>
      <c r="D156" s="24" t="inlineStr">
        <is>
          <t>401844018</t>
        </is>
      </c>
      <c r="E156" s="24" t="inlineStr">
        <is>
          <t>SOCCER</t>
        </is>
      </c>
      <c r="F156" s="24" t="inlineStr">
        <is>
          <t>Gimnasia y Esgrima (Jujuy)</t>
        </is>
      </c>
      <c r="G156" s="24" t="inlineStr">
        <is>
          <t>Colegiales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133</v>
      </c>
      <c r="M156" s="27" t="n">
        <v>2.33</v>
      </c>
      <c r="N156" s="28" t="n">
        <v>0.429185</v>
      </c>
      <c r="O156" s="28" t="n">
        <v>0.456135</v>
      </c>
      <c r="P156" s="28" t="n">
        <v>0.2</v>
      </c>
      <c r="Q156" s="28" t="n">
        <v>0.02695</v>
      </c>
      <c r="R156" s="26" t="n">
        <v>0</v>
      </c>
      <c r="S156" s="29" t="n">
        <v>1</v>
      </c>
      <c r="T156" s="24" t="inlineStr">
        <is>
          <t>soccer-poisson-dc-v1</t>
        </is>
      </c>
      <c r="U156" s="24" t="inlineStr">
        <is>
          <t>settled</t>
        </is>
      </c>
      <c r="V156" s="24" t="inlineStr">
        <is>
          <t>win</t>
        </is>
      </c>
      <c r="W156" s="26" t="n">
        <v>1</v>
      </c>
      <c r="X156" s="26" t="n">
        <v>2</v>
      </c>
      <c r="Y156" s="25" t="n"/>
      <c r="Z156" s="26" t="n"/>
      <c r="AA156" s="28" t="n"/>
      <c r="AB156" s="28" t="n"/>
      <c r="AC156" s="30" t="n">
        <v>1.33</v>
      </c>
      <c r="AD156" s="24" t="inlineStr">
        <is>
          <t>2026-08-01T20:13:19.135597Z</t>
        </is>
      </c>
      <c r="AE156" s="31" t="inlineStr">
        <is>
          <t>Poisson-DC rates 1.64 (home) / 1.24 (away) from EWMA attack/defense strengths. Executable ask 0.4300 (atc-arg2-cac-ge-2026-08-01-cac).</t>
        </is>
      </c>
      <c r="AF156" s="31" t="inlineStr">
        <is>
          <t>Research-only soccer score model; draw-aware, but not yet locked-holdout qualified.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NO_CALL_MODEL_UNVALIDATED</t>
        </is>
      </c>
      <c r="AP156" s="24" t="inlineStr">
        <is>
          <t>Gimnasia y Esgrima (Jujuy)</t>
        </is>
      </c>
      <c r="AQ156" s="24" t="inlineStr">
        <is>
          <t>Gimnasia y Esgrima (Jujuy)</t>
        </is>
      </c>
      <c r="AR156" s="24" t="inlineStr">
        <is>
          <t>Gimnasia y Esgrima (Jujuy)</t>
        </is>
      </c>
      <c r="AS156" s="24" t="inlineStr">
        <is>
          <t>Colegiales</t>
        </is>
      </c>
      <c r="AT156" s="24" t="inlineStr">
        <is>
          <t>Colegiales</t>
        </is>
      </c>
      <c r="AU156" s="24" t="inlineStr">
        <is>
          <t>Colegiales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research</t>
        </is>
      </c>
      <c r="BA156" s="24" t="inlineStr">
        <is>
          <t>34d1568aad0ff11b5db35f118324684f93281e1c21fa7b80be7a4a4e2cb4bb03</t>
        </is>
      </c>
      <c r="BB156" s="24" t="inlineStr">
        <is>
          <t>poisson_dixon_coles</t>
        </is>
      </c>
      <c r="BC156" s="24" t="inlineStr">
        <is>
          <t>soccer-poisson-dc-v1</t>
        </is>
      </c>
      <c r="BD156" s="24" t="inlineStr">
        <is>
          <t>34d1568aad0ff11b5db35f118324684f93281e1c21fa7b80be7a4a4e2cb4bb03</t>
        </is>
      </c>
      <c r="BE156" s="24" t="inlineStr">
        <is>
          <t>soccer-poisson-dc-v1</t>
        </is>
      </c>
      <c r="BF156" s="24" t="inlineStr">
        <is>
          <t>1</t>
        </is>
      </c>
      <c r="BG156" s="24" t="inlineStr">
        <is>
          <t>34d1568aad0ff11b5db35f118324684f93281e1c21fa7b80be7a4a4e2cb4bb03</t>
        </is>
      </c>
      <c r="BH156" s="24" t="inlineStr">
        <is>
          <t>2026-08-01T16:49:30.893071Z</t>
        </is>
      </c>
      <c r="BI156" s="24" t="inlineStr">
        <is>
          <t>["same_event","same_team_same_day","same_league_same_day"]</t>
        </is>
      </c>
      <c r="BJ156" s="25" t="n"/>
      <c r="BK156" s="26" t="n">
        <v>133</v>
      </c>
      <c r="BL156" s="27" t="n">
        <v>2.33</v>
      </c>
      <c r="BM156" s="28" t="n">
        <v>0.429185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</row>
    <row r="157" ht="36" customHeight="1">
      <c r="A157" s="24" t="inlineStr">
        <is>
          <t>3119afb8f63442b9</t>
        </is>
      </c>
      <c r="B157" s="24" t="inlineStr">
        <is>
          <t>2026-08-01T16:52:27.367453Z</t>
        </is>
      </c>
      <c r="C157" s="24" t="inlineStr">
        <is>
          <t>2026-08-01T18:00Z</t>
        </is>
      </c>
      <c r="D157" s="24" t="inlineStr">
        <is>
          <t>401886553</t>
        </is>
      </c>
      <c r="E157" s="24" t="inlineStr">
        <is>
          <t>SOCCER</t>
        </is>
      </c>
      <c r="F157" s="24" t="inlineStr">
        <is>
          <t>Arsenal</t>
        </is>
      </c>
      <c r="G157" s="24" t="inlineStr">
        <is>
          <t>Girona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-144</v>
      </c>
      <c r="M157" s="27" t="n">
        <v>1.694444</v>
      </c>
      <c r="N157" s="28" t="n">
        <v>0.590164</v>
      </c>
      <c r="O157" s="28" t="n">
        <v>0.51186</v>
      </c>
      <c r="P157" s="28" t="n">
        <v>0.04</v>
      </c>
      <c r="Q157" s="28" t="n">
        <v>-0.078304</v>
      </c>
      <c r="R157" s="26" t="n">
        <v>0</v>
      </c>
      <c r="S157" s="29" t="n">
        <v>1</v>
      </c>
      <c r="T157" s="24" t="inlineStr">
        <is>
          <t>soccer-poisson-dc-v1</t>
        </is>
      </c>
      <c r="U157" s="24" t="inlineStr">
        <is>
          <t>settled</t>
        </is>
      </c>
      <c r="V157" s="24" t="inlineStr">
        <is>
          <t>win</t>
        </is>
      </c>
      <c r="W157" s="26" t="n">
        <v>4</v>
      </c>
      <c r="X157" s="26" t="n">
        <v>1</v>
      </c>
      <c r="Y157" s="25" t="n"/>
      <c r="Z157" s="26" t="n"/>
      <c r="AA157" s="28" t="n"/>
      <c r="AB157" s="28" t="n"/>
      <c r="AC157" s="30" t="n">
        <v>0.6944</v>
      </c>
      <c r="AD157" s="24" t="inlineStr">
        <is>
          <t>2026-08-01T20:13:22.602729Z</t>
        </is>
      </c>
      <c r="AE157" s="31" t="inlineStr">
        <is>
          <t>Poisson-DC rates 0.58 (home) / 1.23 (away) from EWMA attack/defense strengths. Executable ask 0.5900 (atc-clbf-gir-afr-2026-08-01-afr).</t>
        </is>
      </c>
      <c r="AF157" s="31" t="inlineStr">
        <is>
          <t>Research-only soccer score model; draw-aware, but not yet locked-holdout qualified.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NO_CALL_MODEL_UNVALIDATED</t>
        </is>
      </c>
      <c r="AP157" s="24" t="inlineStr">
        <is>
          <t>Arsenal</t>
        </is>
      </c>
      <c r="AQ157" s="24" t="inlineStr">
        <is>
          <t>Arsenal</t>
        </is>
      </c>
      <c r="AR157" s="24" t="inlineStr">
        <is>
          <t>Arsenal</t>
        </is>
      </c>
      <c r="AS157" s="24" t="inlineStr">
        <is>
          <t>Girona</t>
        </is>
      </c>
      <c r="AT157" s="24" t="inlineStr">
        <is>
          <t>Girona</t>
        </is>
      </c>
      <c r="AU157" s="24" t="inlineStr">
        <is>
          <t>Girona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34d1568aad0ff11b5db35f118324684f93281e1c21fa7b80be7a4a4e2cb4bb03</t>
        </is>
      </c>
      <c r="BB157" s="24" t="inlineStr">
        <is>
          <t>poisson_dixon_coles</t>
        </is>
      </c>
      <c r="BC157" s="24" t="inlineStr">
        <is>
          <t>soccer-poisson-dc-v1</t>
        </is>
      </c>
      <c r="BD157" s="24" t="inlineStr">
        <is>
          <t>34d1568aad0ff11b5db35f118324684f93281e1c21fa7b80be7a4a4e2cb4bb03</t>
        </is>
      </c>
      <c r="BE157" s="24" t="inlineStr">
        <is>
          <t>soccer-poisson-dc-v1</t>
        </is>
      </c>
      <c r="BF157" s="24" t="inlineStr">
        <is>
          <t>1</t>
        </is>
      </c>
      <c r="BG157" s="24" t="inlineStr">
        <is>
          <t>34d1568aad0ff11b5db35f118324684f93281e1c21fa7b80be7a4a4e2cb4bb03</t>
        </is>
      </c>
      <c r="BH157" s="24" t="inlineStr">
        <is>
          <t>2026-08-01T16:49:39.645100Z</t>
        </is>
      </c>
      <c r="BI157" s="24" t="inlineStr">
        <is>
          <t>["same_event","same_team_same_day","same_league_same_day"]</t>
        </is>
      </c>
      <c r="BJ157" s="25" t="n"/>
      <c r="BK157" s="26" t="n">
        <v>-144</v>
      </c>
      <c r="BL157" s="27" t="n">
        <v>1.694444</v>
      </c>
      <c r="BM157" s="28" t="n">
        <v>0.590164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</row>
    <row r="158" ht="36" customHeight="1">
      <c r="A158" s="24" t="inlineStr">
        <is>
          <t>45d01ab1161349e2</t>
        </is>
      </c>
      <c r="B158" s="24" t="inlineStr">
        <is>
          <t>2026-08-01T18:40:16.324475Z</t>
        </is>
      </c>
      <c r="C158" s="24" t="inlineStr">
        <is>
          <t>2026-08-01T19:00Z</t>
        </is>
      </c>
      <c r="D158" s="24" t="inlineStr">
        <is>
          <t>401850610</t>
        </is>
      </c>
      <c r="E158" s="24" t="inlineStr">
        <is>
          <t>SOCCER</t>
        </is>
      </c>
      <c r="F158" s="24" t="inlineStr">
        <is>
          <t>Colo Colo</t>
        </is>
      </c>
      <c r="G158" s="24" t="inlineStr">
        <is>
          <t>Everton CD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245</v>
      </c>
      <c r="M158" s="27" t="n">
        <v>3.45</v>
      </c>
      <c r="N158" s="28" t="n">
        <v>0.289855</v>
      </c>
      <c r="O158" s="28" t="n">
        <v>0.447172</v>
      </c>
      <c r="P158" s="28" t="n">
        <v>0.19</v>
      </c>
      <c r="Q158" s="28" t="n">
        <v>0.157317</v>
      </c>
      <c r="R158" s="26" t="n">
        <v>15</v>
      </c>
      <c r="S158" s="29" t="n">
        <v>1</v>
      </c>
      <c r="T158" s="24" t="inlineStr">
        <is>
          <t>soccer-poisson-dc-v1</t>
        </is>
      </c>
      <c r="U158" s="24" t="inlineStr">
        <is>
          <t>settled</t>
        </is>
      </c>
      <c r="V158" s="24" t="inlineStr">
        <is>
          <t>loss</t>
        </is>
      </c>
      <c r="W158" s="26" t="n">
        <v>4</v>
      </c>
      <c r="X158" s="26" t="n">
        <v>3</v>
      </c>
      <c r="Y158" s="25" t="n"/>
      <c r="Z158" s="26" t="n"/>
      <c r="AA158" s="28" t="n"/>
      <c r="AB158" s="28" t="n"/>
      <c r="AC158" s="30" t="n">
        <v>-1</v>
      </c>
      <c r="AD158" s="24" t="inlineStr">
        <is>
          <t>2026-08-01T23:51:10.166427Z</t>
        </is>
      </c>
      <c r="AE158" s="31" t="inlineStr">
        <is>
          <t>Poisson-DC rates 1.53 (home) / 1.16 (away) from EWMA attack/defense strengths. Executable ask 0.2900 (atc-pdc-eve-col-2026-08-01-eve).</t>
        </is>
      </c>
      <c r="AF158" s="31" t="inlineStr">
        <is>
          <t>Research-only soccer score model; draw-aware, but not yet locked-holdout qualified.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research_observation</t>
        </is>
      </c>
      <c r="AL158" s="26" t="n">
        <v>3</v>
      </c>
      <c r="AM158" s="24" t="inlineStr">
        <is>
          <t>RESEARCH_OBSERVATION</t>
        </is>
      </c>
      <c r="AN158" s="24" t="inlineStr">
        <is>
          <t>NO_CALL</t>
        </is>
      </c>
      <c r="AO158" s="24" t="inlineStr">
        <is>
          <t>NO_CALL_MODEL_UNVALIDATED</t>
        </is>
      </c>
      <c r="AP158" s="24" t="inlineStr">
        <is>
          <t>Colo Colo</t>
        </is>
      </c>
      <c r="AQ158" s="24" t="inlineStr">
        <is>
          <t>Colo Colo</t>
        </is>
      </c>
      <c r="AR158" s="24" t="inlineStr">
        <is>
          <t>Colo Colo</t>
        </is>
      </c>
      <c r="AS158" s="24" t="inlineStr">
        <is>
          <t>Everton CD</t>
        </is>
      </c>
      <c r="AT158" s="24" t="inlineStr">
        <is>
          <t>Everton CD</t>
        </is>
      </c>
      <c r="AU158" s="24" t="inlineStr">
        <is>
          <t>Everton CD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34d1568aad0ff11b5db35f118324684f93281e1c21fa7b80be7a4a4e2cb4bb03</t>
        </is>
      </c>
      <c r="BB158" s="24" t="inlineStr">
        <is>
          <t>poisson_dixon_coles</t>
        </is>
      </c>
      <c r="BC158" s="24" t="inlineStr">
        <is>
          <t>soccer-poisson-dc-v1</t>
        </is>
      </c>
      <c r="BD158" s="24" t="inlineStr">
        <is>
          <t>34d1568aad0ff11b5db35f118324684f93281e1c21fa7b80be7a4a4e2cb4bb03</t>
        </is>
      </c>
      <c r="BE158" s="24" t="inlineStr">
        <is>
          <t>soccer-poisson-dc-v1</t>
        </is>
      </c>
      <c r="BF158" s="24" t="inlineStr">
        <is>
          <t>1</t>
        </is>
      </c>
      <c r="BG158" s="24" t="inlineStr">
        <is>
          <t>34d1568aad0ff11b5db35f118324684f93281e1c21fa7b80be7a4a4e2cb4bb03</t>
        </is>
      </c>
      <c r="BH158" s="24" t="inlineStr">
        <is>
          <t>2026-08-01T18:37:04.072976Z</t>
        </is>
      </c>
      <c r="BI158" s="24" t="inlineStr">
        <is>
          <t>["same_event","same_team_same_day","same_league_same_day"]</t>
        </is>
      </c>
      <c r="BJ158" s="25" t="n"/>
      <c r="BK158" s="26" t="n">
        <v>245</v>
      </c>
      <c r="BL158" s="27" t="n">
        <v>3.45</v>
      </c>
      <c r="BM158" s="28" t="n">
        <v>0.289855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</row>
    <row r="159" ht="36" customHeight="1">
      <c r="A159" s="24" t="inlineStr">
        <is>
          <t>49d8e97b6d0a49e1</t>
        </is>
      </c>
      <c r="B159" s="24" t="inlineStr">
        <is>
          <t>2026-08-01T18:40:16.324475Z</t>
        </is>
      </c>
      <c r="C159" s="24" t="inlineStr">
        <is>
          <t>2026-08-01T19:00Z</t>
        </is>
      </c>
      <c r="D159" s="24" t="inlineStr">
        <is>
          <t>401859643</t>
        </is>
      </c>
      <c r="E159" s="24" t="inlineStr">
        <is>
          <t>SOCCER</t>
        </is>
      </c>
      <c r="F159" s="24" t="inlineStr">
        <is>
          <t>Mushuc Runa</t>
        </is>
      </c>
      <c r="G159" s="24" t="inlineStr">
        <is>
          <t>Manta F.C.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186</v>
      </c>
      <c r="M159" s="27" t="n">
        <v>2.86</v>
      </c>
      <c r="N159" s="28" t="n">
        <v>0.34965</v>
      </c>
      <c r="O159" s="28" t="n">
        <v>0.456135</v>
      </c>
      <c r="P159" s="28" t="n">
        <v>0.2</v>
      </c>
      <c r="Q159" s="28" t="n">
        <v>0.106485</v>
      </c>
      <c r="R159" s="26" t="n">
        <v>0</v>
      </c>
      <c r="S159" s="29" t="n">
        <v>1</v>
      </c>
      <c r="T159" s="24" t="inlineStr">
        <is>
          <t>soccer-poisson-dc-v1</t>
        </is>
      </c>
      <c r="U159" s="24" t="inlineStr">
        <is>
          <t>settled</t>
        </is>
      </c>
      <c r="V159" s="24" t="inlineStr">
        <is>
          <t>loss</t>
        </is>
      </c>
      <c r="W159" s="26" t="n">
        <v>2</v>
      </c>
      <c r="X159" s="26" t="n">
        <v>1</v>
      </c>
      <c r="Y159" s="25" t="n"/>
      <c r="Z159" s="26" t="n"/>
      <c r="AA159" s="28" t="n"/>
      <c r="AB159" s="28" t="n"/>
      <c r="AC159" s="30" t="n">
        <v>-1</v>
      </c>
      <c r="AD159" s="24" t="inlineStr">
        <is>
          <t>2026-08-01T21:40:58.484236Z</t>
        </is>
      </c>
      <c r="AE159" s="31" t="inlineStr">
        <is>
          <t>Poisson-DC rates 1.64 (home) / 1.24 (away) from EWMA attack/defense strengths. Executable ask 0.3500 (atc-ecu1-man-mur-2026-08-01-man).</t>
        </is>
      </c>
      <c r="AF159" s="31" t="inlineStr">
        <is>
          <t>Research-only soccer score model; draw-aware, but not yet locked-holdout qualified.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NO_CALL_MODEL_UNVALIDATED</t>
        </is>
      </c>
      <c r="AP159" s="24" t="inlineStr">
        <is>
          <t>Mushuc Runa</t>
        </is>
      </c>
      <c r="AQ159" s="24" t="inlineStr">
        <is>
          <t>Mushuc Runa</t>
        </is>
      </c>
      <c r="AR159" s="24" t="inlineStr">
        <is>
          <t>Mushuc Runa</t>
        </is>
      </c>
      <c r="AS159" s="24" t="inlineStr">
        <is>
          <t>Manta F.C.</t>
        </is>
      </c>
      <c r="AT159" s="24" t="inlineStr">
        <is>
          <t>Manta F.C.</t>
        </is>
      </c>
      <c r="AU159" s="24" t="inlineStr">
        <is>
          <t>Manta F.C.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research</t>
        </is>
      </c>
      <c r="BA159" s="24" t="inlineStr">
        <is>
          <t>34d1568aad0ff11b5db35f118324684f93281e1c21fa7b80be7a4a4e2cb4bb03</t>
        </is>
      </c>
      <c r="BB159" s="24" t="inlineStr">
        <is>
          <t>poisson_dixon_coles</t>
        </is>
      </c>
      <c r="BC159" s="24" t="inlineStr">
        <is>
          <t>soccer-poisson-dc-v1</t>
        </is>
      </c>
      <c r="BD159" s="24" t="inlineStr">
        <is>
          <t>34d1568aad0ff11b5db35f118324684f93281e1c21fa7b80be7a4a4e2cb4bb03</t>
        </is>
      </c>
      <c r="BE159" s="24" t="inlineStr">
        <is>
          <t>soccer-poisson-dc-v1</t>
        </is>
      </c>
      <c r="BF159" s="24" t="inlineStr">
        <is>
          <t>1</t>
        </is>
      </c>
      <c r="BG159" s="24" t="inlineStr">
        <is>
          <t>34d1568aad0ff11b5db35f118324684f93281e1c21fa7b80be7a4a4e2cb4bb03</t>
        </is>
      </c>
      <c r="BH159" s="24" t="inlineStr">
        <is>
          <t>2026-08-01T18:37:05.727261Z</t>
        </is>
      </c>
      <c r="BI159" s="24" t="inlineStr">
        <is>
          <t>["same_event","same_team_same_day","same_league_same_day"]</t>
        </is>
      </c>
      <c r="BJ159" s="25" t="n"/>
      <c r="BK159" s="26" t="n">
        <v>186</v>
      </c>
      <c r="BL159" s="27" t="n">
        <v>2.86</v>
      </c>
      <c r="BM159" s="28" t="n">
        <v>0.34965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</row>
    <row r="160" ht="36" customHeight="1">
      <c r="A160" s="24" t="inlineStr">
        <is>
          <t>6335060e4ee644f9</t>
        </is>
      </c>
      <c r="B160" s="24" t="inlineStr">
        <is>
          <t>2026-08-01T20:17:05.741632Z</t>
        </is>
      </c>
      <c r="C160" s="24" t="inlineStr">
        <is>
          <t>2026-08-01T23:30Z</t>
        </is>
      </c>
      <c r="D160" s="24" t="inlineStr">
        <is>
          <t>761699</t>
        </is>
      </c>
      <c r="E160" s="24" t="inlineStr">
        <is>
          <t>SOCCER</t>
        </is>
      </c>
      <c r="F160" s="24" t="inlineStr">
        <is>
          <t>Nashville SC</t>
        </is>
      </c>
      <c r="G160" s="24" t="inlineStr">
        <is>
          <t>D.C. United</t>
        </is>
      </c>
      <c r="H160" s="24" t="inlineStr">
        <is>
          <t>total</t>
        </is>
      </c>
      <c r="I160" s="24" t="inlineStr">
        <is>
          <t>over</t>
        </is>
      </c>
      <c r="J160" s="25" t="n">
        <v>2.5</v>
      </c>
      <c r="K160" s="24" t="inlineStr">
        <is>
          <t>polymarket_us</t>
        </is>
      </c>
      <c r="L160" s="26" t="n">
        <v>-104</v>
      </c>
      <c r="M160" s="27" t="n">
        <v>1.961538</v>
      </c>
      <c r="N160" s="28" t="n">
        <v>0.509804</v>
      </c>
      <c r="O160" s="28" t="n">
        <v>0.654047</v>
      </c>
      <c r="P160" s="28" t="n">
        <v>0.04</v>
      </c>
      <c r="Q160" s="28" t="n">
        <v>0.144243</v>
      </c>
      <c r="R160" s="26" t="n">
        <v>98</v>
      </c>
      <c r="S160" s="29" t="n">
        <v>1.75</v>
      </c>
      <c r="T160" s="24" t="inlineStr">
        <is>
          <t>soccer-poisson-dc-v1</t>
        </is>
      </c>
      <c r="U160" s="24" t="inlineStr">
        <is>
          <t>settled</t>
        </is>
      </c>
      <c r="V160" s="24" t="inlineStr">
        <is>
          <t>win</t>
        </is>
      </c>
      <c r="W160" s="26" t="n">
        <v>2</v>
      </c>
      <c r="X160" s="26" t="n">
        <v>2</v>
      </c>
      <c r="Y160" s="25" t="n"/>
      <c r="Z160" s="26" t="n"/>
      <c r="AA160" s="28" t="n"/>
      <c r="AB160" s="28" t="n"/>
      <c r="AC160" s="30" t="n">
        <v>1.6827</v>
      </c>
      <c r="AD160" s="24" t="inlineStr">
        <is>
          <t>2026-08-02T03:26:14.226095Z</t>
        </is>
      </c>
      <c r="AE160" s="31" t="inlineStr">
        <is>
          <t>Poisson-DC rates 1.27 (home) / 2.09 (away) from EWMA attack/defense strengths. Executable ask 0.5100 (tsc-mls-dcu-nas-2026-08-01-2pt5).</t>
        </is>
      </c>
      <c r="AF160" s="31" t="inlineStr">
        <is>
          <t>Research-only soccer score model; draw-aware, but not yet locked-holdout qualified.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NO_CALL_MODEL_UNVALIDATED</t>
        </is>
      </c>
      <c r="AP160" s="24" t="inlineStr">
        <is>
          <t>Nashville SC</t>
        </is>
      </c>
      <c r="AQ160" s="24" t="inlineStr">
        <is>
          <t>Nashville SC</t>
        </is>
      </c>
      <c r="AR160" s="24" t="inlineStr">
        <is>
          <t>Nashville SC</t>
        </is>
      </c>
      <c r="AS160" s="24" t="inlineStr">
        <is>
          <t>D.C. United</t>
        </is>
      </c>
      <c r="AT160" s="24" t="inlineStr">
        <is>
          <t>D.C. United</t>
        </is>
      </c>
      <c r="AU160" s="24" t="inlineStr">
        <is>
          <t>D.C. United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research</t>
        </is>
      </c>
      <c r="BA160" s="24" t="inlineStr">
        <is>
          <t>34d1568aad0ff11b5db35f118324684f93281e1c21fa7b80be7a4a4e2cb4bb03</t>
        </is>
      </c>
      <c r="BB160" s="24" t="inlineStr">
        <is>
          <t>poisson_dixon_coles</t>
        </is>
      </c>
      <c r="BC160" s="24" t="inlineStr">
        <is>
          <t>soccer-poisson-dc-v1</t>
        </is>
      </c>
      <c r="BD160" s="24" t="inlineStr">
        <is>
          <t>34d1568aad0ff11b5db35f118324684f93281e1c21fa7b80be7a4a4e2cb4bb03</t>
        </is>
      </c>
      <c r="BE160" s="24" t="inlineStr">
        <is>
          <t>soccer-poisson-dc-v1</t>
        </is>
      </c>
      <c r="BF160" s="24" t="inlineStr">
        <is>
          <t>1</t>
        </is>
      </c>
      <c r="BG160" s="24" t="inlineStr">
        <is>
          <t>34d1568aad0ff11b5db35f118324684f93281e1c21fa7b80be7a4a4e2cb4bb03</t>
        </is>
      </c>
      <c r="BH160" s="24" t="inlineStr">
        <is>
          <t>2026-08-01T20:14:21.274394Z</t>
        </is>
      </c>
      <c r="BI160" s="24" t="inlineStr">
        <is>
          <t>["same_event","same_team_same_day","same_league_same_day"]</t>
        </is>
      </c>
      <c r="BJ160" s="25" t="n">
        <v>2.5</v>
      </c>
      <c r="BK160" s="26" t="n">
        <v>-104</v>
      </c>
      <c r="BL160" s="27" t="n">
        <v>1.961538</v>
      </c>
      <c r="BM160" s="28" t="n">
        <v>0.509804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</row>
    <row r="161" ht="36" customHeight="1">
      <c r="A161" s="24" t="inlineStr">
        <is>
          <t>b700c24ab7bb44a3</t>
        </is>
      </c>
      <c r="B161" s="24" t="inlineStr">
        <is>
          <t>2026-08-01T20:17:05.741632Z</t>
        </is>
      </c>
      <c r="C161" s="24" t="inlineStr">
        <is>
          <t>2026-08-01T23:30Z</t>
        </is>
      </c>
      <c r="D161" s="24" t="inlineStr">
        <is>
          <t>761700</t>
        </is>
      </c>
      <c r="E161" s="24" t="inlineStr">
        <is>
          <t>SOCCER</t>
        </is>
      </c>
      <c r="F161" s="24" t="inlineStr">
        <is>
          <t>San Jose Earthquakes</t>
        </is>
      </c>
      <c r="G161" s="24" t="inlineStr">
        <is>
          <t>FC Cincinnati</t>
        </is>
      </c>
      <c r="H161" s="24" t="inlineStr">
        <is>
          <t>total</t>
        </is>
      </c>
      <c r="I161" s="24" t="inlineStr">
        <is>
          <t>over</t>
        </is>
      </c>
      <c r="J161" s="25" t="n">
        <v>2.5</v>
      </c>
      <c r="K161" s="24" t="inlineStr">
        <is>
          <t>polymarket_us</t>
        </is>
      </c>
      <c r="L161" s="26" t="n">
        <v>-317</v>
      </c>
      <c r="M161" s="27" t="n">
        <v>1.315457</v>
      </c>
      <c r="N161" s="28" t="n">
        <v>0.760192</v>
      </c>
      <c r="O161" s="28" t="n">
        <v>0.884924</v>
      </c>
      <c r="P161" s="28" t="n">
        <v>0.04</v>
      </c>
      <c r="Q161" s="28" t="n">
        <v>0.124732</v>
      </c>
      <c r="R161" s="26" t="n">
        <v>88</v>
      </c>
      <c r="S161" s="29" t="n">
        <v>2</v>
      </c>
      <c r="T161" s="24" t="inlineStr">
        <is>
          <t>soccer-poisson-dc-v1</t>
        </is>
      </c>
      <c r="U161" s="24" t="inlineStr">
        <is>
          <t>settled</t>
        </is>
      </c>
      <c r="V161" s="24" t="inlineStr">
        <is>
          <t>win</t>
        </is>
      </c>
      <c r="W161" s="26" t="n">
        <v>2</v>
      </c>
      <c r="X161" s="26" t="n">
        <v>4</v>
      </c>
      <c r="Y161" s="25" t="n"/>
      <c r="Z161" s="26" t="n"/>
      <c r="AA161" s="28" t="n"/>
      <c r="AB161" s="28" t="n"/>
      <c r="AC161" s="30" t="n">
        <v>0.6309</v>
      </c>
      <c r="AD161" s="24" t="inlineStr">
        <is>
          <t>2026-08-02T04:26:21.106575Z</t>
        </is>
      </c>
      <c r="AE161" s="31" t="inlineStr">
        <is>
          <t>Poisson-DC rates 2.60 (home) / 2.52 (away) from EWMA attack/defense strengths. Executable ask 0.7600 (tsc-mls-fcc-sje-2026-08-01-2pt5).</t>
        </is>
      </c>
      <c r="AF161" s="31" t="inlineStr">
        <is>
          <t>Research-only soccer score model; draw-aware, but not yet locked-holdout qualified.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NO_CALL_MODEL_UNVALIDATED</t>
        </is>
      </c>
      <c r="AP161" s="24" t="inlineStr">
        <is>
          <t>San Jose Earthquakes</t>
        </is>
      </c>
      <c r="AQ161" s="24" t="inlineStr">
        <is>
          <t>San Jose Earthquakes</t>
        </is>
      </c>
      <c r="AR161" s="24" t="inlineStr">
        <is>
          <t>San Jose Earthquakes</t>
        </is>
      </c>
      <c r="AS161" s="24" t="inlineStr">
        <is>
          <t>FC Cincinnati</t>
        </is>
      </c>
      <c r="AT161" s="24" t="inlineStr">
        <is>
          <t>FC Cincinnati</t>
        </is>
      </c>
      <c r="AU161" s="24" t="inlineStr">
        <is>
          <t>FC Cincinnati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research</t>
        </is>
      </c>
      <c r="BA161" s="24" t="inlineStr">
        <is>
          <t>34d1568aad0ff11b5db35f118324684f93281e1c21fa7b80be7a4a4e2cb4bb03</t>
        </is>
      </c>
      <c r="BB161" s="24" t="inlineStr">
        <is>
          <t>poisson_dixon_coles</t>
        </is>
      </c>
      <c r="BC161" s="24" t="inlineStr">
        <is>
          <t>soccer-poisson-dc-v1</t>
        </is>
      </c>
      <c r="BD161" s="24" t="inlineStr">
        <is>
          <t>34d1568aad0ff11b5db35f118324684f93281e1c21fa7b80be7a4a4e2cb4bb03</t>
        </is>
      </c>
      <c r="BE161" s="24" t="inlineStr">
        <is>
          <t>soccer-poisson-dc-v1</t>
        </is>
      </c>
      <c r="BF161" s="24" t="inlineStr">
        <is>
          <t>1</t>
        </is>
      </c>
      <c r="BG161" s="24" t="inlineStr">
        <is>
          <t>34d1568aad0ff11b5db35f118324684f93281e1c21fa7b80be7a4a4e2cb4bb03</t>
        </is>
      </c>
      <c r="BH161" s="24" t="inlineStr">
        <is>
          <t>2026-08-01T20:14:22.110761Z</t>
        </is>
      </c>
      <c r="BI161" s="24" t="inlineStr">
        <is>
          <t>["same_event","same_team_same_day","same_league_same_day"]</t>
        </is>
      </c>
      <c r="BJ161" s="25" t="n">
        <v>2.5</v>
      </c>
      <c r="BK161" s="26" t="n">
        <v>-317</v>
      </c>
      <c r="BL161" s="27" t="n">
        <v>1.315457</v>
      </c>
      <c r="BM161" s="28" t="n">
        <v>0.760192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</row>
    <row r="162" ht="36" customHeight="1">
      <c r="A162" s="24" t="inlineStr">
        <is>
          <t>1f48bd79d56a4307</t>
        </is>
      </c>
      <c r="B162" s="24" t="inlineStr">
        <is>
          <t>2026-08-01T20:17:05.741632Z</t>
        </is>
      </c>
      <c r="C162" s="24" t="inlineStr">
        <is>
          <t>2026-08-01T23:30Z</t>
        </is>
      </c>
      <c r="D162" s="24" t="inlineStr">
        <is>
          <t>761701</t>
        </is>
      </c>
      <c r="E162" s="24" t="inlineStr">
        <is>
          <t>SOCCER</t>
        </is>
      </c>
      <c r="F162" s="24" t="inlineStr">
        <is>
          <t>Columbus Crew</t>
        </is>
      </c>
      <c r="G162" s="24" t="inlineStr">
        <is>
          <t>Inter Miami CF</t>
        </is>
      </c>
      <c r="H162" s="24" t="inlineStr">
        <is>
          <t>total</t>
        </is>
      </c>
      <c r="I162" s="24" t="inlineStr">
        <is>
          <t>over</t>
        </is>
      </c>
      <c r="J162" s="25" t="n">
        <v>2.5</v>
      </c>
      <c r="K162" s="24" t="inlineStr">
        <is>
          <t>polymarket_us</t>
        </is>
      </c>
      <c r="L162" s="26" t="n">
        <v>-285</v>
      </c>
      <c r="M162" s="27" t="n">
        <v>1.350877</v>
      </c>
      <c r="N162" s="28" t="n">
        <v>0.74026</v>
      </c>
      <c r="O162" s="28" t="n">
        <v>0.8701759999999999</v>
      </c>
      <c r="P162" s="28" t="n">
        <v>0.04</v>
      </c>
      <c r="Q162" s="28" t="n">
        <v>0.129916</v>
      </c>
      <c r="R162" s="26" t="n">
        <v>91</v>
      </c>
      <c r="S162" s="29" t="n">
        <v>2</v>
      </c>
      <c r="T162" s="24" t="inlineStr">
        <is>
          <t>soccer-poisson-dc-v1</t>
        </is>
      </c>
      <c r="U162" s="24" t="inlineStr">
        <is>
          <t>settled</t>
        </is>
      </c>
      <c r="V162" s="24" t="inlineStr">
        <is>
          <t>win</t>
        </is>
      </c>
      <c r="W162" s="26" t="n">
        <v>2</v>
      </c>
      <c r="X162" s="26" t="n">
        <v>2</v>
      </c>
      <c r="Y162" s="25" t="n"/>
      <c r="Z162" s="26" t="n"/>
      <c r="AA162" s="28" t="n"/>
      <c r="AB162" s="28" t="n"/>
      <c r="AC162" s="30" t="n">
        <v>0.7018</v>
      </c>
      <c r="AD162" s="24" t="inlineStr">
        <is>
          <t>2026-08-02T03:26:14.497023Z</t>
        </is>
      </c>
      <c r="AE162" s="31" t="inlineStr">
        <is>
          <t>Poisson-DC rates 3.37 (home) / 1.57 (away) from EWMA attack/defense strengths. Executable ask 0.7400 (tsc-mls-mia-clb-2026-08-01-2pt5).</t>
        </is>
      </c>
      <c r="AF162" s="31" t="inlineStr">
        <is>
          <t>Research-only soccer score model; draw-aware, but not yet locked-holdout qualified.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NO_CALL_MODEL_UNVALIDATED</t>
        </is>
      </c>
      <c r="AP162" s="24" t="inlineStr">
        <is>
          <t>Columbus Crew</t>
        </is>
      </c>
      <c r="AQ162" s="24" t="inlineStr">
        <is>
          <t>Columbus Crew</t>
        </is>
      </c>
      <c r="AR162" s="24" t="inlineStr">
        <is>
          <t>Columbus Crew</t>
        </is>
      </c>
      <c r="AS162" s="24" t="inlineStr">
        <is>
          <t>Inter Miami CF</t>
        </is>
      </c>
      <c r="AT162" s="24" t="inlineStr">
        <is>
          <t>Inter Miami CF</t>
        </is>
      </c>
      <c r="AU162" s="24" t="inlineStr">
        <is>
          <t>Inter Miami CF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research</t>
        </is>
      </c>
      <c r="BA162" s="24" t="inlineStr">
        <is>
          <t>34d1568aad0ff11b5db35f118324684f93281e1c21fa7b80be7a4a4e2cb4bb03</t>
        </is>
      </c>
      <c r="BB162" s="24" t="inlineStr">
        <is>
          <t>poisson_dixon_coles</t>
        </is>
      </c>
      <c r="BC162" s="24" t="inlineStr">
        <is>
          <t>soccer-poisson-dc-v1</t>
        </is>
      </c>
      <c r="BD162" s="24" t="inlineStr">
        <is>
          <t>34d1568aad0ff11b5db35f118324684f93281e1c21fa7b80be7a4a4e2cb4bb03</t>
        </is>
      </c>
      <c r="BE162" s="24" t="inlineStr">
        <is>
          <t>soccer-poisson-dc-v1</t>
        </is>
      </c>
      <c r="BF162" s="24" t="inlineStr">
        <is>
          <t>1</t>
        </is>
      </c>
      <c r="BG162" s="24" t="inlineStr">
        <is>
          <t>34d1568aad0ff11b5db35f118324684f93281e1c21fa7b80be7a4a4e2cb4bb03</t>
        </is>
      </c>
      <c r="BH162" s="24" t="inlineStr">
        <is>
          <t>2026-08-01T20:14:24.561641Z</t>
        </is>
      </c>
      <c r="BI162" s="24" t="inlineStr">
        <is>
          <t>["same_event","same_team_same_day","same_league_same_day"]</t>
        </is>
      </c>
      <c r="BJ162" s="25" t="n">
        <v>2.5</v>
      </c>
      <c r="BK162" s="26" t="n">
        <v>-285</v>
      </c>
      <c r="BL162" s="27" t="n">
        <v>1.350877</v>
      </c>
      <c r="BM162" s="28" t="n">
        <v>0.74026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</row>
    <row r="163" ht="36" customHeight="1">
      <c r="A163" s="24" t="inlineStr">
        <is>
          <t>534c606f8d994efb</t>
        </is>
      </c>
      <c r="B163" s="24" t="inlineStr">
        <is>
          <t>2026-08-01T20:17:05.741632Z</t>
        </is>
      </c>
      <c r="C163" s="24" t="inlineStr">
        <is>
          <t>2026-08-01T23:30Z</t>
        </is>
      </c>
      <c r="D163" s="24" t="inlineStr">
        <is>
          <t>761702</t>
        </is>
      </c>
      <c r="E163" s="24" t="inlineStr">
        <is>
          <t>SOCCER</t>
        </is>
      </c>
      <c r="F163" s="24" t="inlineStr">
        <is>
          <t>Atlanta United FC</t>
        </is>
      </c>
      <c r="G163" s="24" t="inlineStr">
        <is>
          <t>Philadelphia Union</t>
        </is>
      </c>
      <c r="H163" s="24" t="inlineStr">
        <is>
          <t>total</t>
        </is>
      </c>
      <c r="I163" s="24" t="inlineStr">
        <is>
          <t>over</t>
        </is>
      </c>
      <c r="J163" s="25" t="n">
        <v>2.5</v>
      </c>
      <c r="K163" s="24" t="inlineStr">
        <is>
          <t>polymarket_us</t>
        </is>
      </c>
      <c r="L163" s="26" t="n">
        <v>-163</v>
      </c>
      <c r="M163" s="27" t="n">
        <v>1.613497</v>
      </c>
      <c r="N163" s="28" t="n">
        <v>0.619772</v>
      </c>
      <c r="O163" s="28" t="n">
        <v>0.579545</v>
      </c>
      <c r="P163" s="28" t="n">
        <v>0.04</v>
      </c>
      <c r="Q163" s="28" t="n">
        <v>-0.040227</v>
      </c>
      <c r="R163" s="26" t="n">
        <v>6</v>
      </c>
      <c r="S163" s="29" t="n">
        <v>1.25</v>
      </c>
      <c r="T163" s="24" t="inlineStr">
        <is>
          <t>soccer-poisson-dc-v1</t>
        </is>
      </c>
      <c r="U163" s="24" t="inlineStr">
        <is>
          <t>settled</t>
        </is>
      </c>
      <c r="V163" s="24" t="inlineStr">
        <is>
          <t>win</t>
        </is>
      </c>
      <c r="W163" s="26" t="n">
        <v>2</v>
      </c>
      <c r="X163" s="26" t="n">
        <v>3</v>
      </c>
      <c r="Y163" s="25" t="n"/>
      <c r="Z163" s="26" t="n"/>
      <c r="AA163" s="28" t="n"/>
      <c r="AB163" s="28" t="n"/>
      <c r="AC163" s="30" t="n">
        <v>0.7669</v>
      </c>
      <c r="AD163" s="24" t="inlineStr">
        <is>
          <t>2026-08-02T03:26:14.740324Z</t>
        </is>
      </c>
      <c r="AE163" s="31" t="inlineStr">
        <is>
          <t>Poisson-DC rates 1.93 (home) / 1.08 (away) from EWMA attack/defense strengths. Executable ask 0.6200 (tsc-mls-phi-atl-2026-08-01-2pt5).</t>
        </is>
      </c>
      <c r="AF163" s="31" t="inlineStr">
        <is>
          <t>Research-only soccer score model; draw-aware, but not yet locked-holdout qualified.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NO_CALL_MODEL_UNVALIDATED</t>
        </is>
      </c>
      <c r="AP163" s="24" t="inlineStr">
        <is>
          <t>Atlanta United FC</t>
        </is>
      </c>
      <c r="AQ163" s="24" t="inlineStr">
        <is>
          <t>Atlanta United FC</t>
        </is>
      </c>
      <c r="AR163" s="24" t="inlineStr">
        <is>
          <t>Atlanta United FC</t>
        </is>
      </c>
      <c r="AS163" s="24" t="inlineStr">
        <is>
          <t>Philadelphia Union</t>
        </is>
      </c>
      <c r="AT163" s="24" t="inlineStr">
        <is>
          <t>Philadelphia Union</t>
        </is>
      </c>
      <c r="AU163" s="24" t="inlineStr">
        <is>
          <t>Philadelphia Union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research</t>
        </is>
      </c>
      <c r="BA163" s="24" t="inlineStr">
        <is>
          <t>34d1568aad0ff11b5db35f118324684f93281e1c21fa7b80be7a4a4e2cb4bb03</t>
        </is>
      </c>
      <c r="BB163" s="24" t="inlineStr">
        <is>
          <t>poisson_dixon_coles</t>
        </is>
      </c>
      <c r="BC163" s="24" t="inlineStr">
        <is>
          <t>soccer-poisson-dc-v1</t>
        </is>
      </c>
      <c r="BD163" s="24" t="inlineStr">
        <is>
          <t>34d1568aad0ff11b5db35f118324684f93281e1c21fa7b80be7a4a4e2cb4bb03</t>
        </is>
      </c>
      <c r="BE163" s="24" t="inlineStr">
        <is>
          <t>soccer-poisson-dc-v1</t>
        </is>
      </c>
      <c r="BF163" s="24" t="inlineStr">
        <is>
          <t>1</t>
        </is>
      </c>
      <c r="BG163" s="24" t="inlineStr">
        <is>
          <t>34d1568aad0ff11b5db35f118324684f93281e1c21fa7b80be7a4a4e2cb4bb03</t>
        </is>
      </c>
      <c r="BH163" s="24" t="inlineStr">
        <is>
          <t>2026-08-01T20:14:26.713468Z</t>
        </is>
      </c>
      <c r="BI163" s="24" t="inlineStr">
        <is>
          <t>["same_event","same_team_same_day","same_league_same_day"]</t>
        </is>
      </c>
      <c r="BJ163" s="25" t="n">
        <v>2.5</v>
      </c>
      <c r="BK163" s="26" t="n">
        <v>-163</v>
      </c>
      <c r="BL163" s="27" t="n">
        <v>1.613497</v>
      </c>
      <c r="BM163" s="28" t="n">
        <v>0.619772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</row>
    <row r="164" ht="36" customHeight="1">
      <c r="A164" s="24" t="inlineStr">
        <is>
          <t>ae6c537b76914b00</t>
        </is>
      </c>
      <c r="B164" s="24" t="inlineStr">
        <is>
          <t>2026-08-01T20:17:05.741632Z</t>
        </is>
      </c>
      <c r="C164" s="24" t="inlineStr">
        <is>
          <t>2026-08-01T23:30Z</t>
        </is>
      </c>
      <c r="D164" s="24" t="inlineStr">
        <is>
          <t>761700</t>
        </is>
      </c>
      <c r="E164" s="24" t="inlineStr">
        <is>
          <t>SOCCER</t>
        </is>
      </c>
      <c r="F164" s="24" t="inlineStr">
        <is>
          <t>San Jose Earthquakes</t>
        </is>
      </c>
      <c r="G164" s="24" t="inlineStr">
        <is>
          <t>FC Cincinnati</t>
        </is>
      </c>
      <c r="H164" s="24" t="inlineStr">
        <is>
          <t>moneyline</t>
        </is>
      </c>
      <c r="I164" s="24" t="inlineStr">
        <is>
          <t>home</t>
        </is>
      </c>
      <c r="J164" s="25" t="n"/>
      <c r="K164" s="24" t="inlineStr">
        <is>
          <t>polymarket_us</t>
        </is>
      </c>
      <c r="L164" s="26" t="n">
        <v>-108</v>
      </c>
      <c r="M164" s="27" t="n">
        <v>1.925926</v>
      </c>
      <c r="N164" s="28" t="n">
        <v>0.519231</v>
      </c>
      <c r="O164" s="28" t="n">
        <v>0.418282</v>
      </c>
      <c r="P164" s="28" t="n">
        <v>0.04</v>
      </c>
      <c r="Q164" s="28" t="n">
        <v>-0.100949</v>
      </c>
      <c r="R164" s="26" t="n">
        <v>0</v>
      </c>
      <c r="S164" s="29" t="n">
        <v>1.25</v>
      </c>
      <c r="T164" s="24" t="inlineStr">
        <is>
          <t>soccer-poisson-dc-v1</t>
        </is>
      </c>
      <c r="U164" s="24" t="inlineStr">
        <is>
          <t>settled</t>
        </is>
      </c>
      <c r="V164" s="24" t="inlineStr">
        <is>
          <t>win</t>
        </is>
      </c>
      <c r="W164" s="26" t="n">
        <v>2</v>
      </c>
      <c r="X164" s="26" t="n">
        <v>4</v>
      </c>
      <c r="Y164" s="25" t="n"/>
      <c r="Z164" s="26" t="n"/>
      <c r="AA164" s="28" t="n"/>
      <c r="AB164" s="28" t="n"/>
      <c r="AC164" s="30" t="n">
        <v>1.1574</v>
      </c>
      <c r="AD164" s="24" t="inlineStr">
        <is>
          <t>2026-08-02T04:26:21.397669Z</t>
        </is>
      </c>
      <c r="AE164" s="31" t="inlineStr">
        <is>
          <t>Poisson-DC rates 2.60 (home) / 2.52 (away) from EWMA attack/defense strengths. Executable ask 0.5200 (atc-mls-fcc-sje-2026-08-01-fcc).</t>
        </is>
      </c>
      <c r="AF164" s="31" t="inlineStr">
        <is>
          <t>Research-only soccer score model; draw-aware, but not yet locked-holdout qualified.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NO_CALL_MODEL_UNVALIDATED</t>
        </is>
      </c>
      <c r="AP164" s="24" t="inlineStr">
        <is>
          <t>San Jose Earthquakes</t>
        </is>
      </c>
      <c r="AQ164" s="24" t="inlineStr">
        <is>
          <t>San Jose Earthquakes</t>
        </is>
      </c>
      <c r="AR164" s="24" t="inlineStr">
        <is>
          <t>San Jose Earthquakes</t>
        </is>
      </c>
      <c r="AS164" s="24" t="inlineStr">
        <is>
          <t>FC Cincinnati</t>
        </is>
      </c>
      <c r="AT164" s="24" t="inlineStr">
        <is>
          <t>FC Cincinnati</t>
        </is>
      </c>
      <c r="AU164" s="24" t="inlineStr">
        <is>
          <t>FC Cincinnati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research</t>
        </is>
      </c>
      <c r="BA164" s="24" t="inlineStr">
        <is>
          <t>34d1568aad0ff11b5db35f118324684f93281e1c21fa7b80be7a4a4e2cb4bb03</t>
        </is>
      </c>
      <c r="BB164" s="24" t="inlineStr">
        <is>
          <t>poisson_dixon_coles</t>
        </is>
      </c>
      <c r="BC164" s="24" t="inlineStr">
        <is>
          <t>soccer-poisson-dc-v1</t>
        </is>
      </c>
      <c r="BD164" s="24" t="inlineStr">
        <is>
          <t>34d1568aad0ff11b5db35f118324684f93281e1c21fa7b80be7a4a4e2cb4bb03</t>
        </is>
      </c>
      <c r="BE164" s="24" t="inlineStr">
        <is>
          <t>soccer-poisson-dc-v1</t>
        </is>
      </c>
      <c r="BF164" s="24" t="inlineStr">
        <is>
          <t>1</t>
        </is>
      </c>
      <c r="BG164" s="24" t="inlineStr">
        <is>
          <t>34d1568aad0ff11b5db35f118324684f93281e1c21fa7b80be7a4a4e2cb4bb03</t>
        </is>
      </c>
      <c r="BH164" s="24" t="inlineStr">
        <is>
          <t>2026-08-01T20:14:21.554713Z</t>
        </is>
      </c>
      <c r="BI164" s="24" t="inlineStr">
        <is>
          <t>["same_event","same_team_same_day","same_league_same_day"]</t>
        </is>
      </c>
      <c r="BJ164" s="25" t="n"/>
      <c r="BK164" s="26" t="n">
        <v>-108</v>
      </c>
      <c r="BL164" s="27" t="n">
        <v>1.925926</v>
      </c>
      <c r="BM164" s="28" t="n">
        <v>0.519231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</row>
    <row r="165" ht="36" customHeight="1">
      <c r="A165" s="24" t="inlineStr">
        <is>
          <t>1e573e73d5d24ee5</t>
        </is>
      </c>
      <c r="B165" s="24" t="inlineStr">
        <is>
          <t>2026-08-01T20:17:05.741632Z</t>
        </is>
      </c>
      <c r="C165" s="24" t="inlineStr">
        <is>
          <t>2026-08-01T23:30Z</t>
        </is>
      </c>
      <c r="D165" s="24" t="inlineStr">
        <is>
          <t>761702</t>
        </is>
      </c>
      <c r="E165" s="24" t="inlineStr">
        <is>
          <t>SOCCER</t>
        </is>
      </c>
      <c r="F165" s="24" t="inlineStr">
        <is>
          <t>Atlanta United FC</t>
        </is>
      </c>
      <c r="G165" s="24" t="inlineStr">
        <is>
          <t>Philadelphia Union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-156</v>
      </c>
      <c r="M165" s="27" t="n">
        <v>1.641026</v>
      </c>
      <c r="N165" s="28" t="n">
        <v>0.609375</v>
      </c>
      <c r="O165" s="28" t="n">
        <v>0.5599229999999999</v>
      </c>
      <c r="P165" s="28" t="n">
        <v>0.04</v>
      </c>
      <c r="Q165" s="28" t="n">
        <v>-0.049452</v>
      </c>
      <c r="R165" s="26" t="n">
        <v>1</v>
      </c>
      <c r="S165" s="29" t="n">
        <v>1.25</v>
      </c>
      <c r="T165" s="24" t="inlineStr">
        <is>
          <t>soccer-poisson-dc-v1</t>
        </is>
      </c>
      <c r="U165" s="24" t="inlineStr">
        <is>
          <t>settled</t>
        </is>
      </c>
      <c r="V165" s="24" t="inlineStr">
        <is>
          <t>win</t>
        </is>
      </c>
      <c r="W165" s="26" t="n">
        <v>2</v>
      </c>
      <c r="X165" s="26" t="n">
        <v>3</v>
      </c>
      <c r="Y165" s="25" t="n"/>
      <c r="Z165" s="26" t="n"/>
      <c r="AA165" s="28" t="n"/>
      <c r="AB165" s="28" t="n"/>
      <c r="AC165" s="30" t="n">
        <v>0.8013</v>
      </c>
      <c r="AD165" s="24" t="inlineStr">
        <is>
          <t>2026-08-02T03:26:15.763444Z</t>
        </is>
      </c>
      <c r="AE165" s="31" t="inlineStr">
        <is>
          <t>Poisson-DC rates 1.93 (home) / 1.08 (away) from EWMA attack/defense strengths. Executable ask 0.6100 (atc-mls-phi-atl-2026-08-01-phi).</t>
        </is>
      </c>
      <c r="AF165" s="31" t="inlineStr">
        <is>
          <t>Research-only soccer score model; draw-aware, but not yet locked-holdout qualified.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NO_CALL_MODEL_UNVALIDATED</t>
        </is>
      </c>
      <c r="AP165" s="24" t="inlineStr">
        <is>
          <t>Atlanta United FC</t>
        </is>
      </c>
      <c r="AQ165" s="24" t="inlineStr">
        <is>
          <t>Atlanta United FC</t>
        </is>
      </c>
      <c r="AR165" s="24" t="inlineStr">
        <is>
          <t>Atlanta United FC</t>
        </is>
      </c>
      <c r="AS165" s="24" t="inlineStr">
        <is>
          <t>Philadelphia Union</t>
        </is>
      </c>
      <c r="AT165" s="24" t="inlineStr">
        <is>
          <t>Philadelphia Union</t>
        </is>
      </c>
      <c r="AU165" s="24" t="inlineStr">
        <is>
          <t>Philadelphia Union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research</t>
        </is>
      </c>
      <c r="BA165" s="24" t="inlineStr">
        <is>
          <t>34d1568aad0ff11b5db35f118324684f93281e1c21fa7b80be7a4a4e2cb4bb03</t>
        </is>
      </c>
      <c r="BB165" s="24" t="inlineStr">
        <is>
          <t>poisson_dixon_coles</t>
        </is>
      </c>
      <c r="BC165" s="24" t="inlineStr">
        <is>
          <t>soccer-poisson-dc-v1</t>
        </is>
      </c>
      <c r="BD165" s="24" t="inlineStr">
        <is>
          <t>34d1568aad0ff11b5db35f118324684f93281e1c21fa7b80be7a4a4e2cb4bb03</t>
        </is>
      </c>
      <c r="BE165" s="24" t="inlineStr">
        <is>
          <t>soccer-poisson-dc-v1</t>
        </is>
      </c>
      <c r="BF165" s="24" t="inlineStr">
        <is>
          <t>1</t>
        </is>
      </c>
      <c r="BG165" s="24" t="inlineStr">
        <is>
          <t>34d1568aad0ff11b5db35f118324684f93281e1c21fa7b80be7a4a4e2cb4bb03</t>
        </is>
      </c>
      <c r="BH165" s="24" t="inlineStr">
        <is>
          <t>2026-08-01T20:14:26.266239Z</t>
        </is>
      </c>
      <c r="BI165" s="24" t="inlineStr">
        <is>
          <t>["same_event","same_team_same_day","same_league_same_day"]</t>
        </is>
      </c>
      <c r="BJ165" s="25" t="n"/>
      <c r="BK165" s="26" t="n">
        <v>-156</v>
      </c>
      <c r="BL165" s="27" t="n">
        <v>1.641026</v>
      </c>
      <c r="BM165" s="28" t="n">
        <v>0.609375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</row>
    <row r="166" ht="36" customHeight="1">
      <c r="A166" s="24" t="inlineStr">
        <is>
          <t>40b54f606eb04e02</t>
        </is>
      </c>
      <c r="B166" s="24" t="inlineStr">
        <is>
          <t>2026-08-01T20:17:05.741632Z</t>
        </is>
      </c>
      <c r="C166" s="24" t="inlineStr">
        <is>
          <t>2026-08-01T21:00Z</t>
        </is>
      </c>
      <c r="D166" s="24" t="inlineStr">
        <is>
          <t>401841478</t>
        </is>
      </c>
      <c r="E166" s="24" t="inlineStr">
        <is>
          <t>SOCCER</t>
        </is>
      </c>
      <c r="F166" s="24" t="inlineStr">
        <is>
          <t>Defensa y Justicia</t>
        </is>
      </c>
      <c r="G166" s="24" t="inlineStr">
        <is>
          <t>Estudiantes de La Plata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-144</v>
      </c>
      <c r="M166" s="27" t="n">
        <v>1.694444</v>
      </c>
      <c r="N166" s="28" t="n">
        <v>0.590164</v>
      </c>
      <c r="O166" s="28" t="n">
        <v>0.451659</v>
      </c>
      <c r="P166" s="28" t="n">
        <v>0.2</v>
      </c>
      <c r="Q166" s="28" t="n">
        <v>-0.138505</v>
      </c>
      <c r="R166" s="26" t="n">
        <v>0</v>
      </c>
      <c r="S166" s="29" t="n">
        <v>1</v>
      </c>
      <c r="T166" s="24" t="inlineStr">
        <is>
          <t>soccer-poisson-dc-v1</t>
        </is>
      </c>
      <c r="U166" s="24" t="inlineStr">
        <is>
          <t>settled</t>
        </is>
      </c>
      <c r="V166" s="24" t="inlineStr">
        <is>
          <t>win</t>
        </is>
      </c>
      <c r="W166" s="26" t="n">
        <v>0</v>
      </c>
      <c r="X166" s="26" t="n">
        <v>3</v>
      </c>
      <c r="Y166" s="25" t="n"/>
      <c r="Z166" s="26" t="n"/>
      <c r="AA166" s="28" t="n"/>
      <c r="AB166" s="28" t="n"/>
      <c r="AC166" s="30" t="n">
        <v>0.6944</v>
      </c>
      <c r="AD166" s="24" t="inlineStr">
        <is>
          <t>2026-08-01T23:51:10.459392Z</t>
        </is>
      </c>
      <c r="AE166" s="31" t="inlineStr">
        <is>
          <t>Poisson-DC rates 1.59 (home) / 1.20 (away) from EWMA attack/defense strengths. Executable ask 0.5900 (atc-lpa-est-def-2026-08-01-est).</t>
        </is>
      </c>
      <c r="AF166" s="31" t="inlineStr">
        <is>
          <t>Research-only soccer score model; draw-aware, but not yet locked-holdout qualified.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NO_CALL_MODEL_UNVALIDATED</t>
        </is>
      </c>
      <c r="AP166" s="24" t="inlineStr">
        <is>
          <t>Defensa y Justicia</t>
        </is>
      </c>
      <c r="AQ166" s="24" t="inlineStr">
        <is>
          <t>Defensa y Justicia</t>
        </is>
      </c>
      <c r="AR166" s="24" t="inlineStr">
        <is>
          <t>Defensa y Justicia</t>
        </is>
      </c>
      <c r="AS166" s="24" t="inlineStr">
        <is>
          <t>Estudiantes de La Plata</t>
        </is>
      </c>
      <c r="AT166" s="24" t="inlineStr">
        <is>
          <t>Estudiantes de La Plata</t>
        </is>
      </c>
      <c r="AU166" s="24" t="inlineStr">
        <is>
          <t>Estudiantes de La Plata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34d1568aad0ff11b5db35f118324684f93281e1c21fa7b80be7a4a4e2cb4bb03</t>
        </is>
      </c>
      <c r="BB166" s="24" t="inlineStr">
        <is>
          <t>poisson_dixon_coles</t>
        </is>
      </c>
      <c r="BC166" s="24" t="inlineStr">
        <is>
          <t>soccer-poisson-dc-v1</t>
        </is>
      </c>
      <c r="BD166" s="24" t="inlineStr">
        <is>
          <t>34d1568aad0ff11b5db35f118324684f93281e1c21fa7b80be7a4a4e2cb4bb03</t>
        </is>
      </c>
      <c r="BE166" s="24" t="inlineStr">
        <is>
          <t>soccer-poisson-dc-v1</t>
        </is>
      </c>
      <c r="BF166" s="24" t="inlineStr">
        <is>
          <t>1</t>
        </is>
      </c>
      <c r="BG166" s="24" t="inlineStr">
        <is>
          <t>34d1568aad0ff11b5db35f118324684f93281e1c21fa7b80be7a4a4e2cb4bb03</t>
        </is>
      </c>
      <c r="BH166" s="24" t="inlineStr">
        <is>
          <t>2026-08-01T20:14:41.137983Z</t>
        </is>
      </c>
      <c r="BI166" s="24" t="inlineStr">
        <is>
          <t>["same_event","same_team_same_day","same_league_same_day"]</t>
        </is>
      </c>
      <c r="BJ166" s="25" t="n"/>
      <c r="BK166" s="26" t="n">
        <v>-144</v>
      </c>
      <c r="BL166" s="27" t="n">
        <v>1.694444</v>
      </c>
      <c r="BM166" s="28" t="n">
        <v>0.590164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</row>
    <row r="167" ht="36" customHeight="1">
      <c r="A167" s="24" t="inlineStr">
        <is>
          <t>0318e2143c9e4155</t>
        </is>
      </c>
      <c r="B167" s="24" t="inlineStr">
        <is>
          <t>2026-08-01T20:17:05.741632Z</t>
        </is>
      </c>
      <c r="C167" s="24" t="inlineStr">
        <is>
          <t>2026-08-01T23:30Z</t>
        </is>
      </c>
      <c r="D167" s="24" t="inlineStr">
        <is>
          <t>401841475</t>
        </is>
      </c>
      <c r="E167" s="24" t="inlineStr">
        <is>
          <t>SOCCER</t>
        </is>
      </c>
      <c r="F167" s="24" t="inlineStr">
        <is>
          <t>Tigre</t>
        </is>
      </c>
      <c r="G167" s="24" t="inlineStr">
        <is>
          <t>Racing Club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113</v>
      </c>
      <c r="M167" s="27" t="n">
        <v>2.13</v>
      </c>
      <c r="N167" s="28" t="n">
        <v>0.469484</v>
      </c>
      <c r="O167" s="28" t="n">
        <v>0.483295</v>
      </c>
      <c r="P167" s="28" t="n">
        <v>0.2</v>
      </c>
      <c r="Q167" s="28" t="n">
        <v>0.013811</v>
      </c>
      <c r="R167" s="26" t="n">
        <v>0</v>
      </c>
      <c r="S167" s="29" t="n">
        <v>1</v>
      </c>
      <c r="T167" s="24" t="inlineStr">
        <is>
          <t>soccer-poisson-dc-v1</t>
        </is>
      </c>
      <c r="U167" s="24" t="inlineStr">
        <is>
          <t>settled</t>
        </is>
      </c>
      <c r="V167" s="24" t="inlineStr">
        <is>
          <t>loss</t>
        </is>
      </c>
      <c r="W167" s="26" t="n">
        <v>3</v>
      </c>
      <c r="X167" s="26" t="n">
        <v>1</v>
      </c>
      <c r="Y167" s="25" t="n"/>
      <c r="Z167" s="26" t="n"/>
      <c r="AA167" s="28" t="n"/>
      <c r="AB167" s="28" t="n"/>
      <c r="AC167" s="30" t="n">
        <v>-1</v>
      </c>
      <c r="AD167" s="24" t="inlineStr">
        <is>
          <t>2026-08-02T03:26:17.235577Z</t>
        </is>
      </c>
      <c r="AE167" s="31" t="inlineStr">
        <is>
          <t>Poisson-DC rates 1.72 (home) / 1.20 (away) from EWMA attack/defense strengths. Executable ask 0.4700 (atc-lpa-rac-tig-2026-08-01-rac).</t>
        </is>
      </c>
      <c r="AF167" s="31" t="inlineStr">
        <is>
          <t>Research-only soccer score model; draw-aware, but not yet locked-holdout qualified.</t>
        </is>
      </c>
      <c r="AG167" s="24" t="inlineStr">
        <is>
          <t>review_required</t>
        </is>
      </c>
      <c r="AH167" s="24" t="n"/>
      <c r="AI167" s="31" t="n"/>
      <c r="AJ167" s="31" t="n"/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NO_CALL_MODEL_UNVALIDATED</t>
        </is>
      </c>
      <c r="AP167" s="24" t="inlineStr">
        <is>
          <t>Tigre</t>
        </is>
      </c>
      <c r="AQ167" s="24" t="inlineStr">
        <is>
          <t>Tigre</t>
        </is>
      </c>
      <c r="AR167" s="24" t="inlineStr">
        <is>
          <t>Tigre</t>
        </is>
      </c>
      <c r="AS167" s="24" t="inlineStr">
        <is>
          <t>Racing Club</t>
        </is>
      </c>
      <c r="AT167" s="24" t="inlineStr">
        <is>
          <t>Racing Club</t>
        </is>
      </c>
      <c r="AU167" s="24" t="inlineStr">
        <is>
          <t>Racing Club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34d1568aad0ff11b5db35f118324684f93281e1c21fa7b80be7a4a4e2cb4bb03</t>
        </is>
      </c>
      <c r="BB167" s="24" t="inlineStr">
        <is>
          <t>poisson_dixon_coles</t>
        </is>
      </c>
      <c r="BC167" s="24" t="inlineStr">
        <is>
          <t>soccer-poisson-dc-v1</t>
        </is>
      </c>
      <c r="BD167" s="24" t="inlineStr">
        <is>
          <t>34d1568aad0ff11b5db35f118324684f93281e1c21fa7b80be7a4a4e2cb4bb03</t>
        </is>
      </c>
      <c r="BE167" s="24" t="inlineStr">
        <is>
          <t>soccer-poisson-dc-v1</t>
        </is>
      </c>
      <c r="BF167" s="24" t="inlineStr">
        <is>
          <t>1</t>
        </is>
      </c>
      <c r="BG167" s="24" t="inlineStr">
        <is>
          <t>34d1568aad0ff11b5db35f118324684f93281e1c21fa7b80be7a4a4e2cb4bb03</t>
        </is>
      </c>
      <c r="BH167" s="24" t="inlineStr">
        <is>
          <t>2026-08-01T20:14:41.628532Z</t>
        </is>
      </c>
      <c r="BI167" s="24" t="inlineStr">
        <is>
          <t>["same_event","same_team_same_day","same_league_same_day"]</t>
        </is>
      </c>
      <c r="BJ167" s="25" t="n"/>
      <c r="BK167" s="26" t="n">
        <v>113</v>
      </c>
      <c r="BL167" s="27" t="n">
        <v>2.13</v>
      </c>
      <c r="BM167" s="28" t="n">
        <v>0.469484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</row>
    <row r="168" ht="36" customHeight="1">
      <c r="A168" s="24" t="inlineStr">
        <is>
          <t>711928eecb964b43</t>
        </is>
      </c>
      <c r="B168" s="24" t="inlineStr">
        <is>
          <t>2026-08-01T20:17:05.741632Z</t>
        </is>
      </c>
      <c r="C168" s="24" t="inlineStr">
        <is>
          <t>2026-08-01T21:30Z</t>
        </is>
      </c>
      <c r="D168" s="24" t="inlineStr">
        <is>
          <t>401850608</t>
        </is>
      </c>
      <c r="E168" s="24" t="inlineStr">
        <is>
          <t>SOCCER</t>
        </is>
      </c>
      <c r="F168" s="24" t="inlineStr">
        <is>
          <t>Coquimbo Unido</t>
        </is>
      </c>
      <c r="G168" s="24" t="inlineStr">
        <is>
          <t>Palestino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186</v>
      </c>
      <c r="M168" s="27" t="n">
        <v>2.86</v>
      </c>
      <c r="N168" s="28" t="n">
        <v>0.34965</v>
      </c>
      <c r="O168" s="28" t="n">
        <v>0.505507</v>
      </c>
      <c r="P168" s="28" t="n">
        <v>0.2</v>
      </c>
      <c r="Q168" s="28" t="n">
        <v>0.155857</v>
      </c>
      <c r="R168" s="26" t="n">
        <v>8</v>
      </c>
      <c r="S168" s="29" t="n">
        <v>1</v>
      </c>
      <c r="T168" s="24" t="inlineStr">
        <is>
          <t>soccer-poisson-dc-v1</t>
        </is>
      </c>
      <c r="U168" s="24" t="inlineStr">
        <is>
          <t>settled</t>
        </is>
      </c>
      <c r="V168" s="24" t="inlineStr">
        <is>
          <t>win</t>
        </is>
      </c>
      <c r="W168" s="26" t="n">
        <v>1</v>
      </c>
      <c r="X168" s="26" t="n">
        <v>2</v>
      </c>
      <c r="Y168" s="25" t="n"/>
      <c r="Z168" s="26" t="n"/>
      <c r="AA168" s="28" t="n"/>
      <c r="AB168" s="28" t="n"/>
      <c r="AC168" s="30" t="n">
        <v>1.86</v>
      </c>
      <c r="AD168" s="24" t="inlineStr">
        <is>
          <t>2026-08-01T23:51:10.837881Z</t>
        </is>
      </c>
      <c r="AE168" s="31" t="inlineStr">
        <is>
          <t>Poisson-DC rates 1.72 (home) / 1.10 (away) from EWMA attack/defense strengths. Executable ask 0.3500 (atc-pdc-pal-coq-2026-08-01-pal).</t>
        </is>
      </c>
      <c r="AF168" s="31" t="inlineStr">
        <is>
          <t>Research-only soccer score model; draw-aware, but not yet locked-holdout qualified.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NO_CALL_MODEL_UNVALIDATED</t>
        </is>
      </c>
      <c r="AP168" s="24" t="inlineStr">
        <is>
          <t>Coquimbo Unido</t>
        </is>
      </c>
      <c r="AQ168" s="24" t="inlineStr">
        <is>
          <t>Coquimbo Unido</t>
        </is>
      </c>
      <c r="AR168" s="24" t="inlineStr">
        <is>
          <t>Coquimbo Unido</t>
        </is>
      </c>
      <c r="AS168" s="24" t="inlineStr">
        <is>
          <t>Palestino</t>
        </is>
      </c>
      <c r="AT168" s="24" t="inlineStr">
        <is>
          <t>Palestino</t>
        </is>
      </c>
      <c r="AU168" s="24" t="inlineStr">
        <is>
          <t>Palestino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34d1568aad0ff11b5db35f118324684f93281e1c21fa7b80be7a4a4e2cb4bb03</t>
        </is>
      </c>
      <c r="BB168" s="24" t="inlineStr">
        <is>
          <t>poisson_dixon_coles</t>
        </is>
      </c>
      <c r="BC168" s="24" t="inlineStr">
        <is>
          <t>soccer-poisson-dc-v1</t>
        </is>
      </c>
      <c r="BD168" s="24" t="inlineStr">
        <is>
          <t>34d1568aad0ff11b5db35f118324684f93281e1c21fa7b80be7a4a4e2cb4bb03</t>
        </is>
      </c>
      <c r="BE168" s="24" t="inlineStr">
        <is>
          <t>soccer-poisson-dc-v1</t>
        </is>
      </c>
      <c r="BF168" s="24" t="inlineStr">
        <is>
          <t>1</t>
        </is>
      </c>
      <c r="BG168" s="24" t="inlineStr">
        <is>
          <t>34d1568aad0ff11b5db35f118324684f93281e1c21fa7b80be7a4a4e2cb4bb03</t>
        </is>
      </c>
      <c r="BH168" s="24" t="inlineStr">
        <is>
          <t>2026-08-01T20:14:43.888722Z</t>
        </is>
      </c>
      <c r="BI168" s="24" t="inlineStr">
        <is>
          <t>["same_event","same_team_same_day","same_league_same_day"]</t>
        </is>
      </c>
      <c r="BJ168" s="25" t="n"/>
      <c r="BK168" s="26" t="n">
        <v>186</v>
      </c>
      <c r="BL168" s="27" t="n">
        <v>2.86</v>
      </c>
      <c r="BM168" s="28" t="n">
        <v>0.34965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</row>
    <row r="169" ht="36" customHeight="1">
      <c r="A169" s="24" t="inlineStr">
        <is>
          <t>d5a1a0d79fb04e60</t>
        </is>
      </c>
      <c r="B169" s="24" t="inlineStr">
        <is>
          <t>2026-08-01T23:53:24.455746Z</t>
        </is>
      </c>
      <c r="C169" s="24" t="inlineStr">
        <is>
          <t>2026-08-02T00:30Z</t>
        </is>
      </c>
      <c r="D169" s="24" t="inlineStr">
        <is>
          <t>761704</t>
        </is>
      </c>
      <c r="E169" s="24" t="inlineStr">
        <is>
          <t>SOCCER</t>
        </is>
      </c>
      <c r="F169" s="24" t="inlineStr">
        <is>
          <t>Charlotte FC</t>
        </is>
      </c>
      <c r="G169" s="24" t="inlineStr">
        <is>
          <t>Chicago Fire FC</t>
        </is>
      </c>
      <c r="H169" s="24" t="inlineStr">
        <is>
          <t>total</t>
        </is>
      </c>
      <c r="I169" s="24" t="inlineStr">
        <is>
          <t>over</t>
        </is>
      </c>
      <c r="J169" s="25" t="n">
        <v>2.5</v>
      </c>
      <c r="K169" s="24" t="inlineStr">
        <is>
          <t>polymarket_us</t>
        </is>
      </c>
      <c r="L169" s="26" t="n">
        <v>-223</v>
      </c>
      <c r="M169" s="27" t="n">
        <v>1.44843</v>
      </c>
      <c r="N169" s="28" t="n">
        <v>0.690402</v>
      </c>
      <c r="O169" s="28" t="n">
        <v>0.676403</v>
      </c>
      <c r="P169" s="28" t="n">
        <v>0.04</v>
      </c>
      <c r="Q169" s="28" t="n">
        <v>-0.013999</v>
      </c>
      <c r="R169" s="26" t="n">
        <v>19</v>
      </c>
      <c r="S169" s="29" t="n">
        <v>2</v>
      </c>
      <c r="T169" s="24" t="inlineStr">
        <is>
          <t>soccer-poisson-dc-v1</t>
        </is>
      </c>
      <c r="U169" s="24" t="inlineStr">
        <is>
          <t>settled</t>
        </is>
      </c>
      <c r="V169" s="24" t="inlineStr">
        <is>
          <t>win</t>
        </is>
      </c>
      <c r="W169" s="26" t="n">
        <v>1</v>
      </c>
      <c r="X169" s="26" t="n">
        <v>2</v>
      </c>
      <c r="Y169" s="25" t="n"/>
      <c r="Z169" s="26" t="n"/>
      <c r="AA169" s="28" t="n"/>
      <c r="AB169" s="28" t="n"/>
      <c r="AC169" s="30" t="n">
        <v>0.8969</v>
      </c>
      <c r="AD169" s="24" t="inlineStr">
        <is>
          <t>2026-08-02T03:26:17.505871Z</t>
        </is>
      </c>
      <c r="AE169" s="31" t="inlineStr">
        <is>
          <t>Poisson-DC rates 2.21 (home) / 1.28 (away) from EWMA attack/defense strengths. Executable ask 0.6900 (tsc-mls-chi-clt-2026-08-01-2pt5).</t>
        </is>
      </c>
      <c r="AF169" s="31" t="inlineStr">
        <is>
          <t>Research-only soccer score model; draw-aware, but not yet locked-holdout qualified.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research_observation</t>
        </is>
      </c>
      <c r="AL169" s="26" t="n">
        <v>3</v>
      </c>
      <c r="AM169" s="24" t="inlineStr">
        <is>
          <t>RESEARCH_OBSERVATION</t>
        </is>
      </c>
      <c r="AN169" s="24" t="inlineStr">
        <is>
          <t>NO_CALL</t>
        </is>
      </c>
      <c r="AO169" s="24" t="inlineStr">
        <is>
          <t>NO_CALL_MODEL_UNVALIDATED</t>
        </is>
      </c>
      <c r="AP169" s="24" t="inlineStr">
        <is>
          <t>Charlotte FC</t>
        </is>
      </c>
      <c r="AQ169" s="24" t="inlineStr">
        <is>
          <t>Charlotte FC</t>
        </is>
      </c>
      <c r="AR169" s="24" t="inlineStr">
        <is>
          <t>Charlotte FC</t>
        </is>
      </c>
      <c r="AS169" s="24" t="inlineStr">
        <is>
          <t>Chicago Fire FC</t>
        </is>
      </c>
      <c r="AT169" s="24" t="inlineStr">
        <is>
          <t>Chicago Fire FC</t>
        </is>
      </c>
      <c r="AU169" s="24" t="inlineStr">
        <is>
          <t>Chicago Fire FC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34d1568aad0ff11b5db35f118324684f93281e1c21fa7b80be7a4a4e2cb4bb03</t>
        </is>
      </c>
      <c r="BB169" s="24" t="inlineStr">
        <is>
          <t>poisson_dixon_coles</t>
        </is>
      </c>
      <c r="BC169" s="24" t="inlineStr">
        <is>
          <t>soccer-poisson-dc-v1</t>
        </is>
      </c>
      <c r="BD169" s="24" t="inlineStr">
        <is>
          <t>34d1568aad0ff11b5db35f118324684f93281e1c21fa7b80be7a4a4e2cb4bb03</t>
        </is>
      </c>
      <c r="BE169" s="24" t="inlineStr">
        <is>
          <t>soccer-poisson-dc-v1</t>
        </is>
      </c>
      <c r="BF169" s="24" t="inlineStr">
        <is>
          <t>1</t>
        </is>
      </c>
      <c r="BG169" s="24" t="inlineStr">
        <is>
          <t>34d1568aad0ff11b5db35f118324684f93281e1c21fa7b80be7a4a4e2cb4bb03</t>
        </is>
      </c>
      <c r="BH169" s="24" t="inlineStr">
        <is>
          <t>2026-08-01T23:52:03.726485Z</t>
        </is>
      </c>
      <c r="BI169" s="24" t="inlineStr">
        <is>
          <t>["same_event","same_team_same_day","same_league_same_day"]</t>
        </is>
      </c>
      <c r="BJ169" s="25" t="n">
        <v>2.5</v>
      </c>
      <c r="BK169" s="26" t="n">
        <v>-223</v>
      </c>
      <c r="BL169" s="27" t="n">
        <v>1.44843</v>
      </c>
      <c r="BM169" s="28" t="n">
        <v>0.690402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</row>
    <row r="170" ht="36" customHeight="1">
      <c r="A170" s="24" t="inlineStr">
        <is>
          <t>77cbdb972f24408c</t>
        </is>
      </c>
      <c r="B170" s="24" t="inlineStr">
        <is>
          <t>2026-08-01T23:53:24.455746Z</t>
        </is>
      </c>
      <c r="C170" s="24" t="inlineStr">
        <is>
          <t>2026-08-02T00:30Z</t>
        </is>
      </c>
      <c r="D170" s="24" t="inlineStr">
        <is>
          <t>761703</t>
        </is>
      </c>
      <c r="E170" s="24" t="inlineStr">
        <is>
          <t>SOCCER</t>
        </is>
      </c>
      <c r="F170" s="24" t="inlineStr">
        <is>
          <t>San Diego FC</t>
        </is>
      </c>
      <c r="G170" s="24" t="inlineStr">
        <is>
          <t>Minnesota United FC</t>
        </is>
      </c>
      <c r="H170" s="24" t="inlineStr">
        <is>
          <t>total</t>
        </is>
      </c>
      <c r="I170" s="24" t="inlineStr">
        <is>
          <t>over</t>
        </is>
      </c>
      <c r="J170" s="25" t="n">
        <v>2.5</v>
      </c>
      <c r="K170" s="24" t="inlineStr">
        <is>
          <t>polymarket_us</t>
        </is>
      </c>
      <c r="L170" s="26" t="n">
        <v>-170</v>
      </c>
      <c r="M170" s="27" t="n">
        <v>1.588235</v>
      </c>
      <c r="N170" s="28" t="n">
        <v>0.62963</v>
      </c>
      <c r="O170" s="28" t="n">
        <v>0.66611</v>
      </c>
      <c r="P170" s="28" t="n">
        <v>0.04</v>
      </c>
      <c r="Q170" s="28" t="n">
        <v>0.03648</v>
      </c>
      <c r="R170" s="26" t="n">
        <v>44</v>
      </c>
      <c r="S170" s="29" t="n">
        <v>1.75</v>
      </c>
      <c r="T170" s="24" t="inlineStr">
        <is>
          <t>soccer-poisson-dc-v1</t>
        </is>
      </c>
      <c r="U170" s="24" t="inlineStr">
        <is>
          <t>settled</t>
        </is>
      </c>
      <c r="V170" s="24" t="inlineStr">
        <is>
          <t>loss</t>
        </is>
      </c>
      <c r="W170" s="26" t="n">
        <v>1</v>
      </c>
      <c r="X170" s="26" t="n">
        <v>1</v>
      </c>
      <c r="Y170" s="25" t="n"/>
      <c r="Z170" s="26" t="n"/>
      <c r="AA170" s="28" t="n"/>
      <c r="AB170" s="28" t="n"/>
      <c r="AC170" s="30" t="n">
        <v>-1.75</v>
      </c>
      <c r="AD170" s="24" t="inlineStr">
        <is>
          <t>2026-08-02T03:26:17.790482Z</t>
        </is>
      </c>
      <c r="AE170" s="31" t="inlineStr">
        <is>
          <t>Poisson-DC rates 1.78 (home) / 1.65 (away) from EWMA attack/defense strengths. Executable ask 0.6300 (tsc-mls-min-sdg-2026-08-01-2pt5).</t>
        </is>
      </c>
      <c r="AF170" s="31" t="inlineStr">
        <is>
          <t>Research-only soccer score model; draw-aware, but not yet locked-holdout qualified.</t>
        </is>
      </c>
      <c r="AG170" s="24" t="inlineStr">
        <is>
          <t>review_required</t>
        </is>
      </c>
      <c r="AH170" s="24" t="n"/>
      <c r="AI170" s="31" t="n"/>
      <c r="AJ170" s="31" t="n"/>
      <c r="AK170" s="24" t="inlineStr">
        <is>
          <t>research_observation</t>
        </is>
      </c>
      <c r="AL170" s="26" t="n">
        <v>3</v>
      </c>
      <c r="AM170" s="24" t="inlineStr">
        <is>
          <t>RESEARCH_OBSERVATION</t>
        </is>
      </c>
      <c r="AN170" s="24" t="inlineStr">
        <is>
          <t>NO_CALL</t>
        </is>
      </c>
      <c r="AO170" s="24" t="inlineStr">
        <is>
          <t>NO_CALL_MODEL_UNVALIDATED</t>
        </is>
      </c>
      <c r="AP170" s="24" t="inlineStr">
        <is>
          <t>San Diego FC</t>
        </is>
      </c>
      <c r="AQ170" s="24" t="inlineStr">
        <is>
          <t>San Diego FC</t>
        </is>
      </c>
      <c r="AR170" s="24" t="inlineStr">
        <is>
          <t>San Diego FC</t>
        </is>
      </c>
      <c r="AS170" s="24" t="inlineStr">
        <is>
          <t>Minnesota United FC</t>
        </is>
      </c>
      <c r="AT170" s="24" t="inlineStr">
        <is>
          <t>Minnesota United FC</t>
        </is>
      </c>
      <c r="AU170" s="24" t="inlineStr">
        <is>
          <t>Minnesota United FC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34d1568aad0ff11b5db35f118324684f93281e1c21fa7b80be7a4a4e2cb4bb03</t>
        </is>
      </c>
      <c r="BB170" s="24" t="inlineStr">
        <is>
          <t>poisson_dixon_coles</t>
        </is>
      </c>
      <c r="BC170" s="24" t="inlineStr">
        <is>
          <t>soccer-poisson-dc-v1</t>
        </is>
      </c>
      <c r="BD170" s="24" t="inlineStr">
        <is>
          <t>34d1568aad0ff11b5db35f118324684f93281e1c21fa7b80be7a4a4e2cb4bb03</t>
        </is>
      </c>
      <c r="BE170" s="24" t="inlineStr">
        <is>
          <t>soccer-poisson-dc-v1</t>
        </is>
      </c>
      <c r="BF170" s="24" t="inlineStr">
        <is>
          <t>1</t>
        </is>
      </c>
      <c r="BG170" s="24" t="inlineStr">
        <is>
          <t>34d1568aad0ff11b5db35f118324684f93281e1c21fa7b80be7a4a4e2cb4bb03</t>
        </is>
      </c>
      <c r="BH170" s="24" t="inlineStr">
        <is>
          <t>2026-08-01T23:52:06.222075Z</t>
        </is>
      </c>
      <c r="BI170" s="24" t="inlineStr">
        <is>
          <t>["same_event","same_team_same_day","same_league_same_day"]</t>
        </is>
      </c>
      <c r="BJ170" s="25" t="n">
        <v>2.5</v>
      </c>
      <c r="BK170" s="26" t="n">
        <v>-170</v>
      </c>
      <c r="BL170" s="27" t="n">
        <v>1.588235</v>
      </c>
      <c r="BM170" s="28" t="n">
        <v>0.62963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</row>
    <row r="171" ht="36" customHeight="1">
      <c r="A171" s="24" t="inlineStr">
        <is>
          <t>6fd0a3d28ba44e1a</t>
        </is>
      </c>
      <c r="B171" s="24" t="inlineStr">
        <is>
          <t>2026-08-01T23:53:24.455746Z</t>
        </is>
      </c>
      <c r="C171" s="24" t="inlineStr">
        <is>
          <t>2026-08-02T00:30Z</t>
        </is>
      </c>
      <c r="D171" s="24" t="inlineStr">
        <is>
          <t>761706</t>
        </is>
      </c>
      <c r="E171" s="24" t="inlineStr">
        <is>
          <t>SOCCER</t>
        </is>
      </c>
      <c r="F171" s="24" t="inlineStr">
        <is>
          <t>Houston Dynamo FC</t>
        </is>
      </c>
      <c r="G171" s="24" t="inlineStr">
        <is>
          <t>Sporting Kansas City</t>
        </is>
      </c>
      <c r="H171" s="24" t="inlineStr">
        <is>
          <t>total</t>
        </is>
      </c>
      <c r="I171" s="24" t="inlineStr">
        <is>
          <t>over</t>
        </is>
      </c>
      <c r="J171" s="25" t="n">
        <v>2.5</v>
      </c>
      <c r="K171" s="24" t="inlineStr">
        <is>
          <t>polymarket_us</t>
        </is>
      </c>
      <c r="L171" s="26" t="n">
        <v>-144</v>
      </c>
      <c r="M171" s="27" t="n">
        <v>1.694444</v>
      </c>
      <c r="N171" s="28" t="n">
        <v>0.590164</v>
      </c>
      <c r="O171" s="28" t="n">
        <v>0.651724</v>
      </c>
      <c r="P171" s="28" t="n">
        <v>0.04</v>
      </c>
      <c r="Q171" s="28" t="n">
        <v>0.06156</v>
      </c>
      <c r="R171" s="26" t="n">
        <v>57</v>
      </c>
      <c r="S171" s="29" t="n">
        <v>1.75</v>
      </c>
      <c r="T171" s="24" t="inlineStr">
        <is>
          <t>soccer-poisson-dc-v1</t>
        </is>
      </c>
      <c r="U171" s="24" t="inlineStr">
        <is>
          <t>settled</t>
        </is>
      </c>
      <c r="V171" s="24" t="inlineStr">
        <is>
          <t>loss</t>
        </is>
      </c>
      <c r="W171" s="26" t="n">
        <v>2</v>
      </c>
      <c r="X171" s="26" t="n">
        <v>0</v>
      </c>
      <c r="Y171" s="25" t="n"/>
      <c r="Z171" s="26" t="n"/>
      <c r="AA171" s="28" t="n"/>
      <c r="AB171" s="28" t="n"/>
      <c r="AC171" s="30" t="n">
        <v>-1.75</v>
      </c>
      <c r="AD171" s="24" t="inlineStr">
        <is>
          <t>2026-08-02T03:26:18.086130Z</t>
        </is>
      </c>
      <c r="AE171" s="31" t="inlineStr">
        <is>
          <t>Poisson-DC rates 1.49 (home) / 1.87 (away) from EWMA attack/defense strengths. Executable ask 0.5900 (tsc-mls-skc-hou-2026-08-01-2pt5).</t>
        </is>
      </c>
      <c r="AF171" s="31" t="inlineStr">
        <is>
          <t>Research-only soccer score model; draw-aware, but not yet locked-holdout qualified.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NO_CALL_MODEL_UNVALIDATED</t>
        </is>
      </c>
      <c r="AP171" s="24" t="inlineStr">
        <is>
          <t>Houston Dynamo FC</t>
        </is>
      </c>
      <c r="AQ171" s="24" t="inlineStr">
        <is>
          <t>Houston Dynamo FC</t>
        </is>
      </c>
      <c r="AR171" s="24" t="inlineStr">
        <is>
          <t>Houston Dynamo FC</t>
        </is>
      </c>
      <c r="AS171" s="24" t="inlineStr">
        <is>
          <t>Sporting Kansas City</t>
        </is>
      </c>
      <c r="AT171" s="24" t="inlineStr">
        <is>
          <t>Sporting Kansas City</t>
        </is>
      </c>
      <c r="AU171" s="24" t="inlineStr">
        <is>
          <t>Sporting Kansas City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34d1568aad0ff11b5db35f118324684f93281e1c21fa7b80be7a4a4e2cb4bb03</t>
        </is>
      </c>
      <c r="BB171" s="24" t="inlineStr">
        <is>
          <t>poisson_dixon_coles</t>
        </is>
      </c>
      <c r="BC171" s="24" t="inlineStr">
        <is>
          <t>soccer-poisson-dc-v1</t>
        </is>
      </c>
      <c r="BD171" s="24" t="inlineStr">
        <is>
          <t>34d1568aad0ff11b5db35f118324684f93281e1c21fa7b80be7a4a4e2cb4bb03</t>
        </is>
      </c>
      <c r="BE171" s="24" t="inlineStr">
        <is>
          <t>soccer-poisson-dc-v1</t>
        </is>
      </c>
      <c r="BF171" s="24" t="inlineStr">
        <is>
          <t>1</t>
        </is>
      </c>
      <c r="BG171" s="24" t="inlineStr">
        <is>
          <t>34d1568aad0ff11b5db35f118324684f93281e1c21fa7b80be7a4a4e2cb4bb03</t>
        </is>
      </c>
      <c r="BH171" s="24" t="inlineStr">
        <is>
          <t>2026-08-01T23:52:07.836349Z</t>
        </is>
      </c>
      <c r="BI171" s="24" t="inlineStr">
        <is>
          <t>["same_event","same_team_same_day","same_league_same_day"]</t>
        </is>
      </c>
      <c r="BJ171" s="25" t="n">
        <v>2.5</v>
      </c>
      <c r="BK171" s="26" t="n">
        <v>-144</v>
      </c>
      <c r="BL171" s="27" t="n">
        <v>1.694444</v>
      </c>
      <c r="BM171" s="28" t="n">
        <v>0.590164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</row>
    <row r="172" ht="36" customHeight="1">
      <c r="A172" s="24" t="inlineStr">
        <is>
          <t>90c023aa72c64cfc</t>
        </is>
      </c>
      <c r="B172" s="24" t="inlineStr">
        <is>
          <t>2026-08-01T23:53:24.455746Z</t>
        </is>
      </c>
      <c r="C172" s="24" t="inlineStr">
        <is>
          <t>2026-08-02T00:30Z</t>
        </is>
      </c>
      <c r="D172" s="24" t="inlineStr">
        <is>
          <t>761705</t>
        </is>
      </c>
      <c r="E172" s="24" t="inlineStr">
        <is>
          <t>SOCCER</t>
        </is>
      </c>
      <c r="F172" s="24" t="inlineStr">
        <is>
          <t>Real Salt Lake</t>
        </is>
      </c>
      <c r="G172" s="24" t="inlineStr">
        <is>
          <t>St. Louis CITY SC</t>
        </is>
      </c>
      <c r="H172" s="24" t="inlineStr">
        <is>
          <t>total</t>
        </is>
      </c>
      <c r="I172" s="24" t="inlineStr">
        <is>
          <t>over</t>
        </is>
      </c>
      <c r="J172" s="25" t="n">
        <v>2.5</v>
      </c>
      <c r="K172" s="24" t="inlineStr">
        <is>
          <t>polymarket_us</t>
        </is>
      </c>
      <c r="L172" s="26" t="n">
        <v>-178</v>
      </c>
      <c r="M172" s="27" t="n">
        <v>1.561798</v>
      </c>
      <c r="N172" s="28" t="n">
        <v>0.640288</v>
      </c>
      <c r="O172" s="28" t="n">
        <v>0.623765</v>
      </c>
      <c r="P172" s="28" t="n">
        <v>0.04</v>
      </c>
      <c r="Q172" s="28" t="n">
        <v>-0.016523</v>
      </c>
      <c r="R172" s="26" t="n">
        <v>18</v>
      </c>
      <c r="S172" s="29" t="n">
        <v>1.5</v>
      </c>
      <c r="T172" s="24" t="inlineStr">
        <is>
          <t>soccer-poisson-dc-v1</t>
        </is>
      </c>
      <c r="U172" s="24" t="inlineStr">
        <is>
          <t>settled</t>
        </is>
      </c>
      <c r="V172" s="24" t="inlineStr">
        <is>
          <t>loss</t>
        </is>
      </c>
      <c r="W172" s="26" t="n">
        <v>1</v>
      </c>
      <c r="X172" s="26" t="n">
        <v>1</v>
      </c>
      <c r="Y172" s="25" t="n"/>
      <c r="Z172" s="26" t="n"/>
      <c r="AA172" s="28" t="n"/>
      <c r="AB172" s="28" t="n"/>
      <c r="AC172" s="30" t="n">
        <v>-1.5</v>
      </c>
      <c r="AD172" s="24" t="inlineStr">
        <is>
          <t>2026-08-02T03:26:18.397668Z</t>
        </is>
      </c>
      <c r="AE172" s="31" t="inlineStr">
        <is>
          <t>Poisson-DC rates 1.71 (home) / 1.51 (away) from EWMA attack/defense strengths. Executable ask 0.6400 (tsc-mls-stl-rsl-2026-08-01-2pt5).</t>
        </is>
      </c>
      <c r="AF172" s="31" t="inlineStr">
        <is>
          <t>Research-only soccer score model; draw-aware, but not yet locked-holdout qualified.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research_observation</t>
        </is>
      </c>
      <c r="AL172" s="26" t="n">
        <v>3</v>
      </c>
      <c r="AM172" s="24" t="inlineStr">
        <is>
          <t>RESEARCH_OBSERVATION</t>
        </is>
      </c>
      <c r="AN172" s="24" t="inlineStr">
        <is>
          <t>NO_CALL</t>
        </is>
      </c>
      <c r="AO172" s="24" t="inlineStr">
        <is>
          <t>NO_CALL_MODEL_UNVALIDATED</t>
        </is>
      </c>
      <c r="AP172" s="24" t="inlineStr">
        <is>
          <t>Real Salt Lake</t>
        </is>
      </c>
      <c r="AQ172" s="24" t="inlineStr">
        <is>
          <t>Real Salt Lake</t>
        </is>
      </c>
      <c r="AR172" s="24" t="inlineStr">
        <is>
          <t>Real Salt Lake</t>
        </is>
      </c>
      <c r="AS172" s="24" t="inlineStr">
        <is>
          <t>St. Louis CITY SC</t>
        </is>
      </c>
      <c r="AT172" s="24" t="inlineStr">
        <is>
          <t>St. Louis CITY SC</t>
        </is>
      </c>
      <c r="AU172" s="24" t="inlineStr">
        <is>
          <t>St. Louis CITY SC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research</t>
        </is>
      </c>
      <c r="BA172" s="24" t="inlineStr">
        <is>
          <t>34d1568aad0ff11b5db35f118324684f93281e1c21fa7b80be7a4a4e2cb4bb03</t>
        </is>
      </c>
      <c r="BB172" s="24" t="inlineStr">
        <is>
          <t>poisson_dixon_coles</t>
        </is>
      </c>
      <c r="BC172" s="24" t="inlineStr">
        <is>
          <t>soccer-poisson-dc-v1</t>
        </is>
      </c>
      <c r="BD172" s="24" t="inlineStr">
        <is>
          <t>34d1568aad0ff11b5db35f118324684f93281e1c21fa7b80be7a4a4e2cb4bb03</t>
        </is>
      </c>
      <c r="BE172" s="24" t="inlineStr">
        <is>
          <t>soccer-poisson-dc-v1</t>
        </is>
      </c>
      <c r="BF172" s="24" t="inlineStr">
        <is>
          <t>1</t>
        </is>
      </c>
      <c r="BG172" s="24" t="inlineStr">
        <is>
          <t>34d1568aad0ff11b5db35f118324684f93281e1c21fa7b80be7a4a4e2cb4bb03</t>
        </is>
      </c>
      <c r="BH172" s="24" t="inlineStr">
        <is>
          <t>2026-08-01T23:52:08.422932Z</t>
        </is>
      </c>
      <c r="BI172" s="24" t="inlineStr">
        <is>
          <t>["same_event","same_team_same_day","same_league_same_day"]</t>
        </is>
      </c>
      <c r="BJ172" s="25" t="n">
        <v>2.5</v>
      </c>
      <c r="BK172" s="26" t="n">
        <v>-178</v>
      </c>
      <c r="BL172" s="27" t="n">
        <v>1.561798</v>
      </c>
      <c r="BM172" s="28" t="n">
        <v>0.640288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</row>
    <row r="173" ht="36" customHeight="1">
      <c r="A173" s="24" t="inlineStr">
        <is>
          <t>0d3ad5512fa74cd7</t>
        </is>
      </c>
      <c r="B173" s="24" t="inlineStr">
        <is>
          <t>2026-08-01T23:53:24.455746Z</t>
        </is>
      </c>
      <c r="C173" s="24" t="inlineStr">
        <is>
          <t>2026-08-02T01:30Z</t>
        </is>
      </c>
      <c r="D173" s="24" t="inlineStr">
        <is>
          <t>761707</t>
        </is>
      </c>
      <c r="E173" s="24" t="inlineStr">
        <is>
          <t>SOCCER</t>
        </is>
      </c>
      <c r="F173" s="24" t="inlineStr">
        <is>
          <t>Austin FC</t>
        </is>
      </c>
      <c r="G173" s="24" t="inlineStr">
        <is>
          <t>Colorado Rapids</t>
        </is>
      </c>
      <c r="H173" s="24" t="inlineStr">
        <is>
          <t>total</t>
        </is>
      </c>
      <c r="I173" s="24" t="inlineStr">
        <is>
          <t>over</t>
        </is>
      </c>
      <c r="J173" s="25" t="n">
        <v>2.5</v>
      </c>
      <c r="K173" s="24" t="inlineStr">
        <is>
          <t>polymarket_us</t>
        </is>
      </c>
      <c r="L173" s="26" t="n">
        <v>-138</v>
      </c>
      <c r="M173" s="27" t="n">
        <v>1.724638</v>
      </c>
      <c r="N173" s="28" t="n">
        <v>0.579832</v>
      </c>
      <c r="O173" s="28" t="n">
        <v>0.683176</v>
      </c>
      <c r="P173" s="28" t="n">
        <v>0.04</v>
      </c>
      <c r="Q173" s="28" t="n">
        <v>0.103344</v>
      </c>
      <c r="R173" s="26" t="n">
        <v>78</v>
      </c>
      <c r="S173" s="29" t="n">
        <v>2</v>
      </c>
      <c r="T173" s="24" t="inlineStr">
        <is>
          <t>soccer-poisson-dc-v1</t>
        </is>
      </c>
      <c r="U173" s="24" t="inlineStr">
        <is>
          <t>settled</t>
        </is>
      </c>
      <c r="V173" s="24" t="inlineStr">
        <is>
          <t>loss</t>
        </is>
      </c>
      <c r="W173" s="26" t="n">
        <v>0</v>
      </c>
      <c r="X173" s="26" t="n">
        <v>1</v>
      </c>
      <c r="Y173" s="25" t="n"/>
      <c r="Z173" s="26" t="n"/>
      <c r="AA173" s="28" t="n"/>
      <c r="AB173" s="28" t="n"/>
      <c r="AC173" s="30" t="n">
        <v>-2</v>
      </c>
      <c r="AD173" s="24" t="inlineStr">
        <is>
          <t>2026-08-02T04:26:21.660283Z</t>
        </is>
      </c>
      <c r="AE173" s="31" t="inlineStr">
        <is>
          <t>Poisson-DC rates 2.28 (home) / 1.24 (away) from EWMA attack/defense strengths. Executable ask 0.5800 (tsc-mls-col-aus-2026-08-01-2pt5).</t>
        </is>
      </c>
      <c r="AF173" s="31" t="inlineStr">
        <is>
          <t>Research-only soccer score model; draw-aware, but not yet locked-holdout qualified.</t>
        </is>
      </c>
      <c r="AG173" s="24" t="inlineStr">
        <is>
          <t>review_required</t>
        </is>
      </c>
      <c r="AH173" s="24" t="n"/>
      <c r="AI173" s="31" t="n"/>
      <c r="AJ173" s="31" t="n"/>
      <c r="AK173" s="24" t="inlineStr">
        <is>
          <t>research_observation</t>
        </is>
      </c>
      <c r="AL173" s="26" t="n">
        <v>3</v>
      </c>
      <c r="AM173" s="24" t="inlineStr">
        <is>
          <t>RESEARCH_OBSERVATION</t>
        </is>
      </c>
      <c r="AN173" s="24" t="inlineStr">
        <is>
          <t>NO_CALL</t>
        </is>
      </c>
      <c r="AO173" s="24" t="inlineStr">
        <is>
          <t>NO_CALL_MODEL_UNVALIDATED</t>
        </is>
      </c>
      <c r="AP173" s="24" t="inlineStr">
        <is>
          <t>Austin FC</t>
        </is>
      </c>
      <c r="AQ173" s="24" t="inlineStr">
        <is>
          <t>Austin FC</t>
        </is>
      </c>
      <c r="AR173" s="24" t="inlineStr">
        <is>
          <t>Austin FC</t>
        </is>
      </c>
      <c r="AS173" s="24" t="inlineStr">
        <is>
          <t>Colorado Rapids</t>
        </is>
      </c>
      <c r="AT173" s="24" t="inlineStr">
        <is>
          <t>Colorado Rapids</t>
        </is>
      </c>
      <c r="AU173" s="24" t="inlineStr">
        <is>
          <t>Colorado Rapids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research</t>
        </is>
      </c>
      <c r="BA173" s="24" t="inlineStr">
        <is>
          <t>34d1568aad0ff11b5db35f118324684f93281e1c21fa7b80be7a4a4e2cb4bb03</t>
        </is>
      </c>
      <c r="BB173" s="24" t="inlineStr">
        <is>
          <t>poisson_dixon_coles</t>
        </is>
      </c>
      <c r="BC173" s="24" t="inlineStr">
        <is>
          <t>soccer-poisson-dc-v1</t>
        </is>
      </c>
      <c r="BD173" s="24" t="inlineStr">
        <is>
          <t>34d1568aad0ff11b5db35f118324684f93281e1c21fa7b80be7a4a4e2cb4bb03</t>
        </is>
      </c>
      <c r="BE173" s="24" t="inlineStr">
        <is>
          <t>soccer-poisson-dc-v1</t>
        </is>
      </c>
      <c r="BF173" s="24" t="inlineStr">
        <is>
          <t>1</t>
        </is>
      </c>
      <c r="BG173" s="24" t="inlineStr">
        <is>
          <t>34d1568aad0ff11b5db35f118324684f93281e1c21fa7b80be7a4a4e2cb4bb03</t>
        </is>
      </c>
      <c r="BH173" s="24" t="inlineStr">
        <is>
          <t>2026-08-01T23:52:11.070621Z</t>
        </is>
      </c>
      <c r="BI173" s="24" t="inlineStr">
        <is>
          <t>["same_event","same_team_same_day","same_league_same_day"]</t>
        </is>
      </c>
      <c r="BJ173" s="25" t="n">
        <v>2.5</v>
      </c>
      <c r="BK173" s="26" t="n">
        <v>-138</v>
      </c>
      <c r="BL173" s="27" t="n">
        <v>1.724638</v>
      </c>
      <c r="BM173" s="28" t="n">
        <v>0.579832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</row>
    <row r="174" ht="36" customHeight="1">
      <c r="A174" s="24" t="inlineStr">
        <is>
          <t>bc1b966bcbff4244</t>
        </is>
      </c>
      <c r="B174" s="24" t="inlineStr">
        <is>
          <t>2026-08-01T23:53:24.455746Z</t>
        </is>
      </c>
      <c r="C174" s="24" t="inlineStr">
        <is>
          <t>2026-08-02T02:30Z</t>
        </is>
      </c>
      <c r="D174" s="24" t="inlineStr">
        <is>
          <t>761709</t>
        </is>
      </c>
      <c r="E174" s="24" t="inlineStr">
        <is>
          <t>SOCCER</t>
        </is>
      </c>
      <c r="F174" s="24" t="inlineStr">
        <is>
          <t>FC Dallas</t>
        </is>
      </c>
      <c r="G174" s="24" t="inlineStr">
        <is>
          <t>LA Galaxy</t>
        </is>
      </c>
      <c r="H174" s="24" t="inlineStr">
        <is>
          <t>total</t>
        </is>
      </c>
      <c r="I174" s="24" t="inlineStr">
        <is>
          <t>over</t>
        </is>
      </c>
      <c r="J174" s="25" t="n">
        <v>2.5</v>
      </c>
      <c r="K174" s="24" t="inlineStr">
        <is>
          <t>polymarket_us</t>
        </is>
      </c>
      <c r="L174" s="26" t="n">
        <v>-178</v>
      </c>
      <c r="M174" s="27" t="n">
        <v>1.561798</v>
      </c>
      <c r="N174" s="28" t="n">
        <v>0.640288</v>
      </c>
      <c r="O174" s="28" t="n">
        <v>0.6876370000000001</v>
      </c>
      <c r="P174" s="28" t="n">
        <v>0.04</v>
      </c>
      <c r="Q174" s="28" t="n">
        <v>0.047349</v>
      </c>
      <c r="R174" s="26" t="n">
        <v>50</v>
      </c>
      <c r="S174" s="29" t="n">
        <v>2</v>
      </c>
      <c r="T174" s="24" t="inlineStr">
        <is>
          <t>soccer-poisson-dc-v1</t>
        </is>
      </c>
      <c r="U174" s="24" t="inlineStr">
        <is>
          <t>settled</t>
        </is>
      </c>
      <c r="V174" s="24" t="inlineStr">
        <is>
          <t>loss</t>
        </is>
      </c>
      <c r="W174" s="26" t="n">
        <v>0</v>
      </c>
      <c r="X174" s="26" t="n">
        <v>0</v>
      </c>
      <c r="Y174" s="25" t="n"/>
      <c r="Z174" s="26" t="n"/>
      <c r="AA174" s="28" t="n"/>
      <c r="AB174" s="28" t="n"/>
      <c r="AC174" s="30" t="n">
        <v>-2</v>
      </c>
      <c r="AD174" s="24" t="inlineStr">
        <is>
          <t>2026-08-02T05:39:24.511943Z</t>
        </is>
      </c>
      <c r="AE174" s="31" t="inlineStr">
        <is>
          <t>Poisson-DC rates 1.76 (home) / 1.79 (away) from EWMA attack/defense strengths. Executable ask 0.6400 (tsc-mls-lag-dal-2026-08-01-2pt5).</t>
        </is>
      </c>
      <c r="AF174" s="31" t="inlineStr">
        <is>
          <t>Research-only soccer score model; draw-aware, but not yet locked-holdout qualified.</t>
        </is>
      </c>
      <c r="AG174" s="24" t="inlineStr">
        <is>
          <t>review_required</t>
        </is>
      </c>
      <c r="AH174" s="24" t="n"/>
      <c r="AI174" s="31" t="n"/>
      <c r="AJ174" s="31" t="n"/>
      <c r="AK174" s="24" t="inlineStr">
        <is>
          <t>research_observation</t>
        </is>
      </c>
      <c r="AL174" s="26" t="n">
        <v>3</v>
      </c>
      <c r="AM174" s="24" t="inlineStr">
        <is>
          <t>RESEARCH_OBSERVATION</t>
        </is>
      </c>
      <c r="AN174" s="24" t="inlineStr">
        <is>
          <t>NO_CALL</t>
        </is>
      </c>
      <c r="AO174" s="24" t="inlineStr">
        <is>
          <t>NO_CALL_MODEL_UNVALIDATED</t>
        </is>
      </c>
      <c r="AP174" s="24" t="inlineStr">
        <is>
          <t>FC Dallas</t>
        </is>
      </c>
      <c r="AQ174" s="24" t="inlineStr">
        <is>
          <t>FC Dallas</t>
        </is>
      </c>
      <c r="AR174" s="24" t="inlineStr">
        <is>
          <t>FC Dallas</t>
        </is>
      </c>
      <c r="AS174" s="24" t="inlineStr">
        <is>
          <t>LA Galaxy</t>
        </is>
      </c>
      <c r="AT174" s="24" t="inlineStr">
        <is>
          <t>LA Galaxy</t>
        </is>
      </c>
      <c r="AU174" s="24" t="inlineStr">
        <is>
          <t>LA Galaxy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34d1568aad0ff11b5db35f118324684f93281e1c21fa7b80be7a4a4e2cb4bb03</t>
        </is>
      </c>
      <c r="BB174" s="24" t="inlineStr">
        <is>
          <t>poisson_dixon_coles</t>
        </is>
      </c>
      <c r="BC174" s="24" t="inlineStr">
        <is>
          <t>soccer-poisson-dc-v1</t>
        </is>
      </c>
      <c r="BD174" s="24" t="inlineStr">
        <is>
          <t>34d1568aad0ff11b5db35f118324684f93281e1c21fa7b80be7a4a4e2cb4bb03</t>
        </is>
      </c>
      <c r="BE174" s="24" t="inlineStr">
        <is>
          <t>soccer-poisson-dc-v1</t>
        </is>
      </c>
      <c r="BF174" s="24" t="inlineStr">
        <is>
          <t>1</t>
        </is>
      </c>
      <c r="BG174" s="24" t="inlineStr">
        <is>
          <t>34d1568aad0ff11b5db35f118324684f93281e1c21fa7b80be7a4a4e2cb4bb03</t>
        </is>
      </c>
      <c r="BH174" s="24" t="inlineStr">
        <is>
          <t>2026-08-01T23:52:12.107324Z</t>
        </is>
      </c>
      <c r="BI174" s="24" t="inlineStr">
        <is>
          <t>["same_event","same_team_same_day","same_league_same_day"]</t>
        </is>
      </c>
      <c r="BJ174" s="25" t="n">
        <v>2.5</v>
      </c>
      <c r="BK174" s="26" t="n">
        <v>-178</v>
      </c>
      <c r="BL174" s="27" t="n">
        <v>1.561798</v>
      </c>
      <c r="BM174" s="28" t="n">
        <v>0.640288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</row>
    <row r="175" ht="36" customHeight="1">
      <c r="A175" s="24" t="inlineStr">
        <is>
          <t>22fbb5383a354f59</t>
        </is>
      </c>
      <c r="B175" s="24" t="inlineStr">
        <is>
          <t>2026-08-01T23:53:24.455746Z</t>
        </is>
      </c>
      <c r="C175" s="24" t="inlineStr">
        <is>
          <t>2026-08-02T02:45Z</t>
        </is>
      </c>
      <c r="D175" s="24" t="inlineStr">
        <is>
          <t>761708</t>
        </is>
      </c>
      <c r="E175" s="24" t="inlineStr">
        <is>
          <t>SOCCER</t>
        </is>
      </c>
      <c r="F175" s="24" t="inlineStr">
        <is>
          <t>Seattle Sounders FC</t>
        </is>
      </c>
      <c r="G175" s="24" t="inlineStr">
        <is>
          <t>Portland Timbers</t>
        </is>
      </c>
      <c r="H175" s="24" t="inlineStr">
        <is>
          <t>total</t>
        </is>
      </c>
      <c r="I175" s="24" t="inlineStr">
        <is>
          <t>over</t>
        </is>
      </c>
      <c r="J175" s="25" t="n">
        <v>2.5</v>
      </c>
      <c r="K175" s="24" t="inlineStr">
        <is>
          <t>polymarket_us</t>
        </is>
      </c>
      <c r="L175" s="26" t="n">
        <v>-203</v>
      </c>
      <c r="M175" s="27" t="n">
        <v>1.492611</v>
      </c>
      <c r="N175" s="28" t="n">
        <v>0.669967</v>
      </c>
      <c r="O175" s="28" t="n">
        <v>0.666723</v>
      </c>
      <c r="P175" s="28" t="n">
        <v>0.04</v>
      </c>
      <c r="Q175" s="28" t="n">
        <v>-0.003244</v>
      </c>
      <c r="R175" s="26" t="n">
        <v>24</v>
      </c>
      <c r="S175" s="29" t="n">
        <v>1.75</v>
      </c>
      <c r="T175" s="24" t="inlineStr">
        <is>
          <t>soccer-poisson-dc-v1</t>
        </is>
      </c>
      <c r="U175" s="24" t="inlineStr">
        <is>
          <t>settled</t>
        </is>
      </c>
      <c r="V175" s="24" t="inlineStr">
        <is>
          <t>win</t>
        </is>
      </c>
      <c r="W175" s="26" t="n">
        <v>1</v>
      </c>
      <c r="X175" s="26" t="n">
        <v>2</v>
      </c>
      <c r="Y175" s="25" t="n"/>
      <c r="Z175" s="26" t="n"/>
      <c r="AA175" s="28" t="n"/>
      <c r="AB175" s="28" t="n"/>
      <c r="AC175" s="30" t="n">
        <v>0.8621</v>
      </c>
      <c r="AD175" s="24" t="inlineStr">
        <is>
          <t>2026-08-02T05:39:25.044697Z</t>
        </is>
      </c>
      <c r="AE175" s="31" t="inlineStr">
        <is>
          <t>Poisson-DC rates 1.85 (home) / 1.59 (away) from EWMA attack/defense strengths. Executable ask 0.6700 (tsc-mls-por-sea-2026-08-01-2pt5).</t>
        </is>
      </c>
      <c r="AF175" s="31" t="inlineStr">
        <is>
          <t>Research-only soccer score model; draw-aware, but not yet locked-holdout qualified.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research_observation</t>
        </is>
      </c>
      <c r="AL175" s="26" t="n">
        <v>3</v>
      </c>
      <c r="AM175" s="24" t="inlineStr">
        <is>
          <t>RESEARCH_OBSERVATION</t>
        </is>
      </c>
      <c r="AN175" s="24" t="inlineStr">
        <is>
          <t>NO_CALL</t>
        </is>
      </c>
      <c r="AO175" s="24" t="inlineStr">
        <is>
          <t>NO_CALL_MODEL_UNVALIDATED</t>
        </is>
      </c>
      <c r="AP175" s="24" t="inlineStr">
        <is>
          <t>Seattle Sounders FC</t>
        </is>
      </c>
      <c r="AQ175" s="24" t="inlineStr">
        <is>
          <t>Seattle Sounders FC</t>
        </is>
      </c>
      <c r="AR175" s="24" t="inlineStr">
        <is>
          <t>Seattle Sounders FC</t>
        </is>
      </c>
      <c r="AS175" s="24" t="inlineStr">
        <is>
          <t>Portland Timbers</t>
        </is>
      </c>
      <c r="AT175" s="24" t="inlineStr">
        <is>
          <t>Portland Timbers</t>
        </is>
      </c>
      <c r="AU175" s="24" t="inlineStr">
        <is>
          <t>Portland Timbers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34d1568aad0ff11b5db35f118324684f93281e1c21fa7b80be7a4a4e2cb4bb03</t>
        </is>
      </c>
      <c r="BB175" s="24" t="inlineStr">
        <is>
          <t>poisson_dixon_coles</t>
        </is>
      </c>
      <c r="BC175" s="24" t="inlineStr">
        <is>
          <t>soccer-poisson-dc-v1</t>
        </is>
      </c>
      <c r="BD175" s="24" t="inlineStr">
        <is>
          <t>34d1568aad0ff11b5db35f118324684f93281e1c21fa7b80be7a4a4e2cb4bb03</t>
        </is>
      </c>
      <c r="BE175" s="24" t="inlineStr">
        <is>
          <t>soccer-poisson-dc-v1</t>
        </is>
      </c>
      <c r="BF175" s="24" t="inlineStr">
        <is>
          <t>1</t>
        </is>
      </c>
      <c r="BG175" s="24" t="inlineStr">
        <is>
          <t>34d1568aad0ff11b5db35f118324684f93281e1c21fa7b80be7a4a4e2cb4bb03</t>
        </is>
      </c>
      <c r="BH175" s="24" t="inlineStr">
        <is>
          <t>2026-08-01T23:52:13.426637Z</t>
        </is>
      </c>
      <c r="BI175" s="24" t="inlineStr">
        <is>
          <t>["same_event","same_team_same_day","same_league_same_day"]</t>
        </is>
      </c>
      <c r="BJ175" s="25" t="n">
        <v>2.5</v>
      </c>
      <c r="BK175" s="26" t="n">
        <v>-203</v>
      </c>
      <c r="BL175" s="27" t="n">
        <v>1.492611</v>
      </c>
      <c r="BM175" s="28" t="n">
        <v>0.669967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</row>
    <row r="176" ht="36" customHeight="1">
      <c r="A176" s="24" t="inlineStr">
        <is>
          <t>fc4e7c8832354064</t>
        </is>
      </c>
      <c r="B176" s="24" t="inlineStr">
        <is>
          <t>2026-08-01T23:53:24.455746Z</t>
        </is>
      </c>
      <c r="C176" s="24" t="inlineStr">
        <is>
          <t>2026-08-02T00:30Z</t>
        </is>
      </c>
      <c r="D176" s="24" t="inlineStr">
        <is>
          <t>761704</t>
        </is>
      </c>
      <c r="E176" s="24" t="inlineStr">
        <is>
          <t>SOCCER</t>
        </is>
      </c>
      <c r="F176" s="24" t="inlineStr">
        <is>
          <t>Charlotte FC</t>
        </is>
      </c>
      <c r="G176" s="24" t="inlineStr">
        <is>
          <t>Chicago Fire FC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-186</v>
      </c>
      <c r="M176" s="27" t="n">
        <v>1.537634</v>
      </c>
      <c r="N176" s="28" t="n">
        <v>0.65035</v>
      </c>
      <c r="O176" s="28" t="n">
        <v>0.576863</v>
      </c>
      <c r="P176" s="28" t="n">
        <v>0.04</v>
      </c>
      <c r="Q176" s="28" t="n">
        <v>-0.073487</v>
      </c>
      <c r="R176" s="26" t="n">
        <v>0</v>
      </c>
      <c r="S176" s="29" t="n">
        <v>1.25</v>
      </c>
      <c r="T176" s="24" t="inlineStr">
        <is>
          <t>soccer-poisson-dc-v1</t>
        </is>
      </c>
      <c r="U176" s="24" t="inlineStr">
        <is>
          <t>settled</t>
        </is>
      </c>
      <c r="V176" s="24" t="inlineStr">
        <is>
          <t>win</t>
        </is>
      </c>
      <c r="W176" s="26" t="n">
        <v>1</v>
      </c>
      <c r="X176" s="26" t="n">
        <v>2</v>
      </c>
      <c r="Y176" s="25" t="n"/>
      <c r="Z176" s="26" t="n"/>
      <c r="AA176" s="28" t="n"/>
      <c r="AB176" s="28" t="n"/>
      <c r="AC176" s="30" t="n">
        <v>0.672</v>
      </c>
      <c r="AD176" s="24" t="inlineStr">
        <is>
          <t>2026-08-02T03:26:18.789170Z</t>
        </is>
      </c>
      <c r="AE176" s="31" t="inlineStr">
        <is>
          <t>Poisson-DC rates 2.21 (home) / 1.28 (away) from EWMA attack/defense strengths. Executable ask 0.6500 (atc-mls-chi-clt-2026-08-01-chi).</t>
        </is>
      </c>
      <c r="AF176" s="31" t="inlineStr">
        <is>
          <t>Research-only soccer score model; draw-aware, but not yet locked-holdout qualified.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research_observation</t>
        </is>
      </c>
      <c r="AL176" s="26" t="n">
        <v>3</v>
      </c>
      <c r="AM176" s="24" t="inlineStr">
        <is>
          <t>RESEARCH_OBSERVATION</t>
        </is>
      </c>
      <c r="AN176" s="24" t="inlineStr">
        <is>
          <t>NO_CALL</t>
        </is>
      </c>
      <c r="AO176" s="24" t="inlineStr">
        <is>
          <t>NO_CALL_MODEL_UNVALIDATED</t>
        </is>
      </c>
      <c r="AP176" s="24" t="inlineStr">
        <is>
          <t>Charlotte FC</t>
        </is>
      </c>
      <c r="AQ176" s="24" t="inlineStr">
        <is>
          <t>Charlotte FC</t>
        </is>
      </c>
      <c r="AR176" s="24" t="inlineStr">
        <is>
          <t>Charlotte FC</t>
        </is>
      </c>
      <c r="AS176" s="24" t="inlineStr">
        <is>
          <t>Chicago Fire FC</t>
        </is>
      </c>
      <c r="AT176" s="24" t="inlineStr">
        <is>
          <t>Chicago Fire FC</t>
        </is>
      </c>
      <c r="AU176" s="24" t="inlineStr">
        <is>
          <t>Chicago Fire FC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research</t>
        </is>
      </c>
      <c r="BA176" s="24" t="inlineStr">
        <is>
          <t>34d1568aad0ff11b5db35f118324684f93281e1c21fa7b80be7a4a4e2cb4bb03</t>
        </is>
      </c>
      <c r="BB176" s="24" t="inlineStr">
        <is>
          <t>poisson_dixon_coles</t>
        </is>
      </c>
      <c r="BC176" s="24" t="inlineStr">
        <is>
          <t>soccer-poisson-dc-v1</t>
        </is>
      </c>
      <c r="BD176" s="24" t="inlineStr">
        <is>
          <t>34d1568aad0ff11b5db35f118324684f93281e1c21fa7b80be7a4a4e2cb4bb03</t>
        </is>
      </c>
      <c r="BE176" s="24" t="inlineStr">
        <is>
          <t>soccer-poisson-dc-v1</t>
        </is>
      </c>
      <c r="BF176" s="24" t="inlineStr">
        <is>
          <t>1</t>
        </is>
      </c>
      <c r="BG176" s="24" t="inlineStr">
        <is>
          <t>34d1568aad0ff11b5db35f118324684f93281e1c21fa7b80be7a4a4e2cb4bb03</t>
        </is>
      </c>
      <c r="BH176" s="24" t="inlineStr">
        <is>
          <t>2026-08-01T23:52:03.002096Z</t>
        </is>
      </c>
      <c r="BI176" s="24" t="inlineStr">
        <is>
          <t>["same_event","same_team_same_day","same_league_same_day"]</t>
        </is>
      </c>
      <c r="BJ176" s="25" t="n"/>
      <c r="BK176" s="26" t="n">
        <v>-186</v>
      </c>
      <c r="BL176" s="27" t="n">
        <v>1.537634</v>
      </c>
      <c r="BM176" s="28" t="n">
        <v>0.65035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</row>
    <row r="177" ht="36" customHeight="1">
      <c r="A177" s="24" t="inlineStr">
        <is>
          <t>6faae02228ba477e</t>
        </is>
      </c>
      <c r="B177" s="24" t="inlineStr">
        <is>
          <t>2026-08-01T23:53:24.455746Z</t>
        </is>
      </c>
      <c r="C177" s="24" t="inlineStr">
        <is>
          <t>2026-08-02T00:30Z</t>
        </is>
      </c>
      <c r="D177" s="24" t="inlineStr">
        <is>
          <t>761706</t>
        </is>
      </c>
      <c r="E177" s="24" t="inlineStr">
        <is>
          <t>SOCCER</t>
        </is>
      </c>
      <c r="F177" s="24" t="inlineStr">
        <is>
          <t>Houston Dynamo FC</t>
        </is>
      </c>
      <c r="G177" s="24" t="inlineStr">
        <is>
          <t>Sporting Kansas City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117</v>
      </c>
      <c r="M177" s="27" t="n">
        <v>2.17</v>
      </c>
      <c r="N177" s="28" t="n">
        <v>0.460829</v>
      </c>
      <c r="O177" s="28" t="n">
        <v>0.458041</v>
      </c>
      <c r="P177" s="28" t="n">
        <v>0.04</v>
      </c>
      <c r="Q177" s="28" t="n">
        <v>-0.002788</v>
      </c>
      <c r="R177" s="26" t="n">
        <v>25</v>
      </c>
      <c r="S177" s="29" t="n">
        <v>1</v>
      </c>
      <c r="T177" s="24" t="inlineStr">
        <is>
          <t>soccer-poisson-dc-v1</t>
        </is>
      </c>
      <c r="U177" s="24" t="inlineStr">
        <is>
          <t>settled</t>
        </is>
      </c>
      <c r="V177" s="24" t="inlineStr">
        <is>
          <t>win</t>
        </is>
      </c>
      <c r="W177" s="26" t="n">
        <v>2</v>
      </c>
      <c r="X177" s="26" t="n">
        <v>0</v>
      </c>
      <c r="Y177" s="25" t="n"/>
      <c r="Z177" s="26" t="n"/>
      <c r="AA177" s="28" t="n"/>
      <c r="AB177" s="28" t="n"/>
      <c r="AC177" s="30" t="n">
        <v>1.17</v>
      </c>
      <c r="AD177" s="24" t="inlineStr">
        <is>
          <t>2026-08-02T03:26:19.661895Z</t>
        </is>
      </c>
      <c r="AE177" s="31" t="inlineStr">
        <is>
          <t>Poisson-DC rates 1.49 (home) / 1.87 (away) from EWMA attack/defense strengths. Executable ask 0.4600 (atc-mls-skc-hou-2026-08-01-hou).</t>
        </is>
      </c>
      <c r="AF177" s="31" t="inlineStr">
        <is>
          <t>Research-only soccer score model; draw-aware, but not yet locked-holdout qualified.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research_observation</t>
        </is>
      </c>
      <c r="AL177" s="26" t="n">
        <v>3</v>
      </c>
      <c r="AM177" s="24" t="inlineStr">
        <is>
          <t>RESEARCH_OBSERVATION</t>
        </is>
      </c>
      <c r="AN177" s="24" t="inlineStr">
        <is>
          <t>NO_CALL</t>
        </is>
      </c>
      <c r="AO177" s="24" t="inlineStr">
        <is>
          <t>NO_CALL_MODEL_UNVALIDATED</t>
        </is>
      </c>
      <c r="AP177" s="24" t="inlineStr">
        <is>
          <t>Houston Dynamo FC</t>
        </is>
      </c>
      <c r="AQ177" s="24" t="inlineStr">
        <is>
          <t>Houston Dynamo FC</t>
        </is>
      </c>
      <c r="AR177" s="24" t="inlineStr">
        <is>
          <t>Houston Dynamo FC</t>
        </is>
      </c>
      <c r="AS177" s="24" t="inlineStr">
        <is>
          <t>Sporting Kansas City</t>
        </is>
      </c>
      <c r="AT177" s="24" t="inlineStr">
        <is>
          <t>Sporting Kansas City</t>
        </is>
      </c>
      <c r="AU177" s="24" t="inlineStr">
        <is>
          <t>Sporting Kansas City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34d1568aad0ff11b5db35f118324684f93281e1c21fa7b80be7a4a4e2cb4bb03</t>
        </is>
      </c>
      <c r="BB177" s="24" t="inlineStr">
        <is>
          <t>poisson_dixon_coles</t>
        </is>
      </c>
      <c r="BC177" s="24" t="inlineStr">
        <is>
          <t>soccer-poisson-dc-v1</t>
        </is>
      </c>
      <c r="BD177" s="24" t="inlineStr">
        <is>
          <t>34d1568aad0ff11b5db35f118324684f93281e1c21fa7b80be7a4a4e2cb4bb03</t>
        </is>
      </c>
      <c r="BE177" s="24" t="inlineStr">
        <is>
          <t>soccer-poisson-dc-v1</t>
        </is>
      </c>
      <c r="BF177" s="24" t="inlineStr">
        <is>
          <t>1</t>
        </is>
      </c>
      <c r="BG177" s="24" t="inlineStr">
        <is>
          <t>34d1568aad0ff11b5db35f118324684f93281e1c21fa7b80be7a4a4e2cb4bb03</t>
        </is>
      </c>
      <c r="BH177" s="24" t="inlineStr">
        <is>
          <t>2026-08-01T23:52:06.344991Z</t>
        </is>
      </c>
      <c r="BI177" s="24" t="inlineStr">
        <is>
          <t>["same_event","same_team_same_day","same_league_same_day"]</t>
        </is>
      </c>
      <c r="BJ177" s="25" t="n"/>
      <c r="BK177" s="26" t="n">
        <v>117</v>
      </c>
      <c r="BL177" s="27" t="n">
        <v>2.17</v>
      </c>
      <c r="BM177" s="28" t="n">
        <v>0.460829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</row>
    <row r="178" ht="36" customHeight="1">
      <c r="A178" s="24" t="inlineStr">
        <is>
          <t>22f0f340d5054823</t>
        </is>
      </c>
      <c r="B178" s="24" t="inlineStr">
        <is>
          <t>2026-08-01T23:53:24.455746Z</t>
        </is>
      </c>
      <c r="C178" s="24" t="inlineStr">
        <is>
          <t>2026-08-02T01:30Z</t>
        </is>
      </c>
      <c r="D178" s="24" t="inlineStr">
        <is>
          <t>761707</t>
        </is>
      </c>
      <c r="E178" s="24" t="inlineStr">
        <is>
          <t>SOCCER</t>
        </is>
      </c>
      <c r="F178" s="24" t="inlineStr">
        <is>
          <t>Austin FC</t>
        </is>
      </c>
      <c r="G178" s="24" t="inlineStr">
        <is>
          <t>Colorado Rapids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-127</v>
      </c>
      <c r="M178" s="27" t="n">
        <v>1.787402</v>
      </c>
      <c r="N178" s="28" t="n">
        <v>0.5594710000000001</v>
      </c>
      <c r="O178" s="28" t="n">
        <v>0.6000259999999999</v>
      </c>
      <c r="P178" s="28" t="n">
        <v>0.04</v>
      </c>
      <c r="Q178" s="28" t="n">
        <v>0.040555</v>
      </c>
      <c r="R178" s="26" t="n">
        <v>46</v>
      </c>
      <c r="S178" s="29" t="n">
        <v>1.5</v>
      </c>
      <c r="T178" s="24" t="inlineStr">
        <is>
          <t>soccer-poisson-dc-v1</t>
        </is>
      </c>
      <c r="U178" s="24" t="inlineStr">
        <is>
          <t>settled</t>
        </is>
      </c>
      <c r="V178" s="24" t="inlineStr">
        <is>
          <t>win</t>
        </is>
      </c>
      <c r="W178" s="26" t="n">
        <v>0</v>
      </c>
      <c r="X178" s="26" t="n">
        <v>1</v>
      </c>
      <c r="Y178" s="25" t="n"/>
      <c r="Z178" s="26" t="n"/>
      <c r="AA178" s="28" t="n"/>
      <c r="AB178" s="28" t="n"/>
      <c r="AC178" s="30" t="n">
        <v>1.1811</v>
      </c>
      <c r="AD178" s="24" t="inlineStr">
        <is>
          <t>2026-08-02T04:26:21.937064Z</t>
        </is>
      </c>
      <c r="AE178" s="31" t="inlineStr">
        <is>
          <t>Poisson-DC rates 2.28 (home) / 1.24 (away) from EWMA attack/defense strengths. Executable ask 0.5600 (atc-mls-col-aus-2026-08-01-col).</t>
        </is>
      </c>
      <c r="AF178" s="31" t="inlineStr">
        <is>
          <t>Research-only soccer score model; draw-aware, but not yet locked-holdout qualified.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research_observation</t>
        </is>
      </c>
      <c r="AL178" s="26" t="n">
        <v>3</v>
      </c>
      <c r="AM178" s="24" t="inlineStr">
        <is>
          <t>RESEARCH_OBSERVATION</t>
        </is>
      </c>
      <c r="AN178" s="24" t="inlineStr">
        <is>
          <t>NO_CALL</t>
        </is>
      </c>
      <c r="AO178" s="24" t="inlineStr">
        <is>
          <t>NO_CALL_MODEL_UNVALIDATED</t>
        </is>
      </c>
      <c r="AP178" s="24" t="inlineStr">
        <is>
          <t>Austin FC</t>
        </is>
      </c>
      <c r="AQ178" s="24" t="inlineStr">
        <is>
          <t>Austin FC</t>
        </is>
      </c>
      <c r="AR178" s="24" t="inlineStr">
        <is>
          <t>Austin FC</t>
        </is>
      </c>
      <c r="AS178" s="24" t="inlineStr">
        <is>
          <t>Colorado Rapids</t>
        </is>
      </c>
      <c r="AT178" s="24" t="inlineStr">
        <is>
          <t>Colorado Rapids</t>
        </is>
      </c>
      <c r="AU178" s="24" t="inlineStr">
        <is>
          <t>Colorado Rapids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34d1568aad0ff11b5db35f118324684f93281e1c21fa7b80be7a4a4e2cb4bb03</t>
        </is>
      </c>
      <c r="BB178" s="24" t="inlineStr">
        <is>
          <t>poisson_dixon_coles</t>
        </is>
      </c>
      <c r="BC178" s="24" t="inlineStr">
        <is>
          <t>soccer-poisson-dc-v1</t>
        </is>
      </c>
      <c r="BD178" s="24" t="inlineStr">
        <is>
          <t>34d1568aad0ff11b5db35f118324684f93281e1c21fa7b80be7a4a4e2cb4bb03</t>
        </is>
      </c>
      <c r="BE178" s="24" t="inlineStr">
        <is>
          <t>soccer-poisson-dc-v1</t>
        </is>
      </c>
      <c r="BF178" s="24" t="inlineStr">
        <is>
          <t>1</t>
        </is>
      </c>
      <c r="BG178" s="24" t="inlineStr">
        <is>
          <t>34d1568aad0ff11b5db35f118324684f93281e1c21fa7b80be7a4a4e2cb4bb03</t>
        </is>
      </c>
      <c r="BH178" s="24" t="inlineStr">
        <is>
          <t>2026-08-01T23:52:09.543896Z</t>
        </is>
      </c>
      <c r="BI178" s="24" t="inlineStr">
        <is>
          <t>["same_event","same_team_same_day","same_league_same_day"]</t>
        </is>
      </c>
      <c r="BJ178" s="25" t="n"/>
      <c r="BK178" s="26" t="n">
        <v>-127</v>
      </c>
      <c r="BL178" s="27" t="n">
        <v>1.787402</v>
      </c>
      <c r="BM178" s="28" t="n">
        <v>0.5594710000000001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</row>
    <row r="179" ht="36" customHeight="1">
      <c r="A179" s="24" t="inlineStr">
        <is>
          <t>6a04218c09a84664</t>
        </is>
      </c>
      <c r="B179" s="24" t="inlineStr">
        <is>
          <t>2026-08-01T23:53:24.455746Z</t>
        </is>
      </c>
      <c r="C179" s="24" t="inlineStr">
        <is>
          <t>2026-08-02T02:45Z</t>
        </is>
      </c>
      <c r="D179" s="24" t="inlineStr">
        <is>
          <t>761708</t>
        </is>
      </c>
      <c r="E179" s="24" t="inlineStr">
        <is>
          <t>SOCCER</t>
        </is>
      </c>
      <c r="F179" s="24" t="inlineStr">
        <is>
          <t>Seattle Sounders FC</t>
        </is>
      </c>
      <c r="G179" s="24" t="inlineStr">
        <is>
          <t>Portland Timbers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113</v>
      </c>
      <c r="M179" s="27" t="n">
        <v>2.13</v>
      </c>
      <c r="N179" s="28" t="n">
        <v>0.469484</v>
      </c>
      <c r="O179" s="28" t="n">
        <v>0.432832</v>
      </c>
      <c r="P179" s="28" t="n">
        <v>0.04</v>
      </c>
      <c r="Q179" s="28" t="n">
        <v>-0.036652</v>
      </c>
      <c r="R179" s="26" t="n">
        <v>8</v>
      </c>
      <c r="S179" s="29" t="n">
        <v>1.25</v>
      </c>
      <c r="T179" s="24" t="inlineStr">
        <is>
          <t>soccer-poisson-dc-v1</t>
        </is>
      </c>
      <c r="U179" s="24" t="inlineStr">
        <is>
          <t>settled</t>
        </is>
      </c>
      <c r="V179" s="24" t="inlineStr">
        <is>
          <t>win</t>
        </is>
      </c>
      <c r="W179" s="26" t="n">
        <v>1</v>
      </c>
      <c r="X179" s="26" t="n">
        <v>2</v>
      </c>
      <c r="Y179" s="25" t="n"/>
      <c r="Z179" s="26" t="n"/>
      <c r="AA179" s="28" t="n"/>
      <c r="AB179" s="28" t="n"/>
      <c r="AC179" s="30" t="n">
        <v>1.4125</v>
      </c>
      <c r="AD179" s="24" t="inlineStr">
        <is>
          <t>2026-08-02T05:39:26.164706Z</t>
        </is>
      </c>
      <c r="AE179" s="31" t="inlineStr">
        <is>
          <t>Poisson-DC rates 1.85 (home) / 1.59 (away) from EWMA attack/defense strengths. Executable ask 0.4700 (atc-mls-por-sea-2026-08-01-por).</t>
        </is>
      </c>
      <c r="AF179" s="31" t="inlineStr">
        <is>
          <t>Research-only soccer score model; draw-aware, but not yet locked-holdout qualified.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research_observation</t>
        </is>
      </c>
      <c r="AL179" s="26" t="n">
        <v>3</v>
      </c>
      <c r="AM179" s="24" t="inlineStr">
        <is>
          <t>RESEARCH_OBSERVATION</t>
        </is>
      </c>
      <c r="AN179" s="24" t="inlineStr">
        <is>
          <t>NO_CALL</t>
        </is>
      </c>
      <c r="AO179" s="24" t="inlineStr">
        <is>
          <t>NO_CALL_MODEL_UNVALIDATED</t>
        </is>
      </c>
      <c r="AP179" s="24" t="inlineStr">
        <is>
          <t>Seattle Sounders FC</t>
        </is>
      </c>
      <c r="AQ179" s="24" t="inlineStr">
        <is>
          <t>Seattle Sounders FC</t>
        </is>
      </c>
      <c r="AR179" s="24" t="inlineStr">
        <is>
          <t>Seattle Sounders FC</t>
        </is>
      </c>
      <c r="AS179" s="24" t="inlineStr">
        <is>
          <t>Portland Timbers</t>
        </is>
      </c>
      <c r="AT179" s="24" t="inlineStr">
        <is>
          <t>Portland Timbers</t>
        </is>
      </c>
      <c r="AU179" s="24" t="inlineStr">
        <is>
          <t>Portland Timbers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34d1568aad0ff11b5db35f118324684f93281e1c21fa7b80be7a4a4e2cb4bb03</t>
        </is>
      </c>
      <c r="BB179" s="24" t="inlineStr">
        <is>
          <t>poisson_dixon_coles</t>
        </is>
      </c>
      <c r="BC179" s="24" t="inlineStr">
        <is>
          <t>soccer-poisson-dc-v1</t>
        </is>
      </c>
      <c r="BD179" s="24" t="inlineStr">
        <is>
          <t>34d1568aad0ff11b5db35f118324684f93281e1c21fa7b80be7a4a4e2cb4bb03</t>
        </is>
      </c>
      <c r="BE179" s="24" t="inlineStr">
        <is>
          <t>soccer-poisson-dc-v1</t>
        </is>
      </c>
      <c r="BF179" s="24" t="inlineStr">
        <is>
          <t>1</t>
        </is>
      </c>
      <c r="BG179" s="24" t="inlineStr">
        <is>
          <t>34d1568aad0ff11b5db35f118324684f93281e1c21fa7b80be7a4a4e2cb4bb03</t>
        </is>
      </c>
      <c r="BH179" s="24" t="inlineStr">
        <is>
          <t>2026-08-01T23:52:12.696180Z</t>
        </is>
      </c>
      <c r="BI179" s="24" t="inlineStr">
        <is>
          <t>["same_event","same_team_same_day","same_league_same_day"]</t>
        </is>
      </c>
      <c r="BJ179" s="25" t="n"/>
      <c r="BK179" s="26" t="n">
        <v>113</v>
      </c>
      <c r="BL179" s="27" t="n">
        <v>2.13</v>
      </c>
      <c r="BM179" s="28" t="n">
        <v>0.469484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</row>
    <row r="180" ht="36" customHeight="1">
      <c r="A180" s="24" t="inlineStr">
        <is>
          <t>3d7c6e251fde488b</t>
        </is>
      </c>
      <c r="B180" s="24" t="inlineStr">
        <is>
          <t>2026-08-01T23:53:24.455746Z</t>
        </is>
      </c>
      <c r="C180" s="24" t="inlineStr">
        <is>
          <t>2026-08-02T00:00Z</t>
        </is>
      </c>
      <c r="D180" s="24" t="inlineStr">
        <is>
          <t>401859646</t>
        </is>
      </c>
      <c r="E180" s="24" t="inlineStr">
        <is>
          <t>SOCCER</t>
        </is>
      </c>
      <c r="F180" s="24" t="inlineStr">
        <is>
          <t>Aucas</t>
        </is>
      </c>
      <c r="G180" s="24" t="inlineStr">
        <is>
          <t>Emelec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133</v>
      </c>
      <c r="M180" s="27" t="n">
        <v>2.33</v>
      </c>
      <c r="N180" s="28" t="n">
        <v>0.429185</v>
      </c>
      <c r="O180" s="28" t="n">
        <v>0.456135</v>
      </c>
      <c r="P180" s="28" t="n">
        <v>0.2</v>
      </c>
      <c r="Q180" s="28" t="n">
        <v>0.02695</v>
      </c>
      <c r="R180" s="26" t="n">
        <v>0</v>
      </c>
      <c r="S180" s="29" t="n">
        <v>1</v>
      </c>
      <c r="T180" s="24" t="inlineStr">
        <is>
          <t>soccer-poisson-dc-v1</t>
        </is>
      </c>
      <c r="U180" s="24" t="inlineStr">
        <is>
          <t>settled</t>
        </is>
      </c>
      <c r="V180" s="24" t="inlineStr">
        <is>
          <t>loss</t>
        </is>
      </c>
      <c r="W180" s="26" t="n">
        <v>2</v>
      </c>
      <c r="X180" s="26" t="n">
        <v>0</v>
      </c>
      <c r="Y180" s="25" t="n"/>
      <c r="Z180" s="26" t="n"/>
      <c r="AA180" s="28" t="n"/>
      <c r="AB180" s="28" t="n"/>
      <c r="AC180" s="30" t="n">
        <v>-1</v>
      </c>
      <c r="AD180" s="24" t="inlineStr">
        <is>
          <t>2026-08-02T03:26:22.035170Z</t>
        </is>
      </c>
      <c r="AE180" s="31" t="inlineStr">
        <is>
          <t>Poisson-DC rates 1.64 (home) / 1.24 (away) from EWMA attack/defense strengths. Executable ask 0.4300 (atc-ecu1-cse-sda-2026-08-01-cse).</t>
        </is>
      </c>
      <c r="AF180" s="31" t="inlineStr">
        <is>
          <t>Research-only soccer score model; draw-aware, but not yet locked-holdout qualified.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NO_CALL_MODEL_UNVALIDATED</t>
        </is>
      </c>
      <c r="AP180" s="24" t="inlineStr">
        <is>
          <t>Aucas</t>
        </is>
      </c>
      <c r="AQ180" s="24" t="inlineStr">
        <is>
          <t>Aucas</t>
        </is>
      </c>
      <c r="AR180" s="24" t="inlineStr">
        <is>
          <t>Aucas</t>
        </is>
      </c>
      <c r="AS180" s="24" t="inlineStr">
        <is>
          <t>Emelec</t>
        </is>
      </c>
      <c r="AT180" s="24" t="inlineStr">
        <is>
          <t>Emelec</t>
        </is>
      </c>
      <c r="AU180" s="24" t="inlineStr">
        <is>
          <t>Emelec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research</t>
        </is>
      </c>
      <c r="BA180" s="24" t="inlineStr">
        <is>
          <t>34d1568aad0ff11b5db35f118324684f93281e1c21fa7b80be7a4a4e2cb4bb03</t>
        </is>
      </c>
      <c r="BB180" s="24" t="inlineStr">
        <is>
          <t>poisson_dixon_coles</t>
        </is>
      </c>
      <c r="BC180" s="24" t="inlineStr">
        <is>
          <t>soccer-poisson-dc-v1</t>
        </is>
      </c>
      <c r="BD180" s="24" t="inlineStr">
        <is>
          <t>34d1568aad0ff11b5db35f118324684f93281e1c21fa7b80be7a4a4e2cb4bb03</t>
        </is>
      </c>
      <c r="BE180" s="24" t="inlineStr">
        <is>
          <t>soccer-poisson-dc-v1</t>
        </is>
      </c>
      <c r="BF180" s="24" t="inlineStr">
        <is>
          <t>1</t>
        </is>
      </c>
      <c r="BG180" s="24" t="inlineStr">
        <is>
          <t>34d1568aad0ff11b5db35f118324684f93281e1c21fa7b80be7a4a4e2cb4bb03</t>
        </is>
      </c>
      <c r="BH180" s="24" t="inlineStr">
        <is>
          <t>2026-08-01T23:52:16.427787Z</t>
        </is>
      </c>
      <c r="BI180" s="24" t="inlineStr">
        <is>
          <t>["same_event","same_team_same_day","same_league_same_day"]</t>
        </is>
      </c>
      <c r="BJ180" s="25" t="n"/>
      <c r="BK180" s="26" t="n">
        <v>133</v>
      </c>
      <c r="BL180" s="27" t="n">
        <v>2.33</v>
      </c>
      <c r="BM180" s="28" t="n">
        <v>0.429185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</row>
    <row r="181" ht="36" customHeight="1">
      <c r="A181" s="24" t="inlineStr">
        <is>
          <t>1570b2da88bb4c5a</t>
        </is>
      </c>
      <c r="B181" s="24" t="inlineStr">
        <is>
          <t>2026-08-02T12:28:25.454250Z</t>
        </is>
      </c>
      <c r="C181" s="24" t="inlineStr">
        <is>
          <t>2026-08-02T12:30Z</t>
        </is>
      </c>
      <c r="D181" s="24" t="inlineStr">
        <is>
          <t>401886552</t>
        </is>
      </c>
      <c r="E181" s="24" t="inlineStr">
        <is>
          <t>SOCCER</t>
        </is>
      </c>
      <c r="F181" s="24" t="inlineStr">
        <is>
          <t>Ajax Amsterdam</t>
        </is>
      </c>
      <c r="G181" s="24" t="inlineStr">
        <is>
          <t>FC Volendam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-194</v>
      </c>
      <c r="M181" s="27" t="n">
        <v>1.515464</v>
      </c>
      <c r="N181" s="28" t="n">
        <v>0.659864</v>
      </c>
      <c r="O181" s="28" t="n">
        <v>0.515227</v>
      </c>
      <c r="P181" s="28" t="n">
        <v>0.04</v>
      </c>
      <c r="Q181" s="28" t="n">
        <v>-0.144637</v>
      </c>
      <c r="R181" s="26" t="n">
        <v>0</v>
      </c>
      <c r="S181" s="29" t="n">
        <v>1</v>
      </c>
      <c r="T181" s="24" t="inlineStr">
        <is>
          <t>soccer-poisson-dc-v1</t>
        </is>
      </c>
      <c r="U181" s="24" t="inlineStr">
        <is>
          <t>settled</t>
        </is>
      </c>
      <c r="V181" s="24" t="inlineStr">
        <is>
          <t>win</t>
        </is>
      </c>
      <c r="W181" s="26" t="n">
        <v>3</v>
      </c>
      <c r="X181" s="26" t="n">
        <v>1</v>
      </c>
      <c r="Y181" s="25" t="n"/>
      <c r="Z181" s="26" t="n"/>
      <c r="AA181" s="28" t="n"/>
      <c r="AB181" s="28" t="n"/>
      <c r="AC181" s="30" t="n">
        <v>0.5155</v>
      </c>
      <c r="AD181" s="24" t="inlineStr">
        <is>
          <t>2026-08-02T15:52:39.747371Z</t>
        </is>
      </c>
      <c r="AE181" s="31" t="inlineStr">
        <is>
          <t>Poisson-DC rates 0.88 (home) / 1.54 (away) from EWMA attack/defense strengths. Executable ask 0.6600 (atc-clbf-fvco-aja-2026-08-02-aja).</t>
        </is>
      </c>
      <c r="AF181" s="31" t="inlineStr">
        <is>
          <t>Research-only soccer score model; draw-aware, but not yet locked-holdout qualified.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NO_CALL_LOW_EDGE</t>
        </is>
      </c>
      <c r="AP181" s="24" t="inlineStr">
        <is>
          <t>Ajax Amsterdam</t>
        </is>
      </c>
      <c r="AQ181" s="24" t="inlineStr">
        <is>
          <t>Ajax Amsterdam</t>
        </is>
      </c>
      <c r="AR181" s="24" t="inlineStr">
        <is>
          <t>Ajax Amsterdam</t>
        </is>
      </c>
      <c r="AS181" s="24" t="inlineStr">
        <is>
          <t>FC Volendam</t>
        </is>
      </c>
      <c r="AT181" s="24" t="inlineStr">
        <is>
          <t>FC Volendam</t>
        </is>
      </c>
      <c r="AU181" s="24" t="inlineStr">
        <is>
          <t>FC Volendam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34d1568aad0ff11b5db35f118324684f93281e1c21fa7b80be7a4a4e2cb4bb03</t>
        </is>
      </c>
      <c r="BB181" s="24" t="inlineStr">
        <is>
          <t>poisson_dixon_coles</t>
        </is>
      </c>
      <c r="BC181" s="24" t="inlineStr">
        <is>
          <t>soccer-poisson-dc-v1</t>
        </is>
      </c>
      <c r="BD181" s="24" t="inlineStr">
        <is>
          <t>34d1568aad0ff11b5db35f118324684f93281e1c21fa7b80be7a4a4e2cb4bb03</t>
        </is>
      </c>
      <c r="BE181" s="24" t="inlineStr">
        <is>
          <t>soccer-poisson-dc-v1</t>
        </is>
      </c>
      <c r="BF181" s="24" t="inlineStr">
        <is>
          <t>1</t>
        </is>
      </c>
      <c r="BG181" s="24" t="inlineStr">
        <is>
          <t>34d1568aad0ff11b5db35f118324684f93281e1c21fa7b80be7a4a4e2cb4bb03</t>
        </is>
      </c>
      <c r="BH181" s="24" t="inlineStr">
        <is>
          <t>2026-08-02T12:25:27.623402Z</t>
        </is>
      </c>
      <c r="BI181" s="24" t="inlineStr">
        <is>
          <t>["same_event","same_team_same_day","same_league_same_day"]</t>
        </is>
      </c>
      <c r="BJ181" s="25" t="n"/>
      <c r="BK181" s="26" t="n">
        <v>-194</v>
      </c>
      <c r="BL181" s="27" t="n">
        <v>1.515464</v>
      </c>
      <c r="BM181" s="28" t="n">
        <v>0.659864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</row>
    <row r="182" ht="36" customHeight="1">
      <c r="A182" s="24" t="inlineStr">
        <is>
          <t>f7b150997a264103</t>
        </is>
      </c>
      <c r="B182" s="24" t="inlineStr">
        <is>
          <t>2026-08-02T12:28:25.454250Z</t>
        </is>
      </c>
      <c r="C182" s="24" t="inlineStr">
        <is>
          <t>2026-08-02T13:00Z</t>
        </is>
      </c>
      <c r="D182" s="24" t="inlineStr">
        <is>
          <t>401886551</t>
        </is>
      </c>
      <c r="E182" s="24" t="inlineStr">
        <is>
          <t>SOCCER</t>
        </is>
      </c>
      <c r="F182" s="24" t="inlineStr">
        <is>
          <t>Atalanta</t>
        </is>
      </c>
      <c r="G182" s="24" t="inlineStr">
        <is>
          <t>Feyenoord Rotterdam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194</v>
      </c>
      <c r="M182" s="27" t="n">
        <v>2.94</v>
      </c>
      <c r="N182" s="28" t="n">
        <v>0.340136</v>
      </c>
      <c r="O182" s="28" t="n">
        <v>0.575359</v>
      </c>
      <c r="P182" s="28" t="n">
        <v>0.04</v>
      </c>
      <c r="Q182" s="28" t="n">
        <v>0.235223</v>
      </c>
      <c r="R182" s="26" t="n">
        <v>100</v>
      </c>
      <c r="S182" s="29" t="n">
        <v>1.25</v>
      </c>
      <c r="T182" s="24" t="inlineStr">
        <is>
          <t>soccer-poisson-dc-v1</t>
        </is>
      </c>
      <c r="U182" s="24" t="inlineStr">
        <is>
          <t>settled</t>
        </is>
      </c>
      <c r="V182" s="24" t="inlineStr">
        <is>
          <t>win</t>
        </is>
      </c>
      <c r="W182" s="26" t="n">
        <v>1</v>
      </c>
      <c r="X182" s="26" t="n">
        <v>2</v>
      </c>
      <c r="Y182" s="25" t="n"/>
      <c r="Z182" s="26" t="n"/>
      <c r="AA182" s="28" t="n"/>
      <c r="AB182" s="28" t="n"/>
      <c r="AC182" s="30" t="n">
        <v>2.425</v>
      </c>
      <c r="AD182" s="24" t="inlineStr">
        <is>
          <t>2026-08-02T15:52:40.668054Z</t>
        </is>
      </c>
      <c r="AE182" s="31" t="inlineStr">
        <is>
          <t>Poisson-DC rates 1.92 (home) / 1.01 (away) from EWMA attack/defense strengths. Executable ask 0.3400 (atc-clbf-fey-ata-2026-08-02-fey).</t>
        </is>
      </c>
      <c r="AF182" s="31" t="inlineStr">
        <is>
          <t>Research-only soccer score model; draw-aware, but not yet locked-holdout qualified.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3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Atalanta</t>
        </is>
      </c>
      <c r="AQ182" s="24" t="inlineStr">
        <is>
          <t>Atalanta</t>
        </is>
      </c>
      <c r="AR182" s="24" t="inlineStr">
        <is>
          <t>Atalanta</t>
        </is>
      </c>
      <c r="AS182" s="24" t="inlineStr">
        <is>
          <t>Feyenoord Rotterdam</t>
        </is>
      </c>
      <c r="AT182" s="24" t="inlineStr">
        <is>
          <t>Feyenoord Rotterdam</t>
        </is>
      </c>
      <c r="AU182" s="24" t="inlineStr">
        <is>
          <t>Feyenoord Rotterdam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34d1568aad0ff11b5db35f118324684f93281e1c21fa7b80be7a4a4e2cb4bb03</t>
        </is>
      </c>
      <c r="BB182" s="24" t="inlineStr">
        <is>
          <t>poisson_dixon_coles</t>
        </is>
      </c>
      <c r="BC182" s="24" t="inlineStr">
        <is>
          <t>soccer-poisson-dc-v1</t>
        </is>
      </c>
      <c r="BD182" s="24" t="inlineStr">
        <is>
          <t>34d1568aad0ff11b5db35f118324684f93281e1c21fa7b80be7a4a4e2cb4bb03</t>
        </is>
      </c>
      <c r="BE182" s="24" t="inlineStr">
        <is>
          <t>soccer-poisson-dc-v1</t>
        </is>
      </c>
      <c r="BF182" s="24" t="inlineStr">
        <is>
          <t>1</t>
        </is>
      </c>
      <c r="BG182" s="24" t="inlineStr">
        <is>
          <t>34d1568aad0ff11b5db35f118324684f93281e1c21fa7b80be7a4a4e2cb4bb03</t>
        </is>
      </c>
      <c r="BH182" s="24" t="inlineStr">
        <is>
          <t>2026-08-02T12:25:27.610137Z</t>
        </is>
      </c>
      <c r="BI182" s="24" t="inlineStr">
        <is>
          <t>["same_event","same_team_same_day","same_league_same_day"]</t>
        </is>
      </c>
      <c r="BJ182" s="25" t="n"/>
      <c r="BK182" s="26" t="n">
        <v>194</v>
      </c>
      <c r="BL182" s="27" t="n">
        <v>2.94</v>
      </c>
      <c r="BM182" s="28" t="n">
        <v>0.340136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</row>
    <row r="183" ht="36" customHeight="1">
      <c r="A183" s="24" t="inlineStr">
        <is>
          <t>7ab1c307320046bd</t>
        </is>
      </c>
      <c r="B183" s="24" t="inlineStr">
        <is>
          <t>2026-08-02T13:05:47.245126Z</t>
        </is>
      </c>
      <c r="C183" s="24" t="inlineStr">
        <is>
          <t>2026-08-02T15:00Z</t>
        </is>
      </c>
      <c r="D183" s="24" t="inlineStr">
        <is>
          <t>401872734</t>
        </is>
      </c>
      <c r="E183" s="24" t="inlineStr">
        <is>
          <t>SOCCER</t>
        </is>
      </c>
      <c r="F183" s="24" t="inlineStr">
        <is>
          <t>Boston River</t>
        </is>
      </c>
      <c r="G183" s="24" t="inlineStr">
        <is>
          <t>Racing (Montevideo)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-127</v>
      </c>
      <c r="M183" s="27" t="n">
        <v>1.787402</v>
      </c>
      <c r="N183" s="28" t="n">
        <v>0.5594710000000001</v>
      </c>
      <c r="O183" s="28" t="n">
        <v>0.5359159999999999</v>
      </c>
      <c r="P183" s="28" t="n">
        <v>0.2</v>
      </c>
      <c r="Q183" s="28" t="n">
        <v>-0.023555</v>
      </c>
      <c r="R183" s="26" t="n">
        <v>0</v>
      </c>
      <c r="S183" s="29" t="n">
        <v>1</v>
      </c>
      <c r="T183" s="24" t="inlineStr">
        <is>
          <t>soccer-poisson-dc-v1</t>
        </is>
      </c>
      <c r="U183" s="24" t="inlineStr">
        <is>
          <t>settled</t>
        </is>
      </c>
      <c r="V183" s="24" t="inlineStr">
        <is>
          <t>win</t>
        </is>
      </c>
      <c r="W183" s="26" t="n">
        <v>0</v>
      </c>
      <c r="X183" s="26" t="n">
        <v>1</v>
      </c>
      <c r="Y183" s="25" t="n"/>
      <c r="Z183" s="26" t="n"/>
      <c r="AA183" s="28" t="n"/>
      <c r="AB183" s="28" t="n"/>
      <c r="AC183" s="30" t="n">
        <v>0.7874</v>
      </c>
      <c r="AD183" s="24" t="inlineStr">
        <is>
          <t>2026-08-02T17:15:06.999882Z</t>
        </is>
      </c>
      <c r="AE183" s="31" t="inlineStr">
        <is>
          <t>Poisson-DC rates 1.84 (home) / 1.10 (away) from EWMA attack/defense strengths. Executable ask 0.5600 (atc-uru1-rcm-bri-2026-08-02-rcm).</t>
        </is>
      </c>
      <c r="AF183" s="31" t="inlineStr">
        <is>
          <t>Research-only soccer score model; draw-aware, but not yet locked-holdout qualified.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NO_CALL_LOW_EDGE</t>
        </is>
      </c>
      <c r="AP183" s="24" t="inlineStr">
        <is>
          <t>Boston River</t>
        </is>
      </c>
      <c r="AQ183" s="24" t="inlineStr">
        <is>
          <t>Boston River</t>
        </is>
      </c>
      <c r="AR183" s="24" t="inlineStr">
        <is>
          <t>Boston River</t>
        </is>
      </c>
      <c r="AS183" s="24" t="inlineStr">
        <is>
          <t>Racing (Montevideo)</t>
        </is>
      </c>
      <c r="AT183" s="24" t="inlineStr">
        <is>
          <t>Racing (Montevideo)</t>
        </is>
      </c>
      <c r="AU183" s="24" t="inlineStr">
        <is>
          <t>Racing (Montevideo)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34d1568aad0ff11b5db35f118324684f93281e1c21fa7b80be7a4a4e2cb4bb03</t>
        </is>
      </c>
      <c r="BB183" s="24" t="inlineStr">
        <is>
          <t>poisson_dixon_coles</t>
        </is>
      </c>
      <c r="BC183" s="24" t="inlineStr">
        <is>
          <t>soccer-poisson-dc-v1</t>
        </is>
      </c>
      <c r="BD183" s="24" t="inlineStr">
        <is>
          <t>34d1568aad0ff11b5db35f118324684f93281e1c21fa7b80be7a4a4e2cb4bb03</t>
        </is>
      </c>
      <c r="BE183" s="24" t="inlineStr">
        <is>
          <t>soccer-poisson-dc-v1</t>
        </is>
      </c>
      <c r="BF183" s="24" t="inlineStr">
        <is>
          <t>1</t>
        </is>
      </c>
      <c r="BG183" s="24" t="inlineStr">
        <is>
          <t>34d1568aad0ff11b5db35f118324684f93281e1c21fa7b80be7a4a4e2cb4bb03</t>
        </is>
      </c>
      <c r="BH183" s="24" t="inlineStr">
        <is>
          <t>2026-08-02T13:02:47.678863Z</t>
        </is>
      </c>
      <c r="BI183" s="24" t="inlineStr">
        <is>
          <t>["same_event","same_team_same_day","same_league_same_day"]</t>
        </is>
      </c>
      <c r="BJ183" s="25" t="n"/>
      <c r="BK183" s="26" t="n">
        <v>-127</v>
      </c>
      <c r="BL183" s="27" t="n">
        <v>1.787402</v>
      </c>
      <c r="BM183" s="28" t="n">
        <v>0.5594710000000001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</row>
    <row r="184" ht="36" customHeight="1">
      <c r="A184" s="24" t="inlineStr">
        <is>
          <t>ba6383f0b7054d55</t>
        </is>
      </c>
      <c r="B184" s="24" t="inlineStr">
        <is>
          <t>2026-08-02T13:05:47.245126Z</t>
        </is>
      </c>
      <c r="C184" s="24" t="inlineStr">
        <is>
          <t>2026-08-02T14:30Z</t>
        </is>
      </c>
      <c r="D184" s="24" t="inlineStr">
        <is>
          <t>401898711</t>
        </is>
      </c>
      <c r="E184" s="24" t="inlineStr">
        <is>
          <t>SOCCER</t>
        </is>
      </c>
      <c r="F184" s="24" t="inlineStr">
        <is>
          <t>Udinese</t>
        </is>
      </c>
      <c r="G184" s="24" t="inlineStr">
        <is>
          <t>Trabzonspor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156</v>
      </c>
      <c r="M184" s="27" t="n">
        <v>2.56</v>
      </c>
      <c r="N184" s="28" t="n">
        <v>0.390625</v>
      </c>
      <c r="O184" s="28" t="n">
        <v>0.395816</v>
      </c>
      <c r="P184" s="28" t="n">
        <v>0.2</v>
      </c>
      <c r="Q184" s="28" t="n">
        <v>0.005191</v>
      </c>
      <c r="R184" s="26" t="n">
        <v>0</v>
      </c>
      <c r="S184" s="29" t="n">
        <v>1</v>
      </c>
      <c r="T184" s="24" t="inlineStr">
        <is>
          <t>soccer-poisson-dc-v1</t>
        </is>
      </c>
      <c r="U184" s="24" t="inlineStr">
        <is>
          <t>settled</t>
        </is>
      </c>
      <c r="V184" s="24" t="inlineStr">
        <is>
          <t>win</t>
        </is>
      </c>
      <c r="W184" s="26" t="n">
        <v>0</v>
      </c>
      <c r="X184" s="26" t="n">
        <v>1</v>
      </c>
      <c r="Y184" s="25" t="n"/>
      <c r="Z184" s="26" t="n"/>
      <c r="AA184" s="28" t="n"/>
      <c r="AB184" s="28" t="n"/>
      <c r="AC184" s="30" t="n">
        <v>1.56</v>
      </c>
      <c r="AD184" s="24" t="inlineStr">
        <is>
          <t>2026-08-02T16:39:24.462328Z</t>
        </is>
      </c>
      <c r="AE184" s="31" t="inlineStr">
        <is>
          <t>Poisson-DC rates 1.26 (home) / 1.06 (away) from EWMA attack/defense strengths. Executable ask 0.3900 (atc-clbf-tra-udi-2026-08-02-tra).</t>
        </is>
      </c>
      <c r="AF184" s="31" t="inlineStr">
        <is>
          <t>Research-only soccer score model; draw-aware, but not yet locked-holdout qualified.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research_observation</t>
        </is>
      </c>
      <c r="AL184" s="26" t="n">
        <v>3</v>
      </c>
      <c r="AM184" s="24" t="inlineStr">
        <is>
          <t>RESEARCH_OBSERVATION</t>
        </is>
      </c>
      <c r="AN184" s="24" t="inlineStr">
        <is>
          <t>NO_CALL</t>
        </is>
      </c>
      <c r="AO184" s="24" t="inlineStr">
        <is>
          <t>NO_CALL_LOW_EDGE</t>
        </is>
      </c>
      <c r="AP184" s="24" t="inlineStr">
        <is>
          <t>Udinese</t>
        </is>
      </c>
      <c r="AQ184" s="24" t="inlineStr">
        <is>
          <t>Udinese</t>
        </is>
      </c>
      <c r="AR184" s="24" t="inlineStr">
        <is>
          <t>Udinese</t>
        </is>
      </c>
      <c r="AS184" s="24" t="inlineStr">
        <is>
          <t>Trabzonspor</t>
        </is>
      </c>
      <c r="AT184" s="24" t="inlineStr">
        <is>
          <t>Trabzonspor</t>
        </is>
      </c>
      <c r="AU184" s="24" t="inlineStr">
        <is>
          <t>Trabzonspor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34d1568aad0ff11b5db35f118324684f93281e1c21fa7b80be7a4a4e2cb4bb03</t>
        </is>
      </c>
      <c r="BB184" s="24" t="inlineStr">
        <is>
          <t>poisson_dixon_coles</t>
        </is>
      </c>
      <c r="BC184" s="24" t="inlineStr">
        <is>
          <t>soccer-poisson-dc-v1</t>
        </is>
      </c>
      <c r="BD184" s="24" t="inlineStr">
        <is>
          <t>34d1568aad0ff11b5db35f118324684f93281e1c21fa7b80be7a4a4e2cb4bb03</t>
        </is>
      </c>
      <c r="BE184" s="24" t="inlineStr">
        <is>
          <t>soccer-poisson-dc-v1</t>
        </is>
      </c>
      <c r="BF184" s="24" t="inlineStr">
        <is>
          <t>1</t>
        </is>
      </c>
      <c r="BG184" s="24" t="inlineStr">
        <is>
          <t>34d1568aad0ff11b5db35f118324684f93281e1c21fa7b80be7a4a4e2cb4bb03</t>
        </is>
      </c>
      <c r="BH184" s="24" t="inlineStr">
        <is>
          <t>2026-08-02T13:02:50.866524Z</t>
        </is>
      </c>
      <c r="BI184" s="24" t="inlineStr">
        <is>
          <t>["same_event","same_team_same_day","same_league_same_day"]</t>
        </is>
      </c>
      <c r="BJ184" s="25" t="n"/>
      <c r="BK184" s="26" t="n">
        <v>156</v>
      </c>
      <c r="BL184" s="27" t="n">
        <v>2.56</v>
      </c>
      <c r="BM184" s="28" t="n">
        <v>0.390625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</row>
    <row r="185" ht="36" customHeight="1">
      <c r="A185" s="24" t="inlineStr">
        <is>
          <t>73e5fffe29124687</t>
        </is>
      </c>
      <c r="B185" s="24" t="inlineStr">
        <is>
          <t>2026-08-02T15:49:40.829108Z</t>
        </is>
      </c>
      <c r="C185" s="24" t="inlineStr">
        <is>
          <t>2026-08-02T16:00Z</t>
        </is>
      </c>
      <c r="D185" s="24" t="inlineStr">
        <is>
          <t>401897751</t>
        </is>
      </c>
      <c r="E185" s="24" t="inlineStr">
        <is>
          <t>SOCCER</t>
        </is>
      </c>
      <c r="F185" s="24" t="inlineStr">
        <is>
          <t>Wrexham</t>
        </is>
      </c>
      <c r="G185" s="24" t="inlineStr">
        <is>
          <t>Sunderland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-104</v>
      </c>
      <c r="M185" s="27" t="n">
        <v>1.961538</v>
      </c>
      <c r="N185" s="28" t="n">
        <v>0.509804</v>
      </c>
      <c r="O185" s="28" t="n">
        <v>0.395592</v>
      </c>
      <c r="P185" s="28" t="n">
        <v>0.04</v>
      </c>
      <c r="Q185" s="28" t="n">
        <v>-0.114212</v>
      </c>
      <c r="R185" s="26" t="n">
        <v>0</v>
      </c>
      <c r="S185" s="29" t="n">
        <v>1.5</v>
      </c>
      <c r="T185" s="24" t="inlineStr">
        <is>
          <t>soccer-poisson-dc-v1</t>
        </is>
      </c>
      <c r="U185" s="24" t="inlineStr">
        <is>
          <t>open</t>
        </is>
      </c>
      <c r="V185" s="24" t="n"/>
      <c r="W185" s="26" t="n"/>
      <c r="X185" s="26" t="n"/>
      <c r="Y185" s="25" t="n"/>
      <c r="Z185" s="26" t="n"/>
      <c r="AA185" s="28" t="n"/>
      <c r="AB185" s="28" t="n"/>
      <c r="AC185" s="30" t="n"/>
      <c r="AD185" s="24" t="n"/>
      <c r="AE185" s="31" t="inlineStr">
        <is>
          <t>Poisson-DC rates 1.40 (home) / 1.24 (away) from EWMA attack/defense strengths. Executable ask 0.5100 (atc-clbf-sun-wre-2026-08-02-sun).</t>
        </is>
      </c>
      <c r="AF185" s="31" t="inlineStr">
        <is>
          <t>Research-only soccer score model; draw-aware, but not yet locked-holdout qualified.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research_observation</t>
        </is>
      </c>
      <c r="AL185" s="26" t="n">
        <v>3</v>
      </c>
      <c r="AM185" s="24" t="inlineStr">
        <is>
          <t>RESEARCH_OBSERVATION</t>
        </is>
      </c>
      <c r="AN185" s="24" t="inlineStr">
        <is>
          <t>NO_CALL</t>
        </is>
      </c>
      <c r="AO185" s="24" t="inlineStr">
        <is>
          <t>NO_CALL_LOW_EDGE</t>
        </is>
      </c>
      <c r="AP185" s="24" t="inlineStr">
        <is>
          <t>Wrexham</t>
        </is>
      </c>
      <c r="AQ185" s="24" t="inlineStr">
        <is>
          <t>Wrexham</t>
        </is>
      </c>
      <c r="AR185" s="24" t="inlineStr">
        <is>
          <t>Wrexham</t>
        </is>
      </c>
      <c r="AS185" s="24" t="inlineStr">
        <is>
          <t>Sunderland</t>
        </is>
      </c>
      <c r="AT185" s="24" t="inlineStr">
        <is>
          <t>Sunderland</t>
        </is>
      </c>
      <c r="AU185" s="24" t="inlineStr">
        <is>
          <t>Sunderland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34d1568aad0ff11b5db35f118324684f93281e1c21fa7b80be7a4a4e2cb4bb03</t>
        </is>
      </c>
      <c r="BB185" s="24" t="inlineStr">
        <is>
          <t>poisson_dixon_coles</t>
        </is>
      </c>
      <c r="BC185" s="24" t="inlineStr">
        <is>
          <t>soccer-poisson-dc-v1</t>
        </is>
      </c>
      <c r="BD185" s="24" t="inlineStr">
        <is>
          <t>34d1568aad0ff11b5db35f118324684f93281e1c21fa7b80be7a4a4e2cb4bb03</t>
        </is>
      </c>
      <c r="BE185" s="24" t="inlineStr">
        <is>
          <t>soccer-poisson-dc-v1</t>
        </is>
      </c>
      <c r="BF185" s="24" t="inlineStr">
        <is>
          <t>1</t>
        </is>
      </c>
      <c r="BG185" s="24" t="inlineStr">
        <is>
          <t>34d1568aad0ff11b5db35f118324684f93281e1c21fa7b80be7a4a4e2cb4bb03</t>
        </is>
      </c>
      <c r="BH185" s="24" t="inlineStr">
        <is>
          <t>2026-08-02T15:46:37.855949Z</t>
        </is>
      </c>
      <c r="BI185" s="24" t="inlineStr">
        <is>
          <t>["same_event","same_team_same_day","same_league_same_day"]</t>
        </is>
      </c>
      <c r="BJ185" s="25" t="n"/>
      <c r="BK185" s="26" t="n">
        <v>-104</v>
      </c>
      <c r="BL185" s="27" t="n">
        <v>1.961538</v>
      </c>
      <c r="BM185" s="28" t="n">
        <v>0.509804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inlineStr">
        <is>
          <t>0</t>
        </is>
      </c>
    </row>
    <row r="186" ht="36" customHeight="1">
      <c r="A186" s="24" t="inlineStr">
        <is>
          <t>c1a2615685634f23</t>
        </is>
      </c>
      <c r="B186" s="24" t="inlineStr">
        <is>
          <t>2026-07-28T20:34:14.874473Z</t>
        </is>
      </c>
      <c r="C186" s="24" t="inlineStr">
        <is>
          <t>2026-07-28T22:30Z</t>
        </is>
      </c>
      <c r="D186" s="24" t="inlineStr">
        <is>
          <t>401860261</t>
        </is>
      </c>
      <c r="E186" s="24" t="inlineStr">
        <is>
          <t>SOCCER</t>
        </is>
      </c>
      <c r="F186" s="24" t="inlineStr">
        <is>
          <t>Athletic</t>
        </is>
      </c>
      <c r="G186" s="24" t="inlineStr">
        <is>
          <t>Ponte Preta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300</v>
      </c>
      <c r="M186" s="27" t="n">
        <v>4</v>
      </c>
      <c r="N186" s="28" t="n">
        <v>0.25</v>
      </c>
      <c r="O186" s="28" t="n">
        <v>0.456199</v>
      </c>
      <c r="P186" s="28" t="n">
        <v>0.2</v>
      </c>
      <c r="Q186" s="28" t="n">
        <v>0.206199</v>
      </c>
      <c r="R186" s="26" t="n">
        <v>33</v>
      </c>
      <c r="S186" s="29" t="n">
        <v>1</v>
      </c>
      <c r="T186" s="24" t="inlineStr">
        <is>
          <t>soccer-poisson-dc-v1</t>
        </is>
      </c>
      <c r="U186" s="24" t="inlineStr">
        <is>
          <t>settled</t>
        </is>
      </c>
      <c r="V186" s="24" t="inlineStr">
        <is>
          <t>loss</t>
        </is>
      </c>
      <c r="W186" s="26" t="n">
        <v>1</v>
      </c>
      <c r="X186" s="26" t="n">
        <v>1</v>
      </c>
      <c r="Y186" s="25" t="n"/>
      <c r="Z186" s="26" t="n"/>
      <c r="AA186" s="28" t="n"/>
      <c r="AB186" s="28" t="n"/>
      <c r="AC186" s="30" t="n">
        <v>-1</v>
      </c>
      <c r="AD186" s="24" t="inlineStr">
        <is>
          <t>2026-08-02T16:08:30.066604Z</t>
        </is>
      </c>
      <c r="AE186" s="31" t="inlineStr">
        <is>
          <t>Poisson-DC rates 1.64 (home) / 1.24 (away) from EWMA attack/defense strengths. Executable ask 0.2500 (atc-brb-pop-ath-2026-07-28-pop).</t>
        </is>
      </c>
      <c r="AF186" s="31" t="inlineStr">
        <is>
          <t>Research-only soccer score model; draw-aware, but not yet locked-holdout qualified.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NO_CALL_MODEL_UNVALIDATED</t>
        </is>
      </c>
      <c r="AP186" s="24" t="inlineStr">
        <is>
          <t>Athletic</t>
        </is>
      </c>
      <c r="AQ186" s="24" t="inlineStr">
        <is>
          <t>Athletic</t>
        </is>
      </c>
      <c r="AR186" s="24" t="inlineStr">
        <is>
          <t>Athletic</t>
        </is>
      </c>
      <c r="AS186" s="24" t="inlineStr">
        <is>
          <t>Ponte Preta</t>
        </is>
      </c>
      <c r="AT186" s="24" t="inlineStr">
        <is>
          <t>Ponte Preta</t>
        </is>
      </c>
      <c r="AU186" s="24" t="inlineStr">
        <is>
          <t>Ponte Preta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research</t>
        </is>
      </c>
      <c r="BA186" s="24" t="inlineStr">
        <is>
          <t>0361718a19f38c3d244b71cb6b1f2e7e14a86925e833d2186645250fc084b969</t>
        </is>
      </c>
      <c r="BB186" s="24" t="inlineStr">
        <is>
          <t>poisson_dixon_coles</t>
        </is>
      </c>
      <c r="BC186" s="24" t="inlineStr">
        <is>
          <t>soccer-poisson-dc-v1</t>
        </is>
      </c>
      <c r="BD186" s="24" t="inlineStr">
        <is>
          <t>0361718a19f38c3d244b71cb6b1f2e7e14a86925e833d2186645250fc084b969</t>
        </is>
      </c>
      <c r="BE186" s="24" t="inlineStr">
        <is>
          <t>soccer-poisson-dc-v1</t>
        </is>
      </c>
      <c r="BF186" s="24" t="inlineStr">
        <is>
          <t>1</t>
        </is>
      </c>
      <c r="BG186" s="24" t="inlineStr">
        <is>
          <t>0361718a19f38c3d244b71cb6b1f2e7e14a86925e833d2186645250fc084b969</t>
        </is>
      </c>
      <c r="BH186" s="24" t="inlineStr">
        <is>
          <t>2026-07-28T20:32:26.083099Z</t>
        </is>
      </c>
      <c r="BI186" s="24" t="inlineStr">
        <is>
          <t>["same_event","same_team_same_day","same_league_same_day"]</t>
        </is>
      </c>
      <c r="BJ186" s="25" t="n"/>
      <c r="BK186" s="26" t="n">
        <v>300</v>
      </c>
      <c r="BL186" s="27" t="n">
        <v>4</v>
      </c>
      <c r="BM186" s="28" t="n">
        <v>0.25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</row>
    <row r="187" ht="36" customHeight="1">
      <c r="A187" s="24" t="inlineStr">
        <is>
          <t>b4c3bd27b9274dbf</t>
        </is>
      </c>
      <c r="B187" s="24" t="inlineStr">
        <is>
          <t>2026-07-28T23:39:16.759753Z</t>
        </is>
      </c>
      <c r="C187" s="24" t="inlineStr">
        <is>
          <t>2026-07-29T00:15Z</t>
        </is>
      </c>
      <c r="D187" s="24" t="inlineStr">
        <is>
          <t>401841453</t>
        </is>
      </c>
      <c r="E187" s="24" t="inlineStr">
        <is>
          <t>SOCCER</t>
        </is>
      </c>
      <c r="F187" s="24" t="inlineStr">
        <is>
          <t>Racing Club</t>
        </is>
      </c>
      <c r="G187" s="24" t="inlineStr">
        <is>
          <t>Rosario Central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108</v>
      </c>
      <c r="M187" s="27" t="n">
        <v>2.08</v>
      </c>
      <c r="N187" s="28" t="n">
        <v>0.480769</v>
      </c>
      <c r="O187" s="28" t="n">
        <v>0.456199</v>
      </c>
      <c r="P187" s="28" t="n">
        <v>0.2</v>
      </c>
      <c r="Q187" s="28" t="n">
        <v>-0.02457</v>
      </c>
      <c r="R187" s="26" t="n">
        <v>0</v>
      </c>
      <c r="S187" s="29" t="n">
        <v>1</v>
      </c>
      <c r="T187" s="24" t="inlineStr">
        <is>
          <t>soccer-poisson-dc-v1</t>
        </is>
      </c>
      <c r="U187" s="24" t="inlineStr">
        <is>
          <t>settled</t>
        </is>
      </c>
      <c r="V187" s="24" t="inlineStr">
        <is>
          <t>loss</t>
        </is>
      </c>
      <c r="W187" s="26" t="n">
        <v>0</v>
      </c>
      <c r="X187" s="26" t="n">
        <v>0</v>
      </c>
      <c r="Y187" s="25" t="n"/>
      <c r="Z187" s="26" t="n"/>
      <c r="AA187" s="28" t="n"/>
      <c r="AB187" s="28" t="n"/>
      <c r="AC187" s="30" t="n">
        <v>-1</v>
      </c>
      <c r="AD187" s="24" t="inlineStr">
        <is>
          <t>2026-08-02T16:08:30.800425Z</t>
        </is>
      </c>
      <c r="AE187" s="31" t="inlineStr">
        <is>
          <t>Poisson-DC rates 1.64 (home) / 1.24 (away) from EWMA attack/defense strengths. Executable ask 0.4800 (atc-lpa-ros-rac-2026-07-28-ros).</t>
        </is>
      </c>
      <c r="AF187" s="31" t="inlineStr">
        <is>
          <t>Research-only soccer score model; draw-aware, but not yet locked-holdout qualified.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NO_CALL_MODEL_UNVALIDATED</t>
        </is>
      </c>
      <c r="AP187" s="24" t="inlineStr">
        <is>
          <t>Racing Club</t>
        </is>
      </c>
      <c r="AQ187" s="24" t="inlineStr">
        <is>
          <t>Racing Club</t>
        </is>
      </c>
      <c r="AR187" s="24" t="inlineStr">
        <is>
          <t>Racing Club</t>
        </is>
      </c>
      <c r="AS187" s="24" t="inlineStr">
        <is>
          <t>Rosario Central</t>
        </is>
      </c>
      <c r="AT187" s="24" t="inlineStr">
        <is>
          <t>Rosario Central</t>
        </is>
      </c>
      <c r="AU187" s="24" t="inlineStr">
        <is>
          <t>Rosario Central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research</t>
        </is>
      </c>
      <c r="BA187" s="24" t="inlineStr">
        <is>
          <t>0361718a19f38c3d244b71cb6b1f2e7e14a86925e833d2186645250fc084b969</t>
        </is>
      </c>
      <c r="BB187" s="24" t="inlineStr">
        <is>
          <t>poisson_dixon_coles</t>
        </is>
      </c>
      <c r="BC187" s="24" t="inlineStr">
        <is>
          <t>soccer-poisson-dc-v1</t>
        </is>
      </c>
      <c r="BD187" s="24" t="inlineStr">
        <is>
          <t>0361718a19f38c3d244b71cb6b1f2e7e14a86925e833d2186645250fc084b969</t>
        </is>
      </c>
      <c r="BE187" s="24" t="inlineStr">
        <is>
          <t>soccer-poisson-dc-v1</t>
        </is>
      </c>
      <c r="BF187" s="24" t="inlineStr">
        <is>
          <t>1</t>
        </is>
      </c>
      <c r="BG187" s="24" t="inlineStr">
        <is>
          <t>0361718a19f38c3d244b71cb6b1f2e7e14a86925e833d2186645250fc084b969</t>
        </is>
      </c>
      <c r="BH187" s="24" t="inlineStr">
        <is>
          <t>2026-07-28T23:38:00.751821Z</t>
        </is>
      </c>
      <c r="BI187" s="24" t="inlineStr">
        <is>
          <t>["same_event","same_team_same_day","same_league_same_day"]</t>
        </is>
      </c>
      <c r="BJ187" s="25" t="n"/>
      <c r="BK187" s="26" t="n">
        <v>108</v>
      </c>
      <c r="BL187" s="27" t="n">
        <v>2.08</v>
      </c>
      <c r="BM187" s="28" t="n">
        <v>0.480769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</row>
    <row r="188" ht="36" customHeight="1">
      <c r="A188" s="24" t="inlineStr">
        <is>
          <t>2016ad82b8004b89</t>
        </is>
      </c>
      <c r="B188" s="24" t="inlineStr">
        <is>
          <t>2026-07-29T17:45:15.881226Z</t>
        </is>
      </c>
      <c r="C188" s="24" t="inlineStr">
        <is>
          <t>2026-07-29T22:30Z</t>
        </is>
      </c>
      <c r="D188" s="24" t="inlineStr">
        <is>
          <t>401841171</t>
        </is>
      </c>
      <c r="E188" s="24" t="inlineStr">
        <is>
          <t>SOCCER</t>
        </is>
      </c>
      <c r="F188" s="24" t="inlineStr">
        <is>
          <t>Flamengo</t>
        </is>
      </c>
      <c r="G188" s="24" t="inlineStr">
        <is>
          <t>Internacional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285</v>
      </c>
      <c r="M188" s="27" t="n">
        <v>3.85</v>
      </c>
      <c r="N188" s="28" t="n">
        <v>0.25974</v>
      </c>
      <c r="O188" s="28" t="n">
        <v>0.456199</v>
      </c>
      <c r="P188" s="28" t="n">
        <v>0.2</v>
      </c>
      <c r="Q188" s="28" t="n">
        <v>0.196459</v>
      </c>
      <c r="R188" s="26" t="n">
        <v>28</v>
      </c>
      <c r="S188" s="29" t="n">
        <v>1</v>
      </c>
      <c r="T188" s="24" t="inlineStr">
        <is>
          <t>soccer-poisson-dc-v1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1</v>
      </c>
      <c r="Y188" s="25" t="n"/>
      <c r="Z188" s="26" t="n"/>
      <c r="AA188" s="28" t="n"/>
      <c r="AB188" s="28" t="n"/>
      <c r="AC188" s="30" t="n">
        <v>-1</v>
      </c>
      <c r="AD188" s="24" t="inlineStr">
        <is>
          <t>2026-08-02T16:08:31.521562Z</t>
        </is>
      </c>
      <c r="AE188" s="31" t="inlineStr">
        <is>
          <t>Poisson-DC rates 1.64 (home) / 1.24 (away) from EWMA attack/defense strengths. Executable ask 0.2600 (atc-bra-int-fla-2026-07-29-int).</t>
        </is>
      </c>
      <c r="AF188" s="31" t="inlineStr">
        <is>
          <t>Research-only soccer score model; draw-aware, but not yet locked-holdout qualified.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NO_CALL_MODEL_UNVALIDATED</t>
        </is>
      </c>
      <c r="AP188" s="24" t="inlineStr">
        <is>
          <t>Flamengo</t>
        </is>
      </c>
      <c r="AQ188" s="24" t="inlineStr">
        <is>
          <t>Flamengo</t>
        </is>
      </c>
      <c r="AR188" s="24" t="inlineStr">
        <is>
          <t>Flamengo</t>
        </is>
      </c>
      <c r="AS188" s="24" t="inlineStr">
        <is>
          <t>Internacional</t>
        </is>
      </c>
      <c r="AT188" s="24" t="inlineStr">
        <is>
          <t>Internacional</t>
        </is>
      </c>
      <c r="AU188" s="24" t="inlineStr">
        <is>
          <t>Internacional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research</t>
        </is>
      </c>
      <c r="BA188" s="24" t="inlineStr">
        <is>
          <t>0361718a19f38c3d244b71cb6b1f2e7e14a86925e833d2186645250fc084b969</t>
        </is>
      </c>
      <c r="BB188" s="24" t="inlineStr">
        <is>
          <t>poisson_dixon_coles</t>
        </is>
      </c>
      <c r="BC188" s="24" t="inlineStr">
        <is>
          <t>soccer-poisson-dc-v1</t>
        </is>
      </c>
      <c r="BD188" s="24" t="inlineStr">
        <is>
          <t>0361718a19f38c3d244b71cb6b1f2e7e14a86925e833d2186645250fc084b969</t>
        </is>
      </c>
      <c r="BE188" s="24" t="inlineStr">
        <is>
          <t>soccer-poisson-dc-v1</t>
        </is>
      </c>
      <c r="BF188" s="24" t="inlineStr">
        <is>
          <t>1</t>
        </is>
      </c>
      <c r="BG188" s="24" t="inlineStr">
        <is>
          <t>0361718a19f38c3d244b71cb6b1f2e7e14a86925e833d2186645250fc084b969</t>
        </is>
      </c>
      <c r="BH188" s="24" t="inlineStr">
        <is>
          <t>2026-07-29T17:43:19.651886Z</t>
        </is>
      </c>
      <c r="BI188" s="24" t="inlineStr">
        <is>
          <t>["same_event","same_team_same_day","same_league_same_day"]</t>
        </is>
      </c>
      <c r="BJ188" s="25" t="n"/>
      <c r="BK188" s="26" t="n">
        <v>285</v>
      </c>
      <c r="BL188" s="27" t="n">
        <v>3.85</v>
      </c>
      <c r="BM188" s="28" t="n">
        <v>0.25974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</row>
    <row r="189" ht="36" customHeight="1">
      <c r="A189" s="24" t="inlineStr">
        <is>
          <t>543936a84904488a</t>
        </is>
      </c>
      <c r="B189" s="24" t="inlineStr">
        <is>
          <t>2026-07-29T17:45:15.881226Z</t>
        </is>
      </c>
      <c r="C189" s="24" t="inlineStr">
        <is>
          <t>2026-07-30T00:30Z</t>
        </is>
      </c>
      <c r="D189" s="24" t="inlineStr">
        <is>
          <t>401841177</t>
        </is>
      </c>
      <c r="E189" s="24" t="inlineStr">
        <is>
          <t>SOCCER</t>
        </is>
      </c>
      <c r="F189" s="24" t="inlineStr">
        <is>
          <t>Bahia</t>
        </is>
      </c>
      <c r="G189" s="24" t="inlineStr">
        <is>
          <t>Fluminense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-133</v>
      </c>
      <c r="M189" s="27" t="n">
        <v>1.75188</v>
      </c>
      <c r="N189" s="28" t="n">
        <v>0.570815</v>
      </c>
      <c r="O189" s="28" t="n">
        <v>0.456199</v>
      </c>
      <c r="P189" s="28" t="n">
        <v>0.2</v>
      </c>
      <c r="Q189" s="28" t="n">
        <v>-0.114616</v>
      </c>
      <c r="R189" s="26" t="n">
        <v>0</v>
      </c>
      <c r="S189" s="29" t="n">
        <v>1</v>
      </c>
      <c r="T189" s="24" t="inlineStr">
        <is>
          <t>soccer-poisson-dc-v1</t>
        </is>
      </c>
      <c r="U189" s="24" t="inlineStr">
        <is>
          <t>settled</t>
        </is>
      </c>
      <c r="V189" s="24" t="inlineStr">
        <is>
          <t>loss</t>
        </is>
      </c>
      <c r="W189" s="26" t="n">
        <v>0</v>
      </c>
      <c r="X189" s="26" t="n">
        <v>0</v>
      </c>
      <c r="Y189" s="25" t="n"/>
      <c r="Z189" s="26" t="n"/>
      <c r="AA189" s="28" t="n"/>
      <c r="AB189" s="28" t="n"/>
      <c r="AC189" s="30" t="n">
        <v>-1</v>
      </c>
      <c r="AD189" s="24" t="inlineStr">
        <is>
          <t>2026-08-02T16:08:32.232747Z</t>
        </is>
      </c>
      <c r="AE189" s="31" t="inlineStr">
        <is>
          <t>Poisson-DC rates 1.64 (home) / 1.24 (away) from EWMA attack/defense strengths. Executable ask 0.5700 (atc-bra-flu-bah-2026-07-29-flu).</t>
        </is>
      </c>
      <c r="AF189" s="31" t="inlineStr">
        <is>
          <t>Research-only soccer score model; draw-aware, but not yet locked-holdout qualified.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NO_CALL_MODEL_UNVALIDATED</t>
        </is>
      </c>
      <c r="AP189" s="24" t="inlineStr">
        <is>
          <t>Bahia</t>
        </is>
      </c>
      <c r="AQ189" s="24" t="inlineStr">
        <is>
          <t>Bahia</t>
        </is>
      </c>
      <c r="AR189" s="24" t="inlineStr">
        <is>
          <t>Bahia</t>
        </is>
      </c>
      <c r="AS189" s="24" t="inlineStr">
        <is>
          <t>Fluminense</t>
        </is>
      </c>
      <c r="AT189" s="24" t="inlineStr">
        <is>
          <t>Fluminense</t>
        </is>
      </c>
      <c r="AU189" s="24" t="inlineStr">
        <is>
          <t>Fluminense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research</t>
        </is>
      </c>
      <c r="BA189" s="24" t="inlineStr">
        <is>
          <t>0361718a19f38c3d244b71cb6b1f2e7e14a86925e833d2186645250fc084b969</t>
        </is>
      </c>
      <c r="BB189" s="24" t="inlineStr">
        <is>
          <t>poisson_dixon_coles</t>
        </is>
      </c>
      <c r="BC189" s="24" t="inlineStr">
        <is>
          <t>soccer-poisson-dc-v1</t>
        </is>
      </c>
      <c r="BD189" s="24" t="inlineStr">
        <is>
          <t>0361718a19f38c3d244b71cb6b1f2e7e14a86925e833d2186645250fc084b969</t>
        </is>
      </c>
      <c r="BE189" s="24" t="inlineStr">
        <is>
          <t>soccer-poisson-dc-v1</t>
        </is>
      </c>
      <c r="BF189" s="24" t="inlineStr">
        <is>
          <t>1</t>
        </is>
      </c>
      <c r="BG189" s="24" t="inlineStr">
        <is>
          <t>0361718a19f38c3d244b71cb6b1f2e7e14a86925e833d2186645250fc084b969</t>
        </is>
      </c>
      <c r="BH189" s="24" t="inlineStr">
        <is>
          <t>2026-07-29T17:43:20.222742Z</t>
        </is>
      </c>
      <c r="BI189" s="24" t="inlineStr">
        <is>
          <t>["same_event","same_team_same_day","same_league_same_day"]</t>
        </is>
      </c>
      <c r="BJ189" s="25" t="n"/>
      <c r="BK189" s="26" t="n">
        <v>-133</v>
      </c>
      <c r="BL189" s="27" t="n">
        <v>1.75188</v>
      </c>
      <c r="BM189" s="28" t="n">
        <v>0.570815</v>
      </c>
      <c r="BN189" s="28" t="n"/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</row>
    <row r="190" ht="36" customHeight="1">
      <c r="A190" s="24" t="inlineStr">
        <is>
          <t>de331d6e34e540e2</t>
        </is>
      </c>
      <c r="B190" s="24" t="inlineStr">
        <is>
          <t>2026-07-31T16:48:13.817502Z</t>
        </is>
      </c>
      <c r="C190" s="24" t="inlineStr">
        <is>
          <t>2026-07-31T18:45Z</t>
        </is>
      </c>
      <c r="D190" s="24" t="inlineStr">
        <is>
          <t>401886550</t>
        </is>
      </c>
      <c r="E190" s="24" t="inlineStr">
        <is>
          <t>SOCCER</t>
        </is>
      </c>
      <c r="F190" s="24" t="inlineStr">
        <is>
          <t>Barcelona</t>
        </is>
      </c>
      <c r="G190" s="24" t="inlineStr">
        <is>
          <t>Birmingham City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-186</v>
      </c>
      <c r="M190" s="27" t="n">
        <v>1.537634</v>
      </c>
      <c r="N190" s="28" t="n">
        <v>0.65035</v>
      </c>
      <c r="O190" s="28" t="n">
        <v>0.480022</v>
      </c>
      <c r="P190" s="28" t="n">
        <v>0.04</v>
      </c>
      <c r="Q190" s="28" t="n">
        <v>-0.170328</v>
      </c>
      <c r="R190" s="26" t="n">
        <v>0</v>
      </c>
      <c r="S190" s="29" t="n">
        <v>1</v>
      </c>
      <c r="T190" s="24" t="inlineStr">
        <is>
          <t>soccer-poisson-dc-v1</t>
        </is>
      </c>
      <c r="U190" s="24" t="inlineStr">
        <is>
          <t>settled</t>
        </is>
      </c>
      <c r="V190" s="24" t="inlineStr">
        <is>
          <t>loss</t>
        </is>
      </c>
      <c r="W190" s="26" t="n">
        <v>2</v>
      </c>
      <c r="X190" s="26" t="n">
        <v>2</v>
      </c>
      <c r="Y190" s="25" t="n"/>
      <c r="Z190" s="26" t="n"/>
      <c r="AA190" s="28" t="n"/>
      <c r="AB190" s="28" t="n"/>
      <c r="AC190" s="30" t="n">
        <v>-1</v>
      </c>
      <c r="AD190" s="24" t="inlineStr">
        <is>
          <t>2026-08-02T16:08:32.974089Z</t>
        </is>
      </c>
      <c r="AE190" s="31" t="inlineStr">
        <is>
          <t>Poisson-DC rates 1.04 (home) / 1.55 (away) from EWMA attack/defense strengths. Executable ask 0.6500 (atc-clbf-bc-bar-2026-07-31-bar).</t>
        </is>
      </c>
      <c r="AF190" s="31" t="inlineStr">
        <is>
          <t>Research-only soccer score model; draw-aware, but not yet locked-holdout qualified.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NO_CALL_MODEL_UNVALIDATED</t>
        </is>
      </c>
      <c r="AP190" s="24" t="inlineStr">
        <is>
          <t>Barcelona</t>
        </is>
      </c>
      <c r="AQ190" s="24" t="inlineStr">
        <is>
          <t>Barcelona</t>
        </is>
      </c>
      <c r="AR190" s="24" t="inlineStr">
        <is>
          <t>Barcelona</t>
        </is>
      </c>
      <c r="AS190" s="24" t="inlineStr">
        <is>
          <t>Birmingham City</t>
        </is>
      </c>
      <c r="AT190" s="24" t="inlineStr">
        <is>
          <t>Birmingham City</t>
        </is>
      </c>
      <c r="AU190" s="24" t="inlineStr">
        <is>
          <t>Birmingham City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research</t>
        </is>
      </c>
      <c r="BA190" s="24" t="inlineStr">
        <is>
          <t>34d1568aad0ff11b5db35f118324684f93281e1c21fa7b80be7a4a4e2cb4bb03</t>
        </is>
      </c>
      <c r="BB190" s="24" t="inlineStr">
        <is>
          <t>poisson_dixon_coles</t>
        </is>
      </c>
      <c r="BC190" s="24" t="inlineStr">
        <is>
          <t>soccer-poisson-dc-v1</t>
        </is>
      </c>
      <c r="BD190" s="24" t="inlineStr">
        <is>
          <t>34d1568aad0ff11b5db35f118324684f93281e1c21fa7b80be7a4a4e2cb4bb03</t>
        </is>
      </c>
      <c r="BE190" s="24" t="inlineStr">
        <is>
          <t>soccer-poisson-dc-v1</t>
        </is>
      </c>
      <c r="BF190" s="24" t="inlineStr">
        <is>
          <t>1</t>
        </is>
      </c>
      <c r="BG190" s="24" t="inlineStr">
        <is>
          <t>34d1568aad0ff11b5db35f118324684f93281e1c21fa7b80be7a4a4e2cb4bb03</t>
        </is>
      </c>
      <c r="BH190" s="24" t="inlineStr">
        <is>
          <t>2026-07-31T16:45:56.333365Z</t>
        </is>
      </c>
      <c r="BI190" s="24" t="inlineStr">
        <is>
          <t>["same_event","same_team_same_day","same_league_same_day"]</t>
        </is>
      </c>
      <c r="BJ190" s="25" t="n"/>
      <c r="BK190" s="26" t="n">
        <v>-186</v>
      </c>
      <c r="BL190" s="27" t="n">
        <v>1.537634</v>
      </c>
      <c r="BM190" s="28" t="n">
        <v>0.65035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</row>
    <row r="191" ht="36" customHeight="1">
      <c r="A191" s="24" t="inlineStr">
        <is>
          <t>c87494a621b142c6</t>
        </is>
      </c>
      <c r="B191" s="24" t="inlineStr">
        <is>
          <t>2026-08-01T13:44:56.720128Z</t>
        </is>
      </c>
      <c r="C191" s="24" t="inlineStr">
        <is>
          <t>2026-08-01T15:00Z</t>
        </is>
      </c>
      <c r="D191" s="24" t="inlineStr">
        <is>
          <t>401872727</t>
        </is>
      </c>
      <c r="E191" s="24" t="inlineStr">
        <is>
          <t>SOCCER</t>
        </is>
      </c>
      <c r="F191" s="24" t="inlineStr">
        <is>
          <t>Danubio</t>
        </is>
      </c>
      <c r="G191" s="24" t="inlineStr">
        <is>
          <t>Albion FC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122</v>
      </c>
      <c r="M191" s="27" t="n">
        <v>2.22</v>
      </c>
      <c r="N191" s="28" t="n">
        <v>0.45045</v>
      </c>
      <c r="O191" s="28" t="n">
        <v>0.456135</v>
      </c>
      <c r="P191" s="28" t="n">
        <v>0.2</v>
      </c>
      <c r="Q191" s="28" t="n">
        <v>0.005685</v>
      </c>
      <c r="R191" s="26" t="n">
        <v>0</v>
      </c>
      <c r="S191" s="29" t="n">
        <v>1</v>
      </c>
      <c r="T191" s="24" t="inlineStr">
        <is>
          <t>soccer-poisson-dc-v1</t>
        </is>
      </c>
      <c r="U191" s="24" t="inlineStr">
        <is>
          <t>settled</t>
        </is>
      </c>
      <c r="V191" s="24" t="inlineStr">
        <is>
          <t>loss</t>
        </is>
      </c>
      <c r="W191" s="26" t="n">
        <v>2</v>
      </c>
      <c r="X191" s="26" t="n">
        <v>2</v>
      </c>
      <c r="Y191" s="25" t="n"/>
      <c r="Z191" s="26" t="n"/>
      <c r="AA191" s="28" t="n"/>
      <c r="AB191" s="28" t="n"/>
      <c r="AC191" s="30" t="n">
        <v>-1</v>
      </c>
      <c r="AD191" s="24" t="inlineStr">
        <is>
          <t>2026-08-02T16:08:33.692075Z</t>
        </is>
      </c>
      <c r="AE191" s="31" t="inlineStr">
        <is>
          <t>Poisson-DC rates 1.64 (home) / 1.24 (away) from EWMA attack/defense strengths. Executable ask 0.4500 (atc-uru1-alb-dan-2026-08-01-alb).</t>
        </is>
      </c>
      <c r="AF191" s="31" t="inlineStr">
        <is>
          <t>Research-only soccer score model; draw-aware, but not yet locked-holdout qualified.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NO_CALL_MODEL_UNVALIDATED</t>
        </is>
      </c>
      <c r="AP191" s="24" t="inlineStr">
        <is>
          <t>Danubio</t>
        </is>
      </c>
      <c r="AQ191" s="24" t="inlineStr">
        <is>
          <t>Danubio</t>
        </is>
      </c>
      <c r="AR191" s="24" t="inlineStr">
        <is>
          <t>Danubio</t>
        </is>
      </c>
      <c r="AS191" s="24" t="inlineStr">
        <is>
          <t>Albion FC</t>
        </is>
      </c>
      <c r="AT191" s="24" t="inlineStr">
        <is>
          <t>Albion FC</t>
        </is>
      </c>
      <c r="AU191" s="24" t="inlineStr">
        <is>
          <t>Albion FC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research</t>
        </is>
      </c>
      <c r="BA191" s="24" t="inlineStr">
        <is>
          <t>34d1568aad0ff11b5db35f118324684f93281e1c21fa7b80be7a4a4e2cb4bb03</t>
        </is>
      </c>
      <c r="BB191" s="24" t="inlineStr">
        <is>
          <t>poisson_dixon_coles</t>
        </is>
      </c>
      <c r="BC191" s="24" t="inlineStr">
        <is>
          <t>soccer-poisson-dc-v1</t>
        </is>
      </c>
      <c r="BD191" s="24" t="inlineStr">
        <is>
          <t>34d1568aad0ff11b5db35f118324684f93281e1c21fa7b80be7a4a4e2cb4bb03</t>
        </is>
      </c>
      <c r="BE191" s="24" t="inlineStr">
        <is>
          <t>soccer-poisson-dc-v1</t>
        </is>
      </c>
      <c r="BF191" s="24" t="inlineStr">
        <is>
          <t>1</t>
        </is>
      </c>
      <c r="BG191" s="24" t="inlineStr">
        <is>
          <t>34d1568aad0ff11b5db35f118324684f93281e1c21fa7b80be7a4a4e2cb4bb03</t>
        </is>
      </c>
      <c r="BH191" s="24" t="inlineStr">
        <is>
          <t>2026-08-01T13:42:37.826503Z</t>
        </is>
      </c>
      <c r="BI191" s="24" t="inlineStr">
        <is>
          <t>["same_event","same_team_same_day","same_league_same_day"]</t>
        </is>
      </c>
      <c r="BJ191" s="25" t="n"/>
      <c r="BK191" s="26" t="n">
        <v>122</v>
      </c>
      <c r="BL191" s="27" t="n">
        <v>2.22</v>
      </c>
      <c r="BM191" s="28" t="n">
        <v>0.45045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</row>
    <row r="192" ht="36" customHeight="1">
      <c r="A192" s="24" t="inlineStr">
        <is>
          <t>8a0779918c9d4a86</t>
        </is>
      </c>
      <c r="B192" s="24" t="inlineStr">
        <is>
          <t>2026-08-01T13:44:56.720128Z</t>
        </is>
      </c>
      <c r="C192" s="24" t="inlineStr">
        <is>
          <t>2026-08-01T16:00Z</t>
        </is>
      </c>
      <c r="D192" s="24" t="inlineStr">
        <is>
          <t>401888842</t>
        </is>
      </c>
      <c r="E192" s="24" t="inlineStr">
        <is>
          <t>SOCCER</t>
        </is>
      </c>
      <c r="F192" s="24" t="inlineStr">
        <is>
          <t>Fiorentina</t>
        </is>
      </c>
      <c r="G192" s="24" t="inlineStr">
        <is>
          <t>Real Madrid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-117</v>
      </c>
      <c r="M192" s="27" t="n">
        <v>1.854701</v>
      </c>
      <c r="N192" s="28" t="n">
        <v>0.539171</v>
      </c>
      <c r="O192" s="28" t="n">
        <v>0.592521</v>
      </c>
      <c r="P192" s="28" t="n">
        <v>0.04</v>
      </c>
      <c r="Q192" s="28" t="n">
        <v>0.05335</v>
      </c>
      <c r="R192" s="26" t="n">
        <v>53</v>
      </c>
      <c r="S192" s="29" t="n">
        <v>1.25</v>
      </c>
      <c r="T192" s="24" t="inlineStr">
        <is>
          <t>soccer-poisson-dc-v1</t>
        </is>
      </c>
      <c r="U192" s="24" t="inlineStr">
        <is>
          <t>settled</t>
        </is>
      </c>
      <c r="V192" s="24" t="inlineStr">
        <is>
          <t>loss</t>
        </is>
      </c>
      <c r="W192" s="26" t="n">
        <v>2</v>
      </c>
      <c r="X192" s="26" t="n">
        <v>2</v>
      </c>
      <c r="Y192" s="25" t="n"/>
      <c r="Z192" s="26" t="n"/>
      <c r="AA192" s="28" t="n"/>
      <c r="AB192" s="28" t="n"/>
      <c r="AC192" s="30" t="n">
        <v>-1.25</v>
      </c>
      <c r="AD192" s="24" t="inlineStr">
        <is>
          <t>2026-08-02T16:08:34.428201Z</t>
        </is>
      </c>
      <c r="AE192" s="31" t="inlineStr">
        <is>
          <t>Poisson-DC rates 1.76 (home) / 0.80 (away) from EWMA attack/defense strengths. Executable ask 0.5400 (atc-clbf-rme-fio-2026-08-01-rme).</t>
        </is>
      </c>
      <c r="AF192" s="31" t="inlineStr">
        <is>
          <t>Research-only soccer score model; draw-aware, but not yet locked-holdout qualified.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NO_CALL_MODEL_UNVALIDATED</t>
        </is>
      </c>
      <c r="AP192" s="24" t="inlineStr">
        <is>
          <t>Fiorentina</t>
        </is>
      </c>
      <c r="AQ192" s="24" t="inlineStr">
        <is>
          <t>Fiorentina</t>
        </is>
      </c>
      <c r="AR192" s="24" t="inlineStr">
        <is>
          <t>Fiorentina</t>
        </is>
      </c>
      <c r="AS192" s="24" t="inlineStr">
        <is>
          <t>Real Madrid</t>
        </is>
      </c>
      <c r="AT192" s="24" t="inlineStr">
        <is>
          <t>Real Madrid</t>
        </is>
      </c>
      <c r="AU192" s="24" t="inlineStr">
        <is>
          <t>Real Madrid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research</t>
        </is>
      </c>
      <c r="BA192" s="24" t="inlineStr">
        <is>
          <t>34d1568aad0ff11b5db35f118324684f93281e1c21fa7b80be7a4a4e2cb4bb03</t>
        </is>
      </c>
      <c r="BB192" s="24" t="inlineStr">
        <is>
          <t>poisson_dixon_coles</t>
        </is>
      </c>
      <c r="BC192" s="24" t="inlineStr">
        <is>
          <t>soccer-poisson-dc-v1</t>
        </is>
      </c>
      <c r="BD192" s="24" t="inlineStr">
        <is>
          <t>34d1568aad0ff11b5db35f118324684f93281e1c21fa7b80be7a4a4e2cb4bb03</t>
        </is>
      </c>
      <c r="BE192" s="24" t="inlineStr">
        <is>
          <t>soccer-poisson-dc-v1</t>
        </is>
      </c>
      <c r="BF192" s="24" t="inlineStr">
        <is>
          <t>1</t>
        </is>
      </c>
      <c r="BG192" s="24" t="inlineStr">
        <is>
          <t>34d1568aad0ff11b5db35f118324684f93281e1c21fa7b80be7a4a4e2cb4bb03</t>
        </is>
      </c>
      <c r="BH192" s="24" t="inlineStr">
        <is>
          <t>2026-08-01T13:42:44.313687Z</t>
        </is>
      </c>
      <c r="BI192" s="24" t="inlineStr">
        <is>
          <t>["same_event","same_team_same_day","same_league_same_day"]</t>
        </is>
      </c>
      <c r="BJ192" s="25" t="n"/>
      <c r="BK192" s="26" t="n">
        <v>-117</v>
      </c>
      <c r="BL192" s="27" t="n">
        <v>1.854701</v>
      </c>
      <c r="BM192" s="28" t="n">
        <v>0.539171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</row>
    <row r="193" ht="36" customHeight="1">
      <c r="A193" s="24" t="inlineStr">
        <is>
          <t>f8ad772a47164d5f</t>
        </is>
      </c>
      <c r="B193" s="24" t="inlineStr">
        <is>
          <t>2026-08-01T16:52:27.367453Z</t>
        </is>
      </c>
      <c r="C193" s="24" t="inlineStr">
        <is>
          <t>2026-08-01T18:00Z</t>
        </is>
      </c>
      <c r="D193" s="24" t="inlineStr">
        <is>
          <t>401844028</t>
        </is>
      </c>
      <c r="E193" s="24" t="inlineStr">
        <is>
          <t>SOCCER</t>
        </is>
      </c>
      <c r="F193" s="24" t="inlineStr">
        <is>
          <t>Midland</t>
        </is>
      </c>
      <c r="G193" s="24" t="inlineStr">
        <is>
          <t>Almagro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233</v>
      </c>
      <c r="M193" s="27" t="n">
        <v>3.33</v>
      </c>
      <c r="N193" s="28" t="n">
        <v>0.3003</v>
      </c>
      <c r="O193" s="28" t="n">
        <v>0.456135</v>
      </c>
      <c r="P193" s="28" t="n">
        <v>0.2</v>
      </c>
      <c r="Q193" s="28" t="n">
        <v>0.155835</v>
      </c>
      <c r="R193" s="26" t="n">
        <v>8</v>
      </c>
      <c r="S193" s="29" t="n">
        <v>1</v>
      </c>
      <c r="T193" s="24" t="inlineStr">
        <is>
          <t>soccer-poisson-dc-v1</t>
        </is>
      </c>
      <c r="U193" s="24" t="inlineStr">
        <is>
          <t>settled</t>
        </is>
      </c>
      <c r="V193" s="24" t="inlineStr">
        <is>
          <t>loss</t>
        </is>
      </c>
      <c r="W193" s="26" t="n">
        <v>1</v>
      </c>
      <c r="X193" s="26" t="n">
        <v>1</v>
      </c>
      <c r="Y193" s="25" t="n"/>
      <c r="Z193" s="26" t="n"/>
      <c r="AA193" s="28" t="n"/>
      <c r="AB193" s="28" t="n"/>
      <c r="AC193" s="30" t="n">
        <v>-1</v>
      </c>
      <c r="AD193" s="24" t="inlineStr">
        <is>
          <t>2026-08-02T16:08:35.188473Z</t>
        </is>
      </c>
      <c r="AE193" s="31" t="inlineStr">
        <is>
          <t>Poisson-DC rates 1.64 (home) / 1.24 (away) from EWMA attack/defense strengths. Executable ask 0.3000 (atc-arg2-alm-afm-2026-08-02-alm).</t>
        </is>
      </c>
      <c r="AF193" s="31" t="inlineStr">
        <is>
          <t>Research-only soccer score model; draw-aware, but not yet locked-holdout qualified.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NO_CALL_MODEL_UNVALIDATED</t>
        </is>
      </c>
      <c r="AP193" s="24" t="inlineStr">
        <is>
          <t>Midland</t>
        </is>
      </c>
      <c r="AQ193" s="24" t="inlineStr">
        <is>
          <t>Midland</t>
        </is>
      </c>
      <c r="AR193" s="24" t="inlineStr">
        <is>
          <t>Midland</t>
        </is>
      </c>
      <c r="AS193" s="24" t="inlineStr">
        <is>
          <t>Almagro</t>
        </is>
      </c>
      <c r="AT193" s="24" t="inlineStr">
        <is>
          <t>Almagro</t>
        </is>
      </c>
      <c r="AU193" s="24" t="inlineStr">
        <is>
          <t>Almagro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34d1568aad0ff11b5db35f118324684f93281e1c21fa7b80be7a4a4e2cb4bb03</t>
        </is>
      </c>
      <c r="BB193" s="24" t="inlineStr">
        <is>
          <t>poisson_dixon_coles</t>
        </is>
      </c>
      <c r="BC193" s="24" t="inlineStr">
        <is>
          <t>soccer-poisson-dc-v1</t>
        </is>
      </c>
      <c r="BD193" s="24" t="inlineStr">
        <is>
          <t>34d1568aad0ff11b5db35f118324684f93281e1c21fa7b80be7a4a4e2cb4bb03</t>
        </is>
      </c>
      <c r="BE193" s="24" t="inlineStr">
        <is>
          <t>soccer-poisson-dc-v1</t>
        </is>
      </c>
      <c r="BF193" s="24" t="inlineStr">
        <is>
          <t>1</t>
        </is>
      </c>
      <c r="BG193" s="24" t="inlineStr">
        <is>
          <t>34d1568aad0ff11b5db35f118324684f93281e1c21fa7b80be7a4a4e2cb4bb03</t>
        </is>
      </c>
      <c r="BH193" s="24" t="inlineStr">
        <is>
          <t>2026-08-01T16:49:30.902860Z</t>
        </is>
      </c>
      <c r="BI193" s="24" t="inlineStr">
        <is>
          <t>["same_event","same_team_same_day","same_league_same_day"]</t>
        </is>
      </c>
      <c r="BJ193" s="25" t="n"/>
      <c r="BK193" s="26" t="n">
        <v>233</v>
      </c>
      <c r="BL193" s="27" t="n">
        <v>3.33</v>
      </c>
      <c r="BM193" s="28" t="n">
        <v>0.3003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</row>
    <row r="194" ht="36" customHeight="1">
      <c r="A194" s="24" t="inlineStr">
        <is>
          <t>4b09a9d9374d46a7</t>
        </is>
      </c>
      <c r="B194" s="24" t="inlineStr">
        <is>
          <t>2026-08-01T16:52:27.367453Z</t>
        </is>
      </c>
      <c r="C194" s="24" t="inlineStr">
        <is>
          <t>2026-08-01T18:30Z</t>
        </is>
      </c>
      <c r="D194" s="24" t="inlineStr">
        <is>
          <t>401844021</t>
        </is>
      </c>
      <c r="E194" s="24" t="inlineStr">
        <is>
          <t>SOCCER</t>
        </is>
      </c>
      <c r="F194" s="24" t="inlineStr">
        <is>
          <t>Quilmes</t>
        </is>
      </c>
      <c r="G194" s="24" t="inlineStr">
        <is>
          <t>Patronato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144</v>
      </c>
      <c r="M194" s="27" t="n">
        <v>2.44</v>
      </c>
      <c r="N194" s="28" t="n">
        <v>0.409836</v>
      </c>
      <c r="O194" s="28" t="n">
        <v>0.440521</v>
      </c>
      <c r="P194" s="28" t="n">
        <v>0.2</v>
      </c>
      <c r="Q194" s="28" t="n">
        <v>0.030685</v>
      </c>
      <c r="R194" s="26" t="n">
        <v>0</v>
      </c>
      <c r="S194" s="29" t="n">
        <v>1</v>
      </c>
      <c r="T194" s="24" t="inlineStr">
        <is>
          <t>soccer-poisson-dc-v1</t>
        </is>
      </c>
      <c r="U194" s="24" t="inlineStr">
        <is>
          <t>settled</t>
        </is>
      </c>
      <c r="V194" s="24" t="inlineStr">
        <is>
          <t>loss</t>
        </is>
      </c>
      <c r="W194" s="26" t="n">
        <v>3</v>
      </c>
      <c r="X194" s="26" t="n">
        <v>3</v>
      </c>
      <c r="Y194" s="25" t="n"/>
      <c r="Z194" s="26" t="n"/>
      <c r="AA194" s="28" t="n"/>
      <c r="AB194" s="28" t="n"/>
      <c r="AC194" s="30" t="n">
        <v>-1</v>
      </c>
      <c r="AD194" s="24" t="inlineStr">
        <is>
          <t>2026-08-02T16:08:35.924162Z</t>
        </is>
      </c>
      <c r="AE194" s="31" t="inlineStr">
        <is>
          <t>Poisson-DC rates 1.46 (home) / 1.10 (away) from EWMA attack/defense strengths. Executable ask 0.4100 (atc-arg2-cap-qui-2026-08-02-cap).</t>
        </is>
      </c>
      <c r="AF194" s="31" t="inlineStr">
        <is>
          <t>Research-only soccer score model; draw-aware, but not yet locked-holdout qualified.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research_observation</t>
        </is>
      </c>
      <c r="AL194" s="26" t="n">
        <v>3</v>
      </c>
      <c r="AM194" s="24" t="inlineStr">
        <is>
          <t>RESEARCH_OBSERVATION</t>
        </is>
      </c>
      <c r="AN194" s="24" t="inlineStr">
        <is>
          <t>NO_CALL</t>
        </is>
      </c>
      <c r="AO194" s="24" t="inlineStr">
        <is>
          <t>NO_CALL_MODEL_UNVALIDATED</t>
        </is>
      </c>
      <c r="AP194" s="24" t="inlineStr">
        <is>
          <t>Quilmes</t>
        </is>
      </c>
      <c r="AQ194" s="24" t="inlineStr">
        <is>
          <t>Quilmes</t>
        </is>
      </c>
      <c r="AR194" s="24" t="inlineStr">
        <is>
          <t>Quilmes</t>
        </is>
      </c>
      <c r="AS194" s="24" t="inlineStr">
        <is>
          <t>Patronato</t>
        </is>
      </c>
      <c r="AT194" s="24" t="inlineStr">
        <is>
          <t>Patronato</t>
        </is>
      </c>
      <c r="AU194" s="24" t="inlineStr">
        <is>
          <t>Patronato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34d1568aad0ff11b5db35f118324684f93281e1c21fa7b80be7a4a4e2cb4bb03</t>
        </is>
      </c>
      <c r="BB194" s="24" t="inlineStr">
        <is>
          <t>poisson_dixon_coles</t>
        </is>
      </c>
      <c r="BC194" s="24" t="inlineStr">
        <is>
          <t>soccer-poisson-dc-v1</t>
        </is>
      </c>
      <c r="BD194" s="24" t="inlineStr">
        <is>
          <t>34d1568aad0ff11b5db35f118324684f93281e1c21fa7b80be7a4a4e2cb4bb03</t>
        </is>
      </c>
      <c r="BE194" s="24" t="inlineStr">
        <is>
          <t>soccer-poisson-dc-v1</t>
        </is>
      </c>
      <c r="BF194" s="24" t="inlineStr">
        <is>
          <t>1</t>
        </is>
      </c>
      <c r="BG194" s="24" t="inlineStr">
        <is>
          <t>34d1568aad0ff11b5db35f118324684f93281e1c21fa7b80be7a4a4e2cb4bb03</t>
        </is>
      </c>
      <c r="BH194" s="24" t="inlineStr">
        <is>
          <t>2026-08-01T16:49:31.486214Z</t>
        </is>
      </c>
      <c r="BI194" s="24" t="inlineStr">
        <is>
          <t>["same_event","same_team_same_day","same_league_same_day"]</t>
        </is>
      </c>
      <c r="BJ194" s="25" t="n"/>
      <c r="BK194" s="26" t="n">
        <v>144</v>
      </c>
      <c r="BL194" s="27" t="n">
        <v>2.44</v>
      </c>
      <c r="BM194" s="28" t="n">
        <v>0.409836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</row>
    <row r="195" ht="36" customHeight="1">
      <c r="A195" s="24" t="inlineStr">
        <is>
          <t>ce8bcb5176c94e2f</t>
        </is>
      </c>
      <c r="B195" s="24" t="inlineStr">
        <is>
          <t>2026-08-01T16:52:27.367453Z</t>
        </is>
      </c>
      <c r="C195" s="24" t="inlineStr">
        <is>
          <t>2026-08-01T18:00Z</t>
        </is>
      </c>
      <c r="D195" s="24" t="inlineStr">
        <is>
          <t>401872730</t>
        </is>
      </c>
      <c r="E195" s="24" t="inlineStr">
        <is>
          <t>SOCCER</t>
        </is>
      </c>
      <c r="F195" s="24" t="inlineStr">
        <is>
          <t>Juventud</t>
        </is>
      </c>
      <c r="G195" s="24" t="inlineStr">
        <is>
          <t>Deportivo Maldonado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-117</v>
      </c>
      <c r="M195" s="27" t="n">
        <v>1.854701</v>
      </c>
      <c r="N195" s="28" t="n">
        <v>0.539171</v>
      </c>
      <c r="O195" s="28" t="n">
        <v>0.418807</v>
      </c>
      <c r="P195" s="28" t="n">
        <v>0.2</v>
      </c>
      <c r="Q195" s="28" t="n">
        <v>-0.120364</v>
      </c>
      <c r="R195" s="26" t="n">
        <v>0</v>
      </c>
      <c r="S195" s="29" t="n">
        <v>1</v>
      </c>
      <c r="T195" s="24" t="inlineStr">
        <is>
          <t>soccer-poisson-dc-v1</t>
        </is>
      </c>
      <c r="U195" s="24" t="inlineStr">
        <is>
          <t>settled</t>
        </is>
      </c>
      <c r="V195" s="24" t="inlineStr">
        <is>
          <t>loss</t>
        </is>
      </c>
      <c r="W195" s="26" t="n">
        <v>0</v>
      </c>
      <c r="X195" s="26" t="n">
        <v>0</v>
      </c>
      <c r="Y195" s="25" t="n"/>
      <c r="Z195" s="26" t="n"/>
      <c r="AA195" s="28" t="n"/>
      <c r="AB195" s="28" t="n"/>
      <c r="AC195" s="30" t="n">
        <v>-1</v>
      </c>
      <c r="AD195" s="24" t="inlineStr">
        <is>
          <t>2026-08-02T16:08:36.637340Z</t>
        </is>
      </c>
      <c r="AE195" s="31" t="inlineStr">
        <is>
          <t>Poisson-DC rates 1.46 (home) / 1.20 (away) from EWMA attack/defense strengths. Executable ask 0.5400 (atc-uru1-mal-juv-2026-08-01-mal).</t>
        </is>
      </c>
      <c r="AF195" s="31" t="inlineStr">
        <is>
          <t>Research-only soccer score model; draw-aware, but not yet locked-holdout qualified.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NO_CALL_MODEL_UNVALIDATED</t>
        </is>
      </c>
      <c r="AP195" s="24" t="inlineStr">
        <is>
          <t>Juventud</t>
        </is>
      </c>
      <c r="AQ195" s="24" t="inlineStr">
        <is>
          <t>Juventud</t>
        </is>
      </c>
      <c r="AR195" s="24" t="inlineStr">
        <is>
          <t>Juventud</t>
        </is>
      </c>
      <c r="AS195" s="24" t="inlineStr">
        <is>
          <t>Deportivo Maldonado</t>
        </is>
      </c>
      <c r="AT195" s="24" t="inlineStr">
        <is>
          <t>Deportivo Maldonado</t>
        </is>
      </c>
      <c r="AU195" s="24" t="inlineStr">
        <is>
          <t>Deportivo Maldonado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34d1568aad0ff11b5db35f118324684f93281e1c21fa7b80be7a4a4e2cb4bb03</t>
        </is>
      </c>
      <c r="BB195" s="24" t="inlineStr">
        <is>
          <t>poisson_dixon_coles</t>
        </is>
      </c>
      <c r="BC195" s="24" t="inlineStr">
        <is>
          <t>soccer-poisson-dc-v1</t>
        </is>
      </c>
      <c r="BD195" s="24" t="inlineStr">
        <is>
          <t>34d1568aad0ff11b5db35f118324684f93281e1c21fa7b80be7a4a4e2cb4bb03</t>
        </is>
      </c>
      <c r="BE195" s="24" t="inlineStr">
        <is>
          <t>soccer-poisson-dc-v1</t>
        </is>
      </c>
      <c r="BF195" s="24" t="inlineStr">
        <is>
          <t>1</t>
        </is>
      </c>
      <c r="BG195" s="24" t="inlineStr">
        <is>
          <t>34d1568aad0ff11b5db35f118324684f93281e1c21fa7b80be7a4a4e2cb4bb03</t>
        </is>
      </c>
      <c r="BH195" s="24" t="inlineStr">
        <is>
          <t>2026-08-01T16:49:34.759598Z</t>
        </is>
      </c>
      <c r="BI195" s="24" t="inlineStr">
        <is>
          <t>["same_event","same_team_same_day","same_league_same_day"]</t>
        </is>
      </c>
      <c r="BJ195" s="25" t="n"/>
      <c r="BK195" s="26" t="n">
        <v>-117</v>
      </c>
      <c r="BL195" s="27" t="n">
        <v>1.854701</v>
      </c>
      <c r="BM195" s="28" t="n">
        <v>0.539171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</row>
    <row r="196" ht="36" customHeight="1">
      <c r="A196" s="24" t="inlineStr">
        <is>
          <t>95372c50a2ed4ced</t>
        </is>
      </c>
      <c r="B196" s="24" t="inlineStr">
        <is>
          <t>2026-08-01T20:17:05.741632Z</t>
        </is>
      </c>
      <c r="C196" s="24" t="inlineStr">
        <is>
          <t>2026-08-01T23:30Z</t>
        </is>
      </c>
      <c r="D196" s="24" t="inlineStr">
        <is>
          <t>761699</t>
        </is>
      </c>
      <c r="E196" s="24" t="inlineStr">
        <is>
          <t>SOCCER</t>
        </is>
      </c>
      <c r="F196" s="24" t="inlineStr">
        <is>
          <t>Nashville SC</t>
        </is>
      </c>
      <c r="G196" s="24" t="inlineStr">
        <is>
          <t>D.C. United</t>
        </is>
      </c>
      <c r="H196" s="24" t="inlineStr">
        <is>
          <t>moneyline</t>
        </is>
      </c>
      <c r="I196" s="24" t="inlineStr">
        <is>
          <t>away</t>
        </is>
      </c>
      <c r="J196" s="25" t="n"/>
      <c r="K196" s="24" t="inlineStr">
        <is>
          <t>polymarket_us</t>
        </is>
      </c>
      <c r="L196" s="26" t="n">
        <v>144</v>
      </c>
      <c r="M196" s="27" t="n">
        <v>2.44</v>
      </c>
      <c r="N196" s="28" t="n">
        <v>0.409836</v>
      </c>
      <c r="O196" s="28" t="n">
        <v>0.552914</v>
      </c>
      <c r="P196" s="28" t="n">
        <v>0.04</v>
      </c>
      <c r="Q196" s="28" t="n">
        <v>0.143078</v>
      </c>
      <c r="R196" s="26" t="n">
        <v>98</v>
      </c>
      <c r="S196" s="29" t="n">
        <v>1</v>
      </c>
      <c r="T196" s="24" t="inlineStr">
        <is>
          <t>soccer-poisson-dc-v1</t>
        </is>
      </c>
      <c r="U196" s="24" t="inlineStr">
        <is>
          <t>settled</t>
        </is>
      </c>
      <c r="V196" s="24" t="inlineStr">
        <is>
          <t>loss</t>
        </is>
      </c>
      <c r="W196" s="26" t="n">
        <v>2</v>
      </c>
      <c r="X196" s="26" t="n">
        <v>2</v>
      </c>
      <c r="Y196" s="25" t="n"/>
      <c r="Z196" s="26" t="n"/>
      <c r="AA196" s="28" t="n"/>
      <c r="AB196" s="28" t="n"/>
      <c r="AC196" s="30" t="n">
        <v>-1</v>
      </c>
      <c r="AD196" s="24" t="inlineStr">
        <is>
          <t>2026-08-02T16:08:37.346741Z</t>
        </is>
      </c>
      <c r="AE196" s="31" t="inlineStr">
        <is>
          <t>Poisson-DC rates 1.27 (home) / 2.09 (away) from EWMA attack/defense strengths. Executable ask 0.4100 (atc-mls-dcu-nas-2026-08-01-nas).</t>
        </is>
      </c>
      <c r="AF196" s="31" t="inlineStr">
        <is>
          <t>Research-only soccer score model; draw-aware, but not yet locked-holdout qualified.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research_observation</t>
        </is>
      </c>
      <c r="AL196" s="26" t="n">
        <v>3</v>
      </c>
      <c r="AM196" s="24" t="inlineStr">
        <is>
          <t>RESEARCH_OBSERVATION</t>
        </is>
      </c>
      <c r="AN196" s="24" t="inlineStr">
        <is>
          <t>NO_CALL</t>
        </is>
      </c>
      <c r="AO196" s="24" t="inlineStr">
        <is>
          <t>NO_CALL_MODEL_UNVALIDATED</t>
        </is>
      </c>
      <c r="AP196" s="24" t="inlineStr">
        <is>
          <t>Nashville SC</t>
        </is>
      </c>
      <c r="AQ196" s="24" t="inlineStr">
        <is>
          <t>Nashville SC</t>
        </is>
      </c>
      <c r="AR196" s="24" t="inlineStr">
        <is>
          <t>Nashville SC</t>
        </is>
      </c>
      <c r="AS196" s="24" t="inlineStr">
        <is>
          <t>D.C. United</t>
        </is>
      </c>
      <c r="AT196" s="24" t="inlineStr">
        <is>
          <t>D.C. United</t>
        </is>
      </c>
      <c r="AU196" s="24" t="inlineStr">
        <is>
          <t>D.C. United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research</t>
        </is>
      </c>
      <c r="BA196" s="24" t="inlineStr">
        <is>
          <t>34d1568aad0ff11b5db35f118324684f93281e1c21fa7b80be7a4a4e2cb4bb03</t>
        </is>
      </c>
      <c r="BB196" s="24" t="inlineStr">
        <is>
          <t>poisson_dixon_coles</t>
        </is>
      </c>
      <c r="BC196" s="24" t="inlineStr">
        <is>
          <t>soccer-poisson-dc-v1</t>
        </is>
      </c>
      <c r="BD196" s="24" t="inlineStr">
        <is>
          <t>34d1568aad0ff11b5db35f118324684f93281e1c21fa7b80be7a4a4e2cb4bb03</t>
        </is>
      </c>
      <c r="BE196" s="24" t="inlineStr">
        <is>
          <t>soccer-poisson-dc-v1</t>
        </is>
      </c>
      <c r="BF196" s="24" t="inlineStr">
        <is>
          <t>1</t>
        </is>
      </c>
      <c r="BG196" s="24" t="inlineStr">
        <is>
          <t>34d1568aad0ff11b5db35f118324684f93281e1c21fa7b80be7a4a4e2cb4bb03</t>
        </is>
      </c>
      <c r="BH196" s="24" t="inlineStr">
        <is>
          <t>2026-08-01T20:14:20.050683Z</t>
        </is>
      </c>
      <c r="BI196" s="24" t="inlineStr">
        <is>
          <t>["same_event","same_team_same_day","same_league_same_day"]</t>
        </is>
      </c>
      <c r="BJ196" s="25" t="n"/>
      <c r="BK196" s="26" t="n">
        <v>144</v>
      </c>
      <c r="BL196" s="27" t="n">
        <v>2.44</v>
      </c>
      <c r="BM196" s="28" t="n">
        <v>0.409836</v>
      </c>
      <c r="BN196" s="28" t="n"/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</row>
    <row r="197" ht="36" customHeight="1">
      <c r="A197" s="24" t="inlineStr">
        <is>
          <t>b586e7aa165f48df</t>
        </is>
      </c>
      <c r="B197" s="24" t="inlineStr">
        <is>
          <t>2026-08-01T20:17:05.741632Z</t>
        </is>
      </c>
      <c r="C197" s="24" t="inlineStr">
        <is>
          <t>2026-08-01T23:30Z</t>
        </is>
      </c>
      <c r="D197" s="24" t="inlineStr">
        <is>
          <t>761701</t>
        </is>
      </c>
      <c r="E197" s="24" t="inlineStr">
        <is>
          <t>SOCCER</t>
        </is>
      </c>
      <c r="F197" s="24" t="inlineStr">
        <is>
          <t>Columbus Crew</t>
        </is>
      </c>
      <c r="G197" s="24" t="inlineStr">
        <is>
          <t>Inter Miami CF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-170</v>
      </c>
      <c r="M197" s="27" t="n">
        <v>1.588235</v>
      </c>
      <c r="N197" s="28" t="n">
        <v>0.62963</v>
      </c>
      <c r="O197" s="28" t="n">
        <v>0.715665</v>
      </c>
      <c r="P197" s="28" t="n">
        <v>0.04</v>
      </c>
      <c r="Q197" s="28" t="n">
        <v>0.086035</v>
      </c>
      <c r="R197" s="26" t="n">
        <v>69</v>
      </c>
      <c r="S197" s="29" t="n">
        <v>2</v>
      </c>
      <c r="T197" s="24" t="inlineStr">
        <is>
          <t>soccer-poisson-dc-v1</t>
        </is>
      </c>
      <c r="U197" s="24" t="inlineStr">
        <is>
          <t>settled</t>
        </is>
      </c>
      <c r="V197" s="24" t="inlineStr">
        <is>
          <t>loss</t>
        </is>
      </c>
      <c r="W197" s="26" t="n">
        <v>2</v>
      </c>
      <c r="X197" s="26" t="n">
        <v>2</v>
      </c>
      <c r="Y197" s="25" t="n"/>
      <c r="Z197" s="26" t="n"/>
      <c r="AA197" s="28" t="n"/>
      <c r="AB197" s="28" t="n"/>
      <c r="AC197" s="30" t="n">
        <v>-2</v>
      </c>
      <c r="AD197" s="24" t="inlineStr">
        <is>
          <t>2026-08-02T16:08:38.088611Z</t>
        </is>
      </c>
      <c r="AE197" s="31" t="inlineStr">
        <is>
          <t>Poisson-DC rates 3.37 (home) / 1.57 (away) from EWMA attack/defense strengths. Executable ask 0.6300 (atc-mls-mia-clb-2026-08-01-mia).</t>
        </is>
      </c>
      <c r="AF197" s="31" t="inlineStr">
        <is>
          <t>Research-only soccer score model; draw-aware, but not yet locked-holdout qualified.</t>
        </is>
      </c>
      <c r="AG197" s="24" t="inlineStr">
        <is>
          <t>review_required</t>
        </is>
      </c>
      <c r="AH197" s="24" t="n"/>
      <c r="AI197" s="31" t="n"/>
      <c r="AJ197" s="31" t="n"/>
      <c r="AK197" s="24" t="inlineStr">
        <is>
          <t>research_observation</t>
        </is>
      </c>
      <c r="AL197" s="26" t="n">
        <v>3</v>
      </c>
      <c r="AM197" s="24" t="inlineStr">
        <is>
          <t>RESEARCH_OBSERVATION</t>
        </is>
      </c>
      <c r="AN197" s="24" t="inlineStr">
        <is>
          <t>NO_CALL</t>
        </is>
      </c>
      <c r="AO197" s="24" t="inlineStr">
        <is>
          <t>NO_CALL_MODEL_UNVALIDATED</t>
        </is>
      </c>
      <c r="AP197" s="24" t="inlineStr">
        <is>
          <t>Columbus Crew</t>
        </is>
      </c>
      <c r="AQ197" s="24" t="inlineStr">
        <is>
          <t>Columbus Crew</t>
        </is>
      </c>
      <c r="AR197" s="24" t="inlineStr">
        <is>
          <t>Columbus Crew</t>
        </is>
      </c>
      <c r="AS197" s="24" t="inlineStr">
        <is>
          <t>Inter Miami CF</t>
        </is>
      </c>
      <c r="AT197" s="24" t="inlineStr">
        <is>
          <t>Inter Miami CF</t>
        </is>
      </c>
      <c r="AU197" s="24" t="inlineStr">
        <is>
          <t>Inter Miami CF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research</t>
        </is>
      </c>
      <c r="BA197" s="24" t="inlineStr">
        <is>
          <t>34d1568aad0ff11b5db35f118324684f93281e1c21fa7b80be7a4a4e2cb4bb03</t>
        </is>
      </c>
      <c r="BB197" s="24" t="inlineStr">
        <is>
          <t>poisson_dixon_coles</t>
        </is>
      </c>
      <c r="BC197" s="24" t="inlineStr">
        <is>
          <t>soccer-poisson-dc-v1</t>
        </is>
      </c>
      <c r="BD197" s="24" t="inlineStr">
        <is>
          <t>34d1568aad0ff11b5db35f118324684f93281e1c21fa7b80be7a4a4e2cb4bb03</t>
        </is>
      </c>
      <c r="BE197" s="24" t="inlineStr">
        <is>
          <t>soccer-poisson-dc-v1</t>
        </is>
      </c>
      <c r="BF197" s="24" t="inlineStr">
        <is>
          <t>1</t>
        </is>
      </c>
      <c r="BG197" s="24" t="inlineStr">
        <is>
          <t>34d1568aad0ff11b5db35f118324684f93281e1c21fa7b80be7a4a4e2cb4bb03</t>
        </is>
      </c>
      <c r="BH197" s="24" t="inlineStr">
        <is>
          <t>2026-08-01T20:14:23.116312Z</t>
        </is>
      </c>
      <c r="BI197" s="24" t="inlineStr">
        <is>
          <t>["same_event","same_team_same_day","same_league_same_day"]</t>
        </is>
      </c>
      <c r="BJ197" s="25" t="n"/>
      <c r="BK197" s="26" t="n">
        <v>-170</v>
      </c>
      <c r="BL197" s="27" t="n">
        <v>1.588235</v>
      </c>
      <c r="BM197" s="28" t="n">
        <v>0.62963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</row>
    <row r="198" ht="36" customHeight="1">
      <c r="A198" s="24" t="inlineStr">
        <is>
          <t>0c98127e634e4762</t>
        </is>
      </c>
      <c r="B198" s="24" t="inlineStr">
        <is>
          <t>2026-08-01T23:53:24.455746Z</t>
        </is>
      </c>
      <c r="C198" s="24" t="inlineStr">
        <is>
          <t>2026-08-02T00:30Z</t>
        </is>
      </c>
      <c r="D198" s="24" t="inlineStr">
        <is>
          <t>761703</t>
        </is>
      </c>
      <c r="E198" s="24" t="inlineStr">
        <is>
          <t>SOCCER</t>
        </is>
      </c>
      <c r="F198" s="24" t="inlineStr">
        <is>
          <t>San Diego FC</t>
        </is>
      </c>
      <c r="G198" s="24" t="inlineStr">
        <is>
          <t>Minnesota United FC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104</v>
      </c>
      <c r="M198" s="27" t="n">
        <v>2.04</v>
      </c>
      <c r="N198" s="28" t="n">
        <v>0.490196</v>
      </c>
      <c r="O198" s="28" t="n">
        <v>0.405166</v>
      </c>
      <c r="P198" s="28" t="n">
        <v>0.04</v>
      </c>
      <c r="Q198" s="28" t="n">
        <v>-0.08502999999999999</v>
      </c>
      <c r="R198" s="26" t="n">
        <v>0</v>
      </c>
      <c r="S198" s="29" t="n">
        <v>1.25</v>
      </c>
      <c r="T198" s="24" t="inlineStr">
        <is>
          <t>soccer-poisson-dc-v1</t>
        </is>
      </c>
      <c r="U198" s="24" t="inlineStr">
        <is>
          <t>settled</t>
        </is>
      </c>
      <c r="V198" s="24" t="inlineStr">
        <is>
          <t>loss</t>
        </is>
      </c>
      <c r="W198" s="26" t="n">
        <v>1</v>
      </c>
      <c r="X198" s="26" t="n">
        <v>1</v>
      </c>
      <c r="Y198" s="25" t="n"/>
      <c r="Z198" s="26" t="n"/>
      <c r="AA198" s="28" t="n"/>
      <c r="AB198" s="28" t="n"/>
      <c r="AC198" s="30" t="n">
        <v>-1.25</v>
      </c>
      <c r="AD198" s="24" t="inlineStr">
        <is>
          <t>2026-08-02T16:08:38.803420Z</t>
        </is>
      </c>
      <c r="AE198" s="31" t="inlineStr">
        <is>
          <t>Poisson-DC rates 1.78 (home) / 1.65 (away) from EWMA attack/defense strengths. Executable ask 0.4900 (atc-mls-min-sdg-2026-08-01-min).</t>
        </is>
      </c>
      <c r="AF198" s="31" t="inlineStr">
        <is>
          <t>Research-only soccer score model; draw-aware, but not yet locked-holdout qualified.</t>
        </is>
      </c>
      <c r="AG198" s="24" t="inlineStr">
        <is>
          <t>review_required</t>
        </is>
      </c>
      <c r="AH198" s="24" t="n"/>
      <c r="AI198" s="31" t="n"/>
      <c r="AJ198" s="31" t="n"/>
      <c r="AK198" s="24" t="inlineStr">
        <is>
          <t>research_observation</t>
        </is>
      </c>
      <c r="AL198" s="26" t="n">
        <v>3</v>
      </c>
      <c r="AM198" s="24" t="inlineStr">
        <is>
          <t>RESEARCH_OBSERVATION</t>
        </is>
      </c>
      <c r="AN198" s="24" t="inlineStr">
        <is>
          <t>NO_CALL</t>
        </is>
      </c>
      <c r="AO198" s="24" t="inlineStr">
        <is>
          <t>NO_CALL_MODEL_UNVALIDATED</t>
        </is>
      </c>
      <c r="AP198" s="24" t="inlineStr">
        <is>
          <t>San Diego FC</t>
        </is>
      </c>
      <c r="AQ198" s="24" t="inlineStr">
        <is>
          <t>San Diego FC</t>
        </is>
      </c>
      <c r="AR198" s="24" t="inlineStr">
        <is>
          <t>San Diego FC</t>
        </is>
      </c>
      <c r="AS198" s="24" t="inlineStr">
        <is>
          <t>Minnesota United FC</t>
        </is>
      </c>
      <c r="AT198" s="24" t="inlineStr">
        <is>
          <t>Minnesota United FC</t>
        </is>
      </c>
      <c r="AU198" s="24" t="inlineStr">
        <is>
          <t>Minnesota United FC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research</t>
        </is>
      </c>
      <c r="BA198" s="24" t="inlineStr">
        <is>
          <t>34d1568aad0ff11b5db35f118324684f93281e1c21fa7b80be7a4a4e2cb4bb03</t>
        </is>
      </c>
      <c r="BB198" s="24" t="inlineStr">
        <is>
          <t>poisson_dixon_coles</t>
        </is>
      </c>
      <c r="BC198" s="24" t="inlineStr">
        <is>
          <t>soccer-poisson-dc-v1</t>
        </is>
      </c>
      <c r="BD198" s="24" t="inlineStr">
        <is>
          <t>34d1568aad0ff11b5db35f118324684f93281e1c21fa7b80be7a4a4e2cb4bb03</t>
        </is>
      </c>
      <c r="BE198" s="24" t="inlineStr">
        <is>
          <t>soccer-poisson-dc-v1</t>
        </is>
      </c>
      <c r="BF198" s="24" t="inlineStr">
        <is>
          <t>1</t>
        </is>
      </c>
      <c r="BG198" s="24" t="inlineStr">
        <is>
          <t>34d1568aad0ff11b5db35f118324684f93281e1c21fa7b80be7a4a4e2cb4bb03</t>
        </is>
      </c>
      <c r="BH198" s="24" t="inlineStr">
        <is>
          <t>2026-08-01T23:52:04.626307Z</t>
        </is>
      </c>
      <c r="BI198" s="24" t="inlineStr">
        <is>
          <t>["same_event","same_team_same_day","same_league_same_day"]</t>
        </is>
      </c>
      <c r="BJ198" s="25" t="n"/>
      <c r="BK198" s="26" t="n">
        <v>104</v>
      </c>
      <c r="BL198" s="27" t="n">
        <v>2.04</v>
      </c>
      <c r="BM198" s="28" t="n">
        <v>0.490196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</row>
    <row r="199" ht="36" customHeight="1">
      <c r="A199" s="24" t="inlineStr">
        <is>
          <t>cc6b8b218f134422</t>
        </is>
      </c>
      <c r="B199" s="24" t="inlineStr">
        <is>
          <t>2026-08-01T23:53:24.455746Z</t>
        </is>
      </c>
      <c r="C199" s="24" t="inlineStr">
        <is>
          <t>2026-08-02T00:30Z</t>
        </is>
      </c>
      <c r="D199" s="24" t="inlineStr">
        <is>
          <t>761705</t>
        </is>
      </c>
      <c r="E199" s="24" t="inlineStr">
        <is>
          <t>SOCCER</t>
        </is>
      </c>
      <c r="F199" s="24" t="inlineStr">
        <is>
          <t>Real Salt Lake</t>
        </is>
      </c>
      <c r="G199" s="24" t="inlineStr">
        <is>
          <t>St. Louis CITY SC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100</v>
      </c>
      <c r="M199" s="27" t="n">
        <v>2</v>
      </c>
      <c r="N199" s="28" t="n">
        <v>0.5</v>
      </c>
      <c r="O199" s="28" t="n">
        <v>0.416937</v>
      </c>
      <c r="P199" s="28" t="n">
        <v>0.04</v>
      </c>
      <c r="Q199" s="28" t="n">
        <v>-0.083063</v>
      </c>
      <c r="R199" s="26" t="n">
        <v>0</v>
      </c>
      <c r="S199" s="29" t="n">
        <v>1.25</v>
      </c>
      <c r="T199" s="24" t="inlineStr">
        <is>
          <t>soccer-poisson-dc-v1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1</v>
      </c>
      <c r="Y199" s="25" t="n"/>
      <c r="Z199" s="26" t="n"/>
      <c r="AA199" s="28" t="n"/>
      <c r="AB199" s="28" t="n"/>
      <c r="AC199" s="30" t="n">
        <v>-1.25</v>
      </c>
      <c r="AD199" s="24" t="inlineStr">
        <is>
          <t>2026-08-02T16:08:39.533103Z</t>
        </is>
      </c>
      <c r="AE199" s="31" t="inlineStr">
        <is>
          <t>Poisson-DC rates 1.71 (home) / 1.51 (away) from EWMA attack/defense strengths. Executable ask 0.5000 (atc-mls-stl-rsl-2026-08-01-stl).</t>
        </is>
      </c>
      <c r="AF199" s="31" t="inlineStr">
        <is>
          <t>Research-only soccer score model; draw-aware, but not yet locked-holdout qualified.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research_observation</t>
        </is>
      </c>
      <c r="AL199" s="26" t="n">
        <v>3</v>
      </c>
      <c r="AM199" s="24" t="inlineStr">
        <is>
          <t>RESEARCH_OBSERVATION</t>
        </is>
      </c>
      <c r="AN199" s="24" t="inlineStr">
        <is>
          <t>NO_CALL</t>
        </is>
      </c>
      <c r="AO199" s="24" t="inlineStr">
        <is>
          <t>NO_CALL_MODEL_UNVALIDATED</t>
        </is>
      </c>
      <c r="AP199" s="24" t="inlineStr">
        <is>
          <t>Real Salt Lake</t>
        </is>
      </c>
      <c r="AQ199" s="24" t="inlineStr">
        <is>
          <t>Real Salt Lake</t>
        </is>
      </c>
      <c r="AR199" s="24" t="inlineStr">
        <is>
          <t>Real Salt Lake</t>
        </is>
      </c>
      <c r="AS199" s="24" t="inlineStr">
        <is>
          <t>St. Louis CITY SC</t>
        </is>
      </c>
      <c r="AT199" s="24" t="inlineStr">
        <is>
          <t>St. Louis CITY SC</t>
        </is>
      </c>
      <c r="AU199" s="24" t="inlineStr">
        <is>
          <t>St. Louis CITY SC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research</t>
        </is>
      </c>
      <c r="BA199" s="24" t="inlineStr">
        <is>
          <t>34d1568aad0ff11b5db35f118324684f93281e1c21fa7b80be7a4a4e2cb4bb03</t>
        </is>
      </c>
      <c r="BB199" s="24" t="inlineStr">
        <is>
          <t>poisson_dixon_coles</t>
        </is>
      </c>
      <c r="BC199" s="24" t="inlineStr">
        <is>
          <t>soccer-poisson-dc-v1</t>
        </is>
      </c>
      <c r="BD199" s="24" t="inlineStr">
        <is>
          <t>34d1568aad0ff11b5db35f118324684f93281e1c21fa7b80be7a4a4e2cb4bb03</t>
        </is>
      </c>
      <c r="BE199" s="24" t="inlineStr">
        <is>
          <t>soccer-poisson-dc-v1</t>
        </is>
      </c>
      <c r="BF199" s="24" t="inlineStr">
        <is>
          <t>1</t>
        </is>
      </c>
      <c r="BG199" s="24" t="inlineStr">
        <is>
          <t>34d1568aad0ff11b5db35f118324684f93281e1c21fa7b80be7a4a4e2cb4bb03</t>
        </is>
      </c>
      <c r="BH199" s="24" t="inlineStr">
        <is>
          <t>2026-08-01T23:52:07.835197Z</t>
        </is>
      </c>
      <c r="BI199" s="24" t="inlineStr">
        <is>
          <t>["same_event","same_team_same_day","same_league_same_day"]</t>
        </is>
      </c>
      <c r="BJ199" s="25" t="n"/>
      <c r="BK199" s="26" t="n">
        <v>100</v>
      </c>
      <c r="BL199" s="27" t="n">
        <v>2</v>
      </c>
      <c r="BM199" s="28" t="n">
        <v>0.5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</row>
    <row r="200" ht="36" customHeight="1">
      <c r="A200" s="24" t="inlineStr">
        <is>
          <t>17c41ca1fdf74770</t>
        </is>
      </c>
      <c r="B200" s="24" t="inlineStr">
        <is>
          <t>2026-08-01T23:53:24.455746Z</t>
        </is>
      </c>
      <c r="C200" s="24" t="inlineStr">
        <is>
          <t>2026-08-02T02:30Z</t>
        </is>
      </c>
      <c r="D200" s="24" t="inlineStr">
        <is>
          <t>761709</t>
        </is>
      </c>
      <c r="E200" s="24" t="inlineStr">
        <is>
          <t>SOCCER</t>
        </is>
      </c>
      <c r="F200" s="24" t="inlineStr">
        <is>
          <t>FC Dallas</t>
        </is>
      </c>
      <c r="G200" s="24" t="inlineStr">
        <is>
          <t>LA Galaxy</t>
        </is>
      </c>
      <c r="H200" s="24" t="inlineStr">
        <is>
          <t>moneyline</t>
        </is>
      </c>
      <c r="I200" s="24" t="inlineStr">
        <is>
          <t>away</t>
        </is>
      </c>
      <c r="J200" s="25" t="n"/>
      <c r="K200" s="24" t="inlineStr">
        <is>
          <t>polymarket_us</t>
        </is>
      </c>
      <c r="L200" s="26" t="n">
        <v>186</v>
      </c>
      <c r="M200" s="27" t="n">
        <v>2.86</v>
      </c>
      <c r="N200" s="28" t="n">
        <v>0.34965</v>
      </c>
      <c r="O200" s="28" t="n">
        <v>0.38746</v>
      </c>
      <c r="P200" s="28" t="n">
        <v>0.04</v>
      </c>
      <c r="Q200" s="28" t="n">
        <v>0.03781</v>
      </c>
      <c r="R200" s="26" t="n">
        <v>45</v>
      </c>
      <c r="S200" s="29" t="n">
        <v>1.5</v>
      </c>
      <c r="T200" s="24" t="inlineStr">
        <is>
          <t>soccer-poisson-dc-v1</t>
        </is>
      </c>
      <c r="U200" s="24" t="inlineStr">
        <is>
          <t>settled</t>
        </is>
      </c>
      <c r="V200" s="24" t="inlineStr">
        <is>
          <t>loss</t>
        </is>
      </c>
      <c r="W200" s="26" t="n">
        <v>0</v>
      </c>
      <c r="X200" s="26" t="n">
        <v>0</v>
      </c>
      <c r="Y200" s="25" t="n"/>
      <c r="Z200" s="26" t="n"/>
      <c r="AA200" s="28" t="n"/>
      <c r="AB200" s="28" t="n"/>
      <c r="AC200" s="30" t="n">
        <v>-1.5</v>
      </c>
      <c r="AD200" s="24" t="inlineStr">
        <is>
          <t>2026-08-02T16:08:40.273795Z</t>
        </is>
      </c>
      <c r="AE200" s="31" t="inlineStr">
        <is>
          <t>Poisson-DC rates 1.76 (home) / 1.79 (away) from EWMA attack/defense strengths. Executable ask 0.3500 (atc-mls-lag-dal-2026-08-01-dal).</t>
        </is>
      </c>
      <c r="AF200" s="31" t="inlineStr">
        <is>
          <t>Research-only soccer score model; draw-aware, but not yet locked-holdout qualified.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research_observation</t>
        </is>
      </c>
      <c r="AL200" s="26" t="n">
        <v>3</v>
      </c>
      <c r="AM200" s="24" t="inlineStr">
        <is>
          <t>RESEARCH_OBSERVATION</t>
        </is>
      </c>
      <c r="AN200" s="24" t="inlineStr">
        <is>
          <t>NO_CALL</t>
        </is>
      </c>
      <c r="AO200" s="24" t="inlineStr">
        <is>
          <t>NO_CALL_MODEL_UNVALIDATED</t>
        </is>
      </c>
      <c r="AP200" s="24" t="inlineStr">
        <is>
          <t>FC Dallas</t>
        </is>
      </c>
      <c r="AQ200" s="24" t="inlineStr">
        <is>
          <t>FC Dallas</t>
        </is>
      </c>
      <c r="AR200" s="24" t="inlineStr">
        <is>
          <t>FC Dallas</t>
        </is>
      </c>
      <c r="AS200" s="24" t="inlineStr">
        <is>
          <t>LA Galaxy</t>
        </is>
      </c>
      <c r="AT200" s="24" t="inlineStr">
        <is>
          <t>LA Galaxy</t>
        </is>
      </c>
      <c r="AU200" s="24" t="inlineStr">
        <is>
          <t>LA Galaxy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research</t>
        </is>
      </c>
      <c r="BA200" s="24" t="inlineStr">
        <is>
          <t>34d1568aad0ff11b5db35f118324684f93281e1c21fa7b80be7a4a4e2cb4bb03</t>
        </is>
      </c>
      <c r="BB200" s="24" t="inlineStr">
        <is>
          <t>poisson_dixon_coles</t>
        </is>
      </c>
      <c r="BC200" s="24" t="inlineStr">
        <is>
          <t>soccer-poisson-dc-v1</t>
        </is>
      </c>
      <c r="BD200" s="24" t="inlineStr">
        <is>
          <t>34d1568aad0ff11b5db35f118324684f93281e1c21fa7b80be7a4a4e2cb4bb03</t>
        </is>
      </c>
      <c r="BE200" s="24" t="inlineStr">
        <is>
          <t>soccer-poisson-dc-v1</t>
        </is>
      </c>
      <c r="BF200" s="24" t="inlineStr">
        <is>
          <t>1</t>
        </is>
      </c>
      <c r="BG200" s="24" t="inlineStr">
        <is>
          <t>34d1568aad0ff11b5db35f118324684f93281e1c21fa7b80be7a4a4e2cb4bb03</t>
        </is>
      </c>
      <c r="BH200" s="24" t="inlineStr">
        <is>
          <t>2026-08-01T23:52:11.231740Z</t>
        </is>
      </c>
      <c r="BI200" s="24" t="inlineStr">
        <is>
          <t>["same_event","same_team_same_day","same_league_same_day"]</t>
        </is>
      </c>
      <c r="BJ200" s="25" t="n"/>
      <c r="BK200" s="26" t="n">
        <v>186</v>
      </c>
      <c r="BL200" s="27" t="n">
        <v>2.86</v>
      </c>
      <c r="BM200" s="28" t="n">
        <v>0.34965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</row>
    <row r="201" ht="36" customHeight="1">
      <c r="A201" s="24" t="inlineStr">
        <is>
          <t>406e675981464953</t>
        </is>
      </c>
      <c r="B201" s="24" t="inlineStr">
        <is>
          <t>2026-08-02T16:48:43.908788Z</t>
        </is>
      </c>
      <c r="C201" s="24" t="inlineStr">
        <is>
          <t>2026-08-02T13:00:00-0400</t>
        </is>
      </c>
      <c r="D201" s="24" t="inlineStr">
        <is>
          <t>401857107</t>
        </is>
      </c>
      <c r="E201" s="24" t="inlineStr">
        <is>
          <t>WNBA</t>
        </is>
      </c>
      <c r="F201" s="24" t="inlineStr">
        <is>
          <t>Indiana Fever</t>
        </is>
      </c>
      <c r="G201" s="24" t="inlineStr">
        <is>
          <t>Minnesota Lynx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-186</v>
      </c>
      <c r="M201" s="27" t="n">
        <v>1.537634</v>
      </c>
      <c r="N201" s="28" t="n">
        <v>0.65035</v>
      </c>
      <c r="O201" s="28" t="n">
        <v>0.643489</v>
      </c>
      <c r="P201" s="28" t="n"/>
      <c r="Q201" s="28" t="n">
        <v>-0.006861</v>
      </c>
      <c r="R201" s="26" t="n">
        <v>20</v>
      </c>
      <c r="S201" s="29" t="n">
        <v>1.5</v>
      </c>
      <c r="T201" s="24" t="inlineStr">
        <is>
          <t>wnba-elo-trend-lr-v4</t>
        </is>
      </c>
      <c r="U201" s="24" t="inlineStr">
        <is>
          <t>open</t>
        </is>
      </c>
      <c r="V201" s="24" t="n"/>
      <c r="W201" s="26" t="n"/>
      <c r="X201" s="26" t="n"/>
      <c r="Y201" s="25" t="n"/>
      <c r="Z201" s="26" t="n"/>
      <c r="AA201" s="28" t="n"/>
      <c r="AB201" s="28" t="n"/>
      <c r="AC201" s="30" t="n"/>
      <c r="AD201" s="24" t="n"/>
      <c r="AE201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201" s="31" t="inlineStr">
        <is>
          <t>Learned model; shadow-qualified via operator override.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3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wnba-ind</t>
        </is>
      </c>
      <c r="AQ201" s="24" t="inlineStr">
        <is>
          <t>Indiana Fever</t>
        </is>
      </c>
      <c r="AR201" s="24" t="inlineStr">
        <is>
          <t>Indiana Fever</t>
        </is>
      </c>
      <c r="AS201" s="24" t="inlineStr">
        <is>
          <t>wnba-min</t>
        </is>
      </c>
      <c r="AT201" s="24" t="inlineStr">
        <is>
          <t>Minnesota Lynx</t>
        </is>
      </c>
      <c r="AU201" s="24" t="inlineStr">
        <is>
          <t>Minnesota Lynx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7afd5274214b58b7efd7f7febc7be3ab33b92351cda5cc6403c0a39faea0cc8c</t>
        </is>
      </c>
      <c r="BB201" s="24" t="inlineStr">
        <is>
          <t>learned_lr</t>
        </is>
      </c>
      <c r="BC201" s="24" t="inlineStr">
        <is>
          <t>wnba-elo-trend-lr-v4</t>
        </is>
      </c>
      <c r="BD201" s="24" t="inlineStr">
        <is>
          <t>7afd5274214b58b7efd7f7febc7be3ab33b92351cda5cc6403c0a39faea0cc8c</t>
        </is>
      </c>
      <c r="BE201" s="24" t="inlineStr">
        <is>
          <t>cb6d856341c7efe7</t>
        </is>
      </c>
      <c r="BF201" s="24" t="inlineStr">
        <is>
          <t>1</t>
        </is>
      </c>
      <c r="BG201" s="24" t="inlineStr">
        <is>
          <t>wnba-elo-trend-lr-v4</t>
        </is>
      </c>
      <c r="BH201" s="24" t="inlineStr">
        <is>
          <t>2026-08-02T16:47:30.539614Z</t>
        </is>
      </c>
      <c r="BI201" s="24" t="inlineStr">
        <is>
          <t>["same_event","same_team_same_day","same_league_same_day"]</t>
        </is>
      </c>
      <c r="BJ201" s="25" t="n"/>
      <c r="BK201" s="26" t="n">
        <v>-186</v>
      </c>
      <c r="BL201" s="27" t="n">
        <v>1.537634</v>
      </c>
      <c r="BM201" s="28" t="n">
        <v>0.65035</v>
      </c>
      <c r="BN201" s="28" t="n">
        <v>0.643564</v>
      </c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inlineStr">
        <is>
          <t>0.6810434571</t>
        </is>
      </c>
      <c r="CD201" s="24" t="inlineStr">
        <is>
          <t>-4.330577</t>
        </is>
      </c>
      <c r="CE201" s="24" t="n"/>
      <c r="CF201" s="24" t="n"/>
      <c r="CG201" s="24" t="n"/>
      <c r="CH201" s="24" t="n"/>
      <c r="CI201" s="24" t="inlineStr">
        <is>
          <t>NO_CALL_AVAILABILITY_PLAYER_UNMAPPED</t>
        </is>
      </c>
      <c r="CJ201" s="24" t="n"/>
      <c r="CK201" s="24" t="n"/>
      <c r="CL201" s="24" t="n"/>
      <c r="CM201" s="24" t="n"/>
      <c r="CN201" s="24" t="n"/>
      <c r="CO201" s="24" t="n"/>
      <c r="CP201" s="24" t="inlineStr">
        <is>
          <t>0.643489</t>
        </is>
      </c>
      <c r="CQ201" s="24" t="inlineStr">
        <is>
          <t>0</t>
        </is>
      </c>
    </row>
    <row r="202" ht="36" customHeight="1">
      <c r="A202" s="24" t="inlineStr">
        <is>
          <t>4d895a66fde74244</t>
        </is>
      </c>
      <c r="B202" s="24" t="inlineStr">
        <is>
          <t>2026-08-02T12:28:25.454250Z</t>
        </is>
      </c>
      <c r="C202" s="24" t="inlineStr">
        <is>
          <t>2026-08-02T12:30Z</t>
        </is>
      </c>
      <c r="D202" s="24" t="inlineStr">
        <is>
          <t>401886552</t>
        </is>
      </c>
      <c r="E202" s="24" t="inlineStr">
        <is>
          <t>SOCCER</t>
        </is>
      </c>
      <c r="F202" s="24" t="inlineStr">
        <is>
          <t>Ajax Amsterdam</t>
        </is>
      </c>
      <c r="G202" s="24" t="inlineStr">
        <is>
          <t>FC Volendam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-194</v>
      </c>
      <c r="M202" s="27" t="n">
        <v>1.515464</v>
      </c>
      <c r="N202" s="28" t="n">
        <v>0.659864</v>
      </c>
      <c r="O202" s="28" t="n">
        <v>0.515227</v>
      </c>
      <c r="P202" s="28" t="n">
        <v>0.04</v>
      </c>
      <c r="Q202" s="28" t="n">
        <v>-0.144637</v>
      </c>
      <c r="R202" s="26" t="n">
        <v>0</v>
      </c>
      <c r="S202" s="29" t="n">
        <v>1</v>
      </c>
      <c r="T202" s="24" t="inlineStr">
        <is>
          <t>soccer-poisson-dc-v1</t>
        </is>
      </c>
      <c r="U202" s="24" t="inlineStr">
        <is>
          <t>settled</t>
        </is>
      </c>
      <c r="V202" s="24" t="inlineStr">
        <is>
          <t>win</t>
        </is>
      </c>
      <c r="W202" s="26" t="n">
        <v>3</v>
      </c>
      <c r="X202" s="26" t="n">
        <v>1</v>
      </c>
      <c r="Y202" s="25" t="n"/>
      <c r="Z202" s="26" t="n"/>
      <c r="AA202" s="28" t="n"/>
      <c r="AB202" s="28" t="n"/>
      <c r="AC202" s="30" t="n">
        <v>0.5155</v>
      </c>
      <c r="AD202" s="24" t="inlineStr">
        <is>
          <t>2026-08-02T15:53:27.869718Z</t>
        </is>
      </c>
      <c r="AE202" s="31" t="inlineStr">
        <is>
          <t>Poisson-DC rates 0.88 (home) / 1.54 (away) from EWMA attack/defense strengths. Executable ask 0.6600 (atc-clbf-fvco-aja-2026-08-02-aja).</t>
        </is>
      </c>
      <c r="AF202" s="31" t="inlineStr">
        <is>
          <t>Research-only soccer score model; draw-aware, but not yet locked-holdout qualified.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research_observation</t>
        </is>
      </c>
      <c r="AL202" s="26" t="n">
        <v>3</v>
      </c>
      <c r="AM202" s="24" t="inlineStr">
        <is>
          <t>RESEARCH_OBSERVATION</t>
        </is>
      </c>
      <c r="AN202" s="24" t="inlineStr">
        <is>
          <t>NO_CALL</t>
        </is>
      </c>
      <c r="AO202" s="24" t="inlineStr">
        <is>
          <t>NO_CALL_LOW_EDGE</t>
        </is>
      </c>
      <c r="AP202" s="24" t="inlineStr">
        <is>
          <t>Ajax Amsterdam</t>
        </is>
      </c>
      <c r="AQ202" s="24" t="inlineStr">
        <is>
          <t>Ajax Amsterdam</t>
        </is>
      </c>
      <c r="AR202" s="24" t="inlineStr">
        <is>
          <t>Ajax Amsterdam</t>
        </is>
      </c>
      <c r="AS202" s="24" t="inlineStr">
        <is>
          <t>FC Volendam</t>
        </is>
      </c>
      <c r="AT202" s="24" t="inlineStr">
        <is>
          <t>FC Volendam</t>
        </is>
      </c>
      <c r="AU202" s="24" t="inlineStr">
        <is>
          <t>FC Volendam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34d1568aad0ff11b5db35f118324684f93281e1c21fa7b80be7a4a4e2cb4bb03</t>
        </is>
      </c>
      <c r="BB202" s="24" t="inlineStr">
        <is>
          <t>poisson_dixon_coles</t>
        </is>
      </c>
      <c r="BC202" s="24" t="inlineStr">
        <is>
          <t>soccer-poisson-dc-v1</t>
        </is>
      </c>
      <c r="BD202" s="24" t="inlineStr">
        <is>
          <t>34d1568aad0ff11b5db35f118324684f93281e1c21fa7b80be7a4a4e2cb4bb03</t>
        </is>
      </c>
      <c r="BE202" s="24" t="inlineStr">
        <is>
          <t>soccer-poisson-dc-v1</t>
        </is>
      </c>
      <c r="BF202" s="24" t="inlineStr">
        <is>
          <t>1</t>
        </is>
      </c>
      <c r="BG202" s="24" t="inlineStr">
        <is>
          <t>34d1568aad0ff11b5db35f118324684f93281e1c21fa7b80be7a4a4e2cb4bb03</t>
        </is>
      </c>
      <c r="BH202" s="24" t="inlineStr">
        <is>
          <t>2026-08-02T12:25:27.623402Z</t>
        </is>
      </c>
      <c r="BI202" s="24" t="inlineStr">
        <is>
          <t>["same_event","same_team_same_day","same_league_same_day"]</t>
        </is>
      </c>
      <c r="BJ202" s="25" t="n"/>
      <c r="BK202" s="26" t="n">
        <v>-194</v>
      </c>
      <c r="BL202" s="27" t="n">
        <v>1.515464</v>
      </c>
      <c r="BM202" s="28" t="n">
        <v>0.659864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</row>
    <row r="203" ht="36" customHeight="1">
      <c r="A203" s="24" t="inlineStr">
        <is>
          <t>b93cfe1d302c48e3</t>
        </is>
      </c>
      <c r="B203" s="24" t="inlineStr">
        <is>
          <t>2026-08-02T12:28:25.454250Z</t>
        </is>
      </c>
      <c r="C203" s="24" t="inlineStr">
        <is>
          <t>2026-08-02T13:00Z</t>
        </is>
      </c>
      <c r="D203" s="24" t="inlineStr">
        <is>
          <t>401886551</t>
        </is>
      </c>
      <c r="E203" s="24" t="inlineStr">
        <is>
          <t>SOCCER</t>
        </is>
      </c>
      <c r="F203" s="24" t="inlineStr">
        <is>
          <t>Atalanta</t>
        </is>
      </c>
      <c r="G203" s="24" t="inlineStr">
        <is>
          <t>Feyenoord Rotterdam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194</v>
      </c>
      <c r="M203" s="27" t="n">
        <v>2.94</v>
      </c>
      <c r="N203" s="28" t="n">
        <v>0.340136</v>
      </c>
      <c r="O203" s="28" t="n">
        <v>0.575359</v>
      </c>
      <c r="P203" s="28" t="n">
        <v>0.04</v>
      </c>
      <c r="Q203" s="28" t="n">
        <v>0.235223</v>
      </c>
      <c r="R203" s="26" t="n">
        <v>100</v>
      </c>
      <c r="S203" s="29" t="n">
        <v>1.25</v>
      </c>
      <c r="T203" s="24" t="inlineStr">
        <is>
          <t>soccer-poisson-dc-v1</t>
        </is>
      </c>
      <c r="U203" s="24" t="inlineStr">
        <is>
          <t>settled</t>
        </is>
      </c>
      <c r="V203" s="24" t="inlineStr">
        <is>
          <t>win</t>
        </is>
      </c>
      <c r="W203" s="26" t="n">
        <v>1</v>
      </c>
      <c r="X203" s="26" t="n">
        <v>2</v>
      </c>
      <c r="Y203" s="25" t="n"/>
      <c r="Z203" s="26" t="n"/>
      <c r="AA203" s="28" t="n"/>
      <c r="AB203" s="28" t="n"/>
      <c r="AC203" s="30" t="n">
        <v>2.425</v>
      </c>
      <c r="AD203" s="24" t="inlineStr">
        <is>
          <t>2026-08-02T15:53:28.234366Z</t>
        </is>
      </c>
      <c r="AE203" s="31" t="inlineStr">
        <is>
          <t>Poisson-DC rates 1.92 (home) / 1.01 (away) from EWMA attack/defense strengths. Executable ask 0.3400 (atc-clbf-fey-ata-2026-08-02-fey).</t>
        </is>
      </c>
      <c r="AF203" s="31" t="inlineStr">
        <is>
          <t>Research-only soccer score model; draw-aware, but not yet locked-holdout qualified.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3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Atalanta</t>
        </is>
      </c>
      <c r="AQ203" s="24" t="inlineStr">
        <is>
          <t>Atalanta</t>
        </is>
      </c>
      <c r="AR203" s="24" t="inlineStr">
        <is>
          <t>Atalanta</t>
        </is>
      </c>
      <c r="AS203" s="24" t="inlineStr">
        <is>
          <t>Feyenoord Rotterdam</t>
        </is>
      </c>
      <c r="AT203" s="24" t="inlineStr">
        <is>
          <t>Feyenoord Rotterdam</t>
        </is>
      </c>
      <c r="AU203" s="24" t="inlineStr">
        <is>
          <t>Feyenoord Rotterdam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34d1568aad0ff11b5db35f118324684f93281e1c21fa7b80be7a4a4e2cb4bb03</t>
        </is>
      </c>
      <c r="BB203" s="24" t="inlineStr">
        <is>
          <t>poisson_dixon_coles</t>
        </is>
      </c>
      <c r="BC203" s="24" t="inlineStr">
        <is>
          <t>soccer-poisson-dc-v1</t>
        </is>
      </c>
      <c r="BD203" s="24" t="inlineStr">
        <is>
          <t>34d1568aad0ff11b5db35f118324684f93281e1c21fa7b80be7a4a4e2cb4bb03</t>
        </is>
      </c>
      <c r="BE203" s="24" t="inlineStr">
        <is>
          <t>soccer-poisson-dc-v1</t>
        </is>
      </c>
      <c r="BF203" s="24" t="inlineStr">
        <is>
          <t>1</t>
        </is>
      </c>
      <c r="BG203" s="24" t="inlineStr">
        <is>
          <t>34d1568aad0ff11b5db35f118324684f93281e1c21fa7b80be7a4a4e2cb4bb03</t>
        </is>
      </c>
      <c r="BH203" s="24" t="inlineStr">
        <is>
          <t>2026-08-02T12:25:27.610137Z</t>
        </is>
      </c>
      <c r="BI203" s="24" t="inlineStr">
        <is>
          <t>["same_event","same_team_same_day","same_league_same_day"]</t>
        </is>
      </c>
      <c r="BJ203" s="25" t="n"/>
      <c r="BK203" s="26" t="n">
        <v>194</v>
      </c>
      <c r="BL203" s="27" t="n">
        <v>2.94</v>
      </c>
      <c r="BM203" s="28" t="n">
        <v>0.340136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</row>
    <row r="204" ht="36" customHeight="1">
      <c r="A204" s="24" t="inlineStr">
        <is>
          <t>c263948c11c94638</t>
        </is>
      </c>
      <c r="B204" s="24" t="inlineStr">
        <is>
          <t>2026-08-02T13:05:47.245126Z</t>
        </is>
      </c>
      <c r="C204" s="24" t="inlineStr">
        <is>
          <t>2026-08-02T15:00Z</t>
        </is>
      </c>
      <c r="D204" s="24" t="inlineStr">
        <is>
          <t>401872734</t>
        </is>
      </c>
      <c r="E204" s="24" t="inlineStr">
        <is>
          <t>SOCCER</t>
        </is>
      </c>
      <c r="F204" s="24" t="inlineStr">
        <is>
          <t>Boston River</t>
        </is>
      </c>
      <c r="G204" s="24" t="inlineStr">
        <is>
          <t>Racing (Montevideo)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-127</v>
      </c>
      <c r="M204" s="27" t="n">
        <v>1.787402</v>
      </c>
      <c r="N204" s="28" t="n">
        <v>0.5594710000000001</v>
      </c>
      <c r="O204" s="28" t="n">
        <v>0.5359159999999999</v>
      </c>
      <c r="P204" s="28" t="n">
        <v>0.2</v>
      </c>
      <c r="Q204" s="28" t="n">
        <v>-0.023555</v>
      </c>
      <c r="R204" s="26" t="n">
        <v>0</v>
      </c>
      <c r="S204" s="29" t="n">
        <v>1</v>
      </c>
      <c r="T204" s="24" t="inlineStr">
        <is>
          <t>soccer-poisson-dc-v1</t>
        </is>
      </c>
      <c r="U204" s="24" t="inlineStr">
        <is>
          <t>settled</t>
        </is>
      </c>
      <c r="V204" s="24" t="inlineStr">
        <is>
          <t>win</t>
        </is>
      </c>
      <c r="W204" s="26" t="n">
        <v>0</v>
      </c>
      <c r="X204" s="26" t="n">
        <v>1</v>
      </c>
      <c r="Y204" s="25" t="n"/>
      <c r="Z204" s="26" t="n"/>
      <c r="AA204" s="28" t="n"/>
      <c r="AB204" s="28" t="n"/>
      <c r="AC204" s="30" t="n">
        <v>0.7874</v>
      </c>
      <c r="AD204" s="24" t="inlineStr">
        <is>
          <t>2026-08-02T17:25:12.235140Z</t>
        </is>
      </c>
      <c r="AE204" s="31" t="inlineStr">
        <is>
          <t>Poisson-DC rates 1.84 (home) / 1.10 (away) from EWMA attack/defense strengths. Executable ask 0.5600 (atc-uru1-rcm-bri-2026-08-02-rcm).</t>
        </is>
      </c>
      <c r="AF204" s="31" t="inlineStr">
        <is>
          <t>Research-only soccer score model; draw-aware, but not yet locked-holdout qualified.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research_observation</t>
        </is>
      </c>
      <c r="AL204" s="26" t="n">
        <v>3</v>
      </c>
      <c r="AM204" s="24" t="inlineStr">
        <is>
          <t>RESEARCH_OBSERVATION</t>
        </is>
      </c>
      <c r="AN204" s="24" t="inlineStr">
        <is>
          <t>NO_CALL</t>
        </is>
      </c>
      <c r="AO204" s="24" t="inlineStr">
        <is>
          <t>NO_CALL_LOW_EDGE</t>
        </is>
      </c>
      <c r="AP204" s="24" t="inlineStr">
        <is>
          <t>Boston River</t>
        </is>
      </c>
      <c r="AQ204" s="24" t="inlineStr">
        <is>
          <t>Boston River</t>
        </is>
      </c>
      <c r="AR204" s="24" t="inlineStr">
        <is>
          <t>Boston River</t>
        </is>
      </c>
      <c r="AS204" s="24" t="inlineStr">
        <is>
          <t>Racing (Montevideo)</t>
        </is>
      </c>
      <c r="AT204" s="24" t="inlineStr">
        <is>
          <t>Racing (Montevideo)</t>
        </is>
      </c>
      <c r="AU204" s="24" t="inlineStr">
        <is>
          <t>Racing (Montevideo)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34d1568aad0ff11b5db35f118324684f93281e1c21fa7b80be7a4a4e2cb4bb03</t>
        </is>
      </c>
      <c r="BB204" s="24" t="inlineStr">
        <is>
          <t>poisson_dixon_coles</t>
        </is>
      </c>
      <c r="BC204" s="24" t="inlineStr">
        <is>
          <t>soccer-poisson-dc-v1</t>
        </is>
      </c>
      <c r="BD204" s="24" t="inlineStr">
        <is>
          <t>34d1568aad0ff11b5db35f118324684f93281e1c21fa7b80be7a4a4e2cb4bb03</t>
        </is>
      </c>
      <c r="BE204" s="24" t="inlineStr">
        <is>
          <t>soccer-poisson-dc-v1</t>
        </is>
      </c>
      <c r="BF204" s="24" t="inlineStr">
        <is>
          <t>1</t>
        </is>
      </c>
      <c r="BG204" s="24" t="inlineStr">
        <is>
          <t>34d1568aad0ff11b5db35f118324684f93281e1c21fa7b80be7a4a4e2cb4bb03</t>
        </is>
      </c>
      <c r="BH204" s="24" t="inlineStr">
        <is>
          <t>2026-08-02T13:02:47.678863Z</t>
        </is>
      </c>
      <c r="BI204" s="24" t="inlineStr">
        <is>
          <t>["same_event","same_team_same_day","same_league_same_day"]</t>
        </is>
      </c>
      <c r="BJ204" s="25" t="n"/>
      <c r="BK204" s="26" t="n">
        <v>-127</v>
      </c>
      <c r="BL204" s="27" t="n">
        <v>1.787402</v>
      </c>
      <c r="BM204" s="28" t="n">
        <v>0.5594710000000001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</row>
    <row r="205" ht="36" customHeight="1">
      <c r="A205" s="24" t="inlineStr">
        <is>
          <t>2d67de72f6ba48bd</t>
        </is>
      </c>
      <c r="B205" s="24" t="inlineStr">
        <is>
          <t>2026-08-02T13:05:47.245126Z</t>
        </is>
      </c>
      <c r="C205" s="24" t="inlineStr">
        <is>
          <t>2026-08-02T14:30Z</t>
        </is>
      </c>
      <c r="D205" s="24" t="inlineStr">
        <is>
          <t>401898711</t>
        </is>
      </c>
      <c r="E205" s="24" t="inlineStr">
        <is>
          <t>SOCCER</t>
        </is>
      </c>
      <c r="F205" s="24" t="inlineStr">
        <is>
          <t>Udinese</t>
        </is>
      </c>
      <c r="G205" s="24" t="inlineStr">
        <is>
          <t>Trabzonspor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156</v>
      </c>
      <c r="M205" s="27" t="n">
        <v>2.56</v>
      </c>
      <c r="N205" s="28" t="n">
        <v>0.390625</v>
      </c>
      <c r="O205" s="28" t="n">
        <v>0.395816</v>
      </c>
      <c r="P205" s="28" t="n">
        <v>0.2</v>
      </c>
      <c r="Q205" s="28" t="n">
        <v>0.005191</v>
      </c>
      <c r="R205" s="26" t="n">
        <v>0</v>
      </c>
      <c r="S205" s="29" t="n">
        <v>1</v>
      </c>
      <c r="T205" s="24" t="inlineStr">
        <is>
          <t>soccer-poisson-dc-v1</t>
        </is>
      </c>
      <c r="U205" s="24" t="inlineStr">
        <is>
          <t>settled</t>
        </is>
      </c>
      <c r="V205" s="24" t="inlineStr">
        <is>
          <t>win</t>
        </is>
      </c>
      <c r="W205" s="26" t="n">
        <v>0</v>
      </c>
      <c r="X205" s="26" t="n">
        <v>1</v>
      </c>
      <c r="Y205" s="25" t="n"/>
      <c r="Z205" s="26" t="n"/>
      <c r="AA205" s="28" t="n"/>
      <c r="AB205" s="28" t="n"/>
      <c r="AC205" s="30" t="n">
        <v>1.56</v>
      </c>
      <c r="AD205" s="24" t="inlineStr">
        <is>
          <t>2026-08-02T16:39:53.616358Z</t>
        </is>
      </c>
      <c r="AE205" s="31" t="inlineStr">
        <is>
          <t>Poisson-DC rates 1.26 (home) / 1.06 (away) from EWMA attack/defense strengths. Executable ask 0.3900 (atc-clbf-tra-udi-2026-08-02-tra).</t>
        </is>
      </c>
      <c r="AF205" s="31" t="inlineStr">
        <is>
          <t>Research-only soccer score model; draw-aware, but not yet locked-holdout qualified.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research_observation</t>
        </is>
      </c>
      <c r="AL205" s="26" t="n">
        <v>3</v>
      </c>
      <c r="AM205" s="24" t="inlineStr">
        <is>
          <t>RESEARCH_OBSERVATION</t>
        </is>
      </c>
      <c r="AN205" s="24" t="inlineStr">
        <is>
          <t>NO_CALL</t>
        </is>
      </c>
      <c r="AO205" s="24" t="inlineStr">
        <is>
          <t>NO_CALL_LOW_EDGE</t>
        </is>
      </c>
      <c r="AP205" s="24" t="inlineStr">
        <is>
          <t>Udinese</t>
        </is>
      </c>
      <c r="AQ205" s="24" t="inlineStr">
        <is>
          <t>Udinese</t>
        </is>
      </c>
      <c r="AR205" s="24" t="inlineStr">
        <is>
          <t>Udinese</t>
        </is>
      </c>
      <c r="AS205" s="24" t="inlineStr">
        <is>
          <t>Trabzonspor</t>
        </is>
      </c>
      <c r="AT205" s="24" t="inlineStr">
        <is>
          <t>Trabzonspor</t>
        </is>
      </c>
      <c r="AU205" s="24" t="inlineStr">
        <is>
          <t>Trabzonspor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34d1568aad0ff11b5db35f118324684f93281e1c21fa7b80be7a4a4e2cb4bb03</t>
        </is>
      </c>
      <c r="BB205" s="24" t="inlineStr">
        <is>
          <t>poisson_dixon_coles</t>
        </is>
      </c>
      <c r="BC205" s="24" t="inlineStr">
        <is>
          <t>soccer-poisson-dc-v1</t>
        </is>
      </c>
      <c r="BD205" s="24" t="inlineStr">
        <is>
          <t>34d1568aad0ff11b5db35f118324684f93281e1c21fa7b80be7a4a4e2cb4bb03</t>
        </is>
      </c>
      <c r="BE205" s="24" t="inlineStr">
        <is>
          <t>soccer-poisson-dc-v1</t>
        </is>
      </c>
      <c r="BF205" s="24" t="inlineStr">
        <is>
          <t>1</t>
        </is>
      </c>
      <c r="BG205" s="24" t="inlineStr">
        <is>
          <t>34d1568aad0ff11b5db35f118324684f93281e1c21fa7b80be7a4a4e2cb4bb03</t>
        </is>
      </c>
      <c r="BH205" s="24" t="inlineStr">
        <is>
          <t>2026-08-02T13:02:50.866524Z</t>
        </is>
      </c>
      <c r="BI205" s="24" t="inlineStr">
        <is>
          <t>["same_event","same_team_same_day","same_league_same_day"]</t>
        </is>
      </c>
      <c r="BJ205" s="25" t="n"/>
      <c r="BK205" s="26" t="n">
        <v>156</v>
      </c>
      <c r="BL205" s="27" t="n">
        <v>2.56</v>
      </c>
      <c r="BM205" s="28" t="n">
        <v>0.390625</v>
      </c>
      <c r="BN205" s="28" t="n"/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</row>
    <row r="206" ht="36" customHeight="1">
      <c r="A206" s="24" t="inlineStr">
        <is>
          <t>c03585b82e134879</t>
        </is>
      </c>
      <c r="B206" s="24" t="inlineStr">
        <is>
          <t>2026-08-02T15:49:40.829108Z</t>
        </is>
      </c>
      <c r="C206" s="24" t="inlineStr">
        <is>
          <t>2026-08-02T16:00Z</t>
        </is>
      </c>
      <c r="D206" s="24" t="inlineStr">
        <is>
          <t>401897751</t>
        </is>
      </c>
      <c r="E206" s="24" t="inlineStr">
        <is>
          <t>SOCCER</t>
        </is>
      </c>
      <c r="F206" s="24" t="inlineStr">
        <is>
          <t>Wrexham</t>
        </is>
      </c>
      <c r="G206" s="24" t="inlineStr">
        <is>
          <t>Sunderland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-104</v>
      </c>
      <c r="M206" s="27" t="n">
        <v>1.961538</v>
      </c>
      <c r="N206" s="28" t="n">
        <v>0.509804</v>
      </c>
      <c r="O206" s="28" t="n">
        <v>0.395592</v>
      </c>
      <c r="P206" s="28" t="n">
        <v>0.04</v>
      </c>
      <c r="Q206" s="28" t="n">
        <v>-0.114212</v>
      </c>
      <c r="R206" s="26" t="n">
        <v>0</v>
      </c>
      <c r="S206" s="29" t="n">
        <v>1.5</v>
      </c>
      <c r="T206" s="24" t="inlineStr">
        <is>
          <t>soccer-poisson-dc-v1</t>
        </is>
      </c>
      <c r="U206" s="24" t="inlineStr">
        <is>
          <t>open</t>
        </is>
      </c>
      <c r="V206" s="24" t="n"/>
      <c r="W206" s="26" t="n"/>
      <c r="X206" s="26" t="n"/>
      <c r="Y206" s="25" t="n"/>
      <c r="Z206" s="26" t="n"/>
      <c r="AA206" s="28" t="n"/>
      <c r="AB206" s="28" t="n"/>
      <c r="AC206" s="30" t="n"/>
      <c r="AD206" s="24" t="n"/>
      <c r="AE206" s="31" t="inlineStr">
        <is>
          <t>Poisson-DC rates 1.40 (home) / 1.24 (away) from EWMA attack/defense strengths. Executable ask 0.5100 (atc-clbf-sun-wre-2026-08-02-sun).</t>
        </is>
      </c>
      <c r="AF206" s="31" t="inlineStr">
        <is>
          <t>Research-only soccer score model; draw-aware, but not yet locked-holdout qualified.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research_observation</t>
        </is>
      </c>
      <c r="AL206" s="26" t="n">
        <v>3</v>
      </c>
      <c r="AM206" s="24" t="inlineStr">
        <is>
          <t>RESEARCH_OBSERVATION</t>
        </is>
      </c>
      <c r="AN206" s="24" t="inlineStr">
        <is>
          <t>NO_CALL</t>
        </is>
      </c>
      <c r="AO206" s="24" t="inlineStr">
        <is>
          <t>NO_CALL_LOW_EDGE</t>
        </is>
      </c>
      <c r="AP206" s="24" t="inlineStr">
        <is>
          <t>Wrexham</t>
        </is>
      </c>
      <c r="AQ206" s="24" t="inlineStr">
        <is>
          <t>Wrexham</t>
        </is>
      </c>
      <c r="AR206" s="24" t="inlineStr">
        <is>
          <t>Wrexham</t>
        </is>
      </c>
      <c r="AS206" s="24" t="inlineStr">
        <is>
          <t>Sunderland</t>
        </is>
      </c>
      <c r="AT206" s="24" t="inlineStr">
        <is>
          <t>Sunderland</t>
        </is>
      </c>
      <c r="AU206" s="24" t="inlineStr">
        <is>
          <t>Sunderland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34d1568aad0ff11b5db35f118324684f93281e1c21fa7b80be7a4a4e2cb4bb03</t>
        </is>
      </c>
      <c r="BB206" s="24" t="inlineStr">
        <is>
          <t>poisson_dixon_coles</t>
        </is>
      </c>
      <c r="BC206" s="24" t="inlineStr">
        <is>
          <t>soccer-poisson-dc-v1</t>
        </is>
      </c>
      <c r="BD206" s="24" t="inlineStr">
        <is>
          <t>34d1568aad0ff11b5db35f118324684f93281e1c21fa7b80be7a4a4e2cb4bb03</t>
        </is>
      </c>
      <c r="BE206" s="24" t="inlineStr">
        <is>
          <t>soccer-poisson-dc-v1</t>
        </is>
      </c>
      <c r="BF206" s="24" t="inlineStr">
        <is>
          <t>1</t>
        </is>
      </c>
      <c r="BG206" s="24" t="inlineStr">
        <is>
          <t>34d1568aad0ff11b5db35f118324684f93281e1c21fa7b80be7a4a4e2cb4bb03</t>
        </is>
      </c>
      <c r="BH206" s="24" t="inlineStr">
        <is>
          <t>2026-08-02T15:46:37.855949Z</t>
        </is>
      </c>
      <c r="BI206" s="24" t="inlineStr">
        <is>
          <t>["same_event","same_team_same_day","same_league_same_day"]</t>
        </is>
      </c>
      <c r="BJ206" s="25" t="n"/>
      <c r="BK206" s="26" t="n">
        <v>-104</v>
      </c>
      <c r="BL206" s="27" t="n">
        <v>1.961538</v>
      </c>
      <c r="BM206" s="28" t="n">
        <v>0.509804</v>
      </c>
      <c r="BN206" s="28" t="n"/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inlineStr">
        <is>
          <t>0</t>
        </is>
      </c>
    </row>
    <row r="207" ht="36" customHeight="1">
      <c r="A207" s="24" t="inlineStr">
        <is>
          <t>7e2113a2b9104093</t>
        </is>
      </c>
      <c r="B207" s="24" t="inlineStr">
        <is>
          <t>2026-07-27T15:07:03.733108Z</t>
        </is>
      </c>
      <c r="C207" s="24" t="inlineStr">
        <is>
          <t>2026-07-27T16:30Z</t>
        </is>
      </c>
      <c r="D207" s="24" t="inlineStr">
        <is>
          <t>888-2026:179013</t>
        </is>
      </c>
      <c r="E207" s="24" t="inlineStr">
        <is>
          <t>TENNIS</t>
        </is>
      </c>
      <c r="F207" s="24" t="inlineStr">
        <is>
          <t>Sofia Kenin</t>
        </is>
      </c>
      <c r="G207" s="24" t="inlineStr">
        <is>
          <t>Emma Navarro</t>
        </is>
      </c>
      <c r="H207" s="24" t="inlineStr">
        <is>
          <t>moneyline</t>
        </is>
      </c>
      <c r="I207" s="24" t="inlineStr">
        <is>
          <t>away</t>
        </is>
      </c>
      <c r="J207" s="25" t="n"/>
      <c r="K207" s="24" t="inlineStr">
        <is>
          <t>polymarket_us</t>
        </is>
      </c>
      <c r="L207" s="26" t="n">
        <v>233</v>
      </c>
      <c r="M207" s="27" t="n">
        <v>3.33</v>
      </c>
      <c r="N207" s="28" t="n">
        <v>0.3003</v>
      </c>
      <c r="O207" s="28" t="n">
        <v>0.5</v>
      </c>
      <c r="P207" s="28" t="n">
        <v>0.2</v>
      </c>
      <c r="Q207" s="28" t="n">
        <v>0.1997</v>
      </c>
      <c r="R207" s="26" t="n">
        <v>30</v>
      </c>
      <c r="S207" s="29" t="n">
        <v>1</v>
      </c>
      <c r="T207" s="24" t="inlineStr">
        <is>
          <t>tennis-surface-elo-v1</t>
        </is>
      </c>
      <c r="U207" s="24" t="inlineStr">
        <is>
          <t>settled</t>
        </is>
      </c>
      <c r="V207" s="24" t="inlineStr">
        <is>
          <t>loss</t>
        </is>
      </c>
      <c r="W207" s="26" t="n">
        <v>0</v>
      </c>
      <c r="X207" s="26" t="n">
        <v>1</v>
      </c>
      <c r="Y207" s="25" t="n"/>
      <c r="Z207" s="26" t="n"/>
      <c r="AA207" s="28" t="n"/>
      <c r="AB207" s="28" t="n"/>
      <c r="AC207" s="30" t="n">
        <v>-1</v>
      </c>
      <c r="AD207" s="24" t="inlineStr">
        <is>
          <t>2026-07-27T19:47:31.199433Z</t>
        </is>
      </c>
      <c r="AE207" s="31" t="inlineStr">
        <is>
          <t>Surface-blended Elo on Hard: Sofia Kenin p=0.500 vs Emma Navarro. Executable ask 0.3000 (aec-wta-emmnav-sofken-2026-07-27).</t>
        </is>
      </c>
      <c r="AF207" s="31" t="inlineStr">
        <is>
          <t>Research-only surface-blended Elo model; singles only, WTA-only market coverage, not yet locked-holdout qualified.</t>
        </is>
      </c>
      <c r="AG207" s="24" t="inlineStr">
        <is>
          <t>review_required</t>
        </is>
      </c>
      <c r="AH207" s="24" t="n"/>
      <c r="AI207" s="31" t="n"/>
      <c r="AJ207" s="31" t="n"/>
      <c r="AK207" s="24" t="inlineStr">
        <is>
          <t>research_observation</t>
        </is>
      </c>
      <c r="AL207" s="26" t="n">
        <v>3</v>
      </c>
      <c r="AM207" s="24" t="inlineStr">
        <is>
          <t>RESEARCH_OBSERVATION</t>
        </is>
      </c>
      <c r="AN207" s="24" t="inlineStr">
        <is>
          <t>NO_CALL</t>
        </is>
      </c>
      <c r="AO207" s="24" t="inlineStr">
        <is>
          <t>NO_CALL_MODEL_UNVALIDATED</t>
        </is>
      </c>
      <c r="AP207" s="24" t="inlineStr">
        <is>
          <t>Sofia Kenin</t>
        </is>
      </c>
      <c r="AQ207" s="24" t="inlineStr">
        <is>
          <t>Sofia Kenin</t>
        </is>
      </c>
      <c r="AR207" s="24" t="inlineStr">
        <is>
          <t>Sofia Kenin</t>
        </is>
      </c>
      <c r="AS207" s="24" t="inlineStr">
        <is>
          <t>Emma Navarro</t>
        </is>
      </c>
      <c r="AT207" s="24" t="inlineStr">
        <is>
          <t>Emma Navarro</t>
        </is>
      </c>
      <c r="AU207" s="24" t="inlineStr">
        <is>
          <t>Emma Navarro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research</t>
        </is>
      </c>
      <c r="BA207" s="24" t="inlineStr">
        <is>
          <t>73429bd71f12304106b9ffb751bd50617d5109d487f00de7ae2732f60e779590</t>
        </is>
      </c>
      <c r="BB207" s="24" t="inlineStr">
        <is>
          <t>surface_blended_elo</t>
        </is>
      </c>
      <c r="BC207" s="24" t="inlineStr">
        <is>
          <t>tennis-surface-elo-v1</t>
        </is>
      </c>
      <c r="BD207" s="24" t="inlineStr">
        <is>
          <t>73429bd71f12304106b9ffb751bd50617d5109d487f00de7ae2732f60e779590</t>
        </is>
      </c>
      <c r="BE207" s="24" t="inlineStr">
        <is>
          <t>tennis-surface-elo-v1</t>
        </is>
      </c>
      <c r="BF207" s="24" t="inlineStr">
        <is>
          <t>1</t>
        </is>
      </c>
      <c r="BG207" s="24" t="inlineStr">
        <is>
          <t>73429bd71f12304106b9ffb751bd50617d5109d487f00de7ae2732f60e779590</t>
        </is>
      </c>
      <c r="BH207" s="24" t="inlineStr">
        <is>
          <t>2026-07-27T15:05:37.057253Z</t>
        </is>
      </c>
      <c r="BI207" s="24" t="inlineStr">
        <is>
          <t>["same_event","same_team_same_day","same_league_same_day"]</t>
        </is>
      </c>
      <c r="BJ207" s="25" t="n"/>
      <c r="BK207" s="26" t="n">
        <v>233</v>
      </c>
      <c r="BL207" s="27" t="n">
        <v>3.33</v>
      </c>
      <c r="BM207" s="28" t="n">
        <v>0.3003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</row>
    <row r="208" ht="36" customHeight="1">
      <c r="A208" s="24" t="inlineStr">
        <is>
          <t>3b5660f4c52642df</t>
        </is>
      </c>
      <c r="B208" s="24" t="inlineStr">
        <is>
          <t>2026-07-27T19:49:40.013851Z</t>
        </is>
      </c>
      <c r="C208" s="24" t="inlineStr">
        <is>
          <t>2026-07-27T22:00Z</t>
        </is>
      </c>
      <c r="D208" s="24" t="inlineStr">
        <is>
          <t>888-2026:179015</t>
        </is>
      </c>
      <c r="E208" s="24" t="inlineStr">
        <is>
          <t>TENNIS</t>
        </is>
      </c>
      <c r="F208" s="24" t="inlineStr">
        <is>
          <t>Madison Keys</t>
        </is>
      </c>
      <c r="G208" s="24" t="inlineStr">
        <is>
          <t>Liudmila Samsonova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-317</v>
      </c>
      <c r="M208" s="27" t="n">
        <v>1.315457</v>
      </c>
      <c r="N208" s="28" t="n">
        <v>0.760192</v>
      </c>
      <c r="O208" s="28" t="n">
        <v>0.79541</v>
      </c>
      <c r="P208" s="28" t="n">
        <v>0.05</v>
      </c>
      <c r="Q208" s="28" t="n">
        <v>0.035218</v>
      </c>
      <c r="R208" s="26" t="n">
        <v>38</v>
      </c>
      <c r="S208" s="29" t="n">
        <v>2</v>
      </c>
      <c r="T208" s="24" t="inlineStr">
        <is>
          <t>tennis-surface-elo-v1</t>
        </is>
      </c>
      <c r="U208" s="24" t="inlineStr">
        <is>
          <t>settled</t>
        </is>
      </c>
      <c r="V208" s="24" t="inlineStr">
        <is>
          <t>loss</t>
        </is>
      </c>
      <c r="W208" s="26" t="n">
        <v>0</v>
      </c>
      <c r="X208" s="26" t="n">
        <v>1</v>
      </c>
      <c r="Y208" s="25" t="n"/>
      <c r="Z208" s="26" t="n"/>
      <c r="AA208" s="28" t="n"/>
      <c r="AB208" s="28" t="n"/>
      <c r="AC208" s="30" t="n">
        <v>-2</v>
      </c>
      <c r="AD208" s="24" t="inlineStr">
        <is>
          <t>2026-07-28T01:57:12.909303Z</t>
        </is>
      </c>
      <c r="AE208" s="31" t="inlineStr">
        <is>
          <t>Surface-blended Elo on Hard: Madison Keys p=0.795 vs Liudmila Samsonova. Executable ask 0.7600 (aec-wta-liusam-madkey-2026-07-27).</t>
        </is>
      </c>
      <c r="AF208" s="31" t="inlineStr">
        <is>
          <t>Research-only surface-blended Elo model; singles only, WTA-only market coverage, not yet locked-holdout qualified.</t>
        </is>
      </c>
      <c r="AG208" s="24" t="inlineStr">
        <is>
          <t>review_required</t>
        </is>
      </c>
      <c r="AH208" s="24" t="n"/>
      <c r="AI208" s="31" t="n"/>
      <c r="AJ208" s="31" t="n"/>
      <c r="AK208" s="24" t="inlineStr">
        <is>
          <t>research_observation</t>
        </is>
      </c>
      <c r="AL208" s="26" t="n">
        <v>3</v>
      </c>
      <c r="AM208" s="24" t="inlineStr">
        <is>
          <t>RESEARCH_OBSERVATION</t>
        </is>
      </c>
      <c r="AN208" s="24" t="inlineStr">
        <is>
          <t>NO_CALL</t>
        </is>
      </c>
      <c r="AO208" s="24" t="inlineStr">
        <is>
          <t>NO_CALL_MODEL_UNVALIDATED</t>
        </is>
      </c>
      <c r="AP208" s="24" t="inlineStr">
        <is>
          <t>Madison Keys</t>
        </is>
      </c>
      <c r="AQ208" s="24" t="inlineStr">
        <is>
          <t>Madison Keys</t>
        </is>
      </c>
      <c r="AR208" s="24" t="inlineStr">
        <is>
          <t>Madison Keys</t>
        </is>
      </c>
      <c r="AS208" s="24" t="inlineStr">
        <is>
          <t>Liudmila Samsonova</t>
        </is>
      </c>
      <c r="AT208" s="24" t="inlineStr">
        <is>
          <t>Liudmila Samsonova</t>
        </is>
      </c>
      <c r="AU208" s="24" t="inlineStr">
        <is>
          <t>Liudmila Samsonova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research</t>
        </is>
      </c>
      <c r="BA208" s="24" t="inlineStr">
        <is>
          <t>73429bd71f12304106b9ffb751bd50617d5109d487f00de7ae2732f60e779590</t>
        </is>
      </c>
      <c r="BB208" s="24" t="inlineStr">
        <is>
          <t>surface_blended_elo</t>
        </is>
      </c>
      <c r="BC208" s="24" t="inlineStr">
        <is>
          <t>tennis-surface-elo-v1</t>
        </is>
      </c>
      <c r="BD208" s="24" t="inlineStr">
        <is>
          <t>73429bd71f12304106b9ffb751bd50617d5109d487f00de7ae2732f60e779590</t>
        </is>
      </c>
      <c r="BE208" s="24" t="inlineStr">
        <is>
          <t>tennis-surface-elo-v1</t>
        </is>
      </c>
      <c r="BF208" s="24" t="inlineStr">
        <is>
          <t>1</t>
        </is>
      </c>
      <c r="BG208" s="24" t="inlineStr">
        <is>
          <t>73429bd71f12304106b9ffb751bd50617d5109d487f00de7ae2732f60e779590</t>
        </is>
      </c>
      <c r="BH208" s="24" t="inlineStr">
        <is>
          <t>2026-07-27T19:48:24.043030Z</t>
        </is>
      </c>
      <c r="BI208" s="24" t="inlineStr">
        <is>
          <t>["same_event","same_team_same_day","same_league_same_day"]</t>
        </is>
      </c>
      <c r="BJ208" s="25" t="n"/>
      <c r="BK208" s="26" t="n">
        <v>-317</v>
      </c>
      <c r="BL208" s="27" t="n">
        <v>1.315457</v>
      </c>
      <c r="BM208" s="28" t="n">
        <v>0.760192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</row>
    <row r="209" ht="36" customHeight="1">
      <c r="A209" s="24" t="inlineStr">
        <is>
          <t>d89920db2b224bab</t>
        </is>
      </c>
      <c r="B209" s="24" t="inlineStr">
        <is>
          <t>2026-07-27T19:49:40.013851Z</t>
        </is>
      </c>
      <c r="C209" s="24" t="inlineStr">
        <is>
          <t>2026-07-27T22:30Z</t>
        </is>
      </c>
      <c r="D209" s="24" t="inlineStr">
        <is>
          <t>888-2026:179011</t>
        </is>
      </c>
      <c r="E209" s="24" t="inlineStr">
        <is>
          <t>TENNIS</t>
        </is>
      </c>
      <c r="F209" s="24" t="inlineStr">
        <is>
          <t>Katie Boulter</t>
        </is>
      </c>
      <c r="G209" s="24" t="inlineStr">
        <is>
          <t>Ashlyn Krueger</t>
        </is>
      </c>
      <c r="H209" s="24" t="inlineStr">
        <is>
          <t>moneyline</t>
        </is>
      </c>
      <c r="I209" s="24" t="inlineStr">
        <is>
          <t>away</t>
        </is>
      </c>
      <c r="J209" s="25" t="n"/>
      <c r="K209" s="24" t="inlineStr">
        <is>
          <t>polymarket_us</t>
        </is>
      </c>
      <c r="L209" s="26" t="n">
        <v>150</v>
      </c>
      <c r="M209" s="27" t="n">
        <v>2.5</v>
      </c>
      <c r="N209" s="28" t="n">
        <v>0.4</v>
      </c>
      <c r="O209" s="28" t="n">
        <v>0.5086039999999999</v>
      </c>
      <c r="P209" s="28" t="n">
        <v>0.05</v>
      </c>
      <c r="Q209" s="28" t="n">
        <v>0.108604</v>
      </c>
      <c r="R209" s="26" t="n">
        <v>74</v>
      </c>
      <c r="S209" s="29" t="n">
        <v>1</v>
      </c>
      <c r="T209" s="24" t="inlineStr">
        <is>
          <t>tennis-surface-elo-v1</t>
        </is>
      </c>
      <c r="U209" s="24" t="inlineStr">
        <is>
          <t>settled</t>
        </is>
      </c>
      <c r="V209" s="24" t="inlineStr">
        <is>
          <t>loss</t>
        </is>
      </c>
      <c r="W209" s="26" t="n">
        <v>0</v>
      </c>
      <c r="X209" s="26" t="n">
        <v>1</v>
      </c>
      <c r="Y209" s="25" t="n"/>
      <c r="Z209" s="26" t="n"/>
      <c r="AA209" s="28" t="n"/>
      <c r="AB209" s="28" t="n"/>
      <c r="AC209" s="30" t="n">
        <v>-1</v>
      </c>
      <c r="AD209" s="24" t="inlineStr">
        <is>
          <t>2026-07-28T01:57:12.964210Z</t>
        </is>
      </c>
      <c r="AE209" s="31" t="inlineStr">
        <is>
          <t>Surface-blended Elo on Hard: Katie Boulter p=0.509 vs Ashlyn Krueger. Executable ask 0.4000 (aec-wta-ashkru-katbou-2026-07-27).</t>
        </is>
      </c>
      <c r="AF209" s="31" t="inlineStr">
        <is>
          <t>Research-only surface-blended Elo model; singles only, WTA-only market coverage, not yet locked-holdout qualified.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research_observation</t>
        </is>
      </c>
      <c r="AL209" s="26" t="n">
        <v>3</v>
      </c>
      <c r="AM209" s="24" t="inlineStr">
        <is>
          <t>RESEARCH_OBSERVATION</t>
        </is>
      </c>
      <c r="AN209" s="24" t="inlineStr">
        <is>
          <t>NO_CALL</t>
        </is>
      </c>
      <c r="AO209" s="24" t="inlineStr">
        <is>
          <t>NO_CALL_MODEL_UNVALIDATED</t>
        </is>
      </c>
      <c r="AP209" s="24" t="inlineStr">
        <is>
          <t>Katie Boulter</t>
        </is>
      </c>
      <c r="AQ209" s="24" t="inlineStr">
        <is>
          <t>Katie Boulter</t>
        </is>
      </c>
      <c r="AR209" s="24" t="inlineStr">
        <is>
          <t>Katie Boulter</t>
        </is>
      </c>
      <c r="AS209" s="24" t="inlineStr">
        <is>
          <t>Ashlyn Krueger</t>
        </is>
      </c>
      <c r="AT209" s="24" t="inlineStr">
        <is>
          <t>Ashlyn Krueger</t>
        </is>
      </c>
      <c r="AU209" s="24" t="inlineStr">
        <is>
          <t>Ashlyn Krueger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research</t>
        </is>
      </c>
      <c r="BA209" s="24" t="inlineStr">
        <is>
          <t>73429bd71f12304106b9ffb751bd50617d5109d487f00de7ae2732f60e779590</t>
        </is>
      </c>
      <c r="BB209" s="24" t="inlineStr">
        <is>
          <t>surface_blended_elo</t>
        </is>
      </c>
      <c r="BC209" s="24" t="inlineStr">
        <is>
          <t>tennis-surface-elo-v1</t>
        </is>
      </c>
      <c r="BD209" s="24" t="inlineStr">
        <is>
          <t>73429bd71f12304106b9ffb751bd50617d5109d487f00de7ae2732f60e779590</t>
        </is>
      </c>
      <c r="BE209" s="24" t="inlineStr">
        <is>
          <t>tennis-surface-elo-v1</t>
        </is>
      </c>
      <c r="BF209" s="24" t="inlineStr">
        <is>
          <t>1</t>
        </is>
      </c>
      <c r="BG209" s="24" t="inlineStr">
        <is>
          <t>73429bd71f12304106b9ffb751bd50617d5109d487f00de7ae2732f60e779590</t>
        </is>
      </c>
      <c r="BH209" s="24" t="inlineStr">
        <is>
          <t>2026-07-27T19:48:29.416107Z</t>
        </is>
      </c>
      <c r="BI209" s="24" t="inlineStr">
        <is>
          <t>["same_event","same_team_same_day","same_league_same_day"]</t>
        </is>
      </c>
      <c r="BJ209" s="25" t="n"/>
      <c r="BK209" s="26" t="n">
        <v>150</v>
      </c>
      <c r="BL209" s="27" t="n">
        <v>2.5</v>
      </c>
      <c r="BM209" s="28" t="n">
        <v>0.4</v>
      </c>
      <c r="BN209" s="28" t="n"/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</row>
    <row r="210" ht="36" customHeight="1">
      <c r="A210" s="24" t="inlineStr">
        <is>
          <t>3a5d647692064eec</t>
        </is>
      </c>
      <c r="B210" s="24" t="inlineStr">
        <is>
          <t>2026-07-27T19:49:40.013851Z</t>
        </is>
      </c>
      <c r="C210" s="24" t="inlineStr">
        <is>
          <t>2026-07-27T22:00Z</t>
        </is>
      </c>
      <c r="D210" s="24" t="inlineStr">
        <is>
          <t>1067-2026:179458</t>
        </is>
      </c>
      <c r="E210" s="24" t="inlineStr">
        <is>
          <t>TENNIS</t>
        </is>
      </c>
      <c r="F210" s="24" t="inlineStr">
        <is>
          <t>Reese Brantmeier</t>
        </is>
      </c>
      <c r="G210" s="24" t="inlineStr">
        <is>
          <t>Iryna Shymanovich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-117</v>
      </c>
      <c r="M210" s="27" t="n">
        <v>1.854701</v>
      </c>
      <c r="N210" s="28" t="n">
        <v>0.539171</v>
      </c>
      <c r="O210" s="28" t="n">
        <v>0.586243</v>
      </c>
      <c r="P210" s="28" t="n">
        <v>0.05</v>
      </c>
      <c r="Q210" s="28" t="n">
        <v>0.047072</v>
      </c>
      <c r="R210" s="26" t="n">
        <v>44</v>
      </c>
      <c r="S210" s="29" t="n">
        <v>1.25</v>
      </c>
      <c r="T210" s="24" t="inlineStr">
        <is>
          <t>tennis-surface-elo-v1</t>
        </is>
      </c>
      <c r="U210" s="24" t="inlineStr">
        <is>
          <t>settled</t>
        </is>
      </c>
      <c r="V210" s="24" t="inlineStr">
        <is>
          <t>win</t>
        </is>
      </c>
      <c r="W210" s="26" t="n">
        <v>0</v>
      </c>
      <c r="X210" s="26" t="n">
        <v>1</v>
      </c>
      <c r="Y210" s="25" t="n"/>
      <c r="Z210" s="26" t="n"/>
      <c r="AA210" s="28" t="n"/>
      <c r="AB210" s="28" t="n"/>
      <c r="AC210" s="30" t="n">
        <v>1.0684</v>
      </c>
      <c r="AD210" s="24" t="inlineStr">
        <is>
          <t>2026-07-28T01:57:13.013056Z</t>
        </is>
      </c>
      <c r="AE210" s="31" t="inlineStr">
        <is>
          <t>Surface-blended Elo on Hard: Reese Brantmeier p=0.414 vs Iryna Shymanovich. Executable ask 0.5400 (aec-wta-iryshy-reebra-2026-07-27).</t>
        </is>
      </c>
      <c r="AF210" s="31" t="inlineStr">
        <is>
          <t>Research-only surface-blended Elo model; singles only, WTA-only market coverage, not yet locked-holdout qualified.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research_observation</t>
        </is>
      </c>
      <c r="AL210" s="26" t="n">
        <v>3</v>
      </c>
      <c r="AM210" s="24" t="inlineStr">
        <is>
          <t>RESEARCH_OBSERVATION</t>
        </is>
      </c>
      <c r="AN210" s="24" t="inlineStr">
        <is>
          <t>NO_CALL</t>
        </is>
      </c>
      <c r="AO210" s="24" t="inlineStr">
        <is>
          <t>NO_CALL_MODEL_UNVALIDATED</t>
        </is>
      </c>
      <c r="AP210" s="24" t="inlineStr">
        <is>
          <t>Reese Brantmeier</t>
        </is>
      </c>
      <c r="AQ210" s="24" t="inlineStr">
        <is>
          <t>Reese Brantmeier</t>
        </is>
      </c>
      <c r="AR210" s="24" t="inlineStr">
        <is>
          <t>Reese Brantmeier</t>
        </is>
      </c>
      <c r="AS210" s="24" t="inlineStr">
        <is>
          <t>Iryna Shymanovich</t>
        </is>
      </c>
      <c r="AT210" s="24" t="inlineStr">
        <is>
          <t>Iryna Shymanovich</t>
        </is>
      </c>
      <c r="AU210" s="24" t="inlineStr">
        <is>
          <t>Iryna Shymanovich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research</t>
        </is>
      </c>
      <c r="BA210" s="24" t="inlineStr">
        <is>
          <t>73429bd71f12304106b9ffb751bd50617d5109d487f00de7ae2732f60e779590</t>
        </is>
      </c>
      <c r="BB210" s="24" t="inlineStr">
        <is>
          <t>surface_blended_elo</t>
        </is>
      </c>
      <c r="BC210" s="24" t="inlineStr">
        <is>
          <t>tennis-surface-elo-v1</t>
        </is>
      </c>
      <c r="BD210" s="24" t="inlineStr">
        <is>
          <t>73429bd71f12304106b9ffb751bd50617d5109d487f00de7ae2732f60e779590</t>
        </is>
      </c>
      <c r="BE210" s="24" t="inlineStr">
        <is>
          <t>tennis-surface-elo-v1</t>
        </is>
      </c>
      <c r="BF210" s="24" t="inlineStr">
        <is>
          <t>1</t>
        </is>
      </c>
      <c r="BG210" s="24" t="inlineStr">
        <is>
          <t>73429bd71f12304106b9ffb751bd50617d5109d487f00de7ae2732f60e779590</t>
        </is>
      </c>
      <c r="BH210" s="24" t="inlineStr">
        <is>
          <t>2026-07-27T19:48:21.751615Z</t>
        </is>
      </c>
      <c r="BI210" s="24" t="inlineStr">
        <is>
          <t>["same_event","same_team_same_day","same_league_same_day"]</t>
        </is>
      </c>
      <c r="BJ210" s="25" t="n"/>
      <c r="BK210" s="26" t="n">
        <v>-117</v>
      </c>
      <c r="BL210" s="27" t="n">
        <v>1.854701</v>
      </c>
      <c r="BM210" s="28" t="n">
        <v>0.539171</v>
      </c>
      <c r="BN210" s="28" t="n"/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</row>
    <row r="211" ht="36" customHeight="1">
      <c r="A211" s="24" t="inlineStr">
        <is>
          <t>dbf54110c6ac4140</t>
        </is>
      </c>
      <c r="B211" s="24" t="inlineStr">
        <is>
          <t>2026-07-27T19:49:40.013851Z</t>
        </is>
      </c>
      <c r="C211" s="24" t="inlineStr">
        <is>
          <t>2026-07-27T22:00Z</t>
        </is>
      </c>
      <c r="D211" s="24" t="inlineStr">
        <is>
          <t>1067-2026:179467</t>
        </is>
      </c>
      <c r="E211" s="24" t="inlineStr">
        <is>
          <t>TENNIS</t>
        </is>
      </c>
      <c r="F211" s="24" t="inlineStr">
        <is>
          <t>Tatjana Maria</t>
        </is>
      </c>
      <c r="G211" s="24" t="inlineStr">
        <is>
          <t>Talia Gibson</t>
        </is>
      </c>
      <c r="H211" s="24" t="inlineStr">
        <is>
          <t>moneyline</t>
        </is>
      </c>
      <c r="I211" s="24" t="inlineStr">
        <is>
          <t>away</t>
        </is>
      </c>
      <c r="J211" s="25" t="n"/>
      <c r="K211" s="24" t="inlineStr">
        <is>
          <t>polymarket_us</t>
        </is>
      </c>
      <c r="L211" s="26" t="n">
        <v>144</v>
      </c>
      <c r="M211" s="27" t="n">
        <v>2.44</v>
      </c>
      <c r="N211" s="28" t="n">
        <v>0.409836</v>
      </c>
      <c r="O211" s="28" t="n">
        <v>0.553067</v>
      </c>
      <c r="P211" s="28" t="n">
        <v>0.05</v>
      </c>
      <c r="Q211" s="28" t="n">
        <v>0.143231</v>
      </c>
      <c r="R211" s="26" t="n">
        <v>92</v>
      </c>
      <c r="S211" s="29" t="n">
        <v>1</v>
      </c>
      <c r="T211" s="24" t="inlineStr">
        <is>
          <t>tennis-surface-elo-v1</t>
        </is>
      </c>
      <c r="U211" s="24" t="inlineStr">
        <is>
          <t>settled</t>
        </is>
      </c>
      <c r="V211" s="24" t="inlineStr">
        <is>
          <t>win</t>
        </is>
      </c>
      <c r="W211" s="26" t="n">
        <v>1</v>
      </c>
      <c r="X211" s="26" t="n">
        <v>0</v>
      </c>
      <c r="Y211" s="25" t="n"/>
      <c r="Z211" s="26" t="n"/>
      <c r="AA211" s="28" t="n"/>
      <c r="AB211" s="28" t="n"/>
      <c r="AC211" s="30" t="n">
        <v>1.44</v>
      </c>
      <c r="AD211" s="24" t="inlineStr">
        <is>
          <t>2026-07-28T01:57:13.062475Z</t>
        </is>
      </c>
      <c r="AE211" s="31" t="inlineStr">
        <is>
          <t>Surface-blended Elo on Hard: Tatjana Maria p=0.553 vs Talia Gibson. Executable ask 0.4100 (aec-wta-talgib-tatmar-2026-07-26).</t>
        </is>
      </c>
      <c r="AF211" s="31" t="inlineStr">
        <is>
          <t>Research-only surface-blended Elo model; singles only, WTA-only market coverage, not yet locked-holdout qualified.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research_observation</t>
        </is>
      </c>
      <c r="AL211" s="26" t="n">
        <v>3</v>
      </c>
      <c r="AM211" s="24" t="inlineStr">
        <is>
          <t>RESEARCH_OBSERVATION</t>
        </is>
      </c>
      <c r="AN211" s="24" t="inlineStr">
        <is>
          <t>NO_CALL</t>
        </is>
      </c>
      <c r="AO211" s="24" t="inlineStr">
        <is>
          <t>NO_CALL_MODEL_UNVALIDATED</t>
        </is>
      </c>
      <c r="AP211" s="24" t="inlineStr">
        <is>
          <t>Tatjana Maria</t>
        </is>
      </c>
      <c r="AQ211" s="24" t="inlineStr">
        <is>
          <t>Tatjana Maria</t>
        </is>
      </c>
      <c r="AR211" s="24" t="inlineStr">
        <is>
          <t>Tatjana Maria</t>
        </is>
      </c>
      <c r="AS211" s="24" t="inlineStr">
        <is>
          <t>Talia Gibson</t>
        </is>
      </c>
      <c r="AT211" s="24" t="inlineStr">
        <is>
          <t>Talia Gibson</t>
        </is>
      </c>
      <c r="AU211" s="24" t="inlineStr">
        <is>
          <t>Talia Gibson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research</t>
        </is>
      </c>
      <c r="BA211" s="24" t="inlineStr">
        <is>
          <t>73429bd71f12304106b9ffb751bd50617d5109d487f00de7ae2732f60e779590</t>
        </is>
      </c>
      <c r="BB211" s="24" t="inlineStr">
        <is>
          <t>surface_blended_elo</t>
        </is>
      </c>
      <c r="BC211" s="24" t="inlineStr">
        <is>
          <t>tennis-surface-elo-v1</t>
        </is>
      </c>
      <c r="BD211" s="24" t="inlineStr">
        <is>
          <t>73429bd71f12304106b9ffb751bd50617d5109d487f00de7ae2732f60e779590</t>
        </is>
      </c>
      <c r="BE211" s="24" t="inlineStr">
        <is>
          <t>tennis-surface-elo-v1</t>
        </is>
      </c>
      <c r="BF211" s="24" t="inlineStr">
        <is>
          <t>1</t>
        </is>
      </c>
      <c r="BG211" s="24" t="inlineStr">
        <is>
          <t>73429bd71f12304106b9ffb751bd50617d5109d487f00de7ae2732f60e779590</t>
        </is>
      </c>
      <c r="BH211" s="24" t="inlineStr">
        <is>
          <t>2026-07-27T19:48:25.266083Z</t>
        </is>
      </c>
      <c r="BI211" s="24" t="inlineStr">
        <is>
          <t>["same_event","same_team_same_day","same_league_same_day"]</t>
        </is>
      </c>
      <c r="BJ211" s="25" t="n"/>
      <c r="BK211" s="26" t="n">
        <v>144</v>
      </c>
      <c r="BL211" s="27" t="n">
        <v>2.44</v>
      </c>
      <c r="BM211" s="28" t="n">
        <v>0.409836</v>
      </c>
      <c r="BN211" s="28" t="n"/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</row>
    <row r="212" ht="36" customHeight="1">
      <c r="A212" s="24" t="inlineStr">
        <is>
          <t>dcab0226e1494560</t>
        </is>
      </c>
      <c r="B212" s="24" t="inlineStr">
        <is>
          <t>2026-07-27T19:49:40.013851Z</t>
        </is>
      </c>
      <c r="C212" s="24" t="inlineStr">
        <is>
          <t>2026-07-27T22:00Z</t>
        </is>
      </c>
      <c r="D212" s="24" t="inlineStr">
        <is>
          <t>1067-2026:179448</t>
        </is>
      </c>
      <c r="E212" s="24" t="inlineStr">
        <is>
          <t>TENNIS</t>
        </is>
      </c>
      <c r="F212" s="24" t="inlineStr">
        <is>
          <t>Tatiana Prozorova</t>
        </is>
      </c>
      <c r="G212" s="24" t="inlineStr">
        <is>
          <t>Solana Sierra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-122</v>
      </c>
      <c r="M212" s="27" t="n">
        <v>1.819672</v>
      </c>
      <c r="N212" s="28" t="n">
        <v>0.54955</v>
      </c>
      <c r="O212" s="28" t="n">
        <v>0.5067430000000001</v>
      </c>
      <c r="P212" s="28" t="n">
        <v>0.05</v>
      </c>
      <c r="Q212" s="28" t="n">
        <v>-0.042807</v>
      </c>
      <c r="R212" s="26" t="n">
        <v>0</v>
      </c>
      <c r="S212" s="29" t="n">
        <v>1</v>
      </c>
      <c r="T212" s="24" t="inlineStr">
        <is>
          <t>tennis-surface-elo-v1</t>
        </is>
      </c>
      <c r="U212" s="24" t="inlineStr">
        <is>
          <t>settled</t>
        </is>
      </c>
      <c r="V212" s="24" t="inlineStr">
        <is>
          <t>win</t>
        </is>
      </c>
      <c r="W212" s="26" t="n">
        <v>1</v>
      </c>
      <c r="X212" s="26" t="n">
        <v>0</v>
      </c>
      <c r="Y212" s="25" t="n"/>
      <c r="Z212" s="26" t="n"/>
      <c r="AA212" s="28" t="n"/>
      <c r="AB212" s="28" t="n"/>
      <c r="AC212" s="30" t="n">
        <v>0.8197</v>
      </c>
      <c r="AD212" s="24" t="inlineStr">
        <is>
          <t>2026-07-28T01:57:13.111845Z</t>
        </is>
      </c>
      <c r="AE212" s="31" t="inlineStr">
        <is>
          <t>Surface-blended Elo on Hard: Tatiana Prozorova p=0.507 vs Solana Sierra. Executable ask 0.5500 (aec-wta-solsie-tatpro-2026-07-27).</t>
        </is>
      </c>
      <c r="AF212" s="31" t="inlineStr">
        <is>
          <t>Research-only surface-blended Elo model; singles only, WTA-only market coverage, not yet locked-holdout qualified.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research_observation</t>
        </is>
      </c>
      <c r="AL212" s="26" t="n">
        <v>3</v>
      </c>
      <c r="AM212" s="24" t="inlineStr">
        <is>
          <t>RESEARCH_OBSERVATION</t>
        </is>
      </c>
      <c r="AN212" s="24" t="inlineStr">
        <is>
          <t>NO_CALL</t>
        </is>
      </c>
      <c r="AO212" s="24" t="inlineStr">
        <is>
          <t>NO_CALL_MODEL_UNVALIDATED</t>
        </is>
      </c>
      <c r="AP212" s="24" t="inlineStr">
        <is>
          <t>Tatiana Prozorova</t>
        </is>
      </c>
      <c r="AQ212" s="24" t="inlineStr">
        <is>
          <t>Tatiana Prozorova</t>
        </is>
      </c>
      <c r="AR212" s="24" t="inlineStr">
        <is>
          <t>Tatiana Prozorova</t>
        </is>
      </c>
      <c r="AS212" s="24" t="inlineStr">
        <is>
          <t>Solana Sierra</t>
        </is>
      </c>
      <c r="AT212" s="24" t="inlineStr">
        <is>
          <t>Solana Sierra</t>
        </is>
      </c>
      <c r="AU212" s="24" t="inlineStr">
        <is>
          <t>Solana Sierra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research</t>
        </is>
      </c>
      <c r="BA212" s="24" t="inlineStr">
        <is>
          <t>73429bd71f12304106b9ffb751bd50617d5109d487f00de7ae2732f60e779590</t>
        </is>
      </c>
      <c r="BB212" s="24" t="inlineStr">
        <is>
          <t>surface_blended_elo</t>
        </is>
      </c>
      <c r="BC212" s="24" t="inlineStr">
        <is>
          <t>tennis-surface-elo-v1</t>
        </is>
      </c>
      <c r="BD212" s="24" t="inlineStr">
        <is>
          <t>73429bd71f12304106b9ffb751bd50617d5109d487f00de7ae2732f60e779590</t>
        </is>
      </c>
      <c r="BE212" s="24" t="inlineStr">
        <is>
          <t>tennis-surface-elo-v1</t>
        </is>
      </c>
      <c r="BF212" s="24" t="inlineStr">
        <is>
          <t>1</t>
        </is>
      </c>
      <c r="BG212" s="24" t="inlineStr">
        <is>
          <t>73429bd71f12304106b9ffb751bd50617d5109d487f00de7ae2732f60e779590</t>
        </is>
      </c>
      <c r="BH212" s="24" t="inlineStr">
        <is>
          <t>2026-07-27T19:48:27.703444Z</t>
        </is>
      </c>
      <c r="BI212" s="24" t="inlineStr">
        <is>
          <t>["same_event","same_team_same_day","same_league_same_day"]</t>
        </is>
      </c>
      <c r="BJ212" s="25" t="n"/>
      <c r="BK212" s="26" t="n">
        <v>-122</v>
      </c>
      <c r="BL212" s="27" t="n">
        <v>1.819672</v>
      </c>
      <c r="BM212" s="28" t="n">
        <v>0.54955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</row>
    <row r="213" ht="36" customHeight="1">
      <c r="A213" s="24" t="inlineStr">
        <is>
          <t>c277e64f1cdc4fc0</t>
        </is>
      </c>
      <c r="B213" s="24" t="inlineStr">
        <is>
          <t>2026-07-27T22:53:48.234236Z</t>
        </is>
      </c>
      <c r="C213" s="24" t="inlineStr">
        <is>
          <t>2026-07-27T23:00Z</t>
        </is>
      </c>
      <c r="D213" s="24" t="inlineStr">
        <is>
          <t>888-2026:179005</t>
        </is>
      </c>
      <c r="E213" s="24" t="inlineStr">
        <is>
          <t>TENNIS</t>
        </is>
      </c>
      <c r="F213" s="24" t="inlineStr">
        <is>
          <t>Rebecca Sramkova</t>
        </is>
      </c>
      <c r="G213" s="24" t="inlineStr">
        <is>
          <t>Janice Tjen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-170</v>
      </c>
      <c r="M213" s="27" t="n">
        <v>1.588235</v>
      </c>
      <c r="N213" s="28" t="n">
        <v>0.62963</v>
      </c>
      <c r="O213" s="28" t="n">
        <v>0.5261749999999999</v>
      </c>
      <c r="P213" s="28" t="n">
        <v>0.05</v>
      </c>
      <c r="Q213" s="28" t="n">
        <v>-0.103455</v>
      </c>
      <c r="R213" s="26" t="n">
        <v>0</v>
      </c>
      <c r="S213" s="29" t="n">
        <v>1</v>
      </c>
      <c r="T213" s="24" t="inlineStr">
        <is>
          <t>tennis-surface-elo-v1</t>
        </is>
      </c>
      <c r="U213" s="24" t="inlineStr">
        <is>
          <t>settled</t>
        </is>
      </c>
      <c r="V213" s="24" t="inlineStr">
        <is>
          <t>win</t>
        </is>
      </c>
      <c r="W213" s="26" t="n">
        <v>0</v>
      </c>
      <c r="X213" s="26" t="n">
        <v>1</v>
      </c>
      <c r="Y213" s="25" t="n"/>
      <c r="Z213" s="26" t="n"/>
      <c r="AA213" s="28" t="n"/>
      <c r="AB213" s="28" t="n"/>
      <c r="AC213" s="30" t="n">
        <v>0.5881999999999999</v>
      </c>
      <c r="AD213" s="24" t="inlineStr">
        <is>
          <t>2026-07-28T01:57:13.159775Z</t>
        </is>
      </c>
      <c r="AE213" s="31" t="inlineStr">
        <is>
          <t>Surface-blended Elo on Hard: Rebecca Sramkova p=0.474 vs Janice Tjen. Executable ask 0.6300 (aec-wta-jantje-rebsra-2026-07-27).</t>
        </is>
      </c>
      <c r="AF213" s="31" t="inlineStr">
        <is>
          <t>Research-only surface-blended Elo model; singles only, WTA-only market coverage, not yet locked-holdout qualified.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research_observation</t>
        </is>
      </c>
      <c r="AL213" s="26" t="n">
        <v>3</v>
      </c>
      <c r="AM213" s="24" t="inlineStr">
        <is>
          <t>RESEARCH_OBSERVATION</t>
        </is>
      </c>
      <c r="AN213" s="24" t="inlineStr">
        <is>
          <t>NO_CALL</t>
        </is>
      </c>
      <c r="AO213" s="24" t="inlineStr">
        <is>
          <t>NO_CALL_MODEL_UNVALIDATED</t>
        </is>
      </c>
      <c r="AP213" s="24" t="inlineStr">
        <is>
          <t>Rebecca Sramkova</t>
        </is>
      </c>
      <c r="AQ213" s="24" t="inlineStr">
        <is>
          <t>Rebecca Sramkova</t>
        </is>
      </c>
      <c r="AR213" s="24" t="inlineStr">
        <is>
          <t>Rebecca Sramkova</t>
        </is>
      </c>
      <c r="AS213" s="24" t="inlineStr">
        <is>
          <t>Janice Tjen</t>
        </is>
      </c>
      <c r="AT213" s="24" t="inlineStr">
        <is>
          <t>Janice Tjen</t>
        </is>
      </c>
      <c r="AU213" s="24" t="inlineStr">
        <is>
          <t>Janice Tjen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research</t>
        </is>
      </c>
      <c r="BA213" s="24" t="inlineStr">
        <is>
          <t>73429bd71f12304106b9ffb751bd50617d5109d487f00de7ae2732f60e779590</t>
        </is>
      </c>
      <c r="BB213" s="24" t="inlineStr">
        <is>
          <t>surface_blended_elo</t>
        </is>
      </c>
      <c r="BC213" s="24" t="inlineStr">
        <is>
          <t>tennis-surface-elo-v1</t>
        </is>
      </c>
      <c r="BD213" s="24" t="inlineStr">
        <is>
          <t>73429bd71f12304106b9ffb751bd50617d5109d487f00de7ae2732f60e779590</t>
        </is>
      </c>
      <c r="BE213" s="24" t="inlineStr">
        <is>
          <t>tennis-surface-elo-v1</t>
        </is>
      </c>
      <c r="BF213" s="24" t="inlineStr">
        <is>
          <t>1</t>
        </is>
      </c>
      <c r="BG213" s="24" t="inlineStr">
        <is>
          <t>73429bd71f12304106b9ffb751bd50617d5109d487f00de7ae2732f60e779590</t>
        </is>
      </c>
      <c r="BH213" s="24" t="inlineStr">
        <is>
          <t>2026-07-27T22:52:57.906473Z</t>
        </is>
      </c>
      <c r="BI213" s="24" t="inlineStr">
        <is>
          <t>["same_event","same_team_same_day","same_league_same_day"]</t>
        </is>
      </c>
      <c r="BJ213" s="25" t="n"/>
      <c r="BK213" s="26" t="n">
        <v>-170</v>
      </c>
      <c r="BL213" s="27" t="n">
        <v>1.588235</v>
      </c>
      <c r="BM213" s="28" t="n">
        <v>0.62963</v>
      </c>
      <c r="BN213" s="28" t="n"/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</row>
    <row r="214" ht="36" customHeight="1">
      <c r="A214" s="24" t="inlineStr">
        <is>
          <t>56daff3298ea462f</t>
        </is>
      </c>
      <c r="B214" s="24" t="inlineStr">
        <is>
          <t>2026-07-27T22:53:48.234236Z</t>
        </is>
      </c>
      <c r="C214" s="24" t="inlineStr">
        <is>
          <t>2026-07-28T00:00Z</t>
        </is>
      </c>
      <c r="D214" s="24" t="inlineStr">
        <is>
          <t>1067-2026:179442</t>
        </is>
      </c>
      <c r="E214" s="24" t="inlineStr">
        <is>
          <t>TENNIS</t>
        </is>
      </c>
      <c r="F214" s="24" t="inlineStr">
        <is>
          <t>Storm Hunter</t>
        </is>
      </c>
      <c r="G214" s="24" t="inlineStr">
        <is>
          <t>Camila Osorio</t>
        </is>
      </c>
      <c r="H214" s="24" t="inlineStr">
        <is>
          <t>moneyline</t>
        </is>
      </c>
      <c r="I214" s="24" t="inlineStr">
        <is>
          <t>home</t>
        </is>
      </c>
      <c r="J214" s="25" t="n"/>
      <c r="K214" s="24" t="inlineStr">
        <is>
          <t>polymarket_us</t>
        </is>
      </c>
      <c r="L214" s="26" t="n">
        <v>-257</v>
      </c>
      <c r="M214" s="27" t="n">
        <v>1.389105</v>
      </c>
      <c r="N214" s="28" t="n">
        <v>0.719888</v>
      </c>
      <c r="O214" s="28" t="n">
        <v>0.649232</v>
      </c>
      <c r="P214" s="28" t="n">
        <v>0.05</v>
      </c>
      <c r="Q214" s="28" t="n">
        <v>-0.070656</v>
      </c>
      <c r="R214" s="26" t="n">
        <v>0</v>
      </c>
      <c r="S214" s="29" t="n">
        <v>1.75</v>
      </c>
      <c r="T214" s="24" t="inlineStr">
        <is>
          <t>tennis-surface-elo-v1</t>
        </is>
      </c>
      <c r="U214" s="24" t="inlineStr">
        <is>
          <t>settled</t>
        </is>
      </c>
      <c r="V214" s="24" t="inlineStr">
        <is>
          <t>win</t>
        </is>
      </c>
      <c r="W214" s="26" t="n">
        <v>0</v>
      </c>
      <c r="X214" s="26" t="n">
        <v>1</v>
      </c>
      <c r="Y214" s="25" t="n"/>
      <c r="Z214" s="26" t="n"/>
      <c r="AA214" s="28" t="n"/>
      <c r="AB214" s="28" t="n"/>
      <c r="AC214" s="30" t="n">
        <v>0.6808999999999999</v>
      </c>
      <c r="AD214" s="24" t="inlineStr">
        <is>
          <t>2026-07-28T01:57:13.207099Z</t>
        </is>
      </c>
      <c r="AE214" s="31" t="inlineStr">
        <is>
          <t>Surface-blended Elo on Hard: Storm Hunter p=0.351 vs Camila Osorio. Executable ask 0.7200 (aec-wta-camoso-stohun-2026-07-27).</t>
        </is>
      </c>
      <c r="AF214" s="31" t="inlineStr">
        <is>
          <t>Research-only surface-blended Elo model; singles only, WTA-only market coverage, not yet locked-holdout qualified.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research_observation</t>
        </is>
      </c>
      <c r="AL214" s="26" t="n">
        <v>3</v>
      </c>
      <c r="AM214" s="24" t="inlineStr">
        <is>
          <t>RESEARCH_OBSERVATION</t>
        </is>
      </c>
      <c r="AN214" s="24" t="inlineStr">
        <is>
          <t>NO_CALL</t>
        </is>
      </c>
      <c r="AO214" s="24" t="inlineStr">
        <is>
          <t>NO_CALL_MODEL_UNVALIDATED</t>
        </is>
      </c>
      <c r="AP214" s="24" t="inlineStr">
        <is>
          <t>Storm Hunter</t>
        </is>
      </c>
      <c r="AQ214" s="24" t="inlineStr">
        <is>
          <t>Storm Hunter</t>
        </is>
      </c>
      <c r="AR214" s="24" t="inlineStr">
        <is>
          <t>Storm Hunter</t>
        </is>
      </c>
      <c r="AS214" s="24" t="inlineStr">
        <is>
          <t>Camila Osorio</t>
        </is>
      </c>
      <c r="AT214" s="24" t="inlineStr">
        <is>
          <t>Camila Osorio</t>
        </is>
      </c>
      <c r="AU214" s="24" t="inlineStr">
        <is>
          <t>Camila Osorio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research</t>
        </is>
      </c>
      <c r="BA214" s="24" t="inlineStr">
        <is>
          <t>73429bd71f12304106b9ffb751bd50617d5109d487f00de7ae2732f60e779590</t>
        </is>
      </c>
      <c r="BB214" s="24" t="inlineStr">
        <is>
          <t>surface_blended_elo</t>
        </is>
      </c>
      <c r="BC214" s="24" t="inlineStr">
        <is>
          <t>tennis-surface-elo-v1</t>
        </is>
      </c>
      <c r="BD214" s="24" t="inlineStr">
        <is>
          <t>73429bd71f12304106b9ffb751bd50617d5109d487f00de7ae2732f60e779590</t>
        </is>
      </c>
      <c r="BE214" s="24" t="inlineStr">
        <is>
          <t>tennis-surface-elo-v1</t>
        </is>
      </c>
      <c r="BF214" s="24" t="inlineStr">
        <is>
          <t>1</t>
        </is>
      </c>
      <c r="BG214" s="24" t="inlineStr">
        <is>
          <t>73429bd71f12304106b9ffb751bd50617d5109d487f00de7ae2732f60e779590</t>
        </is>
      </c>
      <c r="BH214" s="24" t="inlineStr">
        <is>
          <t>2026-07-27T22:52:59.384587Z</t>
        </is>
      </c>
      <c r="BI214" s="24" t="inlineStr">
        <is>
          <t>["same_event","same_team_same_day","same_league_same_day"]</t>
        </is>
      </c>
      <c r="BJ214" s="25" t="n"/>
      <c r="BK214" s="26" t="n">
        <v>-257</v>
      </c>
      <c r="BL214" s="27" t="n">
        <v>1.389105</v>
      </c>
      <c r="BM214" s="28" t="n">
        <v>0.719888</v>
      </c>
      <c r="BN214" s="28" t="n"/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</row>
    <row r="215" ht="36" customHeight="1">
      <c r="A215" s="24" t="inlineStr">
        <is>
          <t>7346e54569e94c40</t>
        </is>
      </c>
      <c r="B215" s="24" t="inlineStr">
        <is>
          <t>2026-07-27T22:53:48.234236Z</t>
        </is>
      </c>
      <c r="C215" s="24" t="inlineStr">
        <is>
          <t>2026-07-28T00:00Z</t>
        </is>
      </c>
      <c r="D215" s="24" t="inlineStr">
        <is>
          <t>1067-2026:179449</t>
        </is>
      </c>
      <c r="E215" s="24" t="inlineStr">
        <is>
          <t>TENNIS</t>
        </is>
      </c>
      <c r="F215" s="24" t="inlineStr">
        <is>
          <t>Elvina Kalieva</t>
        </is>
      </c>
      <c r="G215" s="24" t="inlineStr">
        <is>
          <t>Katherine Sebov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-203</v>
      </c>
      <c r="M215" s="27" t="n">
        <v>1.492611</v>
      </c>
      <c r="N215" s="28" t="n">
        <v>0.669967</v>
      </c>
      <c r="O215" s="28" t="n">
        <v>0.574055</v>
      </c>
      <c r="P215" s="28" t="n">
        <v>0.05</v>
      </c>
      <c r="Q215" s="28" t="n">
        <v>-0.095912</v>
      </c>
      <c r="R215" s="26" t="n">
        <v>0</v>
      </c>
      <c r="S215" s="29" t="n">
        <v>1.25</v>
      </c>
      <c r="T215" s="24" t="inlineStr">
        <is>
          <t>tennis-surface-elo-v1</t>
        </is>
      </c>
      <c r="U215" s="24" t="inlineStr">
        <is>
          <t>settled</t>
        </is>
      </c>
      <c r="V215" s="24" t="inlineStr">
        <is>
          <t>win</t>
        </is>
      </c>
      <c r="W215" s="26" t="n">
        <v>1</v>
      </c>
      <c r="X215" s="26" t="n">
        <v>0</v>
      </c>
      <c r="Y215" s="25" t="n"/>
      <c r="Z215" s="26" t="n"/>
      <c r="AA215" s="28" t="n"/>
      <c r="AB215" s="28" t="n"/>
      <c r="AC215" s="30" t="n">
        <v>0.6158</v>
      </c>
      <c r="AD215" s="24" t="inlineStr">
        <is>
          <t>2026-07-28T05:00:27.320959Z</t>
        </is>
      </c>
      <c r="AE215" s="31" t="inlineStr">
        <is>
          <t>Surface-blended Elo on Hard: Elvina Kalieva p=0.574 vs Katherine Sebov. Executable ask 0.6700 (aec-wta-katseb-elvkal-2026-07-27).</t>
        </is>
      </c>
      <c r="AF215" s="31" t="inlineStr">
        <is>
          <t>Research-only surface-blended Elo model; singles only, WTA-only market coverage, not yet locked-holdout qualified.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research_observation</t>
        </is>
      </c>
      <c r="AL215" s="26" t="n">
        <v>3</v>
      </c>
      <c r="AM215" s="24" t="inlineStr">
        <is>
          <t>RESEARCH_OBSERVATION</t>
        </is>
      </c>
      <c r="AN215" s="24" t="inlineStr">
        <is>
          <t>NO_CALL</t>
        </is>
      </c>
      <c r="AO215" s="24" t="inlineStr">
        <is>
          <t>NO_CALL_MODEL_UNVALIDATED</t>
        </is>
      </c>
      <c r="AP215" s="24" t="inlineStr">
        <is>
          <t>Elvina Kalieva</t>
        </is>
      </c>
      <c r="AQ215" s="24" t="inlineStr">
        <is>
          <t>Elvina Kalieva</t>
        </is>
      </c>
      <c r="AR215" s="24" t="inlineStr">
        <is>
          <t>Elvina Kalieva</t>
        </is>
      </c>
      <c r="AS215" s="24" t="inlineStr">
        <is>
          <t>Katherine Sebov</t>
        </is>
      </c>
      <c r="AT215" s="24" t="inlineStr">
        <is>
          <t>Katherine Sebov</t>
        </is>
      </c>
      <c r="AU215" s="24" t="inlineStr">
        <is>
          <t>Katherine Sebov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research</t>
        </is>
      </c>
      <c r="BA215" s="24" t="inlineStr">
        <is>
          <t>73429bd71f12304106b9ffb751bd50617d5109d487f00de7ae2732f60e779590</t>
        </is>
      </c>
      <c r="BB215" s="24" t="inlineStr">
        <is>
          <t>surface_blended_elo</t>
        </is>
      </c>
      <c r="BC215" s="24" t="inlineStr">
        <is>
          <t>tennis-surface-elo-v1</t>
        </is>
      </c>
      <c r="BD215" s="24" t="inlineStr">
        <is>
          <t>73429bd71f12304106b9ffb751bd50617d5109d487f00de7ae2732f60e779590</t>
        </is>
      </c>
      <c r="BE215" s="24" t="inlineStr">
        <is>
          <t>tennis-surface-elo-v1</t>
        </is>
      </c>
      <c r="BF215" s="24" t="inlineStr">
        <is>
          <t>1</t>
        </is>
      </c>
      <c r="BG215" s="24" t="inlineStr">
        <is>
          <t>73429bd71f12304106b9ffb751bd50617d5109d487f00de7ae2732f60e779590</t>
        </is>
      </c>
      <c r="BH215" s="24" t="inlineStr">
        <is>
          <t>2026-07-27T22:53:01.928572Z</t>
        </is>
      </c>
      <c r="BI215" s="24" t="inlineStr">
        <is>
          <t>["same_event","same_team_same_day","same_league_same_day"]</t>
        </is>
      </c>
      <c r="BJ215" s="25" t="n"/>
      <c r="BK215" s="26" t="n">
        <v>-203</v>
      </c>
      <c r="BL215" s="27" t="n">
        <v>1.492611</v>
      </c>
      <c r="BM215" s="28" t="n">
        <v>0.669967</v>
      </c>
      <c r="BN215" s="28" t="n"/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</row>
    <row r="216" ht="36" customHeight="1">
      <c r="A216" s="24" t="inlineStr">
        <is>
          <t>ecdeea06b6a04baf</t>
        </is>
      </c>
      <c r="B216" s="24" t="inlineStr">
        <is>
          <t>2026-07-28T01:58:09.459721Z</t>
        </is>
      </c>
      <c r="C216" s="24" t="inlineStr">
        <is>
          <t>2026-07-28T04:00Z</t>
        </is>
      </c>
      <c r="D216" s="24" t="inlineStr">
        <is>
          <t>875-2026:179541</t>
        </is>
      </c>
      <c r="E216" s="24" t="inlineStr">
        <is>
          <t>TENNIS</t>
        </is>
      </c>
      <c r="F216" s="24" t="inlineStr">
        <is>
          <t>Mai Hontama</t>
        </is>
      </c>
      <c r="G216" s="24" t="inlineStr">
        <is>
          <t>Kayla Day</t>
        </is>
      </c>
      <c r="H216" s="24" t="inlineStr">
        <is>
          <t>moneyline</t>
        </is>
      </c>
      <c r="I216" s="24" t="inlineStr">
        <is>
          <t>away</t>
        </is>
      </c>
      <c r="J216" s="25" t="n"/>
      <c r="K216" s="24" t="inlineStr">
        <is>
          <t>polymarket_us</t>
        </is>
      </c>
      <c r="L216" s="26" t="n">
        <v>163</v>
      </c>
      <c r="M216" s="27" t="n">
        <v>2.63</v>
      </c>
      <c r="N216" s="28" t="n">
        <v>0.380228</v>
      </c>
      <c r="O216" s="28" t="n">
        <v>0.5315029999999999</v>
      </c>
      <c r="P216" s="28" t="n">
        <v>0.05</v>
      </c>
      <c r="Q216" s="28" t="n">
        <v>0.151275</v>
      </c>
      <c r="R216" s="26" t="n">
        <v>96</v>
      </c>
      <c r="S216" s="29" t="n">
        <v>1</v>
      </c>
      <c r="T216" s="24" t="inlineStr">
        <is>
          <t>tennis-surface-elo-v1</t>
        </is>
      </c>
      <c r="U216" s="24" t="inlineStr">
        <is>
          <t>settled</t>
        </is>
      </c>
      <c r="V216" s="24" t="inlineStr">
        <is>
          <t>win</t>
        </is>
      </c>
      <c r="W216" s="26" t="n">
        <v>1</v>
      </c>
      <c r="X216" s="26" t="n">
        <v>0</v>
      </c>
      <c r="Y216" s="25" t="n"/>
      <c r="Z216" s="26" t="n"/>
      <c r="AA216" s="28" t="n"/>
      <c r="AB216" s="28" t="n"/>
      <c r="AC216" s="30" t="n">
        <v>1.63</v>
      </c>
      <c r="AD216" s="24" t="inlineStr">
        <is>
          <t>2026-07-28T23:37:08.880974Z</t>
        </is>
      </c>
      <c r="AE216" s="31" t="inlineStr">
        <is>
          <t>Surface-blended Elo on Hard: Mai Hontama p=0.532 vs Kayla Day. Executable ask 0.3800 (aec-wta-kayday-maihon-2026-07-27).</t>
        </is>
      </c>
      <c r="AF216" s="31" t="inlineStr">
        <is>
          <t>Research-only surface-blended Elo model; singles only, WTA-only market coverage, not yet locked-holdout qualified.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research_observation</t>
        </is>
      </c>
      <c r="AL216" s="26" t="n">
        <v>3</v>
      </c>
      <c r="AM216" s="24" t="inlineStr">
        <is>
          <t>RESEARCH_OBSERVATION</t>
        </is>
      </c>
      <c r="AN216" s="24" t="inlineStr">
        <is>
          <t>NO_CALL</t>
        </is>
      </c>
      <c r="AO216" s="24" t="inlineStr">
        <is>
          <t>NO_CALL_MODEL_UNVALIDATED</t>
        </is>
      </c>
      <c r="AP216" s="24" t="inlineStr">
        <is>
          <t>Mai Hontama</t>
        </is>
      </c>
      <c r="AQ216" s="24" t="inlineStr">
        <is>
          <t>Mai Hontama</t>
        </is>
      </c>
      <c r="AR216" s="24" t="inlineStr">
        <is>
          <t>Mai Hontama</t>
        </is>
      </c>
      <c r="AS216" s="24" t="inlineStr">
        <is>
          <t>Kayla Day</t>
        </is>
      </c>
      <c r="AT216" s="24" t="inlineStr">
        <is>
          <t>Kayla Day</t>
        </is>
      </c>
      <c r="AU216" s="24" t="inlineStr">
        <is>
          <t>Kayla Day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research</t>
        </is>
      </c>
      <c r="BA216" s="24" t="inlineStr">
        <is>
          <t>73429bd71f12304106b9ffb751bd50617d5109d487f00de7ae2732f60e779590</t>
        </is>
      </c>
      <c r="BB216" s="24" t="inlineStr">
        <is>
          <t>surface_blended_elo</t>
        </is>
      </c>
      <c r="BC216" s="24" t="inlineStr">
        <is>
          <t>tennis-surface-elo-v1</t>
        </is>
      </c>
      <c r="BD216" s="24" t="inlineStr">
        <is>
          <t>73429bd71f12304106b9ffb751bd50617d5109d487f00de7ae2732f60e779590</t>
        </is>
      </c>
      <c r="BE216" s="24" t="inlineStr">
        <is>
          <t>tennis-surface-elo-v1</t>
        </is>
      </c>
      <c r="BF216" s="24" t="inlineStr">
        <is>
          <t>1</t>
        </is>
      </c>
      <c r="BG216" s="24" t="inlineStr">
        <is>
          <t>73429bd71f12304106b9ffb751bd50617d5109d487f00de7ae2732f60e779590</t>
        </is>
      </c>
      <c r="BH216" s="24" t="inlineStr">
        <is>
          <t>2026-07-28T01:57:54.105196Z</t>
        </is>
      </c>
      <c r="BI216" s="24" t="inlineStr">
        <is>
          <t>["same_event","same_team_same_day","same_league_same_day"]</t>
        </is>
      </c>
      <c r="BJ216" s="25" t="n"/>
      <c r="BK216" s="26" t="n">
        <v>163</v>
      </c>
      <c r="BL216" s="27" t="n">
        <v>2.63</v>
      </c>
      <c r="BM216" s="28" t="n">
        <v>0.380228</v>
      </c>
      <c r="BN216" s="28" t="n"/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</row>
    <row r="217" ht="36" customHeight="1">
      <c r="A217" s="24" t="inlineStr">
        <is>
          <t>8dda84772591491a</t>
        </is>
      </c>
      <c r="B217" s="24" t="inlineStr">
        <is>
          <t>2026-07-28T05:03:44.224309Z</t>
        </is>
      </c>
      <c r="C217" s="24" t="inlineStr">
        <is>
          <t>2026-07-28T08:00Z</t>
        </is>
      </c>
      <c r="D217" s="24" t="inlineStr">
        <is>
          <t>1073-2026:179584</t>
        </is>
      </c>
      <c r="E217" s="24" t="inlineStr">
        <is>
          <t>TENNIS</t>
        </is>
      </c>
      <c r="F217" s="24" t="inlineStr">
        <is>
          <t>Alesia Breaz</t>
        </is>
      </c>
      <c r="G217" s="24" t="inlineStr">
        <is>
          <t>Laura Samson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-1900</v>
      </c>
      <c r="M217" s="27" t="n">
        <v>1.052632</v>
      </c>
      <c r="N217" s="28" t="n">
        <v>0.95</v>
      </c>
      <c r="O217" s="28" t="n">
        <v>0.539316</v>
      </c>
      <c r="P217" s="28" t="n">
        <v>0.2</v>
      </c>
      <c r="Q217" s="28" t="n">
        <v>-0.410684</v>
      </c>
      <c r="R217" s="26" t="n">
        <v>0</v>
      </c>
      <c r="S217" s="29" t="n">
        <v>1</v>
      </c>
      <c r="T217" s="24" t="inlineStr">
        <is>
          <t>tennis-surface-elo-v1</t>
        </is>
      </c>
      <c r="U217" s="24" t="inlineStr">
        <is>
          <t>settled</t>
        </is>
      </c>
      <c r="V217" s="24" t="inlineStr">
        <is>
          <t>win</t>
        </is>
      </c>
      <c r="W217" s="26" t="n">
        <v>0</v>
      </c>
      <c r="X217" s="26" t="n">
        <v>1</v>
      </c>
      <c r="Y217" s="25" t="n"/>
      <c r="Z217" s="26" t="n"/>
      <c r="AA217" s="28" t="n"/>
      <c r="AB217" s="28" t="n"/>
      <c r="AC217" s="30" t="n">
        <v>0.0526</v>
      </c>
      <c r="AD217" s="24" t="inlineStr">
        <is>
          <t>2026-07-28T11:12:39.258308Z</t>
        </is>
      </c>
      <c r="AE217" s="31" t="inlineStr">
        <is>
          <t>Surface-blended Elo on Hard: Alesia Breaz p=0.461 vs Laura Samson. Executable ask 0.9500 (aec-wta-lausam-alebre-2026-07-27).</t>
        </is>
      </c>
      <c r="AF217" s="31" t="inlineStr">
        <is>
          <t>Research-only surface-blended Elo model; singles only, WTA-only market coverage, not yet locked-holdout qualified.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research_observation</t>
        </is>
      </c>
      <c r="AL217" s="26" t="n">
        <v>3</v>
      </c>
      <c r="AM217" s="24" t="inlineStr">
        <is>
          <t>RESEARCH_OBSERVATION</t>
        </is>
      </c>
      <c r="AN217" s="24" t="inlineStr">
        <is>
          <t>NO_CALL</t>
        </is>
      </c>
      <c r="AO217" s="24" t="inlineStr">
        <is>
          <t>NO_CALL_MODEL_UNVALIDATED</t>
        </is>
      </c>
      <c r="AP217" s="24" t="inlineStr">
        <is>
          <t>Alesia Breaz</t>
        </is>
      </c>
      <c r="AQ217" s="24" t="inlineStr">
        <is>
          <t>Alesia Breaz</t>
        </is>
      </c>
      <c r="AR217" s="24" t="inlineStr">
        <is>
          <t>Alesia Breaz</t>
        </is>
      </c>
      <c r="AS217" s="24" t="inlineStr">
        <is>
          <t>Laura Samson</t>
        </is>
      </c>
      <c r="AT217" s="24" t="inlineStr">
        <is>
          <t>Laura Samson</t>
        </is>
      </c>
      <c r="AU217" s="24" t="inlineStr">
        <is>
          <t>Laura Samson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research</t>
        </is>
      </c>
      <c r="BA217" s="24" t="inlineStr">
        <is>
          <t>73429bd71f12304106b9ffb751bd50617d5109d487f00de7ae2732f60e779590</t>
        </is>
      </c>
      <c r="BB217" s="24" t="inlineStr">
        <is>
          <t>surface_blended_elo</t>
        </is>
      </c>
      <c r="BC217" s="24" t="inlineStr">
        <is>
          <t>tennis-surface-elo-v1</t>
        </is>
      </c>
      <c r="BD217" s="24" t="inlineStr">
        <is>
          <t>73429bd71f12304106b9ffb751bd50617d5109d487f00de7ae2732f60e779590</t>
        </is>
      </c>
      <c r="BE217" s="24" t="inlineStr">
        <is>
          <t>tennis-surface-elo-v1</t>
        </is>
      </c>
      <c r="BF217" s="24" t="inlineStr">
        <is>
          <t>1</t>
        </is>
      </c>
      <c r="BG217" s="24" t="inlineStr">
        <is>
          <t>73429bd71f12304106b9ffb751bd50617d5109d487f00de7ae2732f60e779590</t>
        </is>
      </c>
      <c r="BH217" s="24" t="inlineStr">
        <is>
          <t>2026-07-28T05:01:29.400703Z</t>
        </is>
      </c>
      <c r="BI217" s="24" t="inlineStr">
        <is>
          <t>["same_event","same_team_same_day","same_league_same_day"]</t>
        </is>
      </c>
      <c r="BJ217" s="25" t="n"/>
      <c r="BK217" s="26" t="n">
        <v>-1900</v>
      </c>
      <c r="BL217" s="27" t="n">
        <v>1.052632</v>
      </c>
      <c r="BM217" s="28" t="n">
        <v>0.95</v>
      </c>
      <c r="BN217" s="28" t="n"/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</row>
    <row r="218" ht="36" customHeight="1">
      <c r="A218" s="24" t="inlineStr">
        <is>
          <t>30d29ce7fa0d4fdb</t>
        </is>
      </c>
      <c r="B218" s="24" t="inlineStr">
        <is>
          <t>2026-07-28T05:03:44.224309Z</t>
        </is>
      </c>
      <c r="C218" s="24" t="inlineStr">
        <is>
          <t>2026-07-28T08:00Z</t>
        </is>
      </c>
      <c r="D218" s="24" t="inlineStr">
        <is>
          <t>1073-2026:179580</t>
        </is>
      </c>
      <c r="E218" s="24" t="inlineStr">
        <is>
          <t>TENNIS</t>
        </is>
      </c>
      <c r="F218" s="24" t="inlineStr">
        <is>
          <t>Dalila Spiteri</t>
        </is>
      </c>
      <c r="G218" s="24" t="inlineStr">
        <is>
          <t>Yelyzaveta Kotliar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-127</v>
      </c>
      <c r="M218" s="27" t="n">
        <v>1.787402</v>
      </c>
      <c r="N218" s="28" t="n">
        <v>0.5594710000000001</v>
      </c>
      <c r="O218" s="28" t="n">
        <v>0.629597</v>
      </c>
      <c r="P218" s="28" t="n">
        <v>0.05</v>
      </c>
      <c r="Q218" s="28" t="n">
        <v>0.07012599999999999</v>
      </c>
      <c r="R218" s="26" t="n">
        <v>55</v>
      </c>
      <c r="S218" s="29" t="n">
        <v>1.5</v>
      </c>
      <c r="T218" s="24" t="inlineStr">
        <is>
          <t>tennis-surface-elo-v1</t>
        </is>
      </c>
      <c r="U218" s="24" t="inlineStr">
        <is>
          <t>settled</t>
        </is>
      </c>
      <c r="V218" s="24" t="inlineStr">
        <is>
          <t>win</t>
        </is>
      </c>
      <c r="W218" s="26" t="n">
        <v>0</v>
      </c>
      <c r="X218" s="26" t="n">
        <v>1</v>
      </c>
      <c r="Y218" s="25" t="n"/>
      <c r="Z218" s="26" t="n"/>
      <c r="AA218" s="28" t="n"/>
      <c r="AB218" s="28" t="n"/>
      <c r="AC218" s="30" t="n">
        <v>1.1811</v>
      </c>
      <c r="AD218" s="24" t="inlineStr">
        <is>
          <t>2026-07-28T11:12:39.363889Z</t>
        </is>
      </c>
      <c r="AE218" s="31" t="inlineStr">
        <is>
          <t>Surface-blended Elo on Hard: Dalila Spiteri p=0.370 vs Yelyzaveta Kotliar. Executable ask 0.5600 (aec-wta-yelkot-dalspi-2026-07-28).</t>
        </is>
      </c>
      <c r="AF218" s="31" t="inlineStr">
        <is>
          <t>Research-only surface-blended Elo model; singles only, WTA-only market coverage, not yet locked-holdout qualified.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research_observation</t>
        </is>
      </c>
      <c r="AL218" s="26" t="n">
        <v>3</v>
      </c>
      <c r="AM218" s="24" t="inlineStr">
        <is>
          <t>RESEARCH_OBSERVATION</t>
        </is>
      </c>
      <c r="AN218" s="24" t="inlineStr">
        <is>
          <t>NO_CALL</t>
        </is>
      </c>
      <c r="AO218" s="24" t="inlineStr">
        <is>
          <t>NO_CALL_MODEL_UNVALIDATED</t>
        </is>
      </c>
      <c r="AP218" s="24" t="inlineStr">
        <is>
          <t>Dalila Spiteri</t>
        </is>
      </c>
      <c r="AQ218" s="24" t="inlineStr">
        <is>
          <t>Dalila Spiteri</t>
        </is>
      </c>
      <c r="AR218" s="24" t="inlineStr">
        <is>
          <t>Dalila Spiteri</t>
        </is>
      </c>
      <c r="AS218" s="24" t="inlineStr">
        <is>
          <t>Yelyzaveta Kotliar</t>
        </is>
      </c>
      <c r="AT218" s="24" t="inlineStr">
        <is>
          <t>Yelyzaveta Kotliar</t>
        </is>
      </c>
      <c r="AU218" s="24" t="inlineStr">
        <is>
          <t>Yelyzaveta Kotliar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research</t>
        </is>
      </c>
      <c r="BA218" s="24" t="inlineStr">
        <is>
          <t>73429bd71f12304106b9ffb751bd50617d5109d487f00de7ae2732f60e779590</t>
        </is>
      </c>
      <c r="BB218" s="24" t="inlineStr">
        <is>
          <t>surface_blended_elo</t>
        </is>
      </c>
      <c r="BC218" s="24" t="inlineStr">
        <is>
          <t>tennis-surface-elo-v1</t>
        </is>
      </c>
      <c r="BD218" s="24" t="inlineStr">
        <is>
          <t>73429bd71f12304106b9ffb751bd50617d5109d487f00de7ae2732f60e779590</t>
        </is>
      </c>
      <c r="BE218" s="24" t="inlineStr">
        <is>
          <t>tennis-surface-elo-v1</t>
        </is>
      </c>
      <c r="BF218" s="24" t="inlineStr">
        <is>
          <t>1</t>
        </is>
      </c>
      <c r="BG218" s="24" t="inlineStr">
        <is>
          <t>73429bd71f12304106b9ffb751bd50617d5109d487f00de7ae2732f60e779590</t>
        </is>
      </c>
      <c r="BH218" s="24" t="inlineStr">
        <is>
          <t>2026-07-28T05:01:29.353293Z</t>
        </is>
      </c>
      <c r="BI218" s="24" t="inlineStr">
        <is>
          <t>["same_event","same_team_same_day","same_league_same_day"]</t>
        </is>
      </c>
      <c r="BJ218" s="25" t="n"/>
      <c r="BK218" s="26" t="n">
        <v>-127</v>
      </c>
      <c r="BL218" s="27" t="n">
        <v>1.787402</v>
      </c>
      <c r="BM218" s="28" t="n">
        <v>0.5594710000000001</v>
      </c>
      <c r="BN218" s="28" t="n"/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</row>
    <row r="219" ht="36" customHeight="1">
      <c r="A219" s="24" t="inlineStr">
        <is>
          <t>cc74bd5c56de4e4f</t>
        </is>
      </c>
      <c r="B219" s="24" t="inlineStr">
        <is>
          <t>2026-07-28T05:03:44.224309Z</t>
        </is>
      </c>
      <c r="C219" s="24" t="inlineStr">
        <is>
          <t>2026-07-28T08:00Z</t>
        </is>
      </c>
      <c r="D219" s="24" t="inlineStr">
        <is>
          <t>1073-2026:183171</t>
        </is>
      </c>
      <c r="E219" s="24" t="inlineStr">
        <is>
          <t>TENNIS</t>
        </is>
      </c>
      <c r="F219" s="24" t="inlineStr">
        <is>
          <t>Darja Semenistaja</t>
        </is>
      </c>
      <c r="G219" s="24" t="inlineStr">
        <is>
          <t>Mia Ristic</t>
        </is>
      </c>
      <c r="H219" s="24" t="inlineStr">
        <is>
          <t>moneyline</t>
        </is>
      </c>
      <c r="I219" s="24" t="inlineStr">
        <is>
          <t>away</t>
        </is>
      </c>
      <c r="J219" s="25" t="n"/>
      <c r="K219" s="24" t="inlineStr">
        <is>
          <t>polymarket_us</t>
        </is>
      </c>
      <c r="L219" s="26" t="n">
        <v>-113</v>
      </c>
      <c r="M219" s="27" t="n">
        <v>1.884956</v>
      </c>
      <c r="N219" s="28" t="n">
        <v>0.530516</v>
      </c>
      <c r="O219" s="28" t="n">
        <v>0.553512</v>
      </c>
      <c r="P219" s="28" t="n">
        <v>0.05</v>
      </c>
      <c r="Q219" s="28" t="n">
        <v>0.022996</v>
      </c>
      <c r="R219" s="26" t="n">
        <v>31</v>
      </c>
      <c r="S219" s="29" t="n">
        <v>1</v>
      </c>
      <c r="T219" s="24" t="inlineStr">
        <is>
          <t>tennis-surface-elo-v1</t>
        </is>
      </c>
      <c r="U219" s="24" t="inlineStr">
        <is>
          <t>settled</t>
        </is>
      </c>
      <c r="V219" s="24" t="inlineStr">
        <is>
          <t>loss</t>
        </is>
      </c>
      <c r="W219" s="26" t="n">
        <v>0</v>
      </c>
      <c r="X219" s="26" t="n">
        <v>1</v>
      </c>
      <c r="Y219" s="25" t="n"/>
      <c r="Z219" s="26" t="n"/>
      <c r="AA219" s="28" t="n"/>
      <c r="AB219" s="28" t="n"/>
      <c r="AC219" s="30" t="n">
        <v>-1</v>
      </c>
      <c r="AD219" s="24" t="inlineStr">
        <is>
          <t>2026-07-28T11:12:39.467765Z</t>
        </is>
      </c>
      <c r="AE219" s="31" t="inlineStr">
        <is>
          <t>Surface-blended Elo on Hard: Darja Semenistaja p=0.554 vs Mia Ristic. Executable ask 0.5300 (aec-wta-miaris-darsem-2026-07-27).</t>
        </is>
      </c>
      <c r="AF219" s="31" t="inlineStr">
        <is>
          <t>Research-only surface-blended Elo model; singles only, WTA-only market coverage, not yet locked-holdout qualified.</t>
        </is>
      </c>
      <c r="AG219" s="24" t="inlineStr">
        <is>
          <t>review_required</t>
        </is>
      </c>
      <c r="AH219" s="24" t="n"/>
      <c r="AI219" s="31" t="n"/>
      <c r="AJ219" s="31" t="n"/>
      <c r="AK219" s="24" t="inlineStr">
        <is>
          <t>research_observation</t>
        </is>
      </c>
      <c r="AL219" s="26" t="n">
        <v>3</v>
      </c>
      <c r="AM219" s="24" t="inlineStr">
        <is>
          <t>RESEARCH_OBSERVATION</t>
        </is>
      </c>
      <c r="AN219" s="24" t="inlineStr">
        <is>
          <t>NO_CALL</t>
        </is>
      </c>
      <c r="AO219" s="24" t="inlineStr">
        <is>
          <t>NO_CALL_MODEL_UNVALIDATED</t>
        </is>
      </c>
      <c r="AP219" s="24" t="inlineStr">
        <is>
          <t>Darja Semenistaja</t>
        </is>
      </c>
      <c r="AQ219" s="24" t="inlineStr">
        <is>
          <t>Darja Semenistaja</t>
        </is>
      </c>
      <c r="AR219" s="24" t="inlineStr">
        <is>
          <t>Darja Semenistaja</t>
        </is>
      </c>
      <c r="AS219" s="24" t="inlineStr">
        <is>
          <t>Mia Ristic</t>
        </is>
      </c>
      <c r="AT219" s="24" t="inlineStr">
        <is>
          <t>Mia Ristic</t>
        </is>
      </c>
      <c r="AU219" s="24" t="inlineStr">
        <is>
          <t>Mia Ristic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research</t>
        </is>
      </c>
      <c r="BA219" s="24" t="inlineStr">
        <is>
          <t>73429bd71f12304106b9ffb751bd50617d5109d487f00de7ae2732f60e779590</t>
        </is>
      </c>
      <c r="BB219" s="24" t="inlineStr">
        <is>
          <t>surface_blended_elo</t>
        </is>
      </c>
      <c r="BC219" s="24" t="inlineStr">
        <is>
          <t>tennis-surface-elo-v1</t>
        </is>
      </c>
      <c r="BD219" s="24" t="inlineStr">
        <is>
          <t>73429bd71f12304106b9ffb751bd50617d5109d487f00de7ae2732f60e779590</t>
        </is>
      </c>
      <c r="BE219" s="24" t="inlineStr">
        <is>
          <t>tennis-surface-elo-v1</t>
        </is>
      </c>
      <c r="BF219" s="24" t="inlineStr">
        <is>
          <t>1</t>
        </is>
      </c>
      <c r="BG219" s="24" t="inlineStr">
        <is>
          <t>73429bd71f12304106b9ffb751bd50617d5109d487f00de7ae2732f60e779590</t>
        </is>
      </c>
      <c r="BH219" s="24" t="inlineStr">
        <is>
          <t>2026-07-28T05:01:29.436773Z</t>
        </is>
      </c>
      <c r="BI219" s="24" t="inlineStr">
        <is>
          <t>["same_event","same_team_same_day","same_league_same_day"]</t>
        </is>
      </c>
      <c r="BJ219" s="25" t="n"/>
      <c r="BK219" s="26" t="n">
        <v>-113</v>
      </c>
      <c r="BL219" s="27" t="n">
        <v>1.884956</v>
      </c>
      <c r="BM219" s="28" t="n">
        <v>0.530516</v>
      </c>
      <c r="BN219" s="28" t="n"/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</row>
    <row r="220" ht="36" customHeight="1">
      <c r="A220" s="24" t="inlineStr">
        <is>
          <t>c468caf1f2da4603</t>
        </is>
      </c>
      <c r="B220" s="24" t="inlineStr">
        <is>
          <t>2026-07-28T08:09:48.374429Z</t>
        </is>
      </c>
      <c r="C220" s="24" t="inlineStr">
        <is>
          <t>2026-07-28T09:30Z</t>
        </is>
      </c>
      <c r="D220" s="24" t="inlineStr">
        <is>
          <t>1073-2026:183172</t>
        </is>
      </c>
      <c r="E220" s="24" t="inlineStr">
        <is>
          <t>TENNIS</t>
        </is>
      </c>
      <c r="F220" s="24" t="inlineStr">
        <is>
          <t>Lucia Bronzetti</t>
        </is>
      </c>
      <c r="G220" s="24" t="inlineStr">
        <is>
          <t>Miriana Tona</t>
        </is>
      </c>
      <c r="H220" s="24" t="inlineStr">
        <is>
          <t>moneyline</t>
        </is>
      </c>
      <c r="I220" s="24" t="inlineStr">
        <is>
          <t>away</t>
        </is>
      </c>
      <c r="J220" s="25" t="n"/>
      <c r="K220" s="24" t="inlineStr">
        <is>
          <t>polymarket_us</t>
        </is>
      </c>
      <c r="L220" s="26" t="n">
        <v>-1011</v>
      </c>
      <c r="M220" s="27" t="n">
        <v>1.098912</v>
      </c>
      <c r="N220" s="28" t="n">
        <v>0.909991</v>
      </c>
      <c r="O220" s="28" t="n">
        <v>0.671191</v>
      </c>
      <c r="P220" s="28" t="n">
        <v>0.05</v>
      </c>
      <c r="Q220" s="28" t="n">
        <v>-0.2388</v>
      </c>
      <c r="R220" s="26" t="n">
        <v>0</v>
      </c>
      <c r="S220" s="29" t="n">
        <v>1.75</v>
      </c>
      <c r="T220" s="24" t="inlineStr">
        <is>
          <t>tennis-surface-elo-v1</t>
        </is>
      </c>
      <c r="U220" s="24" t="inlineStr">
        <is>
          <t>settled</t>
        </is>
      </c>
      <c r="V220" s="24" t="inlineStr">
        <is>
          <t>win</t>
        </is>
      </c>
      <c r="W220" s="26" t="n">
        <v>1</v>
      </c>
      <c r="X220" s="26" t="n">
        <v>0</v>
      </c>
      <c r="Y220" s="25" t="n"/>
      <c r="Z220" s="26" t="n"/>
      <c r="AA220" s="28" t="n"/>
      <c r="AB220" s="28" t="n"/>
      <c r="AC220" s="30" t="n">
        <v>0.1731</v>
      </c>
      <c r="AD220" s="24" t="inlineStr">
        <is>
          <t>2026-07-28T14:18:43.901317Z</t>
        </is>
      </c>
      <c r="AE220" s="31" t="inlineStr">
        <is>
          <t>Surface-blended Elo on Hard: Lucia Bronzetti p=0.671 vs Miriana Tona. Executable ask 0.9100 (aec-wta-mirton-lucbro-2026-07-28).</t>
        </is>
      </c>
      <c r="AF220" s="31" t="inlineStr">
        <is>
          <t>Research-only surface-blended Elo model; singles only, WTA-only market coverage, not yet locked-holdout qualified.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research_observation</t>
        </is>
      </c>
      <c r="AL220" s="26" t="n">
        <v>3</v>
      </c>
      <c r="AM220" s="24" t="inlineStr">
        <is>
          <t>RESEARCH_OBSERVATION</t>
        </is>
      </c>
      <c r="AN220" s="24" t="inlineStr">
        <is>
          <t>NO_CALL</t>
        </is>
      </c>
      <c r="AO220" s="24" t="inlineStr">
        <is>
          <t>NO_CALL_MODEL_UNVALIDATED</t>
        </is>
      </c>
      <c r="AP220" s="24" t="inlineStr">
        <is>
          <t>Lucia Bronzetti</t>
        </is>
      </c>
      <c r="AQ220" s="24" t="inlineStr">
        <is>
          <t>Lucia Bronzetti</t>
        </is>
      </c>
      <c r="AR220" s="24" t="inlineStr">
        <is>
          <t>Lucia Bronzetti</t>
        </is>
      </c>
      <c r="AS220" s="24" t="inlineStr">
        <is>
          <t>Miriana Tona</t>
        </is>
      </c>
      <c r="AT220" s="24" t="inlineStr">
        <is>
          <t>Miriana Tona</t>
        </is>
      </c>
      <c r="AU220" s="24" t="inlineStr">
        <is>
          <t>Miriana Tona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research</t>
        </is>
      </c>
      <c r="BA220" s="24" t="inlineStr">
        <is>
          <t>73429bd71f12304106b9ffb751bd50617d5109d487f00de7ae2732f60e779590</t>
        </is>
      </c>
      <c r="BB220" s="24" t="inlineStr">
        <is>
          <t>surface_blended_elo</t>
        </is>
      </c>
      <c r="BC220" s="24" t="inlineStr">
        <is>
          <t>tennis-surface-elo-v1</t>
        </is>
      </c>
      <c r="BD220" s="24" t="inlineStr">
        <is>
          <t>73429bd71f12304106b9ffb751bd50617d5109d487f00de7ae2732f60e779590</t>
        </is>
      </c>
      <c r="BE220" s="24" t="inlineStr">
        <is>
          <t>tennis-surface-elo-v1</t>
        </is>
      </c>
      <c r="BF220" s="24" t="inlineStr">
        <is>
          <t>1</t>
        </is>
      </c>
      <c r="BG220" s="24" t="inlineStr">
        <is>
          <t>73429bd71f12304106b9ffb751bd50617d5109d487f00de7ae2732f60e779590</t>
        </is>
      </c>
      <c r="BH220" s="24" t="inlineStr">
        <is>
          <t>2026-07-28T08:07:29.222890Z</t>
        </is>
      </c>
      <c r="BI220" s="24" t="inlineStr">
        <is>
          <t>["same_event","same_team_same_day","same_league_same_day"]</t>
        </is>
      </c>
      <c r="BJ220" s="25" t="n"/>
      <c r="BK220" s="26" t="n">
        <v>-1011</v>
      </c>
      <c r="BL220" s="27" t="n">
        <v>1.098912</v>
      </c>
      <c r="BM220" s="28" t="n">
        <v>0.909991</v>
      </c>
      <c r="BN220" s="28" t="n"/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</row>
    <row r="221" ht="36" customHeight="1">
      <c r="A221" s="24" t="inlineStr">
        <is>
          <t>da48ac67863741c5</t>
        </is>
      </c>
      <c r="B221" s="24" t="inlineStr">
        <is>
          <t>2026-07-28T08:09:48.374429Z</t>
        </is>
      </c>
      <c r="C221" s="24" t="inlineStr">
        <is>
          <t>2026-07-28T10:00Z</t>
        </is>
      </c>
      <c r="D221" s="24" t="inlineStr">
        <is>
          <t>1073-2026:183177</t>
        </is>
      </c>
      <c r="E221" s="24" t="inlineStr">
        <is>
          <t>TENNIS</t>
        </is>
      </c>
      <c r="F221" s="24" t="inlineStr">
        <is>
          <t>Lola Radivojevic</t>
        </is>
      </c>
      <c r="G221" s="24" t="inlineStr">
        <is>
          <t>Margaux Rouvroy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400</v>
      </c>
      <c r="M221" s="27" t="n">
        <v>5</v>
      </c>
      <c r="N221" s="28" t="n">
        <v>0.2</v>
      </c>
      <c r="O221" s="28" t="n">
        <v>0.549053</v>
      </c>
      <c r="P221" s="28" t="n">
        <v>0.05</v>
      </c>
      <c r="Q221" s="28" t="n">
        <v>0.349053</v>
      </c>
      <c r="R221" s="26" t="n">
        <v>100</v>
      </c>
      <c r="S221" s="29" t="n">
        <v>1</v>
      </c>
      <c r="T221" s="24" t="inlineStr">
        <is>
          <t>tennis-surface-elo-v1</t>
        </is>
      </c>
      <c r="U221" s="24" t="inlineStr">
        <is>
          <t>settled</t>
        </is>
      </c>
      <c r="V221" s="24" t="inlineStr">
        <is>
          <t>win</t>
        </is>
      </c>
      <c r="W221" s="26" t="n">
        <v>0</v>
      </c>
      <c r="X221" s="26" t="n">
        <v>1</v>
      </c>
      <c r="Y221" s="25" t="n"/>
      <c r="Z221" s="26" t="n"/>
      <c r="AA221" s="28" t="n"/>
      <c r="AB221" s="28" t="n"/>
      <c r="AC221" s="30" t="n">
        <v>4</v>
      </c>
      <c r="AD221" s="24" t="inlineStr">
        <is>
          <t>2026-07-28T14:18:44.017439Z</t>
        </is>
      </c>
      <c r="AE221" s="31" t="inlineStr">
        <is>
          <t>Surface-blended Elo on Hard: Lola Radivojevic p=0.451 vs Margaux Rouvroy. Executable ask 0.2000 (aec-wta-marrou-lolrad-2026-07-28).</t>
        </is>
      </c>
      <c r="AF221" s="31" t="inlineStr">
        <is>
          <t>Research-only surface-blended Elo model; singles only, WTA-only market coverage, not yet locked-holdout qualified.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research_observation</t>
        </is>
      </c>
      <c r="AL221" s="26" t="n">
        <v>3</v>
      </c>
      <c r="AM221" s="24" t="inlineStr">
        <is>
          <t>RESEARCH_OBSERVATION</t>
        </is>
      </c>
      <c r="AN221" s="24" t="inlineStr">
        <is>
          <t>NO_CALL</t>
        </is>
      </c>
      <c r="AO221" s="24" t="inlineStr">
        <is>
          <t>NO_CALL_MODEL_UNVALIDATED</t>
        </is>
      </c>
      <c r="AP221" s="24" t="inlineStr">
        <is>
          <t>Lola Radivojevic</t>
        </is>
      </c>
      <c r="AQ221" s="24" t="inlineStr">
        <is>
          <t>Lola Radivojevic</t>
        </is>
      </c>
      <c r="AR221" s="24" t="inlineStr">
        <is>
          <t>Lola Radivojevic</t>
        </is>
      </c>
      <c r="AS221" s="24" t="inlineStr">
        <is>
          <t>Margaux Rouvroy</t>
        </is>
      </c>
      <c r="AT221" s="24" t="inlineStr">
        <is>
          <t>Margaux Rouvroy</t>
        </is>
      </c>
      <c r="AU221" s="24" t="inlineStr">
        <is>
          <t>Margaux Rouvroy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research</t>
        </is>
      </c>
      <c r="BA221" s="24" t="inlineStr">
        <is>
          <t>73429bd71f12304106b9ffb751bd50617d5109d487f00de7ae2732f60e779590</t>
        </is>
      </c>
      <c r="BB221" s="24" t="inlineStr">
        <is>
          <t>surface_blended_elo</t>
        </is>
      </c>
      <c r="BC221" s="24" t="inlineStr">
        <is>
          <t>tennis-surface-elo-v1</t>
        </is>
      </c>
      <c r="BD221" s="24" t="inlineStr">
        <is>
          <t>73429bd71f12304106b9ffb751bd50617d5109d487f00de7ae2732f60e779590</t>
        </is>
      </c>
      <c r="BE221" s="24" t="inlineStr">
        <is>
          <t>tennis-surface-elo-v1</t>
        </is>
      </c>
      <c r="BF221" s="24" t="inlineStr">
        <is>
          <t>1</t>
        </is>
      </c>
      <c r="BG221" s="24" t="inlineStr">
        <is>
          <t>73429bd71f12304106b9ffb751bd50617d5109d487f00de7ae2732f60e779590</t>
        </is>
      </c>
      <c r="BH221" s="24" t="inlineStr">
        <is>
          <t>2026-07-28T08:07:29.251635Z</t>
        </is>
      </c>
      <c r="BI221" s="24" t="inlineStr">
        <is>
          <t>["same_event","same_team_same_day","same_league_same_day"]</t>
        </is>
      </c>
      <c r="BJ221" s="25" t="n"/>
      <c r="BK221" s="26" t="n">
        <v>400</v>
      </c>
      <c r="BL221" s="27" t="n">
        <v>5</v>
      </c>
      <c r="BM221" s="28" t="n">
        <v>0.2</v>
      </c>
      <c r="BN221" s="28" t="n"/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</row>
    <row r="222" ht="36" customHeight="1">
      <c r="A222" s="24" t="inlineStr">
        <is>
          <t>fdfd679380374cf5</t>
        </is>
      </c>
      <c r="B222" s="24" t="inlineStr">
        <is>
          <t>2026-07-28T08:09:48.374429Z</t>
        </is>
      </c>
      <c r="C222" s="24" t="inlineStr">
        <is>
          <t>2026-07-28T11:00Z</t>
        </is>
      </c>
      <c r="D222" s="24" t="inlineStr">
        <is>
          <t>1073-2026:179593</t>
        </is>
      </c>
      <c r="E222" s="24" t="inlineStr">
        <is>
          <t>TENNIS</t>
        </is>
      </c>
      <c r="F222" s="24" t="inlineStr">
        <is>
          <t>Chloe Paquet</t>
        </is>
      </c>
      <c r="G222" s="24" t="inlineStr">
        <is>
          <t>Francesca Jones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polymarket_us</t>
        </is>
      </c>
      <c r="L222" s="26" t="n">
        <v>-376</v>
      </c>
      <c r="M222" s="27" t="n">
        <v>1.265957</v>
      </c>
      <c r="N222" s="28" t="n">
        <v>0.789916</v>
      </c>
      <c r="O222" s="28" t="n">
        <v>0.742329</v>
      </c>
      <c r="P222" s="28" t="n">
        <v>0.05</v>
      </c>
      <c r="Q222" s="28" t="n">
        <v>-0.047587</v>
      </c>
      <c r="R222" s="26" t="n">
        <v>0</v>
      </c>
      <c r="S222" s="29" t="n">
        <v>2</v>
      </c>
      <c r="T222" s="24" t="inlineStr">
        <is>
          <t>tennis-surface-elo-v1</t>
        </is>
      </c>
      <c r="U222" s="24" t="inlineStr">
        <is>
          <t>settled</t>
        </is>
      </c>
      <c r="V222" s="24" t="inlineStr">
        <is>
          <t>win</t>
        </is>
      </c>
      <c r="W222" s="26" t="n">
        <v>0</v>
      </c>
      <c r="X222" s="26" t="n">
        <v>1</v>
      </c>
      <c r="Y222" s="25" t="n"/>
      <c r="Z222" s="26" t="n"/>
      <c r="AA222" s="28" t="n"/>
      <c r="AB222" s="28" t="n"/>
      <c r="AC222" s="30" t="n">
        <v>0.5319</v>
      </c>
      <c r="AD222" s="24" t="inlineStr">
        <is>
          <t>2026-07-28T14:18:44.134104Z</t>
        </is>
      </c>
      <c r="AE222" s="31" t="inlineStr">
        <is>
          <t>Surface-blended Elo on Hard: Chloe Paquet p=0.258 vs Francesca Jones. Executable ask 0.7900 (aec-wta-frajon-chlpaq-2026-07-27).</t>
        </is>
      </c>
      <c r="AF222" s="31" t="inlineStr">
        <is>
          <t>Research-only surface-blended Elo model; singles only, WTA-only market coverage, not yet locked-holdout qualified.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research_observation</t>
        </is>
      </c>
      <c r="AL222" s="26" t="n">
        <v>3</v>
      </c>
      <c r="AM222" s="24" t="inlineStr">
        <is>
          <t>RESEARCH_OBSERVATION</t>
        </is>
      </c>
      <c r="AN222" s="24" t="inlineStr">
        <is>
          <t>NO_CALL</t>
        </is>
      </c>
      <c r="AO222" s="24" t="inlineStr">
        <is>
          <t>NO_CALL_MODEL_UNVALIDATED</t>
        </is>
      </c>
      <c r="AP222" s="24" t="inlineStr">
        <is>
          <t>Chloe Paquet</t>
        </is>
      </c>
      <c r="AQ222" s="24" t="inlineStr">
        <is>
          <t>Chloe Paquet</t>
        </is>
      </c>
      <c r="AR222" s="24" t="inlineStr">
        <is>
          <t>Chloe Paquet</t>
        </is>
      </c>
      <c r="AS222" s="24" t="inlineStr">
        <is>
          <t>Francesca Jones</t>
        </is>
      </c>
      <c r="AT222" s="24" t="inlineStr">
        <is>
          <t>Francesca Jones</t>
        </is>
      </c>
      <c r="AU222" s="24" t="inlineStr">
        <is>
          <t>Francesca Jones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research</t>
        </is>
      </c>
      <c r="BA222" s="24" t="inlineStr">
        <is>
          <t>73429bd71f12304106b9ffb751bd50617d5109d487f00de7ae2732f60e779590</t>
        </is>
      </c>
      <c r="BB222" s="24" t="inlineStr">
        <is>
          <t>surface_blended_elo</t>
        </is>
      </c>
      <c r="BC222" s="24" t="inlineStr">
        <is>
          <t>tennis-surface-elo-v1</t>
        </is>
      </c>
      <c r="BD222" s="24" t="inlineStr">
        <is>
          <t>73429bd71f12304106b9ffb751bd50617d5109d487f00de7ae2732f60e779590</t>
        </is>
      </c>
      <c r="BE222" s="24" t="inlineStr">
        <is>
          <t>tennis-surface-elo-v1</t>
        </is>
      </c>
      <c r="BF222" s="24" t="inlineStr">
        <is>
          <t>1</t>
        </is>
      </c>
      <c r="BG222" s="24" t="inlineStr">
        <is>
          <t>73429bd71f12304106b9ffb751bd50617d5109d487f00de7ae2732f60e779590</t>
        </is>
      </c>
      <c r="BH222" s="24" t="inlineStr">
        <is>
          <t>2026-07-28T08:07:29.757214Z</t>
        </is>
      </c>
      <c r="BI222" s="24" t="inlineStr">
        <is>
          <t>["same_event","same_team_same_day","same_league_same_day"]</t>
        </is>
      </c>
      <c r="BJ222" s="25" t="n"/>
      <c r="BK222" s="26" t="n">
        <v>-376</v>
      </c>
      <c r="BL222" s="27" t="n">
        <v>1.265957</v>
      </c>
      <c r="BM222" s="28" t="n">
        <v>0.789916</v>
      </c>
      <c r="BN222" s="28" t="n"/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</row>
    <row r="223" ht="36" customHeight="1">
      <c r="A223" s="24" t="inlineStr">
        <is>
          <t>4ef8462ffb1f4f65</t>
        </is>
      </c>
      <c r="B223" s="24" t="inlineStr">
        <is>
          <t>2026-07-28T08:09:48.374429Z</t>
        </is>
      </c>
      <c r="C223" s="24" t="inlineStr">
        <is>
          <t>2026-07-28T11:00Z</t>
        </is>
      </c>
      <c r="D223" s="24" t="inlineStr">
        <is>
          <t>1073-2026:179585</t>
        </is>
      </c>
      <c r="E223" s="24" t="inlineStr">
        <is>
          <t>TENNIS</t>
        </is>
      </c>
      <c r="F223" s="24" t="inlineStr">
        <is>
          <t>Maia Ilinca Burcescu</t>
        </is>
      </c>
      <c r="G223" s="24" t="inlineStr">
        <is>
          <t>Alevtina Ibragimova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-456</v>
      </c>
      <c r="M223" s="27" t="n">
        <v>1.219298</v>
      </c>
      <c r="N223" s="28" t="n">
        <v>0.820144</v>
      </c>
      <c r="O223" s="28" t="n">
        <v>0.597506</v>
      </c>
      <c r="P223" s="28" t="n">
        <v>0.05</v>
      </c>
      <c r="Q223" s="28" t="n">
        <v>-0.222638</v>
      </c>
      <c r="R223" s="26" t="n">
        <v>0</v>
      </c>
      <c r="S223" s="29" t="n">
        <v>1.25</v>
      </c>
      <c r="T223" s="24" t="inlineStr">
        <is>
          <t>tennis-surface-elo-v1</t>
        </is>
      </c>
      <c r="U223" s="24" t="inlineStr">
        <is>
          <t>settled</t>
        </is>
      </c>
      <c r="V223" s="24" t="inlineStr">
        <is>
          <t>win</t>
        </is>
      </c>
      <c r="W223" s="26" t="n">
        <v>0</v>
      </c>
      <c r="X223" s="26" t="n">
        <v>1</v>
      </c>
      <c r="Y223" s="25" t="n"/>
      <c r="Z223" s="26" t="n"/>
      <c r="AA223" s="28" t="n"/>
      <c r="AB223" s="28" t="n"/>
      <c r="AC223" s="30" t="n">
        <v>0.2741</v>
      </c>
      <c r="AD223" s="24" t="inlineStr">
        <is>
          <t>2026-07-28T14:59:03.420461Z</t>
        </is>
      </c>
      <c r="AE223" s="31" t="inlineStr">
        <is>
          <t>Surface-blended Elo on Hard: Maia Ilinca Burcescu p=0.402 vs Alevtina Ibragimova. Executable ask 0.8200 (aec-wta-aleibr-maibur-2026-07-27).</t>
        </is>
      </c>
      <c r="AF223" s="31" t="inlineStr">
        <is>
          <t>Research-only surface-blended Elo model; singles only, WTA-only market coverage, not yet locked-holdout qualified.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research_observation</t>
        </is>
      </c>
      <c r="AL223" s="26" t="n">
        <v>3</v>
      </c>
      <c r="AM223" s="24" t="inlineStr">
        <is>
          <t>RESEARCH_OBSERVATION</t>
        </is>
      </c>
      <c r="AN223" s="24" t="inlineStr">
        <is>
          <t>NO_CALL</t>
        </is>
      </c>
      <c r="AO223" s="24" t="inlineStr">
        <is>
          <t>NO_CALL_MODEL_UNVALIDATED</t>
        </is>
      </c>
      <c r="AP223" s="24" t="inlineStr">
        <is>
          <t>Maia Ilinca Burcescu</t>
        </is>
      </c>
      <c r="AQ223" s="24" t="inlineStr">
        <is>
          <t>Maia Ilinca Burcescu</t>
        </is>
      </c>
      <c r="AR223" s="24" t="inlineStr">
        <is>
          <t>Maia Ilinca Burcescu</t>
        </is>
      </c>
      <c r="AS223" s="24" t="inlineStr">
        <is>
          <t>Alevtina Ibragimova</t>
        </is>
      </c>
      <c r="AT223" s="24" t="inlineStr">
        <is>
          <t>Alevtina Ibragimova</t>
        </is>
      </c>
      <c r="AU223" s="24" t="inlineStr">
        <is>
          <t>Alevtina Ibragimova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research</t>
        </is>
      </c>
      <c r="BA223" s="24" t="inlineStr">
        <is>
          <t>73429bd71f12304106b9ffb751bd50617d5109d487f00de7ae2732f60e779590</t>
        </is>
      </c>
      <c r="BB223" s="24" t="inlineStr">
        <is>
          <t>surface_blended_elo</t>
        </is>
      </c>
      <c r="BC223" s="24" t="inlineStr">
        <is>
          <t>tennis-surface-elo-v1</t>
        </is>
      </c>
      <c r="BD223" s="24" t="inlineStr">
        <is>
          <t>73429bd71f12304106b9ffb751bd50617d5109d487f00de7ae2732f60e779590</t>
        </is>
      </c>
      <c r="BE223" s="24" t="inlineStr">
        <is>
          <t>tennis-surface-elo-v1</t>
        </is>
      </c>
      <c r="BF223" s="24" t="inlineStr">
        <is>
          <t>1</t>
        </is>
      </c>
      <c r="BG223" s="24" t="inlineStr">
        <is>
          <t>73429bd71f12304106b9ffb751bd50617d5109d487f00de7ae2732f60e779590</t>
        </is>
      </c>
      <c r="BH223" s="24" t="inlineStr">
        <is>
          <t>2026-07-28T08:07:29.244295Z</t>
        </is>
      </c>
      <c r="BI223" s="24" t="inlineStr">
        <is>
          <t>["same_event","same_team_same_day","same_league_same_day"]</t>
        </is>
      </c>
      <c r="BJ223" s="25" t="n"/>
      <c r="BK223" s="26" t="n">
        <v>-456</v>
      </c>
      <c r="BL223" s="27" t="n">
        <v>1.219298</v>
      </c>
      <c r="BM223" s="28" t="n">
        <v>0.820144</v>
      </c>
      <c r="BN223" s="28" t="n"/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</row>
    <row r="224" ht="36" customHeight="1">
      <c r="A224" s="24" t="inlineStr">
        <is>
          <t>4892baa973e74093</t>
        </is>
      </c>
      <c r="B224" s="24" t="inlineStr">
        <is>
          <t>2026-07-28T08:09:48.374429Z</t>
        </is>
      </c>
      <c r="C224" s="24" t="inlineStr">
        <is>
          <t>2026-07-28T11:00Z</t>
        </is>
      </c>
      <c r="D224" s="24" t="inlineStr">
        <is>
          <t>1073-2026:179582</t>
        </is>
      </c>
      <c r="E224" s="24" t="inlineStr">
        <is>
          <t>TENNIS</t>
        </is>
      </c>
      <c r="F224" s="24" t="inlineStr">
        <is>
          <t>Anastasiia Sobolieva</t>
        </is>
      </c>
      <c r="G224" s="24" t="inlineStr">
        <is>
          <t>Selena Janicijevic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376</v>
      </c>
      <c r="M224" s="27" t="n">
        <v>4.76</v>
      </c>
      <c r="N224" s="28" t="n">
        <v>0.210084</v>
      </c>
      <c r="O224" s="28" t="n">
        <v>0.506887</v>
      </c>
      <c r="P224" s="28" t="n">
        <v>0.05</v>
      </c>
      <c r="Q224" s="28" t="n">
        <v>0.296803</v>
      </c>
      <c r="R224" s="26" t="n">
        <v>100</v>
      </c>
      <c r="S224" s="29" t="n">
        <v>1</v>
      </c>
      <c r="T224" s="24" t="inlineStr">
        <is>
          <t>tennis-surface-elo-v1</t>
        </is>
      </c>
      <c r="U224" s="24" t="inlineStr">
        <is>
          <t>settled</t>
        </is>
      </c>
      <c r="V224" s="24" t="inlineStr">
        <is>
          <t>loss</t>
        </is>
      </c>
      <c r="W224" s="26" t="n">
        <v>1</v>
      </c>
      <c r="X224" s="26" t="n">
        <v>0</v>
      </c>
      <c r="Y224" s="25" t="n"/>
      <c r="Z224" s="26" t="n"/>
      <c r="AA224" s="28" t="n"/>
      <c r="AB224" s="28" t="n"/>
      <c r="AC224" s="30" t="n">
        <v>-1</v>
      </c>
      <c r="AD224" s="24" t="inlineStr">
        <is>
          <t>2026-07-28T14:18:44.280191Z</t>
        </is>
      </c>
      <c r="AE224" s="31" t="inlineStr">
        <is>
          <t>Surface-blended Elo on Hard: Anastasiia Sobolieva p=0.493 vs Selena Janicijevic. Executable ask 0.2100 (aec-wta-seljan-anasob-2026-07-27).</t>
        </is>
      </c>
      <c r="AF224" s="31" t="inlineStr">
        <is>
          <t>Research-only surface-blended Elo model; singles only, WTA-only market coverage, not yet locked-holdout qualified.</t>
        </is>
      </c>
      <c r="AG224" s="24" t="inlineStr">
        <is>
          <t>review_required</t>
        </is>
      </c>
      <c r="AH224" s="24" t="n"/>
      <c r="AI224" s="31" t="n"/>
      <c r="AJ224" s="31" t="n"/>
      <c r="AK224" s="24" t="inlineStr">
        <is>
          <t>research_observation</t>
        </is>
      </c>
      <c r="AL224" s="26" t="n">
        <v>3</v>
      </c>
      <c r="AM224" s="24" t="inlineStr">
        <is>
          <t>RESEARCH_OBSERVATION</t>
        </is>
      </c>
      <c r="AN224" s="24" t="inlineStr">
        <is>
          <t>NO_CALL</t>
        </is>
      </c>
      <c r="AO224" s="24" t="inlineStr">
        <is>
          <t>NO_CALL_MODEL_UNVALIDATED</t>
        </is>
      </c>
      <c r="AP224" s="24" t="inlineStr">
        <is>
          <t>Anastasiia Sobolieva</t>
        </is>
      </c>
      <c r="AQ224" s="24" t="inlineStr">
        <is>
          <t>Anastasiia Sobolieva</t>
        </is>
      </c>
      <c r="AR224" s="24" t="inlineStr">
        <is>
          <t>Anastasiia Sobolieva</t>
        </is>
      </c>
      <c r="AS224" s="24" t="inlineStr">
        <is>
          <t>Selena Janicijevic</t>
        </is>
      </c>
      <c r="AT224" s="24" t="inlineStr">
        <is>
          <t>Selena Janicijevic</t>
        </is>
      </c>
      <c r="AU224" s="24" t="inlineStr">
        <is>
          <t>Selena Janicijevic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research</t>
        </is>
      </c>
      <c r="BA224" s="24" t="inlineStr">
        <is>
          <t>73429bd71f12304106b9ffb751bd50617d5109d487f00de7ae2732f60e779590</t>
        </is>
      </c>
      <c r="BB224" s="24" t="inlineStr">
        <is>
          <t>surface_blended_elo</t>
        </is>
      </c>
      <c r="BC224" s="24" t="inlineStr">
        <is>
          <t>tennis-surface-elo-v1</t>
        </is>
      </c>
      <c r="BD224" s="24" t="inlineStr">
        <is>
          <t>73429bd71f12304106b9ffb751bd50617d5109d487f00de7ae2732f60e779590</t>
        </is>
      </c>
      <c r="BE224" s="24" t="inlineStr">
        <is>
          <t>tennis-surface-elo-v1</t>
        </is>
      </c>
      <c r="BF224" s="24" t="inlineStr">
        <is>
          <t>1</t>
        </is>
      </c>
      <c r="BG224" s="24" t="inlineStr">
        <is>
          <t>73429bd71f12304106b9ffb751bd50617d5109d487f00de7ae2732f60e779590</t>
        </is>
      </c>
      <c r="BH224" s="24" t="inlineStr">
        <is>
          <t>2026-07-28T08:07:29.943296Z</t>
        </is>
      </c>
      <c r="BI224" s="24" t="inlineStr">
        <is>
          <t>["same_event","same_team_same_day","same_league_same_day"]</t>
        </is>
      </c>
      <c r="BJ224" s="25" t="n"/>
      <c r="BK224" s="26" t="n">
        <v>376</v>
      </c>
      <c r="BL224" s="27" t="n">
        <v>4.76</v>
      </c>
      <c r="BM224" s="28" t="n">
        <v>0.210084</v>
      </c>
      <c r="BN224" s="28" t="n"/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</row>
    <row r="225" ht="36" customHeight="1">
      <c r="A225" s="24" t="inlineStr">
        <is>
          <t>b348a92598374228</t>
        </is>
      </c>
      <c r="B225" s="24" t="inlineStr">
        <is>
          <t>2026-07-28T11:15:58.367390Z</t>
        </is>
      </c>
      <c r="C225" s="24" t="inlineStr">
        <is>
          <t>2026-07-28T14:00Z</t>
        </is>
      </c>
      <c r="D225" s="24" t="inlineStr">
        <is>
          <t>1073-2026:179597</t>
        </is>
      </c>
      <c r="E225" s="24" t="inlineStr">
        <is>
          <t>TENNIS</t>
        </is>
      </c>
      <c r="F225" s="24" t="inlineStr">
        <is>
          <t>Carole Monnet</t>
        </is>
      </c>
      <c r="G225" s="24" t="inlineStr">
        <is>
          <t>Miriam Bulgaru</t>
        </is>
      </c>
      <c r="H225" s="24" t="inlineStr">
        <is>
          <t>moneyline</t>
        </is>
      </c>
      <c r="I225" s="24" t="inlineStr">
        <is>
          <t>away</t>
        </is>
      </c>
      <c r="J225" s="25" t="n"/>
      <c r="K225" s="24" t="inlineStr">
        <is>
          <t>polymarket_us</t>
        </is>
      </c>
      <c r="L225" s="26" t="n">
        <v>-133</v>
      </c>
      <c r="M225" s="27" t="n">
        <v>1.75188</v>
      </c>
      <c r="N225" s="28" t="n">
        <v>0.570815</v>
      </c>
      <c r="O225" s="28" t="n">
        <v>0.604046</v>
      </c>
      <c r="P225" s="28" t="n">
        <v>0.05</v>
      </c>
      <c r="Q225" s="28" t="n">
        <v>0.033231</v>
      </c>
      <c r="R225" s="26" t="n">
        <v>37</v>
      </c>
      <c r="S225" s="29" t="n">
        <v>1.25</v>
      </c>
      <c r="T225" s="24" t="inlineStr">
        <is>
          <t>tennis-surface-elo-v1</t>
        </is>
      </c>
      <c r="U225" s="24" t="inlineStr">
        <is>
          <t>settled</t>
        </is>
      </c>
      <c r="V225" s="24" t="inlineStr">
        <is>
          <t>win</t>
        </is>
      </c>
      <c r="W225" s="26" t="n">
        <v>1</v>
      </c>
      <c r="X225" s="26" t="n">
        <v>0</v>
      </c>
      <c r="Y225" s="25" t="n"/>
      <c r="Z225" s="26" t="n"/>
      <c r="AA225" s="28" t="n"/>
      <c r="AB225" s="28" t="n"/>
      <c r="AC225" s="30" t="n">
        <v>0.9399</v>
      </c>
      <c r="AD225" s="24" t="inlineStr">
        <is>
          <t>2026-07-28T16:02:14.284405Z</t>
        </is>
      </c>
      <c r="AE225" s="31" t="inlineStr">
        <is>
          <t>Surface-blended Elo on Hard: Carole Monnet p=0.604 vs Miriam Bulgaru. Executable ask 0.5700 (aec-wta-mirbul-carmon-2026-07-27).</t>
        </is>
      </c>
      <c r="AF225" s="31" t="inlineStr">
        <is>
          <t>Research-only surface-blended Elo model; singles only, WTA-only market coverage, not yet locked-holdout qualified.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research_observation</t>
        </is>
      </c>
      <c r="AL225" s="26" t="n">
        <v>3</v>
      </c>
      <c r="AM225" s="24" t="inlineStr">
        <is>
          <t>RESEARCH_OBSERVATION</t>
        </is>
      </c>
      <c r="AN225" s="24" t="inlineStr">
        <is>
          <t>NO_CALL</t>
        </is>
      </c>
      <c r="AO225" s="24" t="inlineStr">
        <is>
          <t>NO_CALL_MODEL_UNVALIDATED</t>
        </is>
      </c>
      <c r="AP225" s="24" t="inlineStr">
        <is>
          <t>Carole Monnet</t>
        </is>
      </c>
      <c r="AQ225" s="24" t="inlineStr">
        <is>
          <t>Carole Monnet</t>
        </is>
      </c>
      <c r="AR225" s="24" t="inlineStr">
        <is>
          <t>Carole Monnet</t>
        </is>
      </c>
      <c r="AS225" s="24" t="inlineStr">
        <is>
          <t>Miriam Bulgaru</t>
        </is>
      </c>
      <c r="AT225" s="24" t="inlineStr">
        <is>
          <t>Miriam Bulgaru</t>
        </is>
      </c>
      <c r="AU225" s="24" t="inlineStr">
        <is>
          <t>Miriam Bulgaru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research</t>
        </is>
      </c>
      <c r="BA225" s="24" t="inlineStr">
        <is>
          <t>73429bd71f12304106b9ffb751bd50617d5109d487f00de7ae2732f60e779590</t>
        </is>
      </c>
      <c r="BB225" s="24" t="inlineStr">
        <is>
          <t>surface_blended_elo</t>
        </is>
      </c>
      <c r="BC225" s="24" t="inlineStr">
        <is>
          <t>tennis-surface-elo-v1</t>
        </is>
      </c>
      <c r="BD225" s="24" t="inlineStr">
        <is>
          <t>73429bd71f12304106b9ffb751bd50617d5109d487f00de7ae2732f60e779590</t>
        </is>
      </c>
      <c r="BE225" s="24" t="inlineStr">
        <is>
          <t>tennis-surface-elo-v1</t>
        </is>
      </c>
      <c r="BF225" s="24" t="inlineStr">
        <is>
          <t>1</t>
        </is>
      </c>
      <c r="BG225" s="24" t="inlineStr">
        <is>
          <t>73429bd71f12304106b9ffb751bd50617d5109d487f00de7ae2732f60e779590</t>
        </is>
      </c>
      <c r="BH225" s="24" t="inlineStr">
        <is>
          <t>2026-07-28T11:13:41.297840Z</t>
        </is>
      </c>
      <c r="BI225" s="24" t="inlineStr">
        <is>
          <t>["same_event","same_team_same_day","same_league_same_day"]</t>
        </is>
      </c>
      <c r="BJ225" s="25" t="n"/>
      <c r="BK225" s="26" t="n">
        <v>-133</v>
      </c>
      <c r="BL225" s="27" t="n">
        <v>1.75188</v>
      </c>
      <c r="BM225" s="28" t="n">
        <v>0.570815</v>
      </c>
      <c r="BN225" s="28" t="n"/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</row>
    <row r="226" ht="36" customHeight="1">
      <c r="A226" s="24" t="inlineStr">
        <is>
          <t>b6f4a3e099bb472a</t>
        </is>
      </c>
      <c r="B226" s="24" t="inlineStr">
        <is>
          <t>2026-07-28T14:22:03.423136Z</t>
        </is>
      </c>
      <c r="C226" s="24" t="inlineStr">
        <is>
          <t>2026-07-28T15:00Z</t>
        </is>
      </c>
      <c r="D226" s="24" t="inlineStr">
        <is>
          <t>888-2026:179000</t>
        </is>
      </c>
      <c r="E226" s="24" t="inlineStr">
        <is>
          <t>TENNIS</t>
        </is>
      </c>
      <c r="F226" s="24" t="inlineStr">
        <is>
          <t>Polina Kudermetova</t>
        </is>
      </c>
      <c r="G226" s="24" t="inlineStr">
        <is>
          <t>Cristina Bucsa</t>
        </is>
      </c>
      <c r="H226" s="24" t="inlineStr">
        <is>
          <t>moneyline</t>
        </is>
      </c>
      <c r="I226" s="24" t="inlineStr">
        <is>
          <t>away</t>
        </is>
      </c>
      <c r="J226" s="25" t="n"/>
      <c r="K226" s="24" t="inlineStr">
        <is>
          <t>polymarket_us</t>
        </is>
      </c>
      <c r="L226" s="26" t="n">
        <v>-133</v>
      </c>
      <c r="M226" s="27" t="n">
        <v>1.75188</v>
      </c>
      <c r="N226" s="28" t="n">
        <v>0.570815</v>
      </c>
      <c r="O226" s="28" t="n">
        <v>0.512221</v>
      </c>
      <c r="P226" s="28" t="n">
        <v>0.05</v>
      </c>
      <c r="Q226" s="28" t="n">
        <v>-0.058594</v>
      </c>
      <c r="R226" s="26" t="n">
        <v>0</v>
      </c>
      <c r="S226" s="29" t="n">
        <v>1</v>
      </c>
      <c r="T226" s="24" t="inlineStr">
        <is>
          <t>tennis-surface-elo-v1</t>
        </is>
      </c>
      <c r="U226" s="24" t="inlineStr">
        <is>
          <t>settled</t>
        </is>
      </c>
      <c r="V226" s="24" t="inlineStr">
        <is>
          <t>win</t>
        </is>
      </c>
      <c r="W226" s="26" t="n">
        <v>1</v>
      </c>
      <c r="X226" s="26" t="n">
        <v>0</v>
      </c>
      <c r="Y226" s="25" t="n"/>
      <c r="Z226" s="26" t="n"/>
      <c r="AA226" s="28" t="n"/>
      <c r="AB226" s="28" t="n"/>
      <c r="AC226" s="30" t="n">
        <v>0.7519</v>
      </c>
      <c r="AD226" s="24" t="inlineStr">
        <is>
          <t>2026-07-28T20:31:20.529941Z</t>
        </is>
      </c>
      <c r="AE226" s="31" t="inlineStr">
        <is>
          <t>Surface-blended Elo on Hard: Polina Kudermetova p=0.512 vs Cristina Bucsa. Executable ask 0.5700 (aec-wta-cribuc-polkud-2026-07-27).</t>
        </is>
      </c>
      <c r="AF226" s="31" t="inlineStr">
        <is>
          <t>Research-only surface-blended Elo model; singles only, WTA-only market coverage, not yet locked-holdout qualified.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research_observation</t>
        </is>
      </c>
      <c r="AL226" s="26" t="n">
        <v>3</v>
      </c>
      <c r="AM226" s="24" t="inlineStr">
        <is>
          <t>RESEARCH_OBSERVATION</t>
        </is>
      </c>
      <c r="AN226" s="24" t="inlineStr">
        <is>
          <t>NO_CALL</t>
        </is>
      </c>
      <c r="AO226" s="24" t="inlineStr">
        <is>
          <t>NO_CALL_MODEL_UNVALIDATED</t>
        </is>
      </c>
      <c r="AP226" s="24" t="inlineStr">
        <is>
          <t>Polina Kudermetova</t>
        </is>
      </c>
      <c r="AQ226" s="24" t="inlineStr">
        <is>
          <t>Polina Kudermetova</t>
        </is>
      </c>
      <c r="AR226" s="24" t="inlineStr">
        <is>
          <t>Polina Kudermetova</t>
        </is>
      </c>
      <c r="AS226" s="24" t="inlineStr">
        <is>
          <t>Cristina Bucsa</t>
        </is>
      </c>
      <c r="AT226" s="24" t="inlineStr">
        <is>
          <t>Cristina Bucsa</t>
        </is>
      </c>
      <c r="AU226" s="24" t="inlineStr">
        <is>
          <t>Cristina Bucsa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research</t>
        </is>
      </c>
      <c r="BA226" s="24" t="inlineStr">
        <is>
          <t>73429bd71f12304106b9ffb751bd50617d5109d487f00de7ae2732f60e779590</t>
        </is>
      </c>
      <c r="BB226" s="24" t="inlineStr">
        <is>
          <t>surface_blended_elo</t>
        </is>
      </c>
      <c r="BC226" s="24" t="inlineStr">
        <is>
          <t>tennis-surface-elo-v1</t>
        </is>
      </c>
      <c r="BD226" s="24" t="inlineStr">
        <is>
          <t>73429bd71f12304106b9ffb751bd50617d5109d487f00de7ae2732f60e779590</t>
        </is>
      </c>
      <c r="BE226" s="24" t="inlineStr">
        <is>
          <t>tennis-surface-elo-v1</t>
        </is>
      </c>
      <c r="BF226" s="24" t="inlineStr">
        <is>
          <t>1</t>
        </is>
      </c>
      <c r="BG226" s="24" t="inlineStr">
        <is>
          <t>73429bd71f12304106b9ffb751bd50617d5109d487f00de7ae2732f60e779590</t>
        </is>
      </c>
      <c r="BH226" s="24" t="inlineStr">
        <is>
          <t>2026-07-28T14:19:47.442380Z</t>
        </is>
      </c>
      <c r="BI226" s="24" t="inlineStr">
        <is>
          <t>["same_event","same_team_same_day","same_league_same_day"]</t>
        </is>
      </c>
      <c r="BJ226" s="25" t="n"/>
      <c r="BK226" s="26" t="n">
        <v>-133</v>
      </c>
      <c r="BL226" s="27" t="n">
        <v>1.75188</v>
      </c>
      <c r="BM226" s="28" t="n">
        <v>0.570815</v>
      </c>
      <c r="BN226" s="28" t="n"/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</row>
    <row r="227" ht="36" customHeight="1">
      <c r="A227" s="24" t="inlineStr">
        <is>
          <t>6a97ad946c334512</t>
        </is>
      </c>
      <c r="B227" s="24" t="inlineStr">
        <is>
          <t>2026-07-28T14:22:03.423136Z</t>
        </is>
      </c>
      <c r="C227" s="24" t="inlineStr">
        <is>
          <t>2026-07-28T15:00Z</t>
        </is>
      </c>
      <c r="D227" s="24" t="inlineStr">
        <is>
          <t>888-2026:179017</t>
        </is>
      </c>
      <c r="E227" s="24" t="inlineStr">
        <is>
          <t>TENNIS</t>
        </is>
      </c>
      <c r="F227" s="24" t="inlineStr">
        <is>
          <t>Wang Xinyu</t>
        </is>
      </c>
      <c r="G227" s="24" t="inlineStr">
        <is>
          <t>Julieta Pareja</t>
        </is>
      </c>
      <c r="H227" s="24" t="inlineStr">
        <is>
          <t>moneyline</t>
        </is>
      </c>
      <c r="I227" s="24" t="inlineStr">
        <is>
          <t>away</t>
        </is>
      </c>
      <c r="J227" s="25" t="n"/>
      <c r="K227" s="24" t="inlineStr">
        <is>
          <t>polymarket_us</t>
        </is>
      </c>
      <c r="L227" s="26" t="n">
        <v>-138</v>
      </c>
      <c r="M227" s="27" t="n">
        <v>1.724638</v>
      </c>
      <c r="N227" s="28" t="n">
        <v>0.579832</v>
      </c>
      <c r="O227" s="28" t="n">
        <v>0.624023</v>
      </c>
      <c r="P227" s="28" t="n">
        <v>0.05</v>
      </c>
      <c r="Q227" s="28" t="n">
        <v>0.044191</v>
      </c>
      <c r="R227" s="26" t="n">
        <v>42</v>
      </c>
      <c r="S227" s="29" t="n">
        <v>1.5</v>
      </c>
      <c r="T227" s="24" t="inlineStr">
        <is>
          <t>tennis-surface-elo-v1</t>
        </is>
      </c>
      <c r="U227" s="24" t="inlineStr">
        <is>
          <t>settled</t>
        </is>
      </c>
      <c r="V227" s="24" t="inlineStr">
        <is>
          <t>win</t>
        </is>
      </c>
      <c r="W227" s="26" t="n">
        <v>1</v>
      </c>
      <c r="X227" s="26" t="n">
        <v>0</v>
      </c>
      <c r="Y227" s="25" t="n"/>
      <c r="Z227" s="26" t="n"/>
      <c r="AA227" s="28" t="n"/>
      <c r="AB227" s="28" t="n"/>
      <c r="AC227" s="30" t="n">
        <v>1.087</v>
      </c>
      <c r="AD227" s="24" t="inlineStr">
        <is>
          <t>2026-07-28T17:24:52.772577Z</t>
        </is>
      </c>
      <c r="AE227" s="31" t="inlineStr">
        <is>
          <t>Surface-blended Elo on Hard: Wang Xinyu p=0.624 vs Julieta Pareja. Executable ask 0.5800 (aec-wta-julpar-xinwan-2026-07-27).</t>
        </is>
      </c>
      <c r="AF227" s="31" t="inlineStr">
        <is>
          <t>Research-only surface-blended Elo model; singles only, WTA-only market coverage, not yet locked-holdout qualified.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research_observation</t>
        </is>
      </c>
      <c r="AL227" s="26" t="n">
        <v>3</v>
      </c>
      <c r="AM227" s="24" t="inlineStr">
        <is>
          <t>RESEARCH_OBSERVATION</t>
        </is>
      </c>
      <c r="AN227" s="24" t="inlineStr">
        <is>
          <t>NO_CALL</t>
        </is>
      </c>
      <c r="AO227" s="24" t="inlineStr">
        <is>
          <t>NO_CALL_MODEL_UNVALIDATED</t>
        </is>
      </c>
      <c r="AP227" s="24" t="inlineStr">
        <is>
          <t>Wang Xinyu</t>
        </is>
      </c>
      <c r="AQ227" s="24" t="inlineStr">
        <is>
          <t>Wang Xinyu</t>
        </is>
      </c>
      <c r="AR227" s="24" t="inlineStr">
        <is>
          <t>Wang Xinyu</t>
        </is>
      </c>
      <c r="AS227" s="24" t="inlineStr">
        <is>
          <t>Julieta Pareja</t>
        </is>
      </c>
      <c r="AT227" s="24" t="inlineStr">
        <is>
          <t>Julieta Pareja</t>
        </is>
      </c>
      <c r="AU227" s="24" t="inlineStr">
        <is>
          <t>Julieta Pareja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research</t>
        </is>
      </c>
      <c r="BA227" s="24" t="inlineStr">
        <is>
          <t>73429bd71f12304106b9ffb751bd50617d5109d487f00de7ae2732f60e779590</t>
        </is>
      </c>
      <c r="BB227" s="24" t="inlineStr">
        <is>
          <t>surface_blended_elo</t>
        </is>
      </c>
      <c r="BC227" s="24" t="inlineStr">
        <is>
          <t>tennis-surface-elo-v1</t>
        </is>
      </c>
      <c r="BD227" s="24" t="inlineStr">
        <is>
          <t>73429bd71f12304106b9ffb751bd50617d5109d487f00de7ae2732f60e779590</t>
        </is>
      </c>
      <c r="BE227" s="24" t="inlineStr">
        <is>
          <t>tennis-surface-elo-v1</t>
        </is>
      </c>
      <c r="BF227" s="24" t="inlineStr">
        <is>
          <t>1</t>
        </is>
      </c>
      <c r="BG227" s="24" t="inlineStr">
        <is>
          <t>73429bd71f12304106b9ffb751bd50617d5109d487f00de7ae2732f60e779590</t>
        </is>
      </c>
      <c r="BH227" s="24" t="inlineStr">
        <is>
          <t>2026-07-28T14:19:49.037022Z</t>
        </is>
      </c>
      <c r="BI227" s="24" t="inlineStr">
        <is>
          <t>["same_event","same_team_same_day","same_league_same_day"]</t>
        </is>
      </c>
      <c r="BJ227" s="25" t="n"/>
      <c r="BK227" s="26" t="n">
        <v>-138</v>
      </c>
      <c r="BL227" s="27" t="n">
        <v>1.724638</v>
      </c>
      <c r="BM227" s="28" t="n">
        <v>0.579832</v>
      </c>
      <c r="BN227" s="28" t="n"/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</row>
    <row r="228" ht="36" customHeight="1">
      <c r="A228" s="24" t="inlineStr">
        <is>
          <t>ba633ac72b564928</t>
        </is>
      </c>
      <c r="B228" s="24" t="inlineStr">
        <is>
          <t>2026-07-28T14:22:03.423136Z</t>
        </is>
      </c>
      <c r="C228" s="24" t="inlineStr">
        <is>
          <t>2026-07-28T15:00Z</t>
        </is>
      </c>
      <c r="D228" s="24" t="inlineStr">
        <is>
          <t>1067-2026:179443</t>
        </is>
      </c>
      <c r="E228" s="24" t="inlineStr">
        <is>
          <t>TENNIS</t>
        </is>
      </c>
      <c r="F228" s="24" t="inlineStr">
        <is>
          <t>Kristina Liutova</t>
        </is>
      </c>
      <c r="G228" s="24" t="inlineStr">
        <is>
          <t>Ekaterina Alexandrova</t>
        </is>
      </c>
      <c r="H228" s="24" t="inlineStr">
        <is>
          <t>moneyline</t>
        </is>
      </c>
      <c r="I228" s="24" t="inlineStr">
        <is>
          <t>home</t>
        </is>
      </c>
      <c r="J228" s="25" t="n"/>
      <c r="K228" s="24" t="inlineStr">
        <is>
          <t>polymarket_us</t>
        </is>
      </c>
      <c r="L228" s="26" t="n">
        <v>-203</v>
      </c>
      <c r="M228" s="27" t="n">
        <v>1.492611</v>
      </c>
      <c r="N228" s="28" t="n">
        <v>0.669967</v>
      </c>
      <c r="O228" s="28" t="n">
        <v>0.695466</v>
      </c>
      <c r="P228" s="28" t="n">
        <v>0.05</v>
      </c>
      <c r="Q228" s="28" t="n">
        <v>0.025499</v>
      </c>
      <c r="R228" s="26" t="n">
        <v>33</v>
      </c>
      <c r="S228" s="29" t="n">
        <v>2</v>
      </c>
      <c r="T228" s="24" t="inlineStr">
        <is>
          <t>tennis-surface-elo-v1</t>
        </is>
      </c>
      <c r="U228" s="24" t="inlineStr">
        <is>
          <t>settled</t>
        </is>
      </c>
      <c r="V228" s="24" t="inlineStr">
        <is>
          <t>loss</t>
        </is>
      </c>
      <c r="W228" s="26" t="n">
        <v>1</v>
      </c>
      <c r="X228" s="26" t="n">
        <v>0</v>
      </c>
      <c r="Y228" s="25" t="n"/>
      <c r="Z228" s="26" t="n"/>
      <c r="AA228" s="28" t="n"/>
      <c r="AB228" s="28" t="n"/>
      <c r="AC228" s="30" t="n">
        <v>-2</v>
      </c>
      <c r="AD228" s="24" t="inlineStr">
        <is>
          <t>2026-07-28T20:31:20.658235Z</t>
        </is>
      </c>
      <c r="AE228" s="31" t="inlineStr">
        <is>
          <t>Surface-blended Elo on Hard: Kristina Liutova p=0.305 vs Ekaterina Alexandrova. Executable ask 0.6700 (aec-wta-ekaale-kriliu-2026-07-28).</t>
        </is>
      </c>
      <c r="AF228" s="31" t="inlineStr">
        <is>
          <t>Research-only surface-blended Elo model; singles only, WTA-only market coverage, not yet locked-holdout qualified.</t>
        </is>
      </c>
      <c r="AG228" s="24" t="inlineStr">
        <is>
          <t>review_required</t>
        </is>
      </c>
      <c r="AH228" s="24" t="n"/>
      <c r="AI228" s="31" t="n"/>
      <c r="AJ228" s="31" t="n"/>
      <c r="AK228" s="24" t="inlineStr">
        <is>
          <t>research_observation</t>
        </is>
      </c>
      <c r="AL228" s="26" t="n">
        <v>3</v>
      </c>
      <c r="AM228" s="24" t="inlineStr">
        <is>
          <t>RESEARCH_OBSERVATION</t>
        </is>
      </c>
      <c r="AN228" s="24" t="inlineStr">
        <is>
          <t>NO_CALL</t>
        </is>
      </c>
      <c r="AO228" s="24" t="inlineStr">
        <is>
          <t>NO_CALL_MODEL_UNVALIDATED</t>
        </is>
      </c>
      <c r="AP228" s="24" t="inlineStr">
        <is>
          <t>Kristina Liutova</t>
        </is>
      </c>
      <c r="AQ228" s="24" t="inlineStr">
        <is>
          <t>Kristina Liutova</t>
        </is>
      </c>
      <c r="AR228" s="24" t="inlineStr">
        <is>
          <t>Kristina Liutova</t>
        </is>
      </c>
      <c r="AS228" s="24" t="inlineStr">
        <is>
          <t>Ekaterina Alexandrova</t>
        </is>
      </c>
      <c r="AT228" s="24" t="inlineStr">
        <is>
          <t>Ekaterina Alexandrova</t>
        </is>
      </c>
      <c r="AU228" s="24" t="inlineStr">
        <is>
          <t>Ekaterina Alexandrova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research</t>
        </is>
      </c>
      <c r="BA228" s="24" t="inlineStr">
        <is>
          <t>73429bd71f12304106b9ffb751bd50617d5109d487f00de7ae2732f60e779590</t>
        </is>
      </c>
      <c r="BB228" s="24" t="inlineStr">
        <is>
          <t>surface_blended_elo</t>
        </is>
      </c>
      <c r="BC228" s="24" t="inlineStr">
        <is>
          <t>tennis-surface-elo-v1</t>
        </is>
      </c>
      <c r="BD228" s="24" t="inlineStr">
        <is>
          <t>73429bd71f12304106b9ffb751bd50617d5109d487f00de7ae2732f60e779590</t>
        </is>
      </c>
      <c r="BE228" s="24" t="inlineStr">
        <is>
          <t>tennis-surface-elo-v1</t>
        </is>
      </c>
      <c r="BF228" s="24" t="inlineStr">
        <is>
          <t>1</t>
        </is>
      </c>
      <c r="BG228" s="24" t="inlineStr">
        <is>
          <t>73429bd71f12304106b9ffb751bd50617d5109d487f00de7ae2732f60e779590</t>
        </is>
      </c>
      <c r="BH228" s="24" t="inlineStr">
        <is>
          <t>2026-07-28T14:19:54.883376Z</t>
        </is>
      </c>
      <c r="BI228" s="24" t="inlineStr">
        <is>
          <t>["same_event","same_team_same_day","same_league_same_day"]</t>
        </is>
      </c>
      <c r="BJ228" s="25" t="n"/>
      <c r="BK228" s="26" t="n">
        <v>-203</v>
      </c>
      <c r="BL228" s="27" t="n">
        <v>1.492611</v>
      </c>
      <c r="BM228" s="28" t="n">
        <v>0.669967</v>
      </c>
      <c r="BN228" s="28" t="n"/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</row>
    <row r="229" ht="36" customHeight="1">
      <c r="A229" s="24" t="inlineStr">
        <is>
          <t>1bd4b44fe1704333</t>
        </is>
      </c>
      <c r="B229" s="24" t="inlineStr">
        <is>
          <t>2026-07-28T14:22:03.423136Z</t>
        </is>
      </c>
      <c r="C229" s="24" t="inlineStr">
        <is>
          <t>2026-07-28T15:00Z</t>
        </is>
      </c>
      <c r="D229" s="24" t="inlineStr">
        <is>
          <t>1067-2026:179450</t>
        </is>
      </c>
      <c r="E229" s="24" t="inlineStr">
        <is>
          <t>TENNIS</t>
        </is>
      </c>
      <c r="F229" s="24" t="inlineStr">
        <is>
          <t>Cadence Brace</t>
        </is>
      </c>
      <c r="G229" s="24" t="inlineStr">
        <is>
          <t>Zeynep Sonmez</t>
        </is>
      </c>
      <c r="H229" s="24" t="inlineStr">
        <is>
          <t>moneyline</t>
        </is>
      </c>
      <c r="I229" s="24" t="inlineStr">
        <is>
          <t>home</t>
        </is>
      </c>
      <c r="J229" s="25" t="n"/>
      <c r="K229" s="24" t="inlineStr">
        <is>
          <t>polymarket_us</t>
        </is>
      </c>
      <c r="L229" s="26" t="n">
        <v>-614</v>
      </c>
      <c r="M229" s="27" t="n">
        <v>1.162866</v>
      </c>
      <c r="N229" s="28" t="n">
        <v>0.859944</v>
      </c>
      <c r="O229" s="28" t="n">
        <v>0.772271</v>
      </c>
      <c r="P229" s="28" t="n">
        <v>0.05</v>
      </c>
      <c r="Q229" s="28" t="n">
        <v>-0.087673</v>
      </c>
      <c r="R229" s="26" t="n">
        <v>0</v>
      </c>
      <c r="S229" s="29" t="n">
        <v>2</v>
      </c>
      <c r="T229" s="24" t="inlineStr">
        <is>
          <t>tennis-surface-elo-v1</t>
        </is>
      </c>
      <c r="U229" s="24" t="inlineStr">
        <is>
          <t>settled</t>
        </is>
      </c>
      <c r="V229" s="24" t="inlineStr">
        <is>
          <t>win</t>
        </is>
      </c>
      <c r="W229" s="26" t="n">
        <v>0</v>
      </c>
      <c r="X229" s="26" t="n">
        <v>1</v>
      </c>
      <c r="Y229" s="25" t="n"/>
      <c r="Z229" s="26" t="n"/>
      <c r="AA229" s="28" t="n"/>
      <c r="AB229" s="28" t="n"/>
      <c r="AC229" s="30" t="n">
        <v>0.3257</v>
      </c>
      <c r="AD229" s="24" t="inlineStr">
        <is>
          <t>2026-07-28T17:24:52.915624Z</t>
        </is>
      </c>
      <c r="AE229" s="31" t="inlineStr">
        <is>
          <t>Surface-blended Elo on Hard: Cadence Brace p=0.228 vs Zeynep Sonmez. Executable ask 0.8600 (aec-wta-zeyson-cadbra-2026-07-26).</t>
        </is>
      </c>
      <c r="AF229" s="31" t="inlineStr">
        <is>
          <t>Research-only surface-blended Elo model; singles only, WTA-only market coverage, not yet locked-holdout qualified.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research_observation</t>
        </is>
      </c>
      <c r="AL229" s="26" t="n">
        <v>3</v>
      </c>
      <c r="AM229" s="24" t="inlineStr">
        <is>
          <t>RESEARCH_OBSERVATION</t>
        </is>
      </c>
      <c r="AN229" s="24" t="inlineStr">
        <is>
          <t>NO_CALL</t>
        </is>
      </c>
      <c r="AO229" s="24" t="inlineStr">
        <is>
          <t>NO_CALL_MODEL_UNVALIDATED</t>
        </is>
      </c>
      <c r="AP229" s="24" t="inlineStr">
        <is>
          <t>Cadence Brace</t>
        </is>
      </c>
      <c r="AQ229" s="24" t="inlineStr">
        <is>
          <t>Cadence Brace</t>
        </is>
      </c>
      <c r="AR229" s="24" t="inlineStr">
        <is>
          <t>Cadence Brace</t>
        </is>
      </c>
      <c r="AS229" s="24" t="inlineStr">
        <is>
          <t>Zeynep Sonmez</t>
        </is>
      </c>
      <c r="AT229" s="24" t="inlineStr">
        <is>
          <t>Zeynep Sonmez</t>
        </is>
      </c>
      <c r="AU229" s="24" t="inlineStr">
        <is>
          <t>Zeynep Sonmez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73429bd71f12304106b9ffb751bd50617d5109d487f00de7ae2732f60e779590</t>
        </is>
      </c>
      <c r="BB229" s="24" t="inlineStr">
        <is>
          <t>surface_blended_elo</t>
        </is>
      </c>
      <c r="BC229" s="24" t="inlineStr">
        <is>
          <t>tennis-surface-elo-v1</t>
        </is>
      </c>
      <c r="BD229" s="24" t="inlineStr">
        <is>
          <t>73429bd71f12304106b9ffb751bd50617d5109d487f00de7ae2732f60e779590</t>
        </is>
      </c>
      <c r="BE229" s="24" t="inlineStr">
        <is>
          <t>tennis-surface-elo-v1</t>
        </is>
      </c>
      <c r="BF229" s="24" t="inlineStr">
        <is>
          <t>1</t>
        </is>
      </c>
      <c r="BG229" s="24" t="inlineStr">
        <is>
          <t>73429bd71f12304106b9ffb751bd50617d5109d487f00de7ae2732f60e779590</t>
        </is>
      </c>
      <c r="BH229" s="24" t="inlineStr">
        <is>
          <t>2026-07-28T14:19:52.688752Z</t>
        </is>
      </c>
      <c r="BI229" s="24" t="inlineStr">
        <is>
          <t>["same_event","same_team_same_day","same_league_same_day"]</t>
        </is>
      </c>
      <c r="BJ229" s="25" t="n"/>
      <c r="BK229" s="26" t="n">
        <v>-614</v>
      </c>
      <c r="BL229" s="27" t="n">
        <v>1.162866</v>
      </c>
      <c r="BM229" s="28" t="n">
        <v>0.859944</v>
      </c>
      <c r="BN229" s="28" t="n"/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</row>
    <row r="230" ht="36" customHeight="1">
      <c r="A230" s="24" t="inlineStr">
        <is>
          <t>056d2c4664fc49e4</t>
        </is>
      </c>
      <c r="B230" s="24" t="inlineStr">
        <is>
          <t>2026-07-28T16:33:15.182462Z</t>
        </is>
      </c>
      <c r="C230" s="24" t="inlineStr">
        <is>
          <t>2026-07-28T17:00Z</t>
        </is>
      </c>
      <c r="D230" s="24" t="inlineStr">
        <is>
          <t>888-2026:179022</t>
        </is>
      </c>
      <c r="E230" s="24" t="inlineStr">
        <is>
          <t>TENNIS</t>
        </is>
      </c>
      <c r="F230" s="24" t="inlineStr">
        <is>
          <t>Zheng Qinwen</t>
        </is>
      </c>
      <c r="G230" s="24" t="inlineStr">
        <is>
          <t>Alexandra Eala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polymarket_us</t>
        </is>
      </c>
      <c r="L230" s="26" t="n">
        <v>-133</v>
      </c>
      <c r="M230" s="27" t="n">
        <v>1.75188</v>
      </c>
      <c r="N230" s="28" t="n">
        <v>0.570815</v>
      </c>
      <c r="O230" s="28" t="n">
        <v>0.527043</v>
      </c>
      <c r="P230" s="28" t="n">
        <v>0.05</v>
      </c>
      <c r="Q230" s="28" t="n">
        <v>-0.043772</v>
      </c>
      <c r="R230" s="26" t="n">
        <v>0</v>
      </c>
      <c r="S230" s="29" t="n">
        <v>1</v>
      </c>
      <c r="T230" s="24" t="inlineStr">
        <is>
          <t>tennis-surface-elo-v1</t>
        </is>
      </c>
      <c r="U230" s="24" t="inlineStr">
        <is>
          <t>settled</t>
        </is>
      </c>
      <c r="V230" s="24" t="inlineStr">
        <is>
          <t>loss</t>
        </is>
      </c>
      <c r="W230" s="26" t="n">
        <v>0</v>
      </c>
      <c r="X230" s="26" t="n">
        <v>1</v>
      </c>
      <c r="Y230" s="25" t="n"/>
      <c r="Z230" s="26" t="n"/>
      <c r="AA230" s="28" t="n"/>
      <c r="AB230" s="28" t="n"/>
      <c r="AC230" s="30" t="n">
        <v>-1</v>
      </c>
      <c r="AD230" s="24" t="inlineStr">
        <is>
          <t>2026-07-28T20:31:20.789060Z</t>
        </is>
      </c>
      <c r="AE230" s="31" t="inlineStr">
        <is>
          <t>Surface-blended Elo on Hard: Zheng Qinwen p=0.527 vs Alexandra Eala. Executable ask 0.5700 (aec-wta-aleeal-qinzhe-2026-07-27).</t>
        </is>
      </c>
      <c r="AF230" s="31" t="inlineStr">
        <is>
          <t>Research-only surface-blended Elo model; singles only, WTA-only market coverage, not yet locked-holdout qualified.</t>
        </is>
      </c>
      <c r="AG230" s="24" t="inlineStr">
        <is>
          <t>review_required</t>
        </is>
      </c>
      <c r="AH230" s="24" t="n"/>
      <c r="AI230" s="31" t="n"/>
      <c r="AJ230" s="31" t="n"/>
      <c r="AK230" s="24" t="inlineStr">
        <is>
          <t>research_observation</t>
        </is>
      </c>
      <c r="AL230" s="26" t="n">
        <v>3</v>
      </c>
      <c r="AM230" s="24" t="inlineStr">
        <is>
          <t>RESEARCH_OBSERVATION</t>
        </is>
      </c>
      <c r="AN230" s="24" t="inlineStr">
        <is>
          <t>NO_CALL</t>
        </is>
      </c>
      <c r="AO230" s="24" t="inlineStr">
        <is>
          <t>NO_CALL_MODEL_UNVALIDATED</t>
        </is>
      </c>
      <c r="AP230" s="24" t="inlineStr">
        <is>
          <t>Zheng Qinwen</t>
        </is>
      </c>
      <c r="AQ230" s="24" t="inlineStr">
        <is>
          <t>Zheng Qinwen</t>
        </is>
      </c>
      <c r="AR230" s="24" t="inlineStr">
        <is>
          <t>Zheng Qinwen</t>
        </is>
      </c>
      <c r="AS230" s="24" t="inlineStr">
        <is>
          <t>Alexandra Eala</t>
        </is>
      </c>
      <c r="AT230" s="24" t="inlineStr">
        <is>
          <t>Alexandra Eala</t>
        </is>
      </c>
      <c r="AU230" s="24" t="inlineStr">
        <is>
          <t>Alexandra Eala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research</t>
        </is>
      </c>
      <c r="BA230" s="24" t="inlineStr">
        <is>
          <t>73429bd71f12304106b9ffb751bd50617d5109d487f00de7ae2732f60e779590</t>
        </is>
      </c>
      <c r="BB230" s="24" t="inlineStr">
        <is>
          <t>surface_blended_elo</t>
        </is>
      </c>
      <c r="BC230" s="24" t="inlineStr">
        <is>
          <t>tennis-surface-elo-v1</t>
        </is>
      </c>
      <c r="BD230" s="24" t="inlineStr">
        <is>
          <t>73429bd71f12304106b9ffb751bd50617d5109d487f00de7ae2732f60e779590</t>
        </is>
      </c>
      <c r="BE230" s="24" t="inlineStr">
        <is>
          <t>tennis-surface-elo-v1</t>
        </is>
      </c>
      <c r="BF230" s="24" t="inlineStr">
        <is>
          <t>1</t>
        </is>
      </c>
      <c r="BG230" s="24" t="inlineStr">
        <is>
          <t>73429bd71f12304106b9ffb751bd50617d5109d487f00de7ae2732f60e779590</t>
        </is>
      </c>
      <c r="BH230" s="24" t="inlineStr">
        <is>
          <t>2026-07-28T16:31:07.397161Z</t>
        </is>
      </c>
      <c r="BI230" s="24" t="inlineStr">
        <is>
          <t>["same_event","same_team_same_day","same_league_same_day"]</t>
        </is>
      </c>
      <c r="BJ230" s="25" t="n"/>
      <c r="BK230" s="26" t="n">
        <v>-133</v>
      </c>
      <c r="BL230" s="27" t="n">
        <v>1.75188</v>
      </c>
      <c r="BM230" s="28" t="n">
        <v>0.570815</v>
      </c>
      <c r="BN230" s="28" t="n"/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</row>
    <row r="231" ht="36" customHeight="1">
      <c r="A231" s="24" t="inlineStr">
        <is>
          <t>6e2e3187c05a4d6a</t>
        </is>
      </c>
      <c r="B231" s="24" t="inlineStr">
        <is>
          <t>2026-07-28T17:28:10.769619Z</t>
        </is>
      </c>
      <c r="C231" s="24" t="inlineStr">
        <is>
          <t>2026-07-28T19:00Z</t>
        </is>
      </c>
      <c r="D231" s="24" t="inlineStr">
        <is>
          <t>875-2026:179553</t>
        </is>
      </c>
      <c r="E231" s="24" t="inlineStr">
        <is>
          <t>TENNIS</t>
        </is>
      </c>
      <c r="F231" s="24" t="inlineStr">
        <is>
          <t>Nao Hibino</t>
        </is>
      </c>
      <c r="G231" s="24" t="inlineStr">
        <is>
          <t>Teah Chavez</t>
        </is>
      </c>
      <c r="H231" s="24" t="inlineStr">
        <is>
          <t>moneyline</t>
        </is>
      </c>
      <c r="I231" s="24" t="inlineStr">
        <is>
          <t>home</t>
        </is>
      </c>
      <c r="J231" s="25" t="n"/>
      <c r="K231" s="24" t="inlineStr">
        <is>
          <t>polymarket_us</t>
        </is>
      </c>
      <c r="L231" s="26" t="n">
        <v>614</v>
      </c>
      <c r="M231" s="27" t="n">
        <v>7.14</v>
      </c>
      <c r="N231" s="28" t="n">
        <v>0.140056</v>
      </c>
      <c r="O231" s="28" t="n">
        <v>0.588365</v>
      </c>
      <c r="P231" s="28" t="n">
        <v>0.2</v>
      </c>
      <c r="Q231" s="28" t="n">
        <v>0.448309</v>
      </c>
      <c r="R231" s="26" t="n">
        <v>100</v>
      </c>
      <c r="S231" s="29" t="n">
        <v>1</v>
      </c>
      <c r="T231" s="24" t="inlineStr">
        <is>
          <t>tennis-surface-elo-v1</t>
        </is>
      </c>
      <c r="U231" s="24" t="inlineStr">
        <is>
          <t>settled</t>
        </is>
      </c>
      <c r="V231" s="24" t="inlineStr">
        <is>
          <t>loss</t>
        </is>
      </c>
      <c r="W231" s="26" t="n">
        <v>1</v>
      </c>
      <c r="X231" s="26" t="n">
        <v>0</v>
      </c>
      <c r="Y231" s="25" t="n"/>
      <c r="Z231" s="26" t="n"/>
      <c r="AA231" s="28" t="n"/>
      <c r="AB231" s="28" t="n"/>
      <c r="AC231" s="30" t="n">
        <v>-1</v>
      </c>
      <c r="AD231" s="24" t="inlineStr">
        <is>
          <t>2026-07-28T23:37:09.013311Z</t>
        </is>
      </c>
      <c r="AE231" s="31" t="inlineStr">
        <is>
          <t>Surface-blended Elo on Hard: Nao Hibino p=0.412 vs Teah Chavez. Executable ask 0.1400 (aec-wta-teacha-naohib-2026-07-27).</t>
        </is>
      </c>
      <c r="AF231" s="31" t="inlineStr">
        <is>
          <t>Research-only surface-blended Elo model; singles only, WTA-only market coverage, not yet locked-holdout qualified.</t>
        </is>
      </c>
      <c r="AG231" s="24" t="inlineStr">
        <is>
          <t>review_required</t>
        </is>
      </c>
      <c r="AH231" s="24" t="n"/>
      <c r="AI231" s="31" t="n"/>
      <c r="AJ231" s="31" t="n"/>
      <c r="AK231" s="24" t="inlineStr">
        <is>
          <t>research_observation</t>
        </is>
      </c>
      <c r="AL231" s="26" t="n">
        <v>3</v>
      </c>
      <c r="AM231" s="24" t="inlineStr">
        <is>
          <t>RESEARCH_OBSERVATION</t>
        </is>
      </c>
      <c r="AN231" s="24" t="inlineStr">
        <is>
          <t>NO_CALL</t>
        </is>
      </c>
      <c r="AO231" s="24" t="inlineStr">
        <is>
          <t>NO_CALL_MODEL_UNVALIDATED</t>
        </is>
      </c>
      <c r="AP231" s="24" t="inlineStr">
        <is>
          <t>Nao Hibino</t>
        </is>
      </c>
      <c r="AQ231" s="24" t="inlineStr">
        <is>
          <t>Nao Hibino</t>
        </is>
      </c>
      <c r="AR231" s="24" t="inlineStr">
        <is>
          <t>Nao Hibino</t>
        </is>
      </c>
      <c r="AS231" s="24" t="inlineStr">
        <is>
          <t>Teah Chavez</t>
        </is>
      </c>
      <c r="AT231" s="24" t="inlineStr">
        <is>
          <t>Teah Chavez</t>
        </is>
      </c>
      <c r="AU231" s="24" t="inlineStr">
        <is>
          <t>Teah Chavez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research</t>
        </is>
      </c>
      <c r="BA231" s="24" t="inlineStr">
        <is>
          <t>73429bd71f12304106b9ffb751bd50617d5109d487f00de7ae2732f60e779590</t>
        </is>
      </c>
      <c r="BB231" s="24" t="inlineStr">
        <is>
          <t>surface_blended_elo</t>
        </is>
      </c>
      <c r="BC231" s="24" t="inlineStr">
        <is>
          <t>tennis-surface-elo-v1</t>
        </is>
      </c>
      <c r="BD231" s="24" t="inlineStr">
        <is>
          <t>73429bd71f12304106b9ffb751bd50617d5109d487f00de7ae2732f60e779590</t>
        </is>
      </c>
      <c r="BE231" s="24" t="inlineStr">
        <is>
          <t>tennis-surface-elo-v1</t>
        </is>
      </c>
      <c r="BF231" s="24" t="inlineStr">
        <is>
          <t>1</t>
        </is>
      </c>
      <c r="BG231" s="24" t="inlineStr">
        <is>
          <t>73429bd71f12304106b9ffb751bd50617d5109d487f00de7ae2732f60e779590</t>
        </is>
      </c>
      <c r="BH231" s="24" t="inlineStr">
        <is>
          <t>2026-07-28T17:26:00.042296Z</t>
        </is>
      </c>
      <c r="BI231" s="24" t="inlineStr">
        <is>
          <t>["same_event","same_team_same_day","same_league_same_day"]</t>
        </is>
      </c>
      <c r="BJ231" s="25" t="n"/>
      <c r="BK231" s="26" t="n">
        <v>614</v>
      </c>
      <c r="BL231" s="27" t="n">
        <v>7.14</v>
      </c>
      <c r="BM231" s="28" t="n">
        <v>0.140056</v>
      </c>
      <c r="BN231" s="28" t="n"/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</row>
    <row r="232" ht="36" customHeight="1">
      <c r="A232" s="24" t="inlineStr">
        <is>
          <t>7170400c15374484</t>
        </is>
      </c>
      <c r="B232" s="24" t="inlineStr">
        <is>
          <t>2026-07-28T17:28:10.769619Z</t>
        </is>
      </c>
      <c r="C232" s="24" t="inlineStr">
        <is>
          <t>2026-07-28T20:30Z</t>
        </is>
      </c>
      <c r="D232" s="24" t="inlineStr">
        <is>
          <t>875-2026:179534</t>
        </is>
      </c>
      <c r="E232" s="24" t="inlineStr">
        <is>
          <t>TENNIS</t>
        </is>
      </c>
      <c r="F232" s="24" t="inlineStr">
        <is>
          <t>Miho Kuramochi</t>
        </is>
      </c>
      <c r="G232" s="24" t="inlineStr">
        <is>
          <t>Moyuka Uchijima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-376</v>
      </c>
      <c r="M232" s="27" t="n">
        <v>1.265957</v>
      </c>
      <c r="N232" s="28" t="n">
        <v>0.789916</v>
      </c>
      <c r="O232" s="28" t="n">
        <v>0.629629</v>
      </c>
      <c r="P232" s="28" t="n">
        <v>0.05</v>
      </c>
      <c r="Q232" s="28" t="n">
        <v>-0.160287</v>
      </c>
      <c r="R232" s="26" t="n">
        <v>0</v>
      </c>
      <c r="S232" s="29" t="n">
        <v>1.5</v>
      </c>
      <c r="T232" s="24" t="inlineStr">
        <is>
          <t>tennis-surface-elo-v1</t>
        </is>
      </c>
      <c r="U232" s="24" t="inlineStr">
        <is>
          <t>settled</t>
        </is>
      </c>
      <c r="V232" s="24" t="inlineStr">
        <is>
          <t>win</t>
        </is>
      </c>
      <c r="W232" s="26" t="n">
        <v>0</v>
      </c>
      <c r="X232" s="26" t="n">
        <v>1</v>
      </c>
      <c r="Y232" s="25" t="n"/>
      <c r="Z232" s="26" t="n"/>
      <c r="AA232" s="28" t="n"/>
      <c r="AB232" s="28" t="n"/>
      <c r="AC232" s="30" t="n">
        <v>0.3989</v>
      </c>
      <c r="AD232" s="24" t="inlineStr">
        <is>
          <t>2026-07-28T23:37:09.141329Z</t>
        </is>
      </c>
      <c r="AE232" s="31" t="inlineStr">
        <is>
          <t>Surface-blended Elo on Hard: Miho Kuramochi p=0.370 vs Moyuka Uchijima. Executable ask 0.7900 (aec-wta-moyuch-mihkur-2026-07-28).</t>
        </is>
      </c>
      <c r="AF232" s="31" t="inlineStr">
        <is>
          <t>Research-only surface-blended Elo model; singles only, WTA-only market coverage, not yet locked-holdout qualified.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research_observation</t>
        </is>
      </c>
      <c r="AL232" s="26" t="n">
        <v>3</v>
      </c>
      <c r="AM232" s="24" t="inlineStr">
        <is>
          <t>RESEARCH_OBSERVATION</t>
        </is>
      </c>
      <c r="AN232" s="24" t="inlineStr">
        <is>
          <t>NO_CALL</t>
        </is>
      </c>
      <c r="AO232" s="24" t="inlineStr">
        <is>
          <t>NO_CALL_MODEL_UNVALIDATED</t>
        </is>
      </c>
      <c r="AP232" s="24" t="inlineStr">
        <is>
          <t>Miho Kuramochi</t>
        </is>
      </c>
      <c r="AQ232" s="24" t="inlineStr">
        <is>
          <t>Miho Kuramochi</t>
        </is>
      </c>
      <c r="AR232" s="24" t="inlineStr">
        <is>
          <t>Miho Kuramochi</t>
        </is>
      </c>
      <c r="AS232" s="24" t="inlineStr">
        <is>
          <t>Moyuka Uchijima</t>
        </is>
      </c>
      <c r="AT232" s="24" t="inlineStr">
        <is>
          <t>Moyuka Uchijima</t>
        </is>
      </c>
      <c r="AU232" s="24" t="inlineStr">
        <is>
          <t>Moyuka Uchijima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research</t>
        </is>
      </c>
      <c r="BA232" s="24" t="inlineStr">
        <is>
          <t>73429bd71f12304106b9ffb751bd50617d5109d487f00de7ae2732f60e779590</t>
        </is>
      </c>
      <c r="BB232" s="24" t="inlineStr">
        <is>
          <t>surface_blended_elo</t>
        </is>
      </c>
      <c r="BC232" s="24" t="inlineStr">
        <is>
          <t>tennis-surface-elo-v1</t>
        </is>
      </c>
      <c r="BD232" s="24" t="inlineStr">
        <is>
          <t>73429bd71f12304106b9ffb751bd50617d5109d487f00de7ae2732f60e779590</t>
        </is>
      </c>
      <c r="BE232" s="24" t="inlineStr">
        <is>
          <t>tennis-surface-elo-v1</t>
        </is>
      </c>
      <c r="BF232" s="24" t="inlineStr">
        <is>
          <t>1</t>
        </is>
      </c>
      <c r="BG232" s="24" t="inlineStr">
        <is>
          <t>73429bd71f12304106b9ffb751bd50617d5109d487f00de7ae2732f60e779590</t>
        </is>
      </c>
      <c r="BH232" s="24" t="inlineStr">
        <is>
          <t>2026-07-28T17:26:02.304685Z</t>
        </is>
      </c>
      <c r="BI232" s="24" t="inlineStr">
        <is>
          <t>["same_event","same_team_same_day","same_league_same_day"]</t>
        </is>
      </c>
      <c r="BJ232" s="25" t="n"/>
      <c r="BK232" s="26" t="n">
        <v>-376</v>
      </c>
      <c r="BL232" s="27" t="n">
        <v>1.265957</v>
      </c>
      <c r="BM232" s="28" t="n">
        <v>0.789916</v>
      </c>
      <c r="BN232" s="28" t="n"/>
      <c r="BO232" s="28" t="n"/>
      <c r="BP232" s="25" t="n"/>
      <c r="BQ232" s="27" t="n"/>
      <c r="BR232" s="28" t="n"/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</row>
    <row r="233" ht="36" customHeight="1">
      <c r="A233" s="24" t="inlineStr">
        <is>
          <t>ae93d371d4b04bd0</t>
        </is>
      </c>
      <c r="B233" s="24" t="inlineStr">
        <is>
          <t>2026-07-28T17:28:10.769619Z</t>
        </is>
      </c>
      <c r="C233" s="24" t="inlineStr">
        <is>
          <t>2026-07-28T19:00Z</t>
        </is>
      </c>
      <c r="D233" s="24" t="inlineStr">
        <is>
          <t>888-2026:179003</t>
        </is>
      </c>
      <c r="E233" s="24" t="inlineStr">
        <is>
          <t>TENNIS</t>
        </is>
      </c>
      <c r="F233" s="24" t="inlineStr">
        <is>
          <t>Anna Kalinskaya</t>
        </is>
      </c>
      <c r="G233" s="24" t="inlineStr">
        <is>
          <t>Daria Kasatkina</t>
        </is>
      </c>
      <c r="H233" s="24" t="inlineStr">
        <is>
          <t>moneyline</t>
        </is>
      </c>
      <c r="I233" s="24" t="inlineStr">
        <is>
          <t>away</t>
        </is>
      </c>
      <c r="J233" s="25" t="n"/>
      <c r="K233" s="24" t="inlineStr">
        <is>
          <t>polymarket_us</t>
        </is>
      </c>
      <c r="L233" s="26" t="n">
        <v>-178</v>
      </c>
      <c r="M233" s="27" t="n">
        <v>1.561798</v>
      </c>
      <c r="N233" s="28" t="n">
        <v>0.640288</v>
      </c>
      <c r="O233" s="28" t="n">
        <v>0.604672</v>
      </c>
      <c r="P233" s="28" t="n">
        <v>0.05</v>
      </c>
      <c r="Q233" s="28" t="n">
        <v>-0.035616</v>
      </c>
      <c r="R233" s="26" t="n">
        <v>2</v>
      </c>
      <c r="S233" s="29" t="n">
        <v>1.25</v>
      </c>
      <c r="T233" s="24" t="inlineStr">
        <is>
          <t>tennis-surface-elo-v1</t>
        </is>
      </c>
      <c r="U233" s="24" t="inlineStr">
        <is>
          <t>settled</t>
        </is>
      </c>
      <c r="V233" s="24" t="inlineStr">
        <is>
          <t>win</t>
        </is>
      </c>
      <c r="W233" s="26" t="n">
        <v>1</v>
      </c>
      <c r="X233" s="26" t="n">
        <v>0</v>
      </c>
      <c r="Y233" s="25" t="n"/>
      <c r="Z233" s="26" t="n"/>
      <c r="AA233" s="28" t="n"/>
      <c r="AB233" s="28" t="n"/>
      <c r="AC233" s="30" t="n">
        <v>0.7022</v>
      </c>
      <c r="AD233" s="24" t="inlineStr">
        <is>
          <t>2026-07-28T23:37:09.272804Z</t>
        </is>
      </c>
      <c r="AE233" s="31" t="inlineStr">
        <is>
          <t>Surface-blended Elo on Hard: Anna Kalinskaya p=0.605 vs Daria Kasatkina. Executable ask 0.6400 (aec-wta-darkas-annkal-2026-07-27).</t>
        </is>
      </c>
      <c r="AF233" s="31" t="inlineStr">
        <is>
          <t>Research-only surface-blended Elo model; singles only, WTA-only market coverage, not yet locked-holdout qualified.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research_observation</t>
        </is>
      </c>
      <c r="AL233" s="26" t="n">
        <v>3</v>
      </c>
      <c r="AM233" s="24" t="inlineStr">
        <is>
          <t>RESEARCH_OBSERVATION</t>
        </is>
      </c>
      <c r="AN233" s="24" t="inlineStr">
        <is>
          <t>NO_CALL</t>
        </is>
      </c>
      <c r="AO233" s="24" t="inlineStr">
        <is>
          <t>NO_CALL_MODEL_UNVALIDATED</t>
        </is>
      </c>
      <c r="AP233" s="24" t="inlineStr">
        <is>
          <t>Anna Kalinskaya</t>
        </is>
      </c>
      <c r="AQ233" s="24" t="inlineStr">
        <is>
          <t>Anna Kalinskaya</t>
        </is>
      </c>
      <c r="AR233" s="24" t="inlineStr">
        <is>
          <t>Anna Kalinskaya</t>
        </is>
      </c>
      <c r="AS233" s="24" t="inlineStr">
        <is>
          <t>Daria Kasatkina</t>
        </is>
      </c>
      <c r="AT233" s="24" t="inlineStr">
        <is>
          <t>Daria Kasatkina</t>
        </is>
      </c>
      <c r="AU233" s="24" t="inlineStr">
        <is>
          <t>Daria Kasatkina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research</t>
        </is>
      </c>
      <c r="BA233" s="24" t="inlineStr">
        <is>
          <t>73429bd71f12304106b9ffb751bd50617d5109d487f00de7ae2732f60e779590</t>
        </is>
      </c>
      <c r="BB233" s="24" t="inlineStr">
        <is>
          <t>surface_blended_elo</t>
        </is>
      </c>
      <c r="BC233" s="24" t="inlineStr">
        <is>
          <t>tennis-surface-elo-v1</t>
        </is>
      </c>
      <c r="BD233" s="24" t="inlineStr">
        <is>
          <t>73429bd71f12304106b9ffb751bd50617d5109d487f00de7ae2732f60e779590</t>
        </is>
      </c>
      <c r="BE233" s="24" t="inlineStr">
        <is>
          <t>tennis-surface-elo-v1</t>
        </is>
      </c>
      <c r="BF233" s="24" t="inlineStr">
        <is>
          <t>1</t>
        </is>
      </c>
      <c r="BG233" s="24" t="inlineStr">
        <is>
          <t>73429bd71f12304106b9ffb751bd50617d5109d487f00de7ae2732f60e779590</t>
        </is>
      </c>
      <c r="BH233" s="24" t="inlineStr">
        <is>
          <t>2026-07-28T17:26:00.832341Z</t>
        </is>
      </c>
      <c r="BI233" s="24" t="inlineStr">
        <is>
          <t>["same_event","same_team_same_day","same_league_same_day"]</t>
        </is>
      </c>
      <c r="BJ233" s="25" t="n"/>
      <c r="BK233" s="26" t="n">
        <v>-178</v>
      </c>
      <c r="BL233" s="27" t="n">
        <v>1.561798</v>
      </c>
      <c r="BM233" s="28" t="n">
        <v>0.640288</v>
      </c>
      <c r="BN233" s="28" t="n"/>
      <c r="BO233" s="28" t="n"/>
      <c r="BP233" s="25" t="n"/>
      <c r="BQ233" s="27" t="n"/>
      <c r="BR233" s="28" t="n"/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</row>
    <row r="234" ht="36" customHeight="1">
      <c r="A234" s="24" t="inlineStr">
        <is>
          <t>00406ef261434c9c</t>
        </is>
      </c>
      <c r="B234" s="24" t="inlineStr">
        <is>
          <t>2026-07-28T17:28:10.769619Z</t>
        </is>
      </c>
      <c r="C234" s="24" t="inlineStr">
        <is>
          <t>2026-07-28T20:30Z</t>
        </is>
      </c>
      <c r="D234" s="24" t="inlineStr">
        <is>
          <t>888-2026:179007</t>
        </is>
      </c>
      <c r="E234" s="24" t="inlineStr">
        <is>
          <t>TENNIS</t>
        </is>
      </c>
      <c r="F234" s="24" t="inlineStr">
        <is>
          <t>Ann Li</t>
        </is>
      </c>
      <c r="G234" s="24" t="inlineStr">
        <is>
          <t>Magdalena Frech</t>
        </is>
      </c>
      <c r="H234" s="24" t="inlineStr">
        <is>
          <t>moneyline</t>
        </is>
      </c>
      <c r="I234" s="24" t="inlineStr">
        <is>
          <t>away</t>
        </is>
      </c>
      <c r="J234" s="25" t="n"/>
      <c r="K234" s="24" t="inlineStr">
        <is>
          <t>polymarket_us</t>
        </is>
      </c>
      <c r="L234" s="26" t="n">
        <v>-194</v>
      </c>
      <c r="M234" s="27" t="n">
        <v>1.515464</v>
      </c>
      <c r="N234" s="28" t="n">
        <v>0.659864</v>
      </c>
      <c r="O234" s="28" t="n">
        <v>0.617829</v>
      </c>
      <c r="P234" s="28" t="n">
        <v>0.05</v>
      </c>
      <c r="Q234" s="28" t="n">
        <v>-0.042035</v>
      </c>
      <c r="R234" s="26" t="n">
        <v>0</v>
      </c>
      <c r="S234" s="29" t="n">
        <v>1.5</v>
      </c>
      <c r="T234" s="24" t="inlineStr">
        <is>
          <t>tennis-surface-elo-v1</t>
        </is>
      </c>
      <c r="U234" s="24" t="inlineStr">
        <is>
          <t>settled</t>
        </is>
      </c>
      <c r="V234" s="24" t="inlineStr">
        <is>
          <t>loss</t>
        </is>
      </c>
      <c r="W234" s="26" t="n">
        <v>0</v>
      </c>
      <c r="X234" s="26" t="n">
        <v>1</v>
      </c>
      <c r="Y234" s="25" t="n"/>
      <c r="Z234" s="26" t="n"/>
      <c r="AA234" s="28" t="n"/>
      <c r="AB234" s="28" t="n"/>
      <c r="AC234" s="30" t="n">
        <v>-1.5</v>
      </c>
      <c r="AD234" s="24" t="inlineStr">
        <is>
          <t>2026-07-29T02:41:50.768016Z</t>
        </is>
      </c>
      <c r="AE234" s="31" t="inlineStr">
        <is>
          <t>Surface-blended Elo on Hard: Ann Li p=0.618 vs Magdalena Frech. Executable ask 0.6600 (aec-wta-magfre-annli-2026-07-27).</t>
        </is>
      </c>
      <c r="AF234" s="31" t="inlineStr">
        <is>
          <t>Research-only surface-blended Elo model; singles only, WTA-only market coverage, not yet locked-holdout qualified.</t>
        </is>
      </c>
      <c r="AG234" s="24" t="inlineStr">
        <is>
          <t>review_required</t>
        </is>
      </c>
      <c r="AH234" s="24" t="n"/>
      <c r="AI234" s="31" t="n"/>
      <c r="AJ234" s="31" t="n"/>
      <c r="AK234" s="24" t="inlineStr">
        <is>
          <t>research_observation</t>
        </is>
      </c>
      <c r="AL234" s="26" t="n">
        <v>3</v>
      </c>
      <c r="AM234" s="24" t="inlineStr">
        <is>
          <t>RESEARCH_OBSERVATION</t>
        </is>
      </c>
      <c r="AN234" s="24" t="inlineStr">
        <is>
          <t>NO_CALL</t>
        </is>
      </c>
      <c r="AO234" s="24" t="inlineStr">
        <is>
          <t>NO_CALL_MODEL_UNVALIDATED</t>
        </is>
      </c>
      <c r="AP234" s="24" t="inlineStr">
        <is>
          <t>Ann Li</t>
        </is>
      </c>
      <c r="AQ234" s="24" t="inlineStr">
        <is>
          <t>Ann Li</t>
        </is>
      </c>
      <c r="AR234" s="24" t="inlineStr">
        <is>
          <t>Ann Li</t>
        </is>
      </c>
      <c r="AS234" s="24" t="inlineStr">
        <is>
          <t>Magdalena Frech</t>
        </is>
      </c>
      <c r="AT234" s="24" t="inlineStr">
        <is>
          <t>Magdalena Frech</t>
        </is>
      </c>
      <c r="AU234" s="24" t="inlineStr">
        <is>
          <t>Magdalena Frech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research</t>
        </is>
      </c>
      <c r="BA234" s="24" t="inlineStr">
        <is>
          <t>73429bd71f12304106b9ffb751bd50617d5109d487f00de7ae2732f60e779590</t>
        </is>
      </c>
      <c r="BB234" s="24" t="inlineStr">
        <is>
          <t>surface_blended_elo</t>
        </is>
      </c>
      <c r="BC234" s="24" t="inlineStr">
        <is>
          <t>tennis-surface-elo-v1</t>
        </is>
      </c>
      <c r="BD234" s="24" t="inlineStr">
        <is>
          <t>73429bd71f12304106b9ffb751bd50617d5109d487f00de7ae2732f60e779590</t>
        </is>
      </c>
      <c r="BE234" s="24" t="inlineStr">
        <is>
          <t>tennis-surface-elo-v1</t>
        </is>
      </c>
      <c r="BF234" s="24" t="inlineStr">
        <is>
          <t>1</t>
        </is>
      </c>
      <c r="BG234" s="24" t="inlineStr">
        <is>
          <t>73429bd71f12304106b9ffb751bd50617d5109d487f00de7ae2732f60e779590</t>
        </is>
      </c>
      <c r="BH234" s="24" t="inlineStr">
        <is>
          <t>2026-07-28T17:26:03.054314Z</t>
        </is>
      </c>
      <c r="BI234" s="24" t="inlineStr">
        <is>
          <t>["same_event","same_team_same_day","same_league_same_day"]</t>
        </is>
      </c>
      <c r="BJ234" s="25" t="n"/>
      <c r="BK234" s="26" t="n">
        <v>-194</v>
      </c>
      <c r="BL234" s="27" t="n">
        <v>1.515464</v>
      </c>
      <c r="BM234" s="28" t="n">
        <v>0.659864</v>
      </c>
      <c r="BN234" s="28" t="n"/>
      <c r="BO234" s="28" t="n"/>
      <c r="BP234" s="25" t="n"/>
      <c r="BQ234" s="27" t="n"/>
      <c r="BR234" s="28" t="n"/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</row>
    <row r="235" ht="36" customHeight="1">
      <c r="A235" s="24" t="inlineStr">
        <is>
          <t>aab983093f964221</t>
        </is>
      </c>
      <c r="B235" s="24" t="inlineStr">
        <is>
          <t>2026-07-28T20:34:16.434936Z</t>
        </is>
      </c>
      <c r="C235" s="24" t="inlineStr">
        <is>
          <t>2026-07-28T22:00Z</t>
        </is>
      </c>
      <c r="D235" s="24" t="inlineStr">
        <is>
          <t>875-2026:179533</t>
        </is>
      </c>
      <c r="E235" s="24" t="inlineStr">
        <is>
          <t>TENNIS</t>
        </is>
      </c>
      <c r="F235" s="24" t="inlineStr">
        <is>
          <t>Kyoka Okamura</t>
        </is>
      </c>
      <c r="G235" s="24" t="inlineStr">
        <is>
          <t>Hayu Kinoshita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-178</v>
      </c>
      <c r="M235" s="27" t="n">
        <v>1.561798</v>
      </c>
      <c r="N235" s="28" t="n">
        <v>0.640288</v>
      </c>
      <c r="O235" s="28" t="n">
        <v>0.501925</v>
      </c>
      <c r="P235" s="28" t="n">
        <v>0.05</v>
      </c>
      <c r="Q235" s="28" t="n">
        <v>-0.138363</v>
      </c>
      <c r="R235" s="26" t="n">
        <v>0</v>
      </c>
      <c r="S235" s="29" t="n">
        <v>1</v>
      </c>
      <c r="T235" s="24" t="inlineStr">
        <is>
          <t>tennis-surface-elo-v1</t>
        </is>
      </c>
      <c r="U235" s="24" t="inlineStr">
        <is>
          <t>settled</t>
        </is>
      </c>
      <c r="V235" s="24" t="inlineStr">
        <is>
          <t>win</t>
        </is>
      </c>
      <c r="W235" s="26" t="n">
        <v>0</v>
      </c>
      <c r="X235" s="26" t="n">
        <v>1</v>
      </c>
      <c r="Y235" s="25" t="n"/>
      <c r="Z235" s="26" t="n"/>
      <c r="AA235" s="28" t="n"/>
      <c r="AB235" s="28" t="n"/>
      <c r="AC235" s="30" t="n">
        <v>0.5618</v>
      </c>
      <c r="AD235" s="24" t="inlineStr">
        <is>
          <t>2026-07-28T23:37:09.407867Z</t>
        </is>
      </c>
      <c r="AE235" s="31" t="inlineStr">
        <is>
          <t>Surface-blended Elo on Hard: Kyoka Okamura p=0.498 vs Hayu Kinoshita. Executable ask 0.6400 (aec-wta-haykin-kyooka-2026-07-27).</t>
        </is>
      </c>
      <c r="AF235" s="31" t="inlineStr">
        <is>
          <t>Research-only surface-blended Elo model; singles only, WTA-only market coverage, not yet locked-holdout qualified.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research_observation</t>
        </is>
      </c>
      <c r="AL235" s="26" t="n">
        <v>3</v>
      </c>
      <c r="AM235" s="24" t="inlineStr">
        <is>
          <t>RESEARCH_OBSERVATION</t>
        </is>
      </c>
      <c r="AN235" s="24" t="inlineStr">
        <is>
          <t>NO_CALL</t>
        </is>
      </c>
      <c r="AO235" s="24" t="inlineStr">
        <is>
          <t>NO_CALL_MODEL_UNVALIDATED</t>
        </is>
      </c>
      <c r="AP235" s="24" t="inlineStr">
        <is>
          <t>Kyoka Okamura</t>
        </is>
      </c>
      <c r="AQ235" s="24" t="inlineStr">
        <is>
          <t>Kyoka Okamura</t>
        </is>
      </c>
      <c r="AR235" s="24" t="inlineStr">
        <is>
          <t>Kyoka Okamura</t>
        </is>
      </c>
      <c r="AS235" s="24" t="inlineStr">
        <is>
          <t>Hayu Kinoshita</t>
        </is>
      </c>
      <c r="AT235" s="24" t="inlineStr">
        <is>
          <t>Hayu Kinoshita</t>
        </is>
      </c>
      <c r="AU235" s="24" t="inlineStr">
        <is>
          <t>Hayu Kinoshita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research</t>
        </is>
      </c>
      <c r="BA235" s="24" t="inlineStr">
        <is>
          <t>73429bd71f12304106b9ffb751bd50617d5109d487f00de7ae2732f60e779590</t>
        </is>
      </c>
      <c r="BB235" s="24" t="inlineStr">
        <is>
          <t>surface_blended_elo</t>
        </is>
      </c>
      <c r="BC235" s="24" t="inlineStr">
        <is>
          <t>tennis-surface-elo-v1</t>
        </is>
      </c>
      <c r="BD235" s="24" t="inlineStr">
        <is>
          <t>73429bd71f12304106b9ffb751bd50617d5109d487f00de7ae2732f60e779590</t>
        </is>
      </c>
      <c r="BE235" s="24" t="inlineStr">
        <is>
          <t>tennis-surface-elo-v1</t>
        </is>
      </c>
      <c r="BF235" s="24" t="inlineStr">
        <is>
          <t>1</t>
        </is>
      </c>
      <c r="BG235" s="24" t="inlineStr">
        <is>
          <t>73429bd71f12304106b9ffb751bd50617d5109d487f00de7ae2732f60e779590</t>
        </is>
      </c>
      <c r="BH235" s="24" t="inlineStr">
        <is>
          <t>2026-07-28T20:32:32.394091Z</t>
        </is>
      </c>
      <c r="BI235" s="24" t="inlineStr">
        <is>
          <t>["same_event","same_team_same_day","same_league_same_day"]</t>
        </is>
      </c>
      <c r="BJ235" s="25" t="n"/>
      <c r="BK235" s="26" t="n">
        <v>-178</v>
      </c>
      <c r="BL235" s="27" t="n">
        <v>1.561798</v>
      </c>
      <c r="BM235" s="28" t="n">
        <v>0.640288</v>
      </c>
      <c r="BN235" s="28" t="n"/>
      <c r="BO235" s="28" t="n"/>
      <c r="BP235" s="25" t="n"/>
      <c r="BQ235" s="27" t="n"/>
      <c r="BR235" s="28" t="n"/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</row>
    <row r="236" ht="36" customHeight="1">
      <c r="A236" s="24" t="inlineStr">
        <is>
          <t>872389f9af7b4001</t>
        </is>
      </c>
      <c r="B236" s="24" t="inlineStr">
        <is>
          <t>2026-07-28T20:34:16.434936Z</t>
        </is>
      </c>
      <c r="C236" s="24" t="inlineStr">
        <is>
          <t>2026-07-28T23:30Z</t>
        </is>
      </c>
      <c r="D236" s="24" t="inlineStr">
        <is>
          <t>875-2026:179546</t>
        </is>
      </c>
      <c r="E236" s="24" t="inlineStr">
        <is>
          <t>TENNIS</t>
        </is>
      </c>
      <c r="F236" s="24" t="inlineStr">
        <is>
          <t>Ellie Schoppe</t>
        </is>
      </c>
      <c r="G236" s="24" t="inlineStr">
        <is>
          <t>Priscilla Hon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-335</v>
      </c>
      <c r="M236" s="27" t="n">
        <v>1.298507</v>
      </c>
      <c r="N236" s="28" t="n">
        <v>0.770115</v>
      </c>
      <c r="O236" s="28" t="n">
        <v>0.511706</v>
      </c>
      <c r="P236" s="28" t="n">
        <v>0.05</v>
      </c>
      <c r="Q236" s="28" t="n">
        <v>-0.258409</v>
      </c>
      <c r="R236" s="26" t="n">
        <v>0</v>
      </c>
      <c r="S236" s="29" t="n">
        <v>1</v>
      </c>
      <c r="T236" s="24" t="inlineStr">
        <is>
          <t>tennis-surface-elo-v1</t>
        </is>
      </c>
      <c r="U236" s="24" t="inlineStr">
        <is>
          <t>settled</t>
        </is>
      </c>
      <c r="V236" s="24" t="inlineStr">
        <is>
          <t>win</t>
        </is>
      </c>
      <c r="W236" s="26" t="n">
        <v>0</v>
      </c>
      <c r="X236" s="26" t="n">
        <v>1</v>
      </c>
      <c r="Y236" s="25" t="n"/>
      <c r="Z236" s="26" t="n"/>
      <c r="AA236" s="28" t="n"/>
      <c r="AB236" s="28" t="n"/>
      <c r="AC236" s="30" t="n">
        <v>0.2985</v>
      </c>
      <c r="AD236" s="24" t="inlineStr">
        <is>
          <t>2026-07-29T02:41:50.894577Z</t>
        </is>
      </c>
      <c r="AE236" s="31" t="inlineStr">
        <is>
          <t>Surface-blended Elo on Hard: Ellie Schoppe p=0.488 vs Priscilla Hon. Executable ask 0.7700 (aec-wta-prihon-ellsch-2026-07-28).</t>
        </is>
      </c>
      <c r="AF236" s="31" t="inlineStr">
        <is>
          <t>Research-only surface-blended Elo model; singles only, WTA-only market coverage, not yet locked-holdout qualified.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research_observation</t>
        </is>
      </c>
      <c r="AL236" s="26" t="n">
        <v>3</v>
      </c>
      <c r="AM236" s="24" t="inlineStr">
        <is>
          <t>RESEARCH_OBSERVATION</t>
        </is>
      </c>
      <c r="AN236" s="24" t="inlineStr">
        <is>
          <t>NO_CALL</t>
        </is>
      </c>
      <c r="AO236" s="24" t="inlineStr">
        <is>
          <t>NO_CALL_MODEL_UNVALIDATED</t>
        </is>
      </c>
      <c r="AP236" s="24" t="inlineStr">
        <is>
          <t>Ellie Schoppe</t>
        </is>
      </c>
      <c r="AQ236" s="24" t="inlineStr">
        <is>
          <t>Ellie Schoppe</t>
        </is>
      </c>
      <c r="AR236" s="24" t="inlineStr">
        <is>
          <t>Ellie Schoppe</t>
        </is>
      </c>
      <c r="AS236" s="24" t="inlineStr">
        <is>
          <t>Priscilla Hon</t>
        </is>
      </c>
      <c r="AT236" s="24" t="inlineStr">
        <is>
          <t>Priscilla Hon</t>
        </is>
      </c>
      <c r="AU236" s="24" t="inlineStr">
        <is>
          <t>Priscilla Hon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research</t>
        </is>
      </c>
      <c r="BA236" s="24" t="inlineStr">
        <is>
          <t>73429bd71f12304106b9ffb751bd50617d5109d487f00de7ae2732f60e779590</t>
        </is>
      </c>
      <c r="BB236" s="24" t="inlineStr">
        <is>
          <t>surface_blended_elo</t>
        </is>
      </c>
      <c r="BC236" s="24" t="inlineStr">
        <is>
          <t>tennis-surface-elo-v1</t>
        </is>
      </c>
      <c r="BD236" s="24" t="inlineStr">
        <is>
          <t>73429bd71f12304106b9ffb751bd50617d5109d487f00de7ae2732f60e779590</t>
        </is>
      </c>
      <c r="BE236" s="24" t="inlineStr">
        <is>
          <t>tennis-surface-elo-v1</t>
        </is>
      </c>
      <c r="BF236" s="24" t="inlineStr">
        <is>
          <t>1</t>
        </is>
      </c>
      <c r="BG236" s="24" t="inlineStr">
        <is>
          <t>73429bd71f12304106b9ffb751bd50617d5109d487f00de7ae2732f60e779590</t>
        </is>
      </c>
      <c r="BH236" s="24" t="inlineStr">
        <is>
          <t>2026-07-28T20:32:37.984067Z</t>
        </is>
      </c>
      <c r="BI236" s="24" t="inlineStr">
        <is>
          <t>["same_event","same_team_same_day","same_league_same_day"]</t>
        </is>
      </c>
      <c r="BJ236" s="25" t="n"/>
      <c r="BK236" s="26" t="n">
        <v>-335</v>
      </c>
      <c r="BL236" s="27" t="n">
        <v>1.298507</v>
      </c>
      <c r="BM236" s="28" t="n">
        <v>0.770115</v>
      </c>
      <c r="BN236" s="28" t="n"/>
      <c r="BO236" s="28" t="n"/>
      <c r="BP236" s="25" t="n"/>
      <c r="BQ236" s="27" t="n"/>
      <c r="BR236" s="28" t="n"/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</row>
    <row r="237" ht="36" customHeight="1">
      <c r="A237" s="24" t="inlineStr">
        <is>
          <t>e25f9dbf5bb146a7</t>
        </is>
      </c>
      <c r="B237" s="24" t="inlineStr">
        <is>
          <t>2026-07-28T20:34:16.434936Z</t>
        </is>
      </c>
      <c r="C237" s="24" t="inlineStr">
        <is>
          <t>2026-07-28T23:30Z</t>
        </is>
      </c>
      <c r="D237" s="24" t="inlineStr">
        <is>
          <t>888-2026:179001</t>
        </is>
      </c>
      <c r="E237" s="24" t="inlineStr">
        <is>
          <t>TENNIS</t>
        </is>
      </c>
      <c r="F237" s="24" t="inlineStr">
        <is>
          <t>Venus Williams</t>
        </is>
      </c>
      <c r="G237" s="24" t="inlineStr">
        <is>
          <t>Anastasia Potapova</t>
        </is>
      </c>
      <c r="H237" s="24" t="inlineStr">
        <is>
          <t>moneyline</t>
        </is>
      </c>
      <c r="I237" s="24" t="inlineStr">
        <is>
          <t>home</t>
        </is>
      </c>
      <c r="J237" s="25" t="n"/>
      <c r="K237" s="24" t="inlineStr">
        <is>
          <t>polymarket_us</t>
        </is>
      </c>
      <c r="L237" s="26" t="n">
        <v>-614</v>
      </c>
      <c r="M237" s="27" t="n">
        <v>1.162866</v>
      </c>
      <c r="N237" s="28" t="n">
        <v>0.859944</v>
      </c>
      <c r="O237" s="28" t="n">
        <v>0.842881</v>
      </c>
      <c r="P237" s="28" t="n">
        <v>0.05</v>
      </c>
      <c r="Q237" s="28" t="n">
        <v>-0.017063</v>
      </c>
      <c r="R237" s="26" t="n">
        <v>11</v>
      </c>
      <c r="S237" s="29" t="n">
        <v>2</v>
      </c>
      <c r="T237" s="24" t="inlineStr">
        <is>
          <t>tennis-surface-elo-v1</t>
        </is>
      </c>
      <c r="U237" s="24" t="inlineStr">
        <is>
          <t>settled</t>
        </is>
      </c>
      <c r="V237" s="24" t="inlineStr">
        <is>
          <t>win</t>
        </is>
      </c>
      <c r="W237" s="26" t="n">
        <v>0</v>
      </c>
      <c r="X237" s="26" t="n">
        <v>1</v>
      </c>
      <c r="Y237" s="25" t="n"/>
      <c r="Z237" s="26" t="n"/>
      <c r="AA237" s="28" t="n"/>
      <c r="AB237" s="28" t="n"/>
      <c r="AC237" s="30" t="n">
        <v>0.3257</v>
      </c>
      <c r="AD237" s="24" t="inlineStr">
        <is>
          <t>2026-07-29T02:41:51.026860Z</t>
        </is>
      </c>
      <c r="AE237" s="31" t="inlineStr">
        <is>
          <t>Surface-blended Elo on Hard: Venus Williams p=0.157 vs Anastasia Potapova. Executable ask 0.8600 (aec-wta-anapot-venwil-2026-07-27).</t>
        </is>
      </c>
      <c r="AF237" s="31" t="inlineStr">
        <is>
          <t>Research-only surface-blended Elo model; singles only, WTA-only market coverage, not yet locked-holdout qualified.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research_observation</t>
        </is>
      </c>
      <c r="AL237" s="26" t="n">
        <v>3</v>
      </c>
      <c r="AM237" s="24" t="inlineStr">
        <is>
          <t>RESEARCH_OBSERVATION</t>
        </is>
      </c>
      <c r="AN237" s="24" t="inlineStr">
        <is>
          <t>NO_CALL</t>
        </is>
      </c>
      <c r="AO237" s="24" t="inlineStr">
        <is>
          <t>NO_CALL_MODEL_UNVALIDATED</t>
        </is>
      </c>
      <c r="AP237" s="24" t="inlineStr">
        <is>
          <t>Venus Williams</t>
        </is>
      </c>
      <c r="AQ237" s="24" t="inlineStr">
        <is>
          <t>Venus Williams</t>
        </is>
      </c>
      <c r="AR237" s="24" t="inlineStr">
        <is>
          <t>Venus Williams</t>
        </is>
      </c>
      <c r="AS237" s="24" t="inlineStr">
        <is>
          <t>Anastasia Potapova</t>
        </is>
      </c>
      <c r="AT237" s="24" t="inlineStr">
        <is>
          <t>Anastasia Potapova</t>
        </is>
      </c>
      <c r="AU237" s="24" t="inlineStr">
        <is>
          <t>Anastasia Potapova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research</t>
        </is>
      </c>
      <c r="BA237" s="24" t="inlineStr">
        <is>
          <t>73429bd71f12304106b9ffb751bd50617d5109d487f00de7ae2732f60e779590</t>
        </is>
      </c>
      <c r="BB237" s="24" t="inlineStr">
        <is>
          <t>surface_blended_elo</t>
        </is>
      </c>
      <c r="BC237" s="24" t="inlineStr">
        <is>
          <t>tennis-surface-elo-v1</t>
        </is>
      </c>
      <c r="BD237" s="24" t="inlineStr">
        <is>
          <t>73429bd71f12304106b9ffb751bd50617d5109d487f00de7ae2732f60e779590</t>
        </is>
      </c>
      <c r="BE237" s="24" t="inlineStr">
        <is>
          <t>tennis-surface-elo-v1</t>
        </is>
      </c>
      <c r="BF237" s="24" t="inlineStr">
        <is>
          <t>1</t>
        </is>
      </c>
      <c r="BG237" s="24" t="inlineStr">
        <is>
          <t>73429bd71f12304106b9ffb751bd50617d5109d487f00de7ae2732f60e779590</t>
        </is>
      </c>
      <c r="BH237" s="24" t="inlineStr">
        <is>
          <t>2026-07-28T20:32:42.963351Z</t>
        </is>
      </c>
      <c r="BI237" s="24" t="inlineStr">
        <is>
          <t>["same_event","same_team_same_day","same_league_same_day"]</t>
        </is>
      </c>
      <c r="BJ237" s="25" t="n"/>
      <c r="BK237" s="26" t="n">
        <v>-614</v>
      </c>
      <c r="BL237" s="27" t="n">
        <v>1.162866</v>
      </c>
      <c r="BM237" s="28" t="n">
        <v>0.859944</v>
      </c>
      <c r="BN237" s="28" t="n"/>
      <c r="BO237" s="28" t="n"/>
      <c r="BP237" s="25" t="n"/>
      <c r="BQ237" s="27" t="n"/>
      <c r="BR237" s="28" t="n"/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</row>
    <row r="238" ht="36" customHeight="1">
      <c r="A238" s="24" t="inlineStr">
        <is>
          <t>858c3d6a87ba4281</t>
        </is>
      </c>
      <c r="B238" s="24" t="inlineStr">
        <is>
          <t>2026-07-28T20:34:16.434936Z</t>
        </is>
      </c>
      <c r="C238" s="24" t="inlineStr">
        <is>
          <t>2026-07-28T22:00Z</t>
        </is>
      </c>
      <c r="D238" s="24" t="inlineStr">
        <is>
          <t>1067-2026:179461</t>
        </is>
      </c>
      <c r="E238" s="24" t="inlineStr">
        <is>
          <t>TENNIS</t>
        </is>
      </c>
      <c r="F238" s="24" t="inlineStr">
        <is>
          <t>Peyton Stearns</t>
        </is>
      </c>
      <c r="G238" s="24" t="inlineStr">
        <is>
          <t>Mary Stoiana</t>
        </is>
      </c>
      <c r="H238" s="24" t="inlineStr">
        <is>
          <t>moneyline</t>
        </is>
      </c>
      <c r="I238" s="24" t="inlineStr">
        <is>
          <t>away</t>
        </is>
      </c>
      <c r="J238" s="25" t="n"/>
      <c r="K238" s="24" t="inlineStr">
        <is>
          <t>polymarket_us</t>
        </is>
      </c>
      <c r="L238" s="26" t="n">
        <v>-156</v>
      </c>
      <c r="M238" s="27" t="n">
        <v>1.641026</v>
      </c>
      <c r="N238" s="28" t="n">
        <v>0.609375</v>
      </c>
      <c r="O238" s="28" t="n">
        <v>0.561639</v>
      </c>
      <c r="P238" s="28" t="n">
        <v>0.05</v>
      </c>
      <c r="Q238" s="28" t="n">
        <v>-0.047736</v>
      </c>
      <c r="R238" s="26" t="n">
        <v>0</v>
      </c>
      <c r="S238" s="29" t="n">
        <v>1</v>
      </c>
      <c r="T238" s="24" t="inlineStr">
        <is>
          <t>tennis-surface-elo-v1</t>
        </is>
      </c>
      <c r="U238" s="24" t="inlineStr">
        <is>
          <t>settled</t>
        </is>
      </c>
      <c r="V238" s="24" t="inlineStr">
        <is>
          <t>win</t>
        </is>
      </c>
      <c r="W238" s="26" t="n">
        <v>1</v>
      </c>
      <c r="X238" s="26" t="n">
        <v>0</v>
      </c>
      <c r="Y238" s="25" t="n"/>
      <c r="Z238" s="26" t="n"/>
      <c r="AA238" s="28" t="n"/>
      <c r="AB238" s="28" t="n"/>
      <c r="AC238" s="30" t="n">
        <v>0.641</v>
      </c>
      <c r="AD238" s="24" t="inlineStr">
        <is>
          <t>2026-07-29T02:41:51.185206Z</t>
        </is>
      </c>
      <c r="AE238" s="31" t="inlineStr">
        <is>
          <t>Surface-blended Elo on Hard: Peyton Stearns p=0.562 vs Mary Stoiana. Executable ask 0.6100 (aec-wta-marsto-peyste-2026-07-26).</t>
        </is>
      </c>
      <c r="AF238" s="31" t="inlineStr">
        <is>
          <t>Research-only surface-blended Elo model; singles only, WTA-only market coverage, not yet locked-holdout qualified.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research_observation</t>
        </is>
      </c>
      <c r="AL238" s="26" t="n">
        <v>3</v>
      </c>
      <c r="AM238" s="24" t="inlineStr">
        <is>
          <t>RESEARCH_OBSERVATION</t>
        </is>
      </c>
      <c r="AN238" s="24" t="inlineStr">
        <is>
          <t>NO_CALL</t>
        </is>
      </c>
      <c r="AO238" s="24" t="inlineStr">
        <is>
          <t>NO_CALL_MODEL_UNVALIDATED</t>
        </is>
      </c>
      <c r="AP238" s="24" t="inlineStr">
        <is>
          <t>Peyton Stearns</t>
        </is>
      </c>
      <c r="AQ238" s="24" t="inlineStr">
        <is>
          <t>Peyton Stearns</t>
        </is>
      </c>
      <c r="AR238" s="24" t="inlineStr">
        <is>
          <t>Peyton Stearns</t>
        </is>
      </c>
      <c r="AS238" s="24" t="inlineStr">
        <is>
          <t>Mary Stoiana</t>
        </is>
      </c>
      <c r="AT238" s="24" t="inlineStr">
        <is>
          <t>Mary Stoiana</t>
        </is>
      </c>
      <c r="AU238" s="24" t="inlineStr">
        <is>
          <t>Mary Stoiana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research</t>
        </is>
      </c>
      <c r="BA238" s="24" t="inlineStr">
        <is>
          <t>73429bd71f12304106b9ffb751bd50617d5109d487f00de7ae2732f60e779590</t>
        </is>
      </c>
      <c r="BB238" s="24" t="inlineStr">
        <is>
          <t>surface_blended_elo</t>
        </is>
      </c>
      <c r="BC238" s="24" t="inlineStr">
        <is>
          <t>tennis-surface-elo-v1</t>
        </is>
      </c>
      <c r="BD238" s="24" t="inlineStr">
        <is>
          <t>73429bd71f12304106b9ffb751bd50617d5109d487f00de7ae2732f60e779590</t>
        </is>
      </c>
      <c r="BE238" s="24" t="inlineStr">
        <is>
          <t>tennis-surface-elo-v1</t>
        </is>
      </c>
      <c r="BF238" s="24" t="inlineStr">
        <is>
          <t>1</t>
        </is>
      </c>
      <c r="BG238" s="24" t="inlineStr">
        <is>
          <t>73429bd71f12304106b9ffb751bd50617d5109d487f00de7ae2732f60e779590</t>
        </is>
      </c>
      <c r="BH238" s="24" t="inlineStr">
        <is>
          <t>2026-07-28T20:32:36.629256Z</t>
        </is>
      </c>
      <c r="BI238" s="24" t="inlineStr">
        <is>
          <t>["same_event","same_team_same_day","same_league_same_day"]</t>
        </is>
      </c>
      <c r="BJ238" s="25" t="n"/>
      <c r="BK238" s="26" t="n">
        <v>-156</v>
      </c>
      <c r="BL238" s="27" t="n">
        <v>1.641026</v>
      </c>
      <c r="BM238" s="28" t="n">
        <v>0.609375</v>
      </c>
      <c r="BN238" s="28" t="n"/>
      <c r="BO238" s="28" t="n"/>
      <c r="BP238" s="25" t="n"/>
      <c r="BQ238" s="27" t="n"/>
      <c r="BR238" s="28" t="n"/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</row>
    <row r="239" ht="36" customHeight="1">
      <c r="A239" s="24" t="inlineStr">
        <is>
          <t>41c7c5044dee4ed6</t>
        </is>
      </c>
      <c r="B239" s="24" t="inlineStr">
        <is>
          <t>2026-07-28T20:34:16.434936Z</t>
        </is>
      </c>
      <c r="C239" s="24" t="inlineStr">
        <is>
          <t>2026-07-28T22:00Z</t>
        </is>
      </c>
      <c r="D239" s="24" t="inlineStr">
        <is>
          <t>1067-2026:179459</t>
        </is>
      </c>
      <c r="E239" s="24" t="inlineStr">
        <is>
          <t>TENNIS</t>
        </is>
      </c>
      <c r="F239" s="24" t="inlineStr">
        <is>
          <t>Marina Bassols Ribera</t>
        </is>
      </c>
      <c r="G239" s="24" t="inlineStr">
        <is>
          <t>Darja Vidmanova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-186</v>
      </c>
      <c r="M239" s="27" t="n">
        <v>1.537634</v>
      </c>
      <c r="N239" s="28" t="n">
        <v>0.65035</v>
      </c>
      <c r="O239" s="28" t="n">
        <v>0.578209</v>
      </c>
      <c r="P239" s="28" t="n">
        <v>0.05</v>
      </c>
      <c r="Q239" s="28" t="n">
        <v>-0.072141</v>
      </c>
      <c r="R239" s="26" t="n">
        <v>0</v>
      </c>
      <c r="S239" s="29" t="n">
        <v>1.25</v>
      </c>
      <c r="T239" s="24" t="inlineStr">
        <is>
          <t>tennis-surface-elo-v1</t>
        </is>
      </c>
      <c r="U239" s="24" t="inlineStr">
        <is>
          <t>settled</t>
        </is>
      </c>
      <c r="V239" s="24" t="inlineStr">
        <is>
          <t>win</t>
        </is>
      </c>
      <c r="W239" s="26" t="n">
        <v>0</v>
      </c>
      <c r="X239" s="26" t="n">
        <v>1</v>
      </c>
      <c r="Y239" s="25" t="n"/>
      <c r="Z239" s="26" t="n"/>
      <c r="AA239" s="28" t="n"/>
      <c r="AB239" s="28" t="n"/>
      <c r="AC239" s="30" t="n">
        <v>0.672</v>
      </c>
      <c r="AD239" s="24" t="inlineStr">
        <is>
          <t>2026-07-29T02:41:51.312699Z</t>
        </is>
      </c>
      <c r="AE239" s="31" t="inlineStr">
        <is>
          <t>Surface-blended Elo on Hard: Marina Bassols Ribera p=0.422 vs Darja Vidmanova. Executable ask 0.6500 (aec-wta-darvid-marrib-2026-07-26).</t>
        </is>
      </c>
      <c r="AF239" s="31" t="inlineStr">
        <is>
          <t>Research-only surface-blended Elo model; singles only, WTA-only market coverage, not yet locked-holdout qualified.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research_observation</t>
        </is>
      </c>
      <c r="AL239" s="26" t="n">
        <v>3</v>
      </c>
      <c r="AM239" s="24" t="inlineStr">
        <is>
          <t>RESEARCH_OBSERVATION</t>
        </is>
      </c>
      <c r="AN239" s="24" t="inlineStr">
        <is>
          <t>NO_CALL</t>
        </is>
      </c>
      <c r="AO239" s="24" t="inlineStr">
        <is>
          <t>NO_CALL_MODEL_UNVALIDATED</t>
        </is>
      </c>
      <c r="AP239" s="24" t="inlineStr">
        <is>
          <t>Marina Bassols Ribera</t>
        </is>
      </c>
      <c r="AQ239" s="24" t="inlineStr">
        <is>
          <t>Marina Bassols Ribera</t>
        </is>
      </c>
      <c r="AR239" s="24" t="inlineStr">
        <is>
          <t>Marina Bassols Ribera</t>
        </is>
      </c>
      <c r="AS239" s="24" t="inlineStr">
        <is>
          <t>Darja Vidmanova</t>
        </is>
      </c>
      <c r="AT239" s="24" t="inlineStr">
        <is>
          <t>Darja Vidmanova</t>
        </is>
      </c>
      <c r="AU239" s="24" t="inlineStr">
        <is>
          <t>Darja Vidmanova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research</t>
        </is>
      </c>
      <c r="BA239" s="24" t="inlineStr">
        <is>
          <t>73429bd71f12304106b9ffb751bd50617d5109d487f00de7ae2732f60e779590</t>
        </is>
      </c>
      <c r="BB239" s="24" t="inlineStr">
        <is>
          <t>surface_blended_elo</t>
        </is>
      </c>
      <c r="BC239" s="24" t="inlineStr">
        <is>
          <t>tennis-surface-elo-v1</t>
        </is>
      </c>
      <c r="BD239" s="24" t="inlineStr">
        <is>
          <t>73429bd71f12304106b9ffb751bd50617d5109d487f00de7ae2732f60e779590</t>
        </is>
      </c>
      <c r="BE239" s="24" t="inlineStr">
        <is>
          <t>tennis-surface-elo-v1</t>
        </is>
      </c>
      <c r="BF239" s="24" t="inlineStr">
        <is>
          <t>1</t>
        </is>
      </c>
      <c r="BG239" s="24" t="inlineStr">
        <is>
          <t>73429bd71f12304106b9ffb751bd50617d5109d487f00de7ae2732f60e779590</t>
        </is>
      </c>
      <c r="BH239" s="24" t="inlineStr">
        <is>
          <t>2026-07-28T20:32:34.889939Z</t>
        </is>
      </c>
      <c r="BI239" s="24" t="inlineStr">
        <is>
          <t>["same_event","same_team_same_day","same_league_same_day"]</t>
        </is>
      </c>
      <c r="BJ239" s="25" t="n"/>
      <c r="BK239" s="26" t="n">
        <v>-186</v>
      </c>
      <c r="BL239" s="27" t="n">
        <v>1.537634</v>
      </c>
      <c r="BM239" s="28" t="n">
        <v>0.65035</v>
      </c>
      <c r="BN239" s="28" t="n"/>
      <c r="BO239" s="28" t="n"/>
      <c r="BP239" s="25" t="n"/>
      <c r="BQ239" s="27" t="n"/>
      <c r="BR239" s="28" t="n"/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</row>
    <row r="240" ht="36" customHeight="1">
      <c r="A240" s="24" t="inlineStr">
        <is>
          <t>2db0d70eaf264ba1</t>
        </is>
      </c>
      <c r="B240" s="24" t="inlineStr">
        <is>
          <t>2026-07-28T20:34:16.434936Z</t>
        </is>
      </c>
      <c r="C240" s="24" t="inlineStr">
        <is>
          <t>2026-07-28T23:30Z</t>
        </is>
      </c>
      <c r="D240" s="24" t="inlineStr">
        <is>
          <t>1067-2026:179452</t>
        </is>
      </c>
      <c r="E240" s="24" t="inlineStr">
        <is>
          <t>TENNIS</t>
        </is>
      </c>
      <c r="F240" s="24" t="inlineStr">
        <is>
          <t>Kimberly Birrell</t>
        </is>
      </c>
      <c r="G240" s="24" t="inlineStr">
        <is>
          <t>Ma YeXin</t>
        </is>
      </c>
      <c r="H240" s="24" t="inlineStr">
        <is>
          <t>moneyline</t>
        </is>
      </c>
      <c r="I240" s="24" t="inlineStr">
        <is>
          <t>away</t>
        </is>
      </c>
      <c r="J240" s="25" t="n"/>
      <c r="K240" s="24" t="inlineStr">
        <is>
          <t>polymarket_us</t>
        </is>
      </c>
      <c r="L240" s="26" t="n">
        <v>-456</v>
      </c>
      <c r="M240" s="27" t="n">
        <v>1.219298</v>
      </c>
      <c r="N240" s="28" t="n">
        <v>0.820144</v>
      </c>
      <c r="O240" s="28" t="n">
        <v>0.719453</v>
      </c>
      <c r="P240" s="28" t="n">
        <v>0.05</v>
      </c>
      <c r="Q240" s="28" t="n">
        <v>-0.100691</v>
      </c>
      <c r="R240" s="26" t="n">
        <v>0</v>
      </c>
      <c r="S240" s="29" t="n">
        <v>2</v>
      </c>
      <c r="T240" s="24" t="inlineStr">
        <is>
          <t>tennis-surface-elo-v1</t>
        </is>
      </c>
      <c r="U240" s="24" t="inlineStr">
        <is>
          <t>settled</t>
        </is>
      </c>
      <c r="V240" s="24" t="inlineStr">
        <is>
          <t>loss</t>
        </is>
      </c>
      <c r="W240" s="26" t="n">
        <v>0</v>
      </c>
      <c r="X240" s="26" t="n">
        <v>1</v>
      </c>
      <c r="Y240" s="25" t="n"/>
      <c r="Z240" s="26" t="n"/>
      <c r="AA240" s="28" t="n"/>
      <c r="AB240" s="28" t="n"/>
      <c r="AC240" s="30" t="n">
        <v>-2</v>
      </c>
      <c r="AD240" s="24" t="inlineStr">
        <is>
          <t>2026-07-29T05:45:07.796021Z</t>
        </is>
      </c>
      <c r="AE240" s="31" t="inlineStr">
        <is>
          <t>Surface-blended Elo on Hard: Kimberly Birrell p=0.719 vs Ma YeXin. Executable ask 0.8200 (aec-wta-yexma-kimbir-2026-07-28).</t>
        </is>
      </c>
      <c r="AF240" s="31" t="inlineStr">
        <is>
          <t>Research-only surface-blended Elo model; singles only, WTA-only market coverage, not yet locked-holdout qualified.</t>
        </is>
      </c>
      <c r="AG240" s="24" t="inlineStr">
        <is>
          <t>review_required</t>
        </is>
      </c>
      <c r="AH240" s="24" t="n"/>
      <c r="AI240" s="31" t="n"/>
      <c r="AJ240" s="31" t="n"/>
      <c r="AK240" s="24" t="inlineStr">
        <is>
          <t>research_observation</t>
        </is>
      </c>
      <c r="AL240" s="26" t="n">
        <v>3</v>
      </c>
      <c r="AM240" s="24" t="inlineStr">
        <is>
          <t>RESEARCH_OBSERVATION</t>
        </is>
      </c>
      <c r="AN240" s="24" t="inlineStr">
        <is>
          <t>NO_CALL</t>
        </is>
      </c>
      <c r="AO240" s="24" t="inlineStr">
        <is>
          <t>NO_CALL_MODEL_UNVALIDATED</t>
        </is>
      </c>
      <c r="AP240" s="24" t="inlineStr">
        <is>
          <t>Kimberly Birrell</t>
        </is>
      </c>
      <c r="AQ240" s="24" t="inlineStr">
        <is>
          <t>Kimberly Birrell</t>
        </is>
      </c>
      <c r="AR240" s="24" t="inlineStr">
        <is>
          <t>Kimberly Birrell</t>
        </is>
      </c>
      <c r="AS240" s="24" t="inlineStr">
        <is>
          <t>Ma YeXin</t>
        </is>
      </c>
      <c r="AT240" s="24" t="inlineStr">
        <is>
          <t>Ma YeXin</t>
        </is>
      </c>
      <c r="AU240" s="24" t="inlineStr">
        <is>
          <t>Ma YeXin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research</t>
        </is>
      </c>
      <c r="BA240" s="24" t="inlineStr">
        <is>
          <t>73429bd71f12304106b9ffb751bd50617d5109d487f00de7ae2732f60e779590</t>
        </is>
      </c>
      <c r="BB240" s="24" t="inlineStr">
        <is>
          <t>surface_blended_elo</t>
        </is>
      </c>
      <c r="BC240" s="24" t="inlineStr">
        <is>
          <t>tennis-surface-elo-v1</t>
        </is>
      </c>
      <c r="BD240" s="24" t="inlineStr">
        <is>
          <t>73429bd71f12304106b9ffb751bd50617d5109d487f00de7ae2732f60e779590</t>
        </is>
      </c>
      <c r="BE240" s="24" t="inlineStr">
        <is>
          <t>tennis-surface-elo-v1</t>
        </is>
      </c>
      <c r="BF240" s="24" t="inlineStr">
        <is>
          <t>1</t>
        </is>
      </c>
      <c r="BG240" s="24" t="inlineStr">
        <is>
          <t>73429bd71f12304106b9ffb751bd50617d5109d487f00de7ae2732f60e779590</t>
        </is>
      </c>
      <c r="BH240" s="24" t="inlineStr">
        <is>
          <t>2026-07-28T20:32:41.504735Z</t>
        </is>
      </c>
      <c r="BI240" s="24" t="inlineStr">
        <is>
          <t>["same_event","same_team_same_day","same_league_same_day"]</t>
        </is>
      </c>
      <c r="BJ240" s="25" t="n"/>
      <c r="BK240" s="26" t="n">
        <v>-456</v>
      </c>
      <c r="BL240" s="27" t="n">
        <v>1.219298</v>
      </c>
      <c r="BM240" s="28" t="n">
        <v>0.820144</v>
      </c>
      <c r="BN240" s="28" t="n"/>
      <c r="BO240" s="28" t="n"/>
      <c r="BP240" s="25" t="n"/>
      <c r="BQ240" s="27" t="n"/>
      <c r="BR240" s="28" t="n"/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</row>
    <row r="241" ht="36" customHeight="1">
      <c r="A241" s="24" t="inlineStr">
        <is>
          <t>f481749e046c411d</t>
        </is>
      </c>
      <c r="B241" s="24" t="inlineStr">
        <is>
          <t>2026-07-28T20:34:16.434936Z</t>
        </is>
      </c>
      <c r="C241" s="24" t="inlineStr">
        <is>
          <t>2026-07-28T23:30Z</t>
        </is>
      </c>
      <c r="D241" s="24" t="inlineStr">
        <is>
          <t>1067-2026:179465</t>
        </is>
      </c>
      <c r="E241" s="24" t="inlineStr">
        <is>
          <t>TENNIS</t>
        </is>
      </c>
      <c r="F241" s="24" t="inlineStr">
        <is>
          <t>McCartney Kessler</t>
        </is>
      </c>
      <c r="G241" s="24" t="inlineStr">
        <is>
          <t>Renata Zarazua</t>
        </is>
      </c>
      <c r="H241" s="24" t="inlineStr">
        <is>
          <t>moneyline</t>
        </is>
      </c>
      <c r="I241" s="24" t="inlineStr">
        <is>
          <t>away</t>
        </is>
      </c>
      <c r="J241" s="25" t="n"/>
      <c r="K241" s="24" t="inlineStr">
        <is>
          <t>polymarket_us</t>
        </is>
      </c>
      <c r="L241" s="26" t="n">
        <v>-317</v>
      </c>
      <c r="M241" s="27" t="n">
        <v>1.315457</v>
      </c>
      <c r="N241" s="28" t="n">
        <v>0.760192</v>
      </c>
      <c r="O241" s="28" t="n">
        <v>0.710335</v>
      </c>
      <c r="P241" s="28" t="n">
        <v>0.05</v>
      </c>
      <c r="Q241" s="28" t="n">
        <v>-0.049857</v>
      </c>
      <c r="R241" s="26" t="n">
        <v>0</v>
      </c>
      <c r="S241" s="29" t="n">
        <v>2</v>
      </c>
      <c r="T241" s="24" t="inlineStr">
        <is>
          <t>tennis-surface-elo-v1</t>
        </is>
      </c>
      <c r="U241" s="24" t="inlineStr">
        <is>
          <t>settled</t>
        </is>
      </c>
      <c r="V241" s="24" t="inlineStr">
        <is>
          <t>loss</t>
        </is>
      </c>
      <c r="W241" s="26" t="n">
        <v>0</v>
      </c>
      <c r="X241" s="26" t="n">
        <v>1</v>
      </c>
      <c r="Y241" s="25" t="n"/>
      <c r="Z241" s="26" t="n"/>
      <c r="AA241" s="28" t="n"/>
      <c r="AB241" s="28" t="n"/>
      <c r="AC241" s="30" t="n">
        <v>-2</v>
      </c>
      <c r="AD241" s="24" t="inlineStr">
        <is>
          <t>2026-07-29T05:45:07.959644Z</t>
        </is>
      </c>
      <c r="AE241" s="31" t="inlineStr">
        <is>
          <t>Surface-blended Elo on Hard: McCartney Kessler p=0.710 vs Renata Zarazua. Executable ask 0.7600 (aec-wta-renzar-mcckes-2026-07-26).</t>
        </is>
      </c>
      <c r="AF241" s="31" t="inlineStr">
        <is>
          <t>Research-only surface-blended Elo model; singles only, WTA-only market coverage, not yet locked-holdout qualified.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research_observation</t>
        </is>
      </c>
      <c r="AL241" s="26" t="n">
        <v>3</v>
      </c>
      <c r="AM241" s="24" t="inlineStr">
        <is>
          <t>RESEARCH_OBSERVATION</t>
        </is>
      </c>
      <c r="AN241" s="24" t="inlineStr">
        <is>
          <t>NO_CALL</t>
        </is>
      </c>
      <c r="AO241" s="24" t="inlineStr">
        <is>
          <t>NO_CALL_MODEL_UNVALIDATED</t>
        </is>
      </c>
      <c r="AP241" s="24" t="inlineStr">
        <is>
          <t>McCartney Kessler</t>
        </is>
      </c>
      <c r="AQ241" s="24" t="inlineStr">
        <is>
          <t>McCartney Kessler</t>
        </is>
      </c>
      <c r="AR241" s="24" t="inlineStr">
        <is>
          <t>McCartney Kessler</t>
        </is>
      </c>
      <c r="AS241" s="24" t="inlineStr">
        <is>
          <t>Renata Zarazua</t>
        </is>
      </c>
      <c r="AT241" s="24" t="inlineStr">
        <is>
          <t>Renata Zarazua</t>
        </is>
      </c>
      <c r="AU241" s="24" t="inlineStr">
        <is>
          <t>Renata Zarazua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research</t>
        </is>
      </c>
      <c r="BA241" s="24" t="inlineStr">
        <is>
          <t>73429bd71f12304106b9ffb751bd50617d5109d487f00de7ae2732f60e779590</t>
        </is>
      </c>
      <c r="BB241" s="24" t="inlineStr">
        <is>
          <t>surface_blended_elo</t>
        </is>
      </c>
      <c r="BC241" s="24" t="inlineStr">
        <is>
          <t>tennis-surface-elo-v1</t>
        </is>
      </c>
      <c r="BD241" s="24" t="inlineStr">
        <is>
          <t>73429bd71f12304106b9ffb751bd50617d5109d487f00de7ae2732f60e779590</t>
        </is>
      </c>
      <c r="BE241" s="24" t="inlineStr">
        <is>
          <t>tennis-surface-elo-v1</t>
        </is>
      </c>
      <c r="BF241" s="24" t="inlineStr">
        <is>
          <t>1</t>
        </is>
      </c>
      <c r="BG241" s="24" t="inlineStr">
        <is>
          <t>73429bd71f12304106b9ffb751bd50617d5109d487f00de7ae2732f60e779590</t>
        </is>
      </c>
      <c r="BH241" s="24" t="inlineStr">
        <is>
          <t>2026-07-28T20:32:38.530130Z</t>
        </is>
      </c>
      <c r="BI241" s="24" t="inlineStr">
        <is>
          <t>["same_event","same_team_same_day","same_league_same_day"]</t>
        </is>
      </c>
      <c r="BJ241" s="25" t="n"/>
      <c r="BK241" s="26" t="n">
        <v>-317</v>
      </c>
      <c r="BL241" s="27" t="n">
        <v>1.315457</v>
      </c>
      <c r="BM241" s="28" t="n">
        <v>0.760192</v>
      </c>
      <c r="BN241" s="28" t="n"/>
      <c r="BO241" s="28" t="n"/>
      <c r="BP241" s="25" t="n"/>
      <c r="BQ241" s="27" t="n"/>
      <c r="BR241" s="28" t="n"/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</row>
    <row r="242" ht="36" customHeight="1">
      <c r="A242" s="24" t="inlineStr">
        <is>
          <t>db3fc8cba73b4168</t>
        </is>
      </c>
      <c r="B242" s="24" t="inlineStr">
        <is>
          <t>2026-07-28T23:39:18.069207Z</t>
        </is>
      </c>
      <c r="C242" s="24" t="inlineStr">
        <is>
          <t>2026-07-29T02:30Z</t>
        </is>
      </c>
      <c r="D242" s="24" t="inlineStr">
        <is>
          <t>875-2026:179531</t>
        </is>
      </c>
      <c r="E242" s="24" t="inlineStr">
        <is>
          <t>TENNIS</t>
        </is>
      </c>
      <c r="F242" s="24" t="inlineStr">
        <is>
          <t>Sofia Costoulas</t>
        </is>
      </c>
      <c r="G242" s="24" t="inlineStr">
        <is>
          <t>Lizette Cabrera</t>
        </is>
      </c>
      <c r="H242" s="24" t="inlineStr">
        <is>
          <t>moneyline</t>
        </is>
      </c>
      <c r="I242" s="24" t="inlineStr">
        <is>
          <t>away</t>
        </is>
      </c>
      <c r="J242" s="25" t="n"/>
      <c r="K242" s="24" t="inlineStr">
        <is>
          <t>polymarket_us</t>
        </is>
      </c>
      <c r="L242" s="26" t="n">
        <v>-270</v>
      </c>
      <c r="M242" s="27" t="n">
        <v>1.37037</v>
      </c>
      <c r="N242" s="28" t="n">
        <v>0.72973</v>
      </c>
      <c r="O242" s="28" t="n">
        <v>0.546068</v>
      </c>
      <c r="P242" s="28" t="n">
        <v>0.05</v>
      </c>
      <c r="Q242" s="28" t="n">
        <v>-0.183662</v>
      </c>
      <c r="R242" s="26" t="n">
        <v>0</v>
      </c>
      <c r="S242" s="29" t="n">
        <v>1</v>
      </c>
      <c r="T242" s="24" t="inlineStr">
        <is>
          <t>tennis-surface-elo-v1</t>
        </is>
      </c>
      <c r="U242" s="24" t="inlineStr">
        <is>
          <t>settled</t>
        </is>
      </c>
      <c r="V242" s="24" t="inlineStr">
        <is>
          <t>win</t>
        </is>
      </c>
      <c r="W242" s="26" t="n">
        <v>1</v>
      </c>
      <c r="X242" s="26" t="n">
        <v>0</v>
      </c>
      <c r="Y242" s="25" t="n"/>
      <c r="Z242" s="26" t="n"/>
      <c r="AA242" s="28" t="n"/>
      <c r="AB242" s="28" t="n"/>
      <c r="AC242" s="30" t="n">
        <v>0.3704</v>
      </c>
      <c r="AD242" s="24" t="inlineStr">
        <is>
          <t>2026-07-30T04:12:56.907188Z</t>
        </is>
      </c>
      <c r="AE242" s="31" t="inlineStr">
        <is>
          <t>Surface-blended Elo on Hard: Sofia Costoulas p=0.546 vs Lizette Cabrera. Executable ask 0.7300 (aec-wta-lizcab-sofcos-2026-07-27).</t>
        </is>
      </c>
      <c r="AF242" s="31" t="inlineStr">
        <is>
          <t>Research-only surface-blended Elo model; singles only, WTA-only market coverage, not yet locked-holdout qualified.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research_observation</t>
        </is>
      </c>
      <c r="AL242" s="26" t="n">
        <v>3</v>
      </c>
      <c r="AM242" s="24" t="inlineStr">
        <is>
          <t>RESEARCH_OBSERVATION</t>
        </is>
      </c>
      <c r="AN242" s="24" t="inlineStr">
        <is>
          <t>NO_CALL</t>
        </is>
      </c>
      <c r="AO242" s="24" t="inlineStr">
        <is>
          <t>NO_CALL_MODEL_UNVALIDATED</t>
        </is>
      </c>
      <c r="AP242" s="24" t="inlineStr">
        <is>
          <t>Sofia Costoulas</t>
        </is>
      </c>
      <c r="AQ242" s="24" t="inlineStr">
        <is>
          <t>Sofia Costoulas</t>
        </is>
      </c>
      <c r="AR242" s="24" t="inlineStr">
        <is>
          <t>Sofia Costoulas</t>
        </is>
      </c>
      <c r="AS242" s="24" t="inlineStr">
        <is>
          <t>Lizette Cabrera</t>
        </is>
      </c>
      <c r="AT242" s="24" t="inlineStr">
        <is>
          <t>Lizette Cabrera</t>
        </is>
      </c>
      <c r="AU242" s="24" t="inlineStr">
        <is>
          <t>Lizette Cabrera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research</t>
        </is>
      </c>
      <c r="BA242" s="24" t="inlineStr">
        <is>
          <t>73429bd71f12304106b9ffb751bd50617d5109d487f00de7ae2732f60e779590</t>
        </is>
      </c>
      <c r="BB242" s="24" t="inlineStr">
        <is>
          <t>surface_blended_elo</t>
        </is>
      </c>
      <c r="BC242" s="24" t="inlineStr">
        <is>
          <t>tennis-surface-elo-v1</t>
        </is>
      </c>
      <c r="BD242" s="24" t="inlineStr">
        <is>
          <t>73429bd71f12304106b9ffb751bd50617d5109d487f00de7ae2732f60e779590</t>
        </is>
      </c>
      <c r="BE242" s="24" t="inlineStr">
        <is>
          <t>tennis-surface-elo-v1</t>
        </is>
      </c>
      <c r="BF242" s="24" t="inlineStr">
        <is>
          <t>1</t>
        </is>
      </c>
      <c r="BG242" s="24" t="inlineStr">
        <is>
          <t>73429bd71f12304106b9ffb751bd50617d5109d487f00de7ae2732f60e779590</t>
        </is>
      </c>
      <c r="BH242" s="24" t="inlineStr">
        <is>
          <t>2026-07-28T23:38:14.586715Z</t>
        </is>
      </c>
      <c r="BI242" s="24" t="inlineStr">
        <is>
          <t>["same_event","same_team_same_day","same_league_same_day"]</t>
        </is>
      </c>
      <c r="BJ242" s="25" t="n"/>
      <c r="BK242" s="26" t="n">
        <v>-270</v>
      </c>
      <c r="BL242" s="27" t="n">
        <v>1.37037</v>
      </c>
      <c r="BM242" s="28" t="n">
        <v>0.72973</v>
      </c>
      <c r="BN242" s="28" t="n"/>
      <c r="BO242" s="28" t="n"/>
      <c r="BP242" s="25" t="n"/>
      <c r="BQ242" s="27" t="n"/>
      <c r="BR242" s="28" t="n"/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</row>
    <row r="243" ht="36" customHeight="1">
      <c r="A243" s="24" t="inlineStr">
        <is>
          <t>06dda72ce98b4533</t>
        </is>
      </c>
      <c r="B243" s="24" t="inlineStr">
        <is>
          <t>2026-07-28T23:39:18.069207Z</t>
        </is>
      </c>
      <c r="C243" s="24" t="inlineStr">
        <is>
          <t>2026-07-29T02:30Z</t>
        </is>
      </c>
      <c r="D243" s="24" t="inlineStr">
        <is>
          <t>875-2026:179542</t>
        </is>
      </c>
      <c r="E243" s="24" t="inlineStr">
        <is>
          <t>TENNIS</t>
        </is>
      </c>
      <c r="F243" s="24" t="inlineStr">
        <is>
          <t>Maddison Inglis</t>
        </is>
      </c>
      <c r="G243" s="24" t="inlineStr">
        <is>
          <t>Greet Minnen</t>
        </is>
      </c>
      <c r="H243" s="24" t="inlineStr">
        <is>
          <t>moneyline</t>
        </is>
      </c>
      <c r="I243" s="24" t="inlineStr">
        <is>
          <t>home</t>
        </is>
      </c>
      <c r="J243" s="25" t="n"/>
      <c r="K243" s="24" t="inlineStr">
        <is>
          <t>polymarket_us</t>
        </is>
      </c>
      <c r="L243" s="26" t="n">
        <v>-285</v>
      </c>
      <c r="M243" s="27" t="n">
        <v>1.350877</v>
      </c>
      <c r="N243" s="28" t="n">
        <v>0.74026</v>
      </c>
      <c r="O243" s="28" t="n">
        <v>0.534422</v>
      </c>
      <c r="P243" s="28" t="n">
        <v>0.05</v>
      </c>
      <c r="Q243" s="28" t="n">
        <v>-0.205838</v>
      </c>
      <c r="R243" s="26" t="n">
        <v>0</v>
      </c>
      <c r="S243" s="29" t="n">
        <v>1</v>
      </c>
      <c r="T243" s="24" t="inlineStr">
        <is>
          <t>tennis-surface-elo-v1</t>
        </is>
      </c>
      <c r="U243" s="24" t="inlineStr">
        <is>
          <t>settled</t>
        </is>
      </c>
      <c r="V243" s="24" t="inlineStr">
        <is>
          <t>loss</t>
        </is>
      </c>
      <c r="W243" s="26" t="n">
        <v>1</v>
      </c>
      <c r="X243" s="26" t="n">
        <v>0</v>
      </c>
      <c r="Y243" s="25" t="n"/>
      <c r="Z243" s="26" t="n"/>
      <c r="AA243" s="28" t="n"/>
      <c r="AB243" s="28" t="n"/>
      <c r="AC243" s="30" t="n">
        <v>-1</v>
      </c>
      <c r="AD243" s="24" t="inlineStr">
        <is>
          <t>2026-07-30T04:12:57.077131Z</t>
        </is>
      </c>
      <c r="AE243" s="31" t="inlineStr">
        <is>
          <t>Surface-blended Elo on Hard: Maddison Inglis p=0.466 vs Greet Minnen. Executable ask 0.7400 (aec-wta-gremin-mading-2026-07-27).</t>
        </is>
      </c>
      <c r="AF243" s="31" t="inlineStr">
        <is>
          <t>Research-only surface-blended Elo model; singles only, WTA-only market coverage, not yet locked-holdout qualified.</t>
        </is>
      </c>
      <c r="AG243" s="24" t="inlineStr">
        <is>
          <t>review_required</t>
        </is>
      </c>
      <c r="AH243" s="24" t="n"/>
      <c r="AI243" s="31" t="n"/>
      <c r="AJ243" s="31" t="n"/>
      <c r="AK243" s="24" t="inlineStr">
        <is>
          <t>research_observation</t>
        </is>
      </c>
      <c r="AL243" s="26" t="n">
        <v>3</v>
      </c>
      <c r="AM243" s="24" t="inlineStr">
        <is>
          <t>RESEARCH_OBSERVATION</t>
        </is>
      </c>
      <c r="AN243" s="24" t="inlineStr">
        <is>
          <t>NO_CALL</t>
        </is>
      </c>
      <c r="AO243" s="24" t="inlineStr">
        <is>
          <t>NO_CALL_MODEL_UNVALIDATED</t>
        </is>
      </c>
      <c r="AP243" s="24" t="inlineStr">
        <is>
          <t>Maddison Inglis</t>
        </is>
      </c>
      <c r="AQ243" s="24" t="inlineStr">
        <is>
          <t>Maddison Inglis</t>
        </is>
      </c>
      <c r="AR243" s="24" t="inlineStr">
        <is>
          <t>Maddison Inglis</t>
        </is>
      </c>
      <c r="AS243" s="24" t="inlineStr">
        <is>
          <t>Greet Minnen</t>
        </is>
      </c>
      <c r="AT243" s="24" t="inlineStr">
        <is>
          <t>Greet Minnen</t>
        </is>
      </c>
      <c r="AU243" s="24" t="inlineStr">
        <is>
          <t>Greet Minnen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research</t>
        </is>
      </c>
      <c r="BA243" s="24" t="inlineStr">
        <is>
          <t>73429bd71f12304106b9ffb751bd50617d5109d487f00de7ae2732f60e779590</t>
        </is>
      </c>
      <c r="BB243" s="24" t="inlineStr">
        <is>
          <t>surface_blended_elo</t>
        </is>
      </c>
      <c r="BC243" s="24" t="inlineStr">
        <is>
          <t>tennis-surface-elo-v1</t>
        </is>
      </c>
      <c r="BD243" s="24" t="inlineStr">
        <is>
          <t>73429bd71f12304106b9ffb751bd50617d5109d487f00de7ae2732f60e779590</t>
        </is>
      </c>
      <c r="BE243" s="24" t="inlineStr">
        <is>
          <t>tennis-surface-elo-v1</t>
        </is>
      </c>
      <c r="BF243" s="24" t="inlineStr">
        <is>
          <t>1</t>
        </is>
      </c>
      <c r="BG243" s="24" t="inlineStr">
        <is>
          <t>73429bd71f12304106b9ffb751bd50617d5109d487f00de7ae2732f60e779590</t>
        </is>
      </c>
      <c r="BH243" s="24" t="inlineStr">
        <is>
          <t>2026-07-28T23:38:14.504075Z</t>
        </is>
      </c>
      <c r="BI243" s="24" t="inlineStr">
        <is>
          <t>["same_event","same_team_same_day","same_league_same_day"]</t>
        </is>
      </c>
      <c r="BJ243" s="25" t="n"/>
      <c r="BK243" s="26" t="n">
        <v>-285</v>
      </c>
      <c r="BL243" s="27" t="n">
        <v>1.350877</v>
      </c>
      <c r="BM243" s="28" t="n">
        <v>0.74026</v>
      </c>
      <c r="BN243" s="28" t="n"/>
      <c r="BO243" s="28" t="n"/>
      <c r="BP243" s="25" t="n"/>
      <c r="BQ243" s="27" t="n"/>
      <c r="BR243" s="28" t="n"/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</row>
    <row r="244" ht="36" customHeight="1">
      <c r="A244" s="24" t="inlineStr">
        <is>
          <t>2c2074174fb04ee4</t>
        </is>
      </c>
      <c r="B244" s="24" t="inlineStr">
        <is>
          <t>2026-07-29T02:42:48.148482Z</t>
        </is>
      </c>
      <c r="C244" s="24" t="inlineStr">
        <is>
          <t>2026-07-29T04:00Z</t>
        </is>
      </c>
      <c r="D244" s="24" t="inlineStr">
        <is>
          <t>875-2026:179539</t>
        </is>
      </c>
      <c r="E244" s="24" t="inlineStr">
        <is>
          <t>TENNIS</t>
        </is>
      </c>
      <c r="F244" s="24" t="inlineStr">
        <is>
          <t>Annabelle Xu</t>
        </is>
      </c>
      <c r="G244" s="24" t="inlineStr">
        <is>
          <t>Ariana Arseneault</t>
        </is>
      </c>
      <c r="H244" s="24" t="inlineStr">
        <is>
          <t>moneyline</t>
        </is>
      </c>
      <c r="I244" s="24" t="inlineStr">
        <is>
          <t>away</t>
        </is>
      </c>
      <c r="J244" s="25" t="n"/>
      <c r="K244" s="24" t="inlineStr">
        <is>
          <t>polymarket_us</t>
        </is>
      </c>
      <c r="L244" s="26" t="n">
        <v>355</v>
      </c>
      <c r="M244" s="27" t="n">
        <v>4.55</v>
      </c>
      <c r="N244" s="28" t="n">
        <v>0.21978</v>
      </c>
      <c r="O244" s="28" t="n">
        <v>0.5013840000000001</v>
      </c>
      <c r="P244" s="28" t="n">
        <v>0.2</v>
      </c>
      <c r="Q244" s="28" t="n">
        <v>0.281604</v>
      </c>
      <c r="R244" s="26" t="n">
        <v>71</v>
      </c>
      <c r="S244" s="29" t="n">
        <v>1</v>
      </c>
      <c r="T244" s="24" t="inlineStr">
        <is>
          <t>tennis-surface-elo-v1</t>
        </is>
      </c>
      <c r="U244" s="24" t="inlineStr">
        <is>
          <t>settled</t>
        </is>
      </c>
      <c r="V244" s="24" t="inlineStr">
        <is>
          <t>loss</t>
        </is>
      </c>
      <c r="W244" s="26" t="n">
        <v>0</v>
      </c>
      <c r="X244" s="26" t="n">
        <v>1</v>
      </c>
      <c r="Y244" s="25" t="n"/>
      <c r="Z244" s="26" t="n"/>
      <c r="AA244" s="28" t="n"/>
      <c r="AB244" s="28" t="n"/>
      <c r="AC244" s="30" t="n">
        <v>-1</v>
      </c>
      <c r="AD244" s="24" t="inlineStr">
        <is>
          <t>2026-07-29T08:51:50.234581Z</t>
        </is>
      </c>
      <c r="AE244" s="31" t="inlineStr">
        <is>
          <t>Surface-blended Elo on Hard: Annabelle Xu p=0.501 vs Ariana Arseneault. Executable ask 0.2200 (aec-wta-ariars-annxu-2026-07-27).</t>
        </is>
      </c>
      <c r="AF244" s="31" t="inlineStr">
        <is>
          <t>Research-only surface-blended Elo model; singles only, WTA-only market coverage, not yet locked-holdout qualified.</t>
        </is>
      </c>
      <c r="AG244" s="24" t="inlineStr">
        <is>
          <t>review_required</t>
        </is>
      </c>
      <c r="AH244" s="24" t="n"/>
      <c r="AI244" s="31" t="n"/>
      <c r="AJ244" s="31" t="n"/>
      <c r="AK244" s="24" t="inlineStr">
        <is>
          <t>research_observation</t>
        </is>
      </c>
      <c r="AL244" s="26" t="n">
        <v>3</v>
      </c>
      <c r="AM244" s="24" t="inlineStr">
        <is>
          <t>RESEARCH_OBSERVATION</t>
        </is>
      </c>
      <c r="AN244" s="24" t="inlineStr">
        <is>
          <t>NO_CALL</t>
        </is>
      </c>
      <c r="AO244" s="24" t="inlineStr">
        <is>
          <t>NO_CALL_MODEL_UNVALIDATED</t>
        </is>
      </c>
      <c r="AP244" s="24" t="inlineStr">
        <is>
          <t>Annabelle Xu</t>
        </is>
      </c>
      <c r="AQ244" s="24" t="inlineStr">
        <is>
          <t>Annabelle Xu</t>
        </is>
      </c>
      <c r="AR244" s="24" t="inlineStr">
        <is>
          <t>Annabelle Xu</t>
        </is>
      </c>
      <c r="AS244" s="24" t="inlineStr">
        <is>
          <t>Ariana Arseneault</t>
        </is>
      </c>
      <c r="AT244" s="24" t="inlineStr">
        <is>
          <t>Ariana Arseneault</t>
        </is>
      </c>
      <c r="AU244" s="24" t="inlineStr">
        <is>
          <t>Ariana Arseneault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research</t>
        </is>
      </c>
      <c r="BA244" s="24" t="inlineStr">
        <is>
          <t>73429bd71f12304106b9ffb751bd50617d5109d487f00de7ae2732f60e779590</t>
        </is>
      </c>
      <c r="BB244" s="24" t="inlineStr">
        <is>
          <t>surface_blended_elo</t>
        </is>
      </c>
      <c r="BC244" s="24" t="inlineStr">
        <is>
          <t>tennis-surface-elo-v1</t>
        </is>
      </c>
      <c r="BD244" s="24" t="inlineStr">
        <is>
          <t>73429bd71f12304106b9ffb751bd50617d5109d487f00de7ae2732f60e779590</t>
        </is>
      </c>
      <c r="BE244" s="24" t="inlineStr">
        <is>
          <t>tennis-surface-elo-v1</t>
        </is>
      </c>
      <c r="BF244" s="24" t="inlineStr">
        <is>
          <t>1</t>
        </is>
      </c>
      <c r="BG244" s="24" t="inlineStr">
        <is>
          <t>73429bd71f12304106b9ffb751bd50617d5109d487f00de7ae2732f60e779590</t>
        </is>
      </c>
      <c r="BH244" s="24" t="inlineStr">
        <is>
          <t>2026-07-28T23:38:14.799545Z</t>
        </is>
      </c>
      <c r="BI244" s="24" t="inlineStr">
        <is>
          <t>["same_event","same_team_same_day","same_league_same_day"]</t>
        </is>
      </c>
      <c r="BJ244" s="25" t="n"/>
      <c r="BK244" s="26" t="n">
        <v>355</v>
      </c>
      <c r="BL244" s="27" t="n">
        <v>4.55</v>
      </c>
      <c r="BM244" s="28" t="n">
        <v>0.21978</v>
      </c>
      <c r="BN244" s="28" t="n"/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</row>
    <row r="245" ht="36" customHeight="1">
      <c r="A245" s="24" t="inlineStr">
        <is>
          <t>4a6b08dfd05c4c51</t>
        </is>
      </c>
      <c r="B245" s="24" t="inlineStr">
        <is>
          <t>2026-07-29T08:55:21.430631Z</t>
        </is>
      </c>
      <c r="C245" s="24" t="inlineStr">
        <is>
          <t>2026-07-29T09:00Z</t>
        </is>
      </c>
      <c r="D245" s="24" t="inlineStr">
        <is>
          <t>1073-2026:179583</t>
        </is>
      </c>
      <c r="E245" s="24" t="inlineStr">
        <is>
          <t>TENNIS</t>
        </is>
      </c>
      <c r="F245" s="24" t="inlineStr">
        <is>
          <t>Irene Burillo</t>
        </is>
      </c>
      <c r="G245" s="24" t="inlineStr">
        <is>
          <t>Kaitlin Quevedo</t>
        </is>
      </c>
      <c r="H245" s="24" t="inlineStr">
        <is>
          <t>moneyline</t>
        </is>
      </c>
      <c r="I245" s="24" t="inlineStr">
        <is>
          <t>home</t>
        </is>
      </c>
      <c r="J245" s="25" t="n"/>
      <c r="K245" s="24" t="inlineStr">
        <is>
          <t>polymarket_us</t>
        </is>
      </c>
      <c r="L245" s="26" t="n">
        <v>-355</v>
      </c>
      <c r="M245" s="27" t="n">
        <v>1.28169</v>
      </c>
      <c r="N245" s="28" t="n">
        <v>0.78022</v>
      </c>
      <c r="O245" s="28" t="n">
        <v>0.740447</v>
      </c>
      <c r="P245" s="28" t="n">
        <v>0.05</v>
      </c>
      <c r="Q245" s="28" t="n">
        <v>-0.039773</v>
      </c>
      <c r="R245" s="26" t="n">
        <v>0</v>
      </c>
      <c r="S245" s="29" t="n">
        <v>2</v>
      </c>
      <c r="T245" s="24" t="inlineStr">
        <is>
          <t>tennis-surface-elo-v1</t>
        </is>
      </c>
      <c r="U245" s="24" t="inlineStr">
        <is>
          <t>settled</t>
        </is>
      </c>
      <c r="V245" s="24" t="inlineStr">
        <is>
          <t>win</t>
        </is>
      </c>
      <c r="W245" s="26" t="n">
        <v>0</v>
      </c>
      <c r="X245" s="26" t="n">
        <v>1</v>
      </c>
      <c r="Y245" s="25" t="n"/>
      <c r="Z245" s="26" t="n"/>
      <c r="AA245" s="28" t="n"/>
      <c r="AB245" s="28" t="n"/>
      <c r="AC245" s="30" t="n">
        <v>0.5634</v>
      </c>
      <c r="AD245" s="24" t="inlineStr">
        <is>
          <t>2026-07-29T11:58:21.897341Z</t>
        </is>
      </c>
      <c r="AE245" s="31" t="inlineStr">
        <is>
          <t>Surface-blended Elo on Hard: Irene Burillo p=0.260 vs Kaitlin Quevedo. Executable ask 0.7800 (aec-wta-kaique-ireesc-2026-07-29).</t>
        </is>
      </c>
      <c r="AF245" s="31" t="inlineStr">
        <is>
          <t>Research-only surface-blended Elo model; singles only, WTA-only market coverage, not yet locked-holdout qualified.</t>
        </is>
      </c>
      <c r="AG245" s="24" t="inlineStr">
        <is>
          <t>not_applicable</t>
        </is>
      </c>
      <c r="AH245" s="24" t="n"/>
      <c r="AI245" s="31" t="n"/>
      <c r="AJ245" s="31" t="n"/>
      <c r="AK245" s="24" t="inlineStr">
        <is>
          <t>research_observation</t>
        </is>
      </c>
      <c r="AL245" s="26" t="n">
        <v>3</v>
      </c>
      <c r="AM245" s="24" t="inlineStr">
        <is>
          <t>RESEARCH_OBSERVATION</t>
        </is>
      </c>
      <c r="AN245" s="24" t="inlineStr">
        <is>
          <t>NO_CALL</t>
        </is>
      </c>
      <c r="AO245" s="24" t="inlineStr">
        <is>
          <t>NO_CALL_MODEL_UNVALIDATED</t>
        </is>
      </c>
      <c r="AP245" s="24" t="inlineStr">
        <is>
          <t>Irene Burillo</t>
        </is>
      </c>
      <c r="AQ245" s="24" t="inlineStr">
        <is>
          <t>Irene Burillo</t>
        </is>
      </c>
      <c r="AR245" s="24" t="inlineStr">
        <is>
          <t>Irene Burillo</t>
        </is>
      </c>
      <c r="AS245" s="24" t="inlineStr">
        <is>
          <t>Kaitlin Quevedo</t>
        </is>
      </c>
      <c r="AT245" s="24" t="inlineStr">
        <is>
          <t>Kaitlin Quevedo</t>
        </is>
      </c>
      <c r="AU245" s="24" t="inlineStr">
        <is>
          <t>Kaitlin Quevedo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research</t>
        </is>
      </c>
      <c r="BA245" s="24" t="inlineStr">
        <is>
          <t>73429bd71f12304106b9ffb751bd50617d5109d487f00de7ae2732f60e779590</t>
        </is>
      </c>
      <c r="BB245" s="24" t="inlineStr">
        <is>
          <t>surface_blended_elo</t>
        </is>
      </c>
      <c r="BC245" s="24" t="inlineStr">
        <is>
          <t>tennis-surface-elo-v1</t>
        </is>
      </c>
      <c r="BD245" s="24" t="inlineStr">
        <is>
          <t>73429bd71f12304106b9ffb751bd50617d5109d487f00de7ae2732f60e779590</t>
        </is>
      </c>
      <c r="BE245" s="24" t="inlineStr">
        <is>
          <t>tennis-surface-elo-v1</t>
        </is>
      </c>
      <c r="BF245" s="24" t="inlineStr">
        <is>
          <t>1</t>
        </is>
      </c>
      <c r="BG245" s="24" t="inlineStr">
        <is>
          <t>73429bd71f12304106b9ffb751bd50617d5109d487f00de7ae2732f60e779590</t>
        </is>
      </c>
      <c r="BH245" s="24" t="inlineStr">
        <is>
          <t>2026-07-29T08:52:48.619185Z</t>
        </is>
      </c>
      <c r="BI245" s="24" t="inlineStr">
        <is>
          <t>["same_event","same_team_same_day","same_league_same_day"]</t>
        </is>
      </c>
      <c r="BJ245" s="25" t="n"/>
      <c r="BK245" s="26" t="n">
        <v>-355</v>
      </c>
      <c r="BL245" s="27" t="n">
        <v>1.28169</v>
      </c>
      <c r="BM245" s="28" t="n">
        <v>0.78022</v>
      </c>
      <c r="BN245" s="28" t="n"/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</row>
    <row r="246" ht="36" customHeight="1">
      <c r="A246" s="24" t="inlineStr">
        <is>
          <t>d1a96c589a2d428c</t>
        </is>
      </c>
      <c r="B246" s="24" t="inlineStr">
        <is>
          <t>2026-07-29T08:55:21.430631Z</t>
        </is>
      </c>
      <c r="C246" s="24" t="inlineStr">
        <is>
          <t>2026-07-29T09:00Z</t>
        </is>
      </c>
      <c r="D246" s="24" t="inlineStr">
        <is>
          <t>1073-2026:179578</t>
        </is>
      </c>
      <c r="E246" s="24" t="inlineStr">
        <is>
          <t>TENNIS</t>
        </is>
      </c>
      <c r="F246" s="24" t="inlineStr">
        <is>
          <t>Margaux Rouvroy</t>
        </is>
      </c>
      <c r="G246" s="24" t="inlineStr">
        <is>
          <t>Alice Rame</t>
        </is>
      </c>
      <c r="H246" s="24" t="inlineStr">
        <is>
          <t>moneyline</t>
        </is>
      </c>
      <c r="I246" s="24" t="inlineStr">
        <is>
          <t>away</t>
        </is>
      </c>
      <c r="J246" s="25" t="n"/>
      <c r="K246" s="24" t="inlineStr">
        <is>
          <t>polymarket_us</t>
        </is>
      </c>
      <c r="L246" s="26" t="n">
        <v>133</v>
      </c>
      <c r="M246" s="27" t="n">
        <v>2.33</v>
      </c>
      <c r="N246" s="28" t="n">
        <v>0.429185</v>
      </c>
      <c r="O246" s="28" t="n">
        <v>0.595788</v>
      </c>
      <c r="P246" s="28" t="n">
        <v>0.05</v>
      </c>
      <c r="Q246" s="28" t="n">
        <v>0.166603</v>
      </c>
      <c r="R246" s="26" t="n">
        <v>100</v>
      </c>
      <c r="S246" s="29" t="n">
        <v>1.25</v>
      </c>
      <c r="T246" s="24" t="inlineStr">
        <is>
          <t>tennis-surface-elo-v1</t>
        </is>
      </c>
      <c r="U246" s="24" t="inlineStr">
        <is>
          <t>settled</t>
        </is>
      </c>
      <c r="V246" s="24" t="inlineStr">
        <is>
          <t>loss</t>
        </is>
      </c>
      <c r="W246" s="26" t="n">
        <v>0</v>
      </c>
      <c r="X246" s="26" t="n">
        <v>1</v>
      </c>
      <c r="Y246" s="25" t="n"/>
      <c r="Z246" s="26" t="n"/>
      <c r="AA246" s="28" t="n"/>
      <c r="AB246" s="28" t="n"/>
      <c r="AC246" s="30" t="n">
        <v>-1.25</v>
      </c>
      <c r="AD246" s="24" t="inlineStr">
        <is>
          <t>2026-07-29T11:58:22.059061Z</t>
        </is>
      </c>
      <c r="AE246" s="31" t="inlineStr">
        <is>
          <t>Surface-blended Elo on Hard: Margaux Rouvroy p=0.596 vs Alice Rame. Executable ask 0.4300 (aec-wta-aliram-marrou-2026-07-29).</t>
        </is>
      </c>
      <c r="AF246" s="31" t="inlineStr">
        <is>
          <t>Research-only surface-blended Elo model; singles only, WTA-only market coverage, not yet locked-holdout qualified.</t>
        </is>
      </c>
      <c r="AG246" s="24" t="inlineStr">
        <is>
          <t>review_required</t>
        </is>
      </c>
      <c r="AH246" s="24" t="n"/>
      <c r="AI246" s="31" t="n"/>
      <c r="AJ246" s="31" t="n"/>
      <c r="AK246" s="24" t="inlineStr">
        <is>
          <t>research_observation</t>
        </is>
      </c>
      <c r="AL246" s="26" t="n">
        <v>3</v>
      </c>
      <c r="AM246" s="24" t="inlineStr">
        <is>
          <t>RESEARCH_OBSERVATION</t>
        </is>
      </c>
      <c r="AN246" s="24" t="inlineStr">
        <is>
          <t>NO_CALL</t>
        </is>
      </c>
      <c r="AO246" s="24" t="inlineStr">
        <is>
          <t>NO_CALL_MODEL_UNVALIDATED</t>
        </is>
      </c>
      <c r="AP246" s="24" t="inlineStr">
        <is>
          <t>Margaux Rouvroy</t>
        </is>
      </c>
      <c r="AQ246" s="24" t="inlineStr">
        <is>
          <t>Margaux Rouvroy</t>
        </is>
      </c>
      <c r="AR246" s="24" t="inlineStr">
        <is>
          <t>Margaux Rouvroy</t>
        </is>
      </c>
      <c r="AS246" s="24" t="inlineStr">
        <is>
          <t>Alice Rame</t>
        </is>
      </c>
      <c r="AT246" s="24" t="inlineStr">
        <is>
          <t>Alice Rame</t>
        </is>
      </c>
      <c r="AU246" s="24" t="inlineStr">
        <is>
          <t>Alice Rame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research</t>
        </is>
      </c>
      <c r="BA246" s="24" t="inlineStr">
        <is>
          <t>73429bd71f12304106b9ffb751bd50617d5109d487f00de7ae2732f60e779590</t>
        </is>
      </c>
      <c r="BB246" s="24" t="inlineStr">
        <is>
          <t>surface_blended_elo</t>
        </is>
      </c>
      <c r="BC246" s="24" t="inlineStr">
        <is>
          <t>tennis-surface-elo-v1</t>
        </is>
      </c>
      <c r="BD246" s="24" t="inlineStr">
        <is>
          <t>73429bd71f12304106b9ffb751bd50617d5109d487f00de7ae2732f60e779590</t>
        </is>
      </c>
      <c r="BE246" s="24" t="inlineStr">
        <is>
          <t>tennis-surface-elo-v1</t>
        </is>
      </c>
      <c r="BF246" s="24" t="inlineStr">
        <is>
          <t>1</t>
        </is>
      </c>
      <c r="BG246" s="24" t="inlineStr">
        <is>
          <t>73429bd71f12304106b9ffb751bd50617d5109d487f00de7ae2732f60e779590</t>
        </is>
      </c>
      <c r="BH246" s="24" t="inlineStr">
        <is>
          <t>2026-07-29T08:52:48.697468Z</t>
        </is>
      </c>
      <c r="BI246" s="24" t="inlineStr">
        <is>
          <t>["same_event","same_team_same_day","same_league_same_day"]</t>
        </is>
      </c>
      <c r="BJ246" s="25" t="n"/>
      <c r="BK246" s="26" t="n">
        <v>133</v>
      </c>
      <c r="BL246" s="27" t="n">
        <v>2.33</v>
      </c>
      <c r="BM246" s="28" t="n">
        <v>0.429185</v>
      </c>
      <c r="BN246" s="28" t="n"/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</row>
    <row r="247" ht="36" customHeight="1">
      <c r="A247" s="24" t="inlineStr">
        <is>
          <t>1fd9d10e54be4c11</t>
        </is>
      </c>
      <c r="B247" s="24" t="inlineStr">
        <is>
          <t>2026-07-29T08:55:21.430631Z</t>
        </is>
      </c>
      <c r="C247" s="24" t="inlineStr">
        <is>
          <t>2026-07-29T10:30Z</t>
        </is>
      </c>
      <c r="D247" s="24" t="inlineStr">
        <is>
          <t>1073-2026:179581</t>
        </is>
      </c>
      <c r="E247" s="24" t="inlineStr">
        <is>
          <t>TENNIS</t>
        </is>
      </c>
      <c r="F247" s="24" t="inlineStr">
        <is>
          <t>Carole Monnet</t>
        </is>
      </c>
      <c r="G247" s="24" t="inlineStr">
        <is>
          <t>Elena Ruxandra Bertea</t>
        </is>
      </c>
      <c r="H247" s="24" t="inlineStr">
        <is>
          <t>moneyline</t>
        </is>
      </c>
      <c r="I247" s="24" t="inlineStr">
        <is>
          <t>home</t>
        </is>
      </c>
      <c r="J247" s="25" t="n"/>
      <c r="K247" s="24" t="inlineStr">
        <is>
          <t>polymarket_us</t>
        </is>
      </c>
      <c r="L247" s="26" t="n">
        <v>144</v>
      </c>
      <c r="M247" s="27" t="n">
        <v>2.44</v>
      </c>
      <c r="N247" s="28" t="n">
        <v>0.409836</v>
      </c>
      <c r="O247" s="28" t="n">
        <v>0.507464</v>
      </c>
      <c r="P247" s="28" t="n">
        <v>0.05</v>
      </c>
      <c r="Q247" s="28" t="n">
        <v>0.09762800000000001</v>
      </c>
      <c r="R247" s="26" t="n">
        <v>69</v>
      </c>
      <c r="S247" s="29" t="n">
        <v>1</v>
      </c>
      <c r="T247" s="24" t="inlineStr">
        <is>
          <t>tennis-surface-elo-v1</t>
        </is>
      </c>
      <c r="U247" s="24" t="inlineStr">
        <is>
          <t>settled</t>
        </is>
      </c>
      <c r="V247" s="24" t="inlineStr">
        <is>
          <t>loss</t>
        </is>
      </c>
      <c r="W247" s="26" t="n">
        <v>1</v>
      </c>
      <c r="X247" s="26" t="n">
        <v>0</v>
      </c>
      <c r="Y247" s="25" t="n"/>
      <c r="Z247" s="26" t="n"/>
      <c r="AA247" s="28" t="n"/>
      <c r="AB247" s="28" t="n"/>
      <c r="AC247" s="30" t="n">
        <v>-1</v>
      </c>
      <c r="AD247" s="24" t="inlineStr">
        <is>
          <t>2026-07-29T15:04:57.137903Z</t>
        </is>
      </c>
      <c r="AE247" s="31" t="inlineStr">
        <is>
          <t>Surface-blended Elo on Hard: Carole Monnet p=0.493 vs Elena Ruxandra Bertea. Executable ask 0.4100 (aec-wta-eleber-carmon-2026-07-29).</t>
        </is>
      </c>
      <c r="AF247" s="31" t="inlineStr">
        <is>
          <t>Research-only surface-blended Elo model; singles only, WTA-only market coverage, not yet locked-holdout qualified.</t>
        </is>
      </c>
      <c r="AG247" s="24" t="inlineStr">
        <is>
          <t>review_required</t>
        </is>
      </c>
      <c r="AH247" s="24" t="n"/>
      <c r="AI247" s="31" t="n"/>
      <c r="AJ247" s="31" t="n"/>
      <c r="AK247" s="24" t="inlineStr">
        <is>
          <t>research_observation</t>
        </is>
      </c>
      <c r="AL247" s="26" t="n">
        <v>3</v>
      </c>
      <c r="AM247" s="24" t="inlineStr">
        <is>
          <t>RESEARCH_OBSERVATION</t>
        </is>
      </c>
      <c r="AN247" s="24" t="inlineStr">
        <is>
          <t>NO_CALL</t>
        </is>
      </c>
      <c r="AO247" s="24" t="inlineStr">
        <is>
          <t>NO_CALL_MODEL_UNVALIDATED</t>
        </is>
      </c>
      <c r="AP247" s="24" t="inlineStr">
        <is>
          <t>Carole Monnet</t>
        </is>
      </c>
      <c r="AQ247" s="24" t="inlineStr">
        <is>
          <t>Carole Monnet</t>
        </is>
      </c>
      <c r="AR247" s="24" t="inlineStr">
        <is>
          <t>Carole Monnet</t>
        </is>
      </c>
      <c r="AS247" s="24" t="inlineStr">
        <is>
          <t>Elena Ruxandra Bertea</t>
        </is>
      </c>
      <c r="AT247" s="24" t="inlineStr">
        <is>
          <t>Elena Ruxandra Bertea</t>
        </is>
      </c>
      <c r="AU247" s="24" t="inlineStr">
        <is>
          <t>Elena Ruxandra Bertea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research</t>
        </is>
      </c>
      <c r="BA247" s="24" t="inlineStr">
        <is>
          <t>73429bd71f12304106b9ffb751bd50617d5109d487f00de7ae2732f60e779590</t>
        </is>
      </c>
      <c r="BB247" s="24" t="inlineStr">
        <is>
          <t>surface_blended_elo</t>
        </is>
      </c>
      <c r="BC247" s="24" t="inlineStr">
        <is>
          <t>tennis-surface-elo-v1</t>
        </is>
      </c>
      <c r="BD247" s="24" t="inlineStr">
        <is>
          <t>73429bd71f12304106b9ffb751bd50617d5109d487f00de7ae2732f60e779590</t>
        </is>
      </c>
      <c r="BE247" s="24" t="inlineStr">
        <is>
          <t>tennis-surface-elo-v1</t>
        </is>
      </c>
      <c r="BF247" s="24" t="inlineStr">
        <is>
          <t>1</t>
        </is>
      </c>
      <c r="BG247" s="24" t="inlineStr">
        <is>
          <t>73429bd71f12304106b9ffb751bd50617d5109d487f00de7ae2732f60e779590</t>
        </is>
      </c>
      <c r="BH247" s="24" t="inlineStr">
        <is>
          <t>2026-07-29T08:52:48.630695Z</t>
        </is>
      </c>
      <c r="BI247" s="24" t="inlineStr">
        <is>
          <t>["same_event","same_team_same_day","same_league_same_day"]</t>
        </is>
      </c>
      <c r="BJ247" s="25" t="n"/>
      <c r="BK247" s="26" t="n">
        <v>144</v>
      </c>
      <c r="BL247" s="27" t="n">
        <v>2.44</v>
      </c>
      <c r="BM247" s="28" t="n">
        <v>0.409836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</row>
    <row r="248" ht="36" customHeight="1">
      <c r="A248" s="24" t="inlineStr">
        <is>
          <t>de165a84ab994f0a</t>
        </is>
      </c>
      <c r="B248" s="24" t="inlineStr">
        <is>
          <t>2026-07-29T12:01:51.227703Z</t>
        </is>
      </c>
      <c r="C248" s="24" t="inlineStr">
        <is>
          <t>2026-07-29T15:00Z</t>
        </is>
      </c>
      <c r="D248" s="24" t="inlineStr">
        <is>
          <t>888-2026:178997</t>
        </is>
      </c>
      <c r="E248" s="24" t="inlineStr">
        <is>
          <t>TENNIS</t>
        </is>
      </c>
      <c r="F248" s="24" t="inlineStr">
        <is>
          <t>Liudmila Samsonova</t>
        </is>
      </c>
      <c r="G248" s="24" t="inlineStr">
        <is>
          <t>Wang Xinyu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163</v>
      </c>
      <c r="M248" s="27" t="n">
        <v>2.63</v>
      </c>
      <c r="N248" s="28" t="n">
        <v>0.380228</v>
      </c>
      <c r="O248" s="28" t="n">
        <v>0.610361</v>
      </c>
      <c r="P248" s="28" t="n">
        <v>0.05</v>
      </c>
      <c r="Q248" s="28" t="n">
        <v>0.230133</v>
      </c>
      <c r="R248" s="26" t="n">
        <v>100</v>
      </c>
      <c r="S248" s="29" t="n">
        <v>1.5</v>
      </c>
      <c r="T248" s="24" t="inlineStr">
        <is>
          <t>tennis-surface-elo-v1</t>
        </is>
      </c>
      <c r="U248" s="24" t="inlineStr">
        <is>
          <t>settled</t>
        </is>
      </c>
      <c r="V248" s="24" t="inlineStr">
        <is>
          <t>loss</t>
        </is>
      </c>
      <c r="W248" s="26" t="n">
        <v>1</v>
      </c>
      <c r="X248" s="26" t="n">
        <v>0</v>
      </c>
      <c r="Y248" s="25" t="n"/>
      <c r="Z248" s="26" t="n"/>
      <c r="AA248" s="28" t="n"/>
      <c r="AB248" s="28" t="n"/>
      <c r="AC248" s="30" t="n">
        <v>-1.5</v>
      </c>
      <c r="AD248" s="24" t="inlineStr">
        <is>
          <t>2026-07-29T17:34:37.373137Z</t>
        </is>
      </c>
      <c r="AE248" s="31" t="inlineStr">
        <is>
          <t>Surface-blended Elo on Hard: Liudmila Samsonova p=0.390 vs Wang Xinyu. Executable ask 0.3800 (aec-wta-xinwan-liusam-2026-07-29).</t>
        </is>
      </c>
      <c r="AF248" s="31" t="inlineStr">
        <is>
          <t>Research-only surface-blended Elo model; singles only, WTA-only market coverage, not yet locked-holdout qualified.</t>
        </is>
      </c>
      <c r="AG248" s="24" t="inlineStr">
        <is>
          <t>review_required</t>
        </is>
      </c>
      <c r="AH248" s="24" t="n"/>
      <c r="AI248" s="31" t="n"/>
      <c r="AJ248" s="31" t="n"/>
      <c r="AK248" s="24" t="inlineStr">
        <is>
          <t>research_observation</t>
        </is>
      </c>
      <c r="AL248" s="26" t="n">
        <v>3</v>
      </c>
      <c r="AM248" s="24" t="inlineStr">
        <is>
          <t>RESEARCH_OBSERVATION</t>
        </is>
      </c>
      <c r="AN248" s="24" t="inlineStr">
        <is>
          <t>NO_CALL</t>
        </is>
      </c>
      <c r="AO248" s="24" t="inlineStr">
        <is>
          <t>NO_CALL_MODEL_UNVALIDATED</t>
        </is>
      </c>
      <c r="AP248" s="24" t="inlineStr">
        <is>
          <t>Liudmila Samsonova</t>
        </is>
      </c>
      <c r="AQ248" s="24" t="inlineStr">
        <is>
          <t>Liudmila Samsonova</t>
        </is>
      </c>
      <c r="AR248" s="24" t="inlineStr">
        <is>
          <t>Liudmila Samsonova</t>
        </is>
      </c>
      <c r="AS248" s="24" t="inlineStr">
        <is>
          <t>Wang Xinyu</t>
        </is>
      </c>
      <c r="AT248" s="24" t="inlineStr">
        <is>
          <t>Wang Xinyu</t>
        </is>
      </c>
      <c r="AU248" s="24" t="inlineStr">
        <is>
          <t>Wang Xinyu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research</t>
        </is>
      </c>
      <c r="BA248" s="24" t="inlineStr">
        <is>
          <t>73429bd71f12304106b9ffb751bd50617d5109d487f00de7ae2732f60e779590</t>
        </is>
      </c>
      <c r="BB248" s="24" t="inlineStr">
        <is>
          <t>surface_blended_elo</t>
        </is>
      </c>
      <c r="BC248" s="24" t="inlineStr">
        <is>
          <t>tennis-surface-elo-v1</t>
        </is>
      </c>
      <c r="BD248" s="24" t="inlineStr">
        <is>
          <t>73429bd71f12304106b9ffb751bd50617d5109d487f00de7ae2732f60e779590</t>
        </is>
      </c>
      <c r="BE248" s="24" t="inlineStr">
        <is>
          <t>tennis-surface-elo-v1</t>
        </is>
      </c>
      <c r="BF248" s="24" t="inlineStr">
        <is>
          <t>1</t>
        </is>
      </c>
      <c r="BG248" s="24" t="inlineStr">
        <is>
          <t>73429bd71f12304106b9ffb751bd50617d5109d487f00de7ae2732f60e779590</t>
        </is>
      </c>
      <c r="BH248" s="24" t="inlineStr">
        <is>
          <t>2026-07-29T11:59:22.792537Z</t>
        </is>
      </c>
      <c r="BI248" s="24" t="inlineStr">
        <is>
          <t>["same_event","same_team_same_day","same_league_same_day"]</t>
        </is>
      </c>
      <c r="BJ248" s="25" t="n"/>
      <c r="BK248" s="26" t="n">
        <v>163</v>
      </c>
      <c r="BL248" s="27" t="n">
        <v>2.63</v>
      </c>
      <c r="BM248" s="28" t="n">
        <v>0.380228</v>
      </c>
      <c r="BN248" s="28" t="n"/>
      <c r="BO248" s="28" t="n"/>
      <c r="BP248" s="25" t="n"/>
      <c r="BQ248" s="27" t="n"/>
      <c r="BR248" s="28" t="n"/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</row>
    <row r="249" ht="36" customHeight="1">
      <c r="A249" s="24" t="inlineStr">
        <is>
          <t>5e1308e15a2b4b9b</t>
        </is>
      </c>
      <c r="B249" s="24" t="inlineStr">
        <is>
          <t>2026-07-29T12:01:51.227703Z</t>
        </is>
      </c>
      <c r="C249" s="24" t="inlineStr">
        <is>
          <t>2026-07-29T15:00Z</t>
        </is>
      </c>
      <c r="D249" s="24" t="inlineStr">
        <is>
          <t>888-2026:179010</t>
        </is>
      </c>
      <c r="E249" s="24" t="inlineStr">
        <is>
          <t>TENNIS</t>
        </is>
      </c>
      <c r="F249" s="24" t="inlineStr">
        <is>
          <t>Alexandra Eala</t>
        </is>
      </c>
      <c r="G249" s="24" t="inlineStr">
        <is>
          <t>Leylah Fernandez</t>
        </is>
      </c>
      <c r="H249" s="24" t="inlineStr">
        <is>
          <t>moneyline</t>
        </is>
      </c>
      <c r="I249" s="24" t="inlineStr">
        <is>
          <t>away</t>
        </is>
      </c>
      <c r="J249" s="25" t="n"/>
      <c r="K249" s="24" t="inlineStr">
        <is>
          <t>polymarket_us</t>
        </is>
      </c>
      <c r="L249" s="26" t="n">
        <v>-104</v>
      </c>
      <c r="M249" s="27" t="n">
        <v>1.961538</v>
      </c>
      <c r="N249" s="28" t="n">
        <v>0.509804</v>
      </c>
      <c r="O249" s="28" t="n">
        <v>0.584863</v>
      </c>
      <c r="P249" s="28" t="n">
        <v>0.05</v>
      </c>
      <c r="Q249" s="28" t="n">
        <v>0.075059</v>
      </c>
      <c r="R249" s="26" t="n">
        <v>58</v>
      </c>
      <c r="S249" s="29" t="n">
        <v>1.25</v>
      </c>
      <c r="T249" s="24" t="inlineStr">
        <is>
          <t>tennis-surface-elo-v1</t>
        </is>
      </c>
      <c r="U249" s="24" t="inlineStr">
        <is>
          <t>settled</t>
        </is>
      </c>
      <c r="V249" s="24" t="inlineStr">
        <is>
          <t>win</t>
        </is>
      </c>
      <c r="W249" s="26" t="n">
        <v>1</v>
      </c>
      <c r="X249" s="26" t="n">
        <v>0</v>
      </c>
      <c r="Y249" s="25" t="n"/>
      <c r="Z249" s="26" t="n"/>
      <c r="AA249" s="28" t="n"/>
      <c r="AB249" s="28" t="n"/>
      <c r="AC249" s="30" t="n">
        <v>1.2019</v>
      </c>
      <c r="AD249" s="24" t="inlineStr">
        <is>
          <t>2026-07-29T17:34:37.529832Z</t>
        </is>
      </c>
      <c r="AE249" s="31" t="inlineStr">
        <is>
          <t>Surface-blended Elo on Hard: Alexandra Eala p=0.585 vs Leylah Fernandez. Executable ask 0.5100 (aec-wta-leyfer-aleeal-2026-07-29).</t>
        </is>
      </c>
      <c r="AF249" s="31" t="inlineStr">
        <is>
          <t>Research-only surface-blended Elo model; singles only, WTA-only market coverage, not yet locked-holdout qualified.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research_observation</t>
        </is>
      </c>
      <c r="AL249" s="26" t="n">
        <v>3</v>
      </c>
      <c r="AM249" s="24" t="inlineStr">
        <is>
          <t>RESEARCH_OBSERVATION</t>
        </is>
      </c>
      <c r="AN249" s="24" t="inlineStr">
        <is>
          <t>NO_CALL</t>
        </is>
      </c>
      <c r="AO249" s="24" t="inlineStr">
        <is>
          <t>NO_CALL_MODEL_UNVALIDATED</t>
        </is>
      </c>
      <c r="AP249" s="24" t="inlineStr">
        <is>
          <t>Alexandra Eala</t>
        </is>
      </c>
      <c r="AQ249" s="24" t="inlineStr">
        <is>
          <t>Alexandra Eala</t>
        </is>
      </c>
      <c r="AR249" s="24" t="inlineStr">
        <is>
          <t>Alexandra Eala</t>
        </is>
      </c>
      <c r="AS249" s="24" t="inlineStr">
        <is>
          <t>Leylah Fernandez</t>
        </is>
      </c>
      <c r="AT249" s="24" t="inlineStr">
        <is>
          <t>Leylah Fernandez</t>
        </is>
      </c>
      <c r="AU249" s="24" t="inlineStr">
        <is>
          <t>Leylah Fernandez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research</t>
        </is>
      </c>
      <c r="BA249" s="24" t="inlineStr">
        <is>
          <t>73429bd71f12304106b9ffb751bd50617d5109d487f00de7ae2732f60e779590</t>
        </is>
      </c>
      <c r="BB249" s="24" t="inlineStr">
        <is>
          <t>surface_blended_elo</t>
        </is>
      </c>
      <c r="BC249" s="24" t="inlineStr">
        <is>
          <t>tennis-surface-elo-v1</t>
        </is>
      </c>
      <c r="BD249" s="24" t="inlineStr">
        <is>
          <t>73429bd71f12304106b9ffb751bd50617d5109d487f00de7ae2732f60e779590</t>
        </is>
      </c>
      <c r="BE249" s="24" t="inlineStr">
        <is>
          <t>tennis-surface-elo-v1</t>
        </is>
      </c>
      <c r="BF249" s="24" t="inlineStr">
        <is>
          <t>1</t>
        </is>
      </c>
      <c r="BG249" s="24" t="inlineStr">
        <is>
          <t>73429bd71f12304106b9ffb751bd50617d5109d487f00de7ae2732f60e779590</t>
        </is>
      </c>
      <c r="BH249" s="24" t="inlineStr">
        <is>
          <t>2026-07-29T11:59:24.170797Z</t>
        </is>
      </c>
      <c r="BI249" s="24" t="inlineStr">
        <is>
          <t>["same_event","same_team_same_day","same_league_same_day"]</t>
        </is>
      </c>
      <c r="BJ249" s="25" t="n"/>
      <c r="BK249" s="26" t="n">
        <v>-104</v>
      </c>
      <c r="BL249" s="27" t="n">
        <v>1.961538</v>
      </c>
      <c r="BM249" s="28" t="n">
        <v>0.509804</v>
      </c>
      <c r="BN249" s="28" t="n"/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</row>
    <row r="250" ht="36" customHeight="1">
      <c r="A250" s="24" t="inlineStr">
        <is>
          <t>6a87bbcc35e844c4</t>
        </is>
      </c>
      <c r="B250" s="24" t="inlineStr">
        <is>
          <t>2026-07-29T12:01:51.227703Z</t>
        </is>
      </c>
      <c r="C250" s="24" t="inlineStr">
        <is>
          <t>2026-07-29T14:00Z</t>
        </is>
      </c>
      <c r="D250" s="24" t="inlineStr">
        <is>
          <t>1073-2026:179602</t>
        </is>
      </c>
      <c r="E250" s="24" t="inlineStr">
        <is>
          <t>TENNIS</t>
        </is>
      </c>
      <c r="F250" s="24" t="inlineStr">
        <is>
          <t>Caijsa Hennemann</t>
        </is>
      </c>
      <c r="G250" s="24" t="inlineStr">
        <is>
          <t>Sara Sorribes Tormo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-335</v>
      </c>
      <c r="M250" s="27" t="n">
        <v>1.298507</v>
      </c>
      <c r="N250" s="28" t="n">
        <v>0.770115</v>
      </c>
      <c r="O250" s="28" t="n">
        <v>0.613845</v>
      </c>
      <c r="P250" s="28" t="n">
        <v>0.05</v>
      </c>
      <c r="Q250" s="28" t="n">
        <v>-0.15627</v>
      </c>
      <c r="R250" s="26" t="n">
        <v>0</v>
      </c>
      <c r="S250" s="29" t="n">
        <v>1.5</v>
      </c>
      <c r="T250" s="24" t="inlineStr">
        <is>
          <t>tennis-surface-elo-v1</t>
        </is>
      </c>
      <c r="U250" s="24" t="inlineStr">
        <is>
          <t>settled</t>
        </is>
      </c>
      <c r="V250" s="24" t="inlineStr">
        <is>
          <t>win</t>
        </is>
      </c>
      <c r="W250" s="26" t="n">
        <v>0</v>
      </c>
      <c r="X250" s="26" t="n">
        <v>1</v>
      </c>
      <c r="Y250" s="25" t="n"/>
      <c r="Z250" s="26" t="n"/>
      <c r="AA250" s="28" t="n"/>
      <c r="AB250" s="28" t="n"/>
      <c r="AC250" s="30" t="n">
        <v>0.4478</v>
      </c>
      <c r="AD250" s="24" t="inlineStr">
        <is>
          <t>2026-07-29T17:34:37.684021Z</t>
        </is>
      </c>
      <c r="AE250" s="31" t="inlineStr">
        <is>
          <t>Surface-blended Elo on Hard: Caijsa Hennemann p=0.386 vs Sara Sorribes Tormo. Executable ask 0.7700 (aec-wta-sartor-caihen-2026-07-28).</t>
        </is>
      </c>
      <c r="AF250" s="31" t="inlineStr">
        <is>
          <t>Research-only surface-blended Elo model; singles only, WTA-only market coverage, not yet locked-holdout qualified.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research_observation</t>
        </is>
      </c>
      <c r="AL250" s="26" t="n">
        <v>3</v>
      </c>
      <c r="AM250" s="24" t="inlineStr">
        <is>
          <t>RESEARCH_OBSERVATION</t>
        </is>
      </c>
      <c r="AN250" s="24" t="inlineStr">
        <is>
          <t>NO_CALL</t>
        </is>
      </c>
      <c r="AO250" s="24" t="inlineStr">
        <is>
          <t>NO_CALL_MODEL_UNVALIDATED</t>
        </is>
      </c>
      <c r="AP250" s="24" t="inlineStr">
        <is>
          <t>Caijsa Hennemann</t>
        </is>
      </c>
      <c r="AQ250" s="24" t="inlineStr">
        <is>
          <t>Caijsa Hennemann</t>
        </is>
      </c>
      <c r="AR250" s="24" t="inlineStr">
        <is>
          <t>Caijsa Hennemann</t>
        </is>
      </c>
      <c r="AS250" s="24" t="inlineStr">
        <is>
          <t>Sara Sorribes Tormo</t>
        </is>
      </c>
      <c r="AT250" s="24" t="inlineStr">
        <is>
          <t>Sara Sorribes Tormo</t>
        </is>
      </c>
      <c r="AU250" s="24" t="inlineStr">
        <is>
          <t>Sara Sorribes Tormo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research</t>
        </is>
      </c>
      <c r="BA250" s="24" t="inlineStr">
        <is>
          <t>73429bd71f12304106b9ffb751bd50617d5109d487f00de7ae2732f60e779590</t>
        </is>
      </c>
      <c r="BB250" s="24" t="inlineStr">
        <is>
          <t>surface_blended_elo</t>
        </is>
      </c>
      <c r="BC250" s="24" t="inlineStr">
        <is>
          <t>tennis-surface-elo-v1</t>
        </is>
      </c>
      <c r="BD250" s="24" t="inlineStr">
        <is>
          <t>73429bd71f12304106b9ffb751bd50617d5109d487f00de7ae2732f60e779590</t>
        </is>
      </c>
      <c r="BE250" s="24" t="inlineStr">
        <is>
          <t>tennis-surface-elo-v1</t>
        </is>
      </c>
      <c r="BF250" s="24" t="inlineStr">
        <is>
          <t>1</t>
        </is>
      </c>
      <c r="BG250" s="24" t="inlineStr">
        <is>
          <t>73429bd71f12304106b9ffb751bd50617d5109d487f00de7ae2732f60e779590</t>
        </is>
      </c>
      <c r="BH250" s="24" t="inlineStr">
        <is>
          <t>2026-07-29T11:59:21.725564Z</t>
        </is>
      </c>
      <c r="BI250" s="24" t="inlineStr">
        <is>
          <t>["same_event","same_team_same_day","same_league_same_day"]</t>
        </is>
      </c>
      <c r="BJ250" s="25" t="n"/>
      <c r="BK250" s="26" t="n">
        <v>-335</v>
      </c>
      <c r="BL250" s="27" t="n">
        <v>1.298507</v>
      </c>
      <c r="BM250" s="28" t="n">
        <v>0.770115</v>
      </c>
      <c r="BN250" s="28" t="n"/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</row>
    <row r="251" ht="36" customHeight="1">
      <c r="A251" s="24" t="inlineStr">
        <is>
          <t>9eedacf3676e41ab</t>
        </is>
      </c>
      <c r="B251" s="24" t="inlineStr">
        <is>
          <t>2026-07-29T15:07:42.028247Z</t>
        </is>
      </c>
      <c r="C251" s="24" t="inlineStr">
        <is>
          <t>2026-07-29T17:00Z</t>
        </is>
      </c>
      <c r="D251" s="24" t="inlineStr">
        <is>
          <t>875-2026:179551</t>
        </is>
      </c>
      <c r="E251" s="24" t="inlineStr">
        <is>
          <t>TENNIS</t>
        </is>
      </c>
      <c r="F251" s="24" t="inlineStr">
        <is>
          <t>Hayu Kinoshita</t>
        </is>
      </c>
      <c r="G251" s="24" t="inlineStr">
        <is>
          <t>Moyuka Uchijima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-233</v>
      </c>
      <c r="M251" s="27" t="n">
        <v>1.429185</v>
      </c>
      <c r="N251" s="28" t="n">
        <v>0.6997</v>
      </c>
      <c r="O251" s="28" t="n">
        <v>0.661404</v>
      </c>
      <c r="P251" s="28" t="n">
        <v>0.05</v>
      </c>
      <c r="Q251" s="28" t="n">
        <v>-0.038296</v>
      </c>
      <c r="R251" s="26" t="n">
        <v>1</v>
      </c>
      <c r="S251" s="29" t="n">
        <v>1.75</v>
      </c>
      <c r="T251" s="24" t="inlineStr">
        <is>
          <t>tennis-surface-elo-v1</t>
        </is>
      </c>
      <c r="U251" s="24" t="inlineStr">
        <is>
          <t>settled</t>
        </is>
      </c>
      <c r="V251" s="24" t="inlineStr">
        <is>
          <t>win</t>
        </is>
      </c>
      <c r="W251" s="26" t="n">
        <v>0</v>
      </c>
      <c r="X251" s="26" t="n">
        <v>1</v>
      </c>
      <c r="Y251" s="25" t="n"/>
      <c r="Z251" s="26" t="n"/>
      <c r="AA251" s="28" t="n"/>
      <c r="AB251" s="28" t="n"/>
      <c r="AC251" s="30" t="n">
        <v>0.7511</v>
      </c>
      <c r="AD251" s="24" t="inlineStr">
        <is>
          <t>2026-07-30T04:12:57.598756Z</t>
        </is>
      </c>
      <c r="AE251" s="31" t="inlineStr">
        <is>
          <t>Surface-blended Elo on Hard: Hayu Kinoshita p=0.339 vs Moyuka Uchijima. Executable ask 0.7000 (aec-wta-moyuch-haykin-2026-07-30).</t>
        </is>
      </c>
      <c r="AF251" s="31" t="inlineStr">
        <is>
          <t>Research-only surface-blended Elo model; singles only, WTA-only market coverage, not yet locked-holdout qualified.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research_observation</t>
        </is>
      </c>
      <c r="AL251" s="26" t="n">
        <v>3</v>
      </c>
      <c r="AM251" s="24" t="inlineStr">
        <is>
          <t>RESEARCH_OBSERVATION</t>
        </is>
      </c>
      <c r="AN251" s="24" t="inlineStr">
        <is>
          <t>NO_CALL</t>
        </is>
      </c>
      <c r="AO251" s="24" t="inlineStr">
        <is>
          <t>NO_CALL_MODEL_UNVALIDATED</t>
        </is>
      </c>
      <c r="AP251" s="24" t="inlineStr">
        <is>
          <t>Hayu Kinoshita</t>
        </is>
      </c>
      <c r="AQ251" s="24" t="inlineStr">
        <is>
          <t>Hayu Kinoshita</t>
        </is>
      </c>
      <c r="AR251" s="24" t="inlineStr">
        <is>
          <t>Hayu Kinoshita</t>
        </is>
      </c>
      <c r="AS251" s="24" t="inlineStr">
        <is>
          <t>Moyuka Uchijima</t>
        </is>
      </c>
      <c r="AT251" s="24" t="inlineStr">
        <is>
          <t>Moyuka Uchijima</t>
        </is>
      </c>
      <c r="AU251" s="24" t="inlineStr">
        <is>
          <t>Moyuka Uchijima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research</t>
        </is>
      </c>
      <c r="BA251" s="24" t="inlineStr">
        <is>
          <t>73429bd71f12304106b9ffb751bd50617d5109d487f00de7ae2732f60e779590</t>
        </is>
      </c>
      <c r="BB251" s="24" t="inlineStr">
        <is>
          <t>surface_blended_elo</t>
        </is>
      </c>
      <c r="BC251" s="24" t="inlineStr">
        <is>
          <t>tennis-surface-elo-v1</t>
        </is>
      </c>
      <c r="BD251" s="24" t="inlineStr">
        <is>
          <t>73429bd71f12304106b9ffb751bd50617d5109d487f00de7ae2732f60e779590</t>
        </is>
      </c>
      <c r="BE251" s="24" t="inlineStr">
        <is>
          <t>tennis-surface-elo-v1</t>
        </is>
      </c>
      <c r="BF251" s="24" t="inlineStr">
        <is>
          <t>1</t>
        </is>
      </c>
      <c r="BG251" s="24" t="inlineStr">
        <is>
          <t>73429bd71f12304106b9ffb751bd50617d5109d487f00de7ae2732f60e779590</t>
        </is>
      </c>
      <c r="BH251" s="24" t="inlineStr">
        <is>
          <t>2026-07-29T15:06:10.686278Z</t>
        </is>
      </c>
      <c r="BI251" s="24" t="inlineStr">
        <is>
          <t>["same_event","same_team_same_day","same_league_same_day"]</t>
        </is>
      </c>
      <c r="BJ251" s="25" t="n"/>
      <c r="BK251" s="26" t="n">
        <v>-233</v>
      </c>
      <c r="BL251" s="27" t="n">
        <v>1.429185</v>
      </c>
      <c r="BM251" s="28" t="n">
        <v>0.6997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</row>
    <row r="252" ht="36" customHeight="1">
      <c r="A252" s="24" t="inlineStr">
        <is>
          <t>a0b147def3fd4a88</t>
        </is>
      </c>
      <c r="B252" s="24" t="inlineStr">
        <is>
          <t>2026-07-29T15:07:42.028247Z</t>
        </is>
      </c>
      <c r="C252" s="24" t="inlineStr">
        <is>
          <t>2026-07-29T16:00Z</t>
        </is>
      </c>
      <c r="D252" s="24" t="inlineStr">
        <is>
          <t>1067-2026:179462</t>
        </is>
      </c>
      <c r="E252" s="24" t="inlineStr">
        <is>
          <t>TENNIS</t>
        </is>
      </c>
      <c r="F252" s="24" t="inlineStr">
        <is>
          <t>Katie Volynets</t>
        </is>
      </c>
      <c r="G252" s="24" t="inlineStr">
        <is>
          <t>Iryna Shymanovich</t>
        </is>
      </c>
      <c r="H252" s="24" t="inlineStr">
        <is>
          <t>moneyline</t>
        </is>
      </c>
      <c r="I252" s="24" t="inlineStr">
        <is>
          <t>away</t>
        </is>
      </c>
      <c r="J252" s="25" t="n"/>
      <c r="K252" s="24" t="inlineStr">
        <is>
          <t>polymarket_us</t>
        </is>
      </c>
      <c r="L252" s="26" t="n">
        <v>-400</v>
      </c>
      <c r="M252" s="27" t="n">
        <v>1.25</v>
      </c>
      <c r="N252" s="28" t="n">
        <v>0.8</v>
      </c>
      <c r="O252" s="28" t="n">
        <v>0.681818</v>
      </c>
      <c r="P252" s="28" t="n">
        <v>0.05</v>
      </c>
      <c r="Q252" s="28" t="n">
        <v>-0.118182</v>
      </c>
      <c r="R252" s="26" t="n">
        <v>0</v>
      </c>
      <c r="S252" s="29" t="n">
        <v>2</v>
      </c>
      <c r="T252" s="24" t="inlineStr">
        <is>
          <t>tennis-surface-elo-v1</t>
        </is>
      </c>
      <c r="U252" s="24" t="inlineStr">
        <is>
          <t>settled</t>
        </is>
      </c>
      <c r="V252" s="24" t="inlineStr">
        <is>
          <t>win</t>
        </is>
      </c>
      <c r="W252" s="26" t="n">
        <v>1</v>
      </c>
      <c r="X252" s="26" t="n">
        <v>0</v>
      </c>
      <c r="Y252" s="25" t="n"/>
      <c r="Z252" s="26" t="n"/>
      <c r="AA252" s="28" t="n"/>
      <c r="AB252" s="28" t="n"/>
      <c r="AC252" s="30" t="n">
        <v>0.5</v>
      </c>
      <c r="AD252" s="24" t="inlineStr">
        <is>
          <t>2026-07-29T17:39:18.099080Z</t>
        </is>
      </c>
      <c r="AE252" s="31" t="inlineStr">
        <is>
          <t>Surface-blended Elo on Hard: Katie Volynets p=0.682 vs Iryna Shymanovich. Executable ask 0.8000 (aec-wta-iryshy-katvol-2026-07-28).</t>
        </is>
      </c>
      <c r="AF252" s="31" t="inlineStr">
        <is>
          <t>Research-only surface-blended Elo model; singles only, WTA-only market coverage, not yet locked-holdout qualified.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research_observation</t>
        </is>
      </c>
      <c r="AL252" s="26" t="n">
        <v>3</v>
      </c>
      <c r="AM252" s="24" t="inlineStr">
        <is>
          <t>RESEARCH_OBSERVATION</t>
        </is>
      </c>
      <c r="AN252" s="24" t="inlineStr">
        <is>
          <t>NO_CALL</t>
        </is>
      </c>
      <c r="AO252" s="24" t="inlineStr">
        <is>
          <t>NO_CALL_MODEL_UNVALIDATED</t>
        </is>
      </c>
      <c r="AP252" s="24" t="inlineStr">
        <is>
          <t>Katie Volynets</t>
        </is>
      </c>
      <c r="AQ252" s="24" t="inlineStr">
        <is>
          <t>Katie Volynets</t>
        </is>
      </c>
      <c r="AR252" s="24" t="inlineStr">
        <is>
          <t>Katie Volynets</t>
        </is>
      </c>
      <c r="AS252" s="24" t="inlineStr">
        <is>
          <t>Iryna Shymanovich</t>
        </is>
      </c>
      <c r="AT252" s="24" t="inlineStr">
        <is>
          <t>Iryna Shymanovich</t>
        </is>
      </c>
      <c r="AU252" s="24" t="inlineStr">
        <is>
          <t>Iryna Shymanovich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research</t>
        </is>
      </c>
      <c r="BA252" s="24" t="inlineStr">
        <is>
          <t>73429bd71f12304106b9ffb751bd50617d5109d487f00de7ae2732f60e779590</t>
        </is>
      </c>
      <c r="BB252" s="24" t="inlineStr">
        <is>
          <t>surface_blended_elo</t>
        </is>
      </c>
      <c r="BC252" s="24" t="inlineStr">
        <is>
          <t>tennis-surface-elo-v1</t>
        </is>
      </c>
      <c r="BD252" s="24" t="inlineStr">
        <is>
          <t>73429bd71f12304106b9ffb751bd50617d5109d487f00de7ae2732f60e779590</t>
        </is>
      </c>
      <c r="BE252" s="24" t="inlineStr">
        <is>
          <t>tennis-surface-elo-v1</t>
        </is>
      </c>
      <c r="BF252" s="24" t="inlineStr">
        <is>
          <t>1</t>
        </is>
      </c>
      <c r="BG252" s="24" t="inlineStr">
        <is>
          <t>73429bd71f12304106b9ffb751bd50617d5109d487f00de7ae2732f60e779590</t>
        </is>
      </c>
      <c r="BH252" s="24" t="inlineStr">
        <is>
          <t>2026-07-29T15:06:09.478927Z</t>
        </is>
      </c>
      <c r="BI252" s="24" t="inlineStr">
        <is>
          <t>["same_event","same_team_same_day","same_league_same_day"]</t>
        </is>
      </c>
      <c r="BJ252" s="25" t="n"/>
      <c r="BK252" s="26" t="n">
        <v>-400</v>
      </c>
      <c r="BL252" s="27" t="n">
        <v>1.25</v>
      </c>
      <c r="BM252" s="28" t="n">
        <v>0.8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</row>
    <row r="253" ht="36" customHeight="1">
      <c r="A253" s="24" t="inlineStr">
        <is>
          <t>1b6e932c0c774d67</t>
        </is>
      </c>
      <c r="B253" s="24" t="inlineStr">
        <is>
          <t>2026-07-29T15:07:42.028247Z</t>
        </is>
      </c>
      <c r="C253" s="24" t="inlineStr">
        <is>
          <t>2026-07-29T17:30Z</t>
        </is>
      </c>
      <c r="D253" s="24" t="inlineStr">
        <is>
          <t>1067-2026:179457</t>
        </is>
      </c>
      <c r="E253" s="24" t="inlineStr">
        <is>
          <t>TENNIS</t>
        </is>
      </c>
      <c r="F253" s="24" t="inlineStr">
        <is>
          <t>Anastasia Zakharova</t>
        </is>
      </c>
      <c r="G253" s="24" t="inlineStr">
        <is>
          <t>Camila Osorio</t>
        </is>
      </c>
      <c r="H253" s="24" t="inlineStr">
        <is>
          <t>moneyline</t>
        </is>
      </c>
      <c r="I253" s="24" t="inlineStr">
        <is>
          <t>home</t>
        </is>
      </c>
      <c r="J253" s="25" t="n"/>
      <c r="K253" s="24" t="inlineStr">
        <is>
          <t>polymarket_us</t>
        </is>
      </c>
      <c r="L253" s="26" t="n">
        <v>-203</v>
      </c>
      <c r="M253" s="27" t="n">
        <v>1.492611</v>
      </c>
      <c r="N253" s="28" t="n">
        <v>0.669967</v>
      </c>
      <c r="O253" s="28" t="n">
        <v>0.546035</v>
      </c>
      <c r="P253" s="28" t="n">
        <v>0.05</v>
      </c>
      <c r="Q253" s="28" t="n">
        <v>-0.123932</v>
      </c>
      <c r="R253" s="26" t="n">
        <v>0</v>
      </c>
      <c r="S253" s="29" t="n">
        <v>1</v>
      </c>
      <c r="T253" s="24" t="inlineStr">
        <is>
          <t>tennis-surface-elo-v1</t>
        </is>
      </c>
      <c r="U253" s="24" t="inlineStr">
        <is>
          <t>settled</t>
        </is>
      </c>
      <c r="V253" s="24" t="inlineStr">
        <is>
          <t>loss</t>
        </is>
      </c>
      <c r="W253" s="26" t="n">
        <v>1</v>
      </c>
      <c r="X253" s="26" t="n">
        <v>0</v>
      </c>
      <c r="Y253" s="25" t="n"/>
      <c r="Z253" s="26" t="n"/>
      <c r="AA253" s="28" t="n"/>
      <c r="AB253" s="28" t="n"/>
      <c r="AC253" s="30" t="n">
        <v>-1</v>
      </c>
      <c r="AD253" s="24" t="inlineStr">
        <is>
          <t>2026-07-30T04:12:57.762482Z</t>
        </is>
      </c>
      <c r="AE253" s="31" t="inlineStr">
        <is>
          <t>Surface-blended Elo on Hard: Anastasia Zakharova p=0.454 vs Camila Osorio. Executable ask 0.6700 (aec-wta-camoso-anazak-2026-07-29).</t>
        </is>
      </c>
      <c r="AF253" s="31" t="inlineStr">
        <is>
          <t>Research-only surface-blended Elo model; singles only, WTA-only market coverage, not yet locked-holdout qualified.</t>
        </is>
      </c>
      <c r="AG253" s="24" t="inlineStr">
        <is>
          <t>review_required</t>
        </is>
      </c>
      <c r="AH253" s="24" t="n"/>
      <c r="AI253" s="31" t="n"/>
      <c r="AJ253" s="31" t="n"/>
      <c r="AK253" s="24" t="inlineStr">
        <is>
          <t>research_observation</t>
        </is>
      </c>
      <c r="AL253" s="26" t="n">
        <v>3</v>
      </c>
      <c r="AM253" s="24" t="inlineStr">
        <is>
          <t>RESEARCH_OBSERVATION</t>
        </is>
      </c>
      <c r="AN253" s="24" t="inlineStr">
        <is>
          <t>NO_CALL</t>
        </is>
      </c>
      <c r="AO253" s="24" t="inlineStr">
        <is>
          <t>NO_CALL_MODEL_UNVALIDATED</t>
        </is>
      </c>
      <c r="AP253" s="24" t="inlineStr">
        <is>
          <t>Anastasia Zakharova</t>
        </is>
      </c>
      <c r="AQ253" s="24" t="inlineStr">
        <is>
          <t>Anastasia Zakharova</t>
        </is>
      </c>
      <c r="AR253" s="24" t="inlineStr">
        <is>
          <t>Anastasia Zakharova</t>
        </is>
      </c>
      <c r="AS253" s="24" t="inlineStr">
        <is>
          <t>Camila Osorio</t>
        </is>
      </c>
      <c r="AT253" s="24" t="inlineStr">
        <is>
          <t>Camila Osorio</t>
        </is>
      </c>
      <c r="AU253" s="24" t="inlineStr">
        <is>
          <t>Camila Osorio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research</t>
        </is>
      </c>
      <c r="BA253" s="24" t="inlineStr">
        <is>
          <t>73429bd71f12304106b9ffb751bd50617d5109d487f00de7ae2732f60e779590</t>
        </is>
      </c>
      <c r="BB253" s="24" t="inlineStr">
        <is>
          <t>surface_blended_elo</t>
        </is>
      </c>
      <c r="BC253" s="24" t="inlineStr">
        <is>
          <t>tennis-surface-elo-v1</t>
        </is>
      </c>
      <c r="BD253" s="24" t="inlineStr">
        <is>
          <t>73429bd71f12304106b9ffb751bd50617d5109d487f00de7ae2732f60e779590</t>
        </is>
      </c>
      <c r="BE253" s="24" t="inlineStr">
        <is>
          <t>tennis-surface-elo-v1</t>
        </is>
      </c>
      <c r="BF253" s="24" t="inlineStr">
        <is>
          <t>1</t>
        </is>
      </c>
      <c r="BG253" s="24" t="inlineStr">
        <is>
          <t>73429bd71f12304106b9ffb751bd50617d5109d487f00de7ae2732f60e779590</t>
        </is>
      </c>
      <c r="BH253" s="24" t="inlineStr">
        <is>
          <t>2026-07-29T15:06:11.189993Z</t>
        </is>
      </c>
      <c r="BI253" s="24" t="inlineStr">
        <is>
          <t>["same_event","same_team_same_day","same_league_same_day"]</t>
        </is>
      </c>
      <c r="BJ253" s="25" t="n"/>
      <c r="BK253" s="26" t="n">
        <v>-203</v>
      </c>
      <c r="BL253" s="27" t="n">
        <v>1.492611</v>
      </c>
      <c r="BM253" s="28" t="n">
        <v>0.669967</v>
      </c>
      <c r="BN253" s="28" t="n"/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</row>
    <row r="254" ht="36" customHeight="1">
      <c r="A254" s="24" t="inlineStr">
        <is>
          <t>4a3345c99c37475a</t>
        </is>
      </c>
      <c r="B254" s="24" t="inlineStr">
        <is>
          <t>2026-07-29T17:45:17.438275Z</t>
        </is>
      </c>
      <c r="C254" s="24" t="inlineStr">
        <is>
          <t>2026-07-29T20:30Z</t>
        </is>
      </c>
      <c r="D254" s="24" t="inlineStr">
        <is>
          <t>875-2026:179560</t>
        </is>
      </c>
      <c r="E254" s="24" t="inlineStr">
        <is>
          <t>TENNIS</t>
        </is>
      </c>
      <c r="F254" s="24" t="inlineStr">
        <is>
          <t>Mananchaya Sawangkaew</t>
        </is>
      </c>
      <c r="G254" s="24" t="inlineStr">
        <is>
          <t>Nao Hibino</t>
        </is>
      </c>
      <c r="H254" s="24" t="inlineStr">
        <is>
          <t>moneyline</t>
        </is>
      </c>
      <c r="I254" s="24" t="inlineStr">
        <is>
          <t>away</t>
        </is>
      </c>
      <c r="J254" s="25" t="n"/>
      <c r="K254" s="24" t="inlineStr">
        <is>
          <t>polymarket_us</t>
        </is>
      </c>
      <c r="L254" s="26" t="n">
        <v>-223</v>
      </c>
      <c r="M254" s="27" t="n">
        <v>1.44843</v>
      </c>
      <c r="N254" s="28" t="n">
        <v>0.690402</v>
      </c>
      <c r="O254" s="28" t="n">
        <v>0.751186</v>
      </c>
      <c r="P254" s="28" t="n">
        <v>0.05</v>
      </c>
      <c r="Q254" s="28" t="n">
        <v>0.060784</v>
      </c>
      <c r="R254" s="26" t="n">
        <v>50</v>
      </c>
      <c r="S254" s="29" t="n">
        <v>2</v>
      </c>
      <c r="T254" s="24" t="inlineStr">
        <is>
          <t>tennis-surface-elo-v1</t>
        </is>
      </c>
      <c r="U254" s="24" t="inlineStr">
        <is>
          <t>settled</t>
        </is>
      </c>
      <c r="V254" s="24" t="inlineStr">
        <is>
          <t>win</t>
        </is>
      </c>
      <c r="W254" s="26" t="n">
        <v>1</v>
      </c>
      <c r="X254" s="26" t="n">
        <v>0</v>
      </c>
      <c r="Y254" s="25" t="n"/>
      <c r="Z254" s="26" t="n"/>
      <c r="AA254" s="28" t="n"/>
      <c r="AB254" s="28" t="n"/>
      <c r="AC254" s="30" t="n">
        <v>0.8969</v>
      </c>
      <c r="AD254" s="24" t="inlineStr">
        <is>
          <t>2026-07-30T04:12:57.923604Z</t>
        </is>
      </c>
      <c r="AE254" s="31" t="inlineStr">
        <is>
          <t>Surface-blended Elo on Hard: Mananchaya Sawangkaew p=0.751 vs Nao Hibino. Executable ask 0.6900 (aec-wta-naohib-mansaw-2026-07-29).</t>
        </is>
      </c>
      <c r="AF254" s="31" t="inlineStr">
        <is>
          <t>Research-only surface-blended Elo model; singles only, WTA-only market coverage, not yet locked-holdout qualified.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research_observation</t>
        </is>
      </c>
      <c r="AL254" s="26" t="n">
        <v>3</v>
      </c>
      <c r="AM254" s="24" t="inlineStr">
        <is>
          <t>RESEARCH_OBSERVATION</t>
        </is>
      </c>
      <c r="AN254" s="24" t="inlineStr">
        <is>
          <t>NO_CALL</t>
        </is>
      </c>
      <c r="AO254" s="24" t="inlineStr">
        <is>
          <t>NO_CALL_MODEL_UNVALIDATED</t>
        </is>
      </c>
      <c r="AP254" s="24" t="inlineStr">
        <is>
          <t>Mananchaya Sawangkaew</t>
        </is>
      </c>
      <c r="AQ254" s="24" t="inlineStr">
        <is>
          <t>Mananchaya Sawangkaew</t>
        </is>
      </c>
      <c r="AR254" s="24" t="inlineStr">
        <is>
          <t>Mananchaya Sawangkaew</t>
        </is>
      </c>
      <c r="AS254" s="24" t="inlineStr">
        <is>
          <t>Nao Hibino</t>
        </is>
      </c>
      <c r="AT254" s="24" t="inlineStr">
        <is>
          <t>Nao Hibino</t>
        </is>
      </c>
      <c r="AU254" s="24" t="inlineStr">
        <is>
          <t>Nao Hibino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research</t>
        </is>
      </c>
      <c r="BA254" s="24" t="inlineStr">
        <is>
          <t>73429bd71f12304106b9ffb751bd50617d5109d487f00de7ae2732f60e779590</t>
        </is>
      </c>
      <c r="BB254" s="24" t="inlineStr">
        <is>
          <t>surface_blended_elo</t>
        </is>
      </c>
      <c r="BC254" s="24" t="inlineStr">
        <is>
          <t>tennis-surface-elo-v1</t>
        </is>
      </c>
      <c r="BD254" s="24" t="inlineStr">
        <is>
          <t>73429bd71f12304106b9ffb751bd50617d5109d487f00de7ae2732f60e779590</t>
        </is>
      </c>
      <c r="BE254" s="24" t="inlineStr">
        <is>
          <t>tennis-surface-elo-v1</t>
        </is>
      </c>
      <c r="BF254" s="24" t="inlineStr">
        <is>
          <t>1</t>
        </is>
      </c>
      <c r="BG254" s="24" t="inlineStr">
        <is>
          <t>73429bd71f12304106b9ffb751bd50617d5109d487f00de7ae2732f60e779590</t>
        </is>
      </c>
      <c r="BH254" s="24" t="inlineStr">
        <is>
          <t>2026-07-29T17:43:31.145763Z</t>
        </is>
      </c>
      <c r="BI254" s="24" t="inlineStr">
        <is>
          <t>["same_event","same_team_same_day","same_league_same_day"]</t>
        </is>
      </c>
      <c r="BJ254" s="25" t="n"/>
      <c r="BK254" s="26" t="n">
        <v>-223</v>
      </c>
      <c r="BL254" s="27" t="n">
        <v>1.44843</v>
      </c>
      <c r="BM254" s="28" t="n">
        <v>0.690402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</row>
    <row r="255" ht="36" customHeight="1">
      <c r="A255" s="24" t="inlineStr">
        <is>
          <t>ba55f97323e84ca7</t>
        </is>
      </c>
      <c r="B255" s="24" t="inlineStr">
        <is>
          <t>2026-07-29T17:45:17.438275Z</t>
        </is>
      </c>
      <c r="C255" s="24" t="inlineStr">
        <is>
          <t>2026-07-29T23:30Z</t>
        </is>
      </c>
      <c r="D255" s="24" t="inlineStr">
        <is>
          <t>875-2026:179561</t>
        </is>
      </c>
      <c r="E255" s="24" t="inlineStr">
        <is>
          <t>TENNIS</t>
        </is>
      </c>
      <c r="F255" s="24" t="inlineStr">
        <is>
          <t>Madison Brengle</t>
        </is>
      </c>
      <c r="G255" s="24" t="inlineStr">
        <is>
          <t>Emerson Jones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polymarket_us</t>
        </is>
      </c>
      <c r="L255" s="26" t="n">
        <v>-213</v>
      </c>
      <c r="M255" s="27" t="n">
        <v>1.469484</v>
      </c>
      <c r="N255" s="28" t="n">
        <v>0.680511</v>
      </c>
      <c r="O255" s="28" t="n">
        <v>0.609945</v>
      </c>
      <c r="P255" s="28" t="n">
        <v>0.05</v>
      </c>
      <c r="Q255" s="28" t="n">
        <v>-0.070566</v>
      </c>
      <c r="R255" s="26" t="n">
        <v>0</v>
      </c>
      <c r="S255" s="29" t="n">
        <v>1.5</v>
      </c>
      <c r="T255" s="24" t="inlineStr">
        <is>
          <t>tennis-surface-elo-v1</t>
        </is>
      </c>
      <c r="U255" s="24" t="inlineStr">
        <is>
          <t>settled</t>
        </is>
      </c>
      <c r="V255" s="24" t="inlineStr">
        <is>
          <t>win</t>
        </is>
      </c>
      <c r="W255" s="26" t="n">
        <v>0</v>
      </c>
      <c r="X255" s="26" t="n">
        <v>1</v>
      </c>
      <c r="Y255" s="25" t="n"/>
      <c r="Z255" s="26" t="n"/>
      <c r="AA255" s="28" t="n"/>
      <c r="AB255" s="28" t="n"/>
      <c r="AC255" s="30" t="n">
        <v>0.7042</v>
      </c>
      <c r="AD255" s="24" t="inlineStr">
        <is>
          <t>2026-07-30T05:41:08.013743Z</t>
        </is>
      </c>
      <c r="AE255" s="31" t="inlineStr">
        <is>
          <t>Surface-blended Elo on Hard: Madison Brengle p=0.390 vs Emerson Jones. Executable ask 0.6800 (aec-wta-emejon-madbre-2026-07-29).</t>
        </is>
      </c>
      <c r="AF255" s="31" t="inlineStr">
        <is>
          <t>Research-only surface-blended Elo model; singles only, WTA-only market coverage, not yet locked-holdout qualified.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research_observation</t>
        </is>
      </c>
      <c r="AL255" s="26" t="n">
        <v>3</v>
      </c>
      <c r="AM255" s="24" t="inlineStr">
        <is>
          <t>RESEARCH_OBSERVATION</t>
        </is>
      </c>
      <c r="AN255" s="24" t="inlineStr">
        <is>
          <t>NO_CALL</t>
        </is>
      </c>
      <c r="AO255" s="24" t="inlineStr">
        <is>
          <t>NO_CALL_MODEL_UNVALIDATED</t>
        </is>
      </c>
      <c r="AP255" s="24" t="inlineStr">
        <is>
          <t>Madison Brengle</t>
        </is>
      </c>
      <c r="AQ255" s="24" t="inlineStr">
        <is>
          <t>Madison Brengle</t>
        </is>
      </c>
      <c r="AR255" s="24" t="inlineStr">
        <is>
          <t>Madison Brengle</t>
        </is>
      </c>
      <c r="AS255" s="24" t="inlineStr">
        <is>
          <t>Emerson Jones</t>
        </is>
      </c>
      <c r="AT255" s="24" t="inlineStr">
        <is>
          <t>Emerson Jones</t>
        </is>
      </c>
      <c r="AU255" s="24" t="inlineStr">
        <is>
          <t>Emerson Jones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research</t>
        </is>
      </c>
      <c r="BA255" s="24" t="inlineStr">
        <is>
          <t>73429bd71f12304106b9ffb751bd50617d5109d487f00de7ae2732f60e779590</t>
        </is>
      </c>
      <c r="BB255" s="24" t="inlineStr">
        <is>
          <t>surface_blended_elo</t>
        </is>
      </c>
      <c r="BC255" s="24" t="inlineStr">
        <is>
          <t>tennis-surface-elo-v1</t>
        </is>
      </c>
      <c r="BD255" s="24" t="inlineStr">
        <is>
          <t>73429bd71f12304106b9ffb751bd50617d5109d487f00de7ae2732f60e779590</t>
        </is>
      </c>
      <c r="BE255" s="24" t="inlineStr">
        <is>
          <t>tennis-surface-elo-v1</t>
        </is>
      </c>
      <c r="BF255" s="24" t="inlineStr">
        <is>
          <t>1</t>
        </is>
      </c>
      <c r="BG255" s="24" t="inlineStr">
        <is>
          <t>73429bd71f12304106b9ffb751bd50617d5109d487f00de7ae2732f60e779590</t>
        </is>
      </c>
      <c r="BH255" s="24" t="inlineStr">
        <is>
          <t>2026-07-29T17:43:34.870189Z</t>
        </is>
      </c>
      <c r="BI255" s="24" t="inlineStr">
        <is>
          <t>["same_event","same_team_same_day","same_league_same_day"]</t>
        </is>
      </c>
      <c r="BJ255" s="25" t="n"/>
      <c r="BK255" s="26" t="n">
        <v>-213</v>
      </c>
      <c r="BL255" s="27" t="n">
        <v>1.469484</v>
      </c>
      <c r="BM255" s="28" t="n">
        <v>0.680511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</row>
    <row r="256" ht="36" customHeight="1">
      <c r="A256" s="24" t="inlineStr">
        <is>
          <t>2272d1aa27ff4860</t>
        </is>
      </c>
      <c r="B256" s="24" t="inlineStr">
        <is>
          <t>2026-07-29T17:45:17.438275Z</t>
        </is>
      </c>
      <c r="C256" s="24" t="inlineStr">
        <is>
          <t>2026-07-30T01:00Z</t>
        </is>
      </c>
      <c r="D256" s="24" t="inlineStr">
        <is>
          <t>875-2026:179535</t>
        </is>
      </c>
      <c r="E256" s="24" t="inlineStr">
        <is>
          <t>TENNIS</t>
        </is>
      </c>
      <c r="F256" s="24" t="inlineStr">
        <is>
          <t>Taylah Preston</t>
        </is>
      </c>
      <c r="G256" s="24" t="inlineStr">
        <is>
          <t>Priscilla Hon</t>
        </is>
      </c>
      <c r="H256" s="24" t="inlineStr">
        <is>
          <t>moneyline</t>
        </is>
      </c>
      <c r="I256" s="24" t="inlineStr">
        <is>
          <t>away</t>
        </is>
      </c>
      <c r="J256" s="25" t="n"/>
      <c r="K256" s="24" t="inlineStr">
        <is>
          <t>polymarket_us</t>
        </is>
      </c>
      <c r="L256" s="26" t="n">
        <v>-245</v>
      </c>
      <c r="M256" s="27" t="n">
        <v>1.408163</v>
      </c>
      <c r="N256" s="28" t="n">
        <v>0.710145</v>
      </c>
      <c r="O256" s="28" t="n">
        <v>0.522226</v>
      </c>
      <c r="P256" s="28" t="n">
        <v>0.05</v>
      </c>
      <c r="Q256" s="28" t="n">
        <v>-0.187919</v>
      </c>
      <c r="R256" s="26" t="n">
        <v>0</v>
      </c>
      <c r="S256" s="29" t="n">
        <v>1</v>
      </c>
      <c r="T256" s="24" t="inlineStr">
        <is>
          <t>tennis-surface-elo-v1</t>
        </is>
      </c>
      <c r="U256" s="24" t="inlineStr">
        <is>
          <t>settled</t>
        </is>
      </c>
      <c r="V256" s="24" t="inlineStr">
        <is>
          <t>win</t>
        </is>
      </c>
      <c r="W256" s="26" t="n">
        <v>1</v>
      </c>
      <c r="X256" s="26" t="n">
        <v>0</v>
      </c>
      <c r="Y256" s="25" t="n"/>
      <c r="Z256" s="26" t="n"/>
      <c r="AA256" s="28" t="n"/>
      <c r="AB256" s="28" t="n"/>
      <c r="AC256" s="30" t="n">
        <v>0.4082</v>
      </c>
      <c r="AD256" s="24" t="inlineStr">
        <is>
          <t>2026-07-30T04:12:58.090024Z</t>
        </is>
      </c>
      <c r="AE256" s="31" t="inlineStr">
        <is>
          <t>Surface-blended Elo on Hard: Taylah Preston p=0.522 vs Priscilla Hon. Executable ask 0.7100 (aec-wta-prihon-taypre-2026-07-29).</t>
        </is>
      </c>
      <c r="AF256" s="31" t="inlineStr">
        <is>
          <t>Research-only surface-blended Elo model; singles only, WTA-only market coverage, not yet locked-holdout qualified.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research_observation</t>
        </is>
      </c>
      <c r="AL256" s="26" t="n">
        <v>3</v>
      </c>
      <c r="AM256" s="24" t="inlineStr">
        <is>
          <t>RESEARCH_OBSERVATION</t>
        </is>
      </c>
      <c r="AN256" s="24" t="inlineStr">
        <is>
          <t>NO_CALL</t>
        </is>
      </c>
      <c r="AO256" s="24" t="inlineStr">
        <is>
          <t>NO_CALL_MODEL_UNVALIDATED</t>
        </is>
      </c>
      <c r="AP256" s="24" t="inlineStr">
        <is>
          <t>Taylah Preston</t>
        </is>
      </c>
      <c r="AQ256" s="24" t="inlineStr">
        <is>
          <t>Taylah Preston</t>
        </is>
      </c>
      <c r="AR256" s="24" t="inlineStr">
        <is>
          <t>Taylah Preston</t>
        </is>
      </c>
      <c r="AS256" s="24" t="inlineStr">
        <is>
          <t>Priscilla Hon</t>
        </is>
      </c>
      <c r="AT256" s="24" t="inlineStr">
        <is>
          <t>Priscilla Hon</t>
        </is>
      </c>
      <c r="AU256" s="24" t="inlineStr">
        <is>
          <t>Priscilla Hon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research</t>
        </is>
      </c>
      <c r="BA256" s="24" t="inlineStr">
        <is>
          <t>73429bd71f12304106b9ffb751bd50617d5109d487f00de7ae2732f60e779590</t>
        </is>
      </c>
      <c r="BB256" s="24" t="inlineStr">
        <is>
          <t>surface_blended_elo</t>
        </is>
      </c>
      <c r="BC256" s="24" t="inlineStr">
        <is>
          <t>tennis-surface-elo-v1</t>
        </is>
      </c>
      <c r="BD256" s="24" t="inlineStr">
        <is>
          <t>73429bd71f12304106b9ffb751bd50617d5109d487f00de7ae2732f60e779590</t>
        </is>
      </c>
      <c r="BE256" s="24" t="inlineStr">
        <is>
          <t>tennis-surface-elo-v1</t>
        </is>
      </c>
      <c r="BF256" s="24" t="inlineStr">
        <is>
          <t>1</t>
        </is>
      </c>
      <c r="BG256" s="24" t="inlineStr">
        <is>
          <t>73429bd71f12304106b9ffb751bd50617d5109d487f00de7ae2732f60e779590</t>
        </is>
      </c>
      <c r="BH256" s="24" t="inlineStr">
        <is>
          <t>2026-07-29T17:43:34.962670Z</t>
        </is>
      </c>
      <c r="BI256" s="24" t="inlineStr">
        <is>
          <t>["same_event","same_team_same_day","same_league_same_day"]</t>
        </is>
      </c>
      <c r="BJ256" s="25" t="n"/>
      <c r="BK256" s="26" t="n">
        <v>-245</v>
      </c>
      <c r="BL256" s="27" t="n">
        <v>1.408163</v>
      </c>
      <c r="BM256" s="28" t="n">
        <v>0.710145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</row>
    <row r="257" ht="36" customHeight="1">
      <c r="A257" s="24" t="inlineStr">
        <is>
          <t>f56a39c844b14931</t>
        </is>
      </c>
      <c r="B257" s="24" t="inlineStr">
        <is>
          <t>2026-07-29T17:45:17.438275Z</t>
        </is>
      </c>
      <c r="C257" s="24" t="inlineStr">
        <is>
          <t>2026-07-29T18:00Z</t>
        </is>
      </c>
      <c r="D257" s="24" t="inlineStr">
        <is>
          <t>888-2026:178996</t>
        </is>
      </c>
      <c r="E257" s="24" t="inlineStr">
        <is>
          <t>TENNIS</t>
        </is>
      </c>
      <c r="F257" s="24" t="inlineStr">
        <is>
          <t>Elisabetta Cocciaretto</t>
        </is>
      </c>
      <c r="G257" s="24" t="inlineStr">
        <is>
          <t>Emma Navarro</t>
        </is>
      </c>
      <c r="H257" s="24" t="inlineStr">
        <is>
          <t>moneyline</t>
        </is>
      </c>
      <c r="I257" s="24" t="inlineStr">
        <is>
          <t>home</t>
        </is>
      </c>
      <c r="J257" s="25" t="n"/>
      <c r="K257" s="24" t="inlineStr">
        <is>
          <t>polymarket_us</t>
        </is>
      </c>
      <c r="L257" s="26" t="n">
        <v>-213</v>
      </c>
      <c r="M257" s="27" t="n">
        <v>1.469484</v>
      </c>
      <c r="N257" s="28" t="n">
        <v>0.680511</v>
      </c>
      <c r="O257" s="28" t="n">
        <v>0.534149</v>
      </c>
      <c r="P257" s="28" t="n">
        <v>0.05</v>
      </c>
      <c r="Q257" s="28" t="n">
        <v>-0.146362</v>
      </c>
      <c r="R257" s="26" t="n">
        <v>0</v>
      </c>
      <c r="S257" s="29" t="n">
        <v>1</v>
      </c>
      <c r="T257" s="24" t="inlineStr">
        <is>
          <t>tennis-surface-elo-v1</t>
        </is>
      </c>
      <c r="U257" s="24" t="inlineStr">
        <is>
          <t>settled</t>
        </is>
      </c>
      <c r="V257" s="24" t="inlineStr">
        <is>
          <t>loss</t>
        </is>
      </c>
      <c r="W257" s="26" t="n">
        <v>1</v>
      </c>
      <c r="X257" s="26" t="n">
        <v>0</v>
      </c>
      <c r="Y257" s="25" t="n"/>
      <c r="Z257" s="26" t="n"/>
      <c r="AA257" s="28" t="n"/>
      <c r="AB257" s="28" t="n"/>
      <c r="AC257" s="30" t="n">
        <v>-1</v>
      </c>
      <c r="AD257" s="24" t="inlineStr">
        <is>
          <t>2026-07-30T04:12:58.299938Z</t>
        </is>
      </c>
      <c r="AE257" s="31" t="inlineStr">
        <is>
          <t>Surface-blended Elo on Hard: Elisabetta Cocciaretto p=0.466 vs Emma Navarro. Executable ask 0.6800 (aec-wta-emmnav-elicoc-2026-07-29).</t>
        </is>
      </c>
      <c r="AF257" s="31" t="inlineStr">
        <is>
          <t>Research-only surface-blended Elo model; singles only, WTA-only market coverage, not yet locked-holdout qualified.</t>
        </is>
      </c>
      <c r="AG257" s="24" t="inlineStr">
        <is>
          <t>review_required</t>
        </is>
      </c>
      <c r="AH257" s="24" t="n"/>
      <c r="AI257" s="31" t="n"/>
      <c r="AJ257" s="31" t="n"/>
      <c r="AK257" s="24" t="inlineStr">
        <is>
          <t>research_observation</t>
        </is>
      </c>
      <c r="AL257" s="26" t="n">
        <v>3</v>
      </c>
      <c r="AM257" s="24" t="inlineStr">
        <is>
          <t>RESEARCH_OBSERVATION</t>
        </is>
      </c>
      <c r="AN257" s="24" t="inlineStr">
        <is>
          <t>NO_CALL</t>
        </is>
      </c>
      <c r="AO257" s="24" t="inlineStr">
        <is>
          <t>NO_CALL_MODEL_UNVALIDATED</t>
        </is>
      </c>
      <c r="AP257" s="24" t="inlineStr">
        <is>
          <t>Elisabetta Cocciaretto</t>
        </is>
      </c>
      <c r="AQ257" s="24" t="inlineStr">
        <is>
          <t>Elisabetta Cocciaretto</t>
        </is>
      </c>
      <c r="AR257" s="24" t="inlineStr">
        <is>
          <t>Elisabetta Cocciaretto</t>
        </is>
      </c>
      <c r="AS257" s="24" t="inlineStr">
        <is>
          <t>Emma Navarro</t>
        </is>
      </c>
      <c r="AT257" s="24" t="inlineStr">
        <is>
          <t>Emma Navarro</t>
        </is>
      </c>
      <c r="AU257" s="24" t="inlineStr">
        <is>
          <t>Emma Navarro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research</t>
        </is>
      </c>
      <c r="BA257" s="24" t="inlineStr">
        <is>
          <t>73429bd71f12304106b9ffb751bd50617d5109d487f00de7ae2732f60e779590</t>
        </is>
      </c>
      <c r="BB257" s="24" t="inlineStr">
        <is>
          <t>surface_blended_elo</t>
        </is>
      </c>
      <c r="BC257" s="24" t="inlineStr">
        <is>
          <t>tennis-surface-elo-v1</t>
        </is>
      </c>
      <c r="BD257" s="24" t="inlineStr">
        <is>
          <t>73429bd71f12304106b9ffb751bd50617d5109d487f00de7ae2732f60e779590</t>
        </is>
      </c>
      <c r="BE257" s="24" t="inlineStr">
        <is>
          <t>tennis-surface-elo-v1</t>
        </is>
      </c>
      <c r="BF257" s="24" t="inlineStr">
        <is>
          <t>1</t>
        </is>
      </c>
      <c r="BG257" s="24" t="inlineStr">
        <is>
          <t>73429bd71f12304106b9ffb751bd50617d5109d487f00de7ae2732f60e779590</t>
        </is>
      </c>
      <c r="BH257" s="24" t="inlineStr">
        <is>
          <t>2026-07-29T17:43:27.911072Z</t>
        </is>
      </c>
      <c r="BI257" s="24" t="inlineStr">
        <is>
          <t>["same_event","same_team_same_day","same_league_same_day"]</t>
        </is>
      </c>
      <c r="BJ257" s="25" t="n"/>
      <c r="BK257" s="26" t="n">
        <v>-213</v>
      </c>
      <c r="BL257" s="27" t="n">
        <v>1.469484</v>
      </c>
      <c r="BM257" s="28" t="n">
        <v>0.680511</v>
      </c>
      <c r="BN257" s="28" t="n"/>
      <c r="BO257" s="28" t="n"/>
      <c r="BP257" s="25" t="n"/>
      <c r="BQ257" s="27" t="n"/>
      <c r="BR257" s="28" t="n"/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</row>
    <row r="258" ht="36" customHeight="1">
      <c r="A258" s="24" t="inlineStr">
        <is>
          <t>ff2d3627a8014bb5</t>
        </is>
      </c>
      <c r="B258" s="24" t="inlineStr">
        <is>
          <t>2026-07-29T17:45:17.438275Z</t>
        </is>
      </c>
      <c r="C258" s="24" t="inlineStr">
        <is>
          <t>2026-07-29T22:30Z</t>
        </is>
      </c>
      <c r="D258" s="24" t="inlineStr">
        <is>
          <t>888-2026:178995</t>
        </is>
      </c>
      <c r="E258" s="24" t="inlineStr">
        <is>
          <t>TENNIS</t>
        </is>
      </c>
      <c r="F258" s="24" t="inlineStr">
        <is>
          <t>Naomi Osaka</t>
        </is>
      </c>
      <c r="G258" s="24" t="inlineStr">
        <is>
          <t>Ashlyn Krueger</t>
        </is>
      </c>
      <c r="H258" s="24" t="inlineStr">
        <is>
          <t>moneyline</t>
        </is>
      </c>
      <c r="I258" s="24" t="inlineStr">
        <is>
          <t>away</t>
        </is>
      </c>
      <c r="J258" s="25" t="n"/>
      <c r="K258" s="24" t="inlineStr">
        <is>
          <t>polymarket_us</t>
        </is>
      </c>
      <c r="L258" s="26" t="n">
        <v>-285</v>
      </c>
      <c r="M258" s="27" t="n">
        <v>1.350877</v>
      </c>
      <c r="N258" s="28" t="n">
        <v>0.74026</v>
      </c>
      <c r="O258" s="28" t="n">
        <v>0.68731</v>
      </c>
      <c r="P258" s="28" t="n">
        <v>0.05</v>
      </c>
      <c r="Q258" s="28" t="n">
        <v>-0.05295</v>
      </c>
      <c r="R258" s="26" t="n">
        <v>0</v>
      </c>
      <c r="S258" s="29" t="n">
        <v>2</v>
      </c>
      <c r="T258" s="24" t="inlineStr">
        <is>
          <t>tennis-surface-elo-v1</t>
        </is>
      </c>
      <c r="U258" s="24" t="inlineStr">
        <is>
          <t>settled</t>
        </is>
      </c>
      <c r="V258" s="24" t="inlineStr">
        <is>
          <t>win</t>
        </is>
      </c>
      <c r="W258" s="26" t="n">
        <v>1</v>
      </c>
      <c r="X258" s="26" t="n">
        <v>0</v>
      </c>
      <c r="Y258" s="25" t="n"/>
      <c r="Z258" s="26" t="n"/>
      <c r="AA258" s="28" t="n"/>
      <c r="AB258" s="28" t="n"/>
      <c r="AC258" s="30" t="n">
        <v>0.7018</v>
      </c>
      <c r="AD258" s="24" t="inlineStr">
        <is>
          <t>2026-07-30T04:12:58.471435Z</t>
        </is>
      </c>
      <c r="AE258" s="31" t="inlineStr">
        <is>
          <t>Surface-blended Elo on Hard: Naomi Osaka p=0.687 vs Ashlyn Krueger. Executable ask 0.7400 (aec-wta-ashkru-naoosa-2026-07-29).</t>
        </is>
      </c>
      <c r="AF258" s="31" t="inlineStr">
        <is>
          <t>Research-only surface-blended Elo model; singles only, WTA-only market coverage, not yet locked-holdout qualified.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research_observation</t>
        </is>
      </c>
      <c r="AL258" s="26" t="n">
        <v>3</v>
      </c>
      <c r="AM258" s="24" t="inlineStr">
        <is>
          <t>RESEARCH_OBSERVATION</t>
        </is>
      </c>
      <c r="AN258" s="24" t="inlineStr">
        <is>
          <t>NO_CALL</t>
        </is>
      </c>
      <c r="AO258" s="24" t="inlineStr">
        <is>
          <t>NO_CALL_MODEL_UNVALIDATED</t>
        </is>
      </c>
      <c r="AP258" s="24" t="inlineStr">
        <is>
          <t>Naomi Osaka</t>
        </is>
      </c>
      <c r="AQ258" s="24" t="inlineStr">
        <is>
          <t>Naomi Osaka</t>
        </is>
      </c>
      <c r="AR258" s="24" t="inlineStr">
        <is>
          <t>Naomi Osaka</t>
        </is>
      </c>
      <c r="AS258" s="24" t="inlineStr">
        <is>
          <t>Ashlyn Krueger</t>
        </is>
      </c>
      <c r="AT258" s="24" t="inlineStr">
        <is>
          <t>Ashlyn Krueger</t>
        </is>
      </c>
      <c r="AU258" s="24" t="inlineStr">
        <is>
          <t>Ashlyn Krueger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research</t>
        </is>
      </c>
      <c r="BA258" s="24" t="inlineStr">
        <is>
          <t>73429bd71f12304106b9ffb751bd50617d5109d487f00de7ae2732f60e779590</t>
        </is>
      </c>
      <c r="BB258" s="24" t="inlineStr">
        <is>
          <t>surface_blended_elo</t>
        </is>
      </c>
      <c r="BC258" s="24" t="inlineStr">
        <is>
          <t>tennis-surface-elo-v1</t>
        </is>
      </c>
      <c r="BD258" s="24" t="inlineStr">
        <is>
          <t>73429bd71f12304106b9ffb751bd50617d5109d487f00de7ae2732f60e779590</t>
        </is>
      </c>
      <c r="BE258" s="24" t="inlineStr">
        <is>
          <t>tennis-surface-elo-v1</t>
        </is>
      </c>
      <c r="BF258" s="24" t="inlineStr">
        <is>
          <t>1</t>
        </is>
      </c>
      <c r="BG258" s="24" t="inlineStr">
        <is>
          <t>73429bd71f12304106b9ffb751bd50617d5109d487f00de7ae2732f60e779590</t>
        </is>
      </c>
      <c r="BH258" s="24" t="inlineStr">
        <is>
          <t>2026-07-29T17:43:32.737176Z</t>
        </is>
      </c>
      <c r="BI258" s="24" t="inlineStr">
        <is>
          <t>["same_event","same_team_same_day","same_league_same_day"]</t>
        </is>
      </c>
      <c r="BJ258" s="25" t="n"/>
      <c r="BK258" s="26" t="n">
        <v>-285</v>
      </c>
      <c r="BL258" s="27" t="n">
        <v>1.350877</v>
      </c>
      <c r="BM258" s="28" t="n">
        <v>0.74026</v>
      </c>
      <c r="BN258" s="28" t="n"/>
      <c r="BO258" s="28" t="n"/>
      <c r="BP258" s="25" t="n"/>
      <c r="BQ258" s="27" t="n"/>
      <c r="BR258" s="28" t="n"/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</row>
    <row r="259" ht="36" customHeight="1">
      <c r="A259" s="24" t="inlineStr">
        <is>
          <t>ae6ff454954f447c</t>
        </is>
      </c>
      <c r="B259" s="24" t="inlineStr">
        <is>
          <t>2026-07-29T17:45:17.438275Z</t>
        </is>
      </c>
      <c r="C259" s="24" t="inlineStr">
        <is>
          <t>2026-07-29T19:15Z</t>
        </is>
      </c>
      <c r="D259" s="24" t="inlineStr">
        <is>
          <t>1067-2026:179466</t>
        </is>
      </c>
      <c r="E259" s="24" t="inlineStr">
        <is>
          <t>TENNIS</t>
        </is>
      </c>
      <c r="F259" s="24" t="inlineStr">
        <is>
          <t>Elvina Kalieva</t>
        </is>
      </c>
      <c r="G259" s="24" t="inlineStr">
        <is>
          <t>Zeynep Sonmez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-186</v>
      </c>
      <c r="M259" s="27" t="n">
        <v>1.537634</v>
      </c>
      <c r="N259" s="28" t="n">
        <v>0.65035</v>
      </c>
      <c r="O259" s="28" t="n">
        <v>0.677731</v>
      </c>
      <c r="P259" s="28" t="n">
        <v>0.05</v>
      </c>
      <c r="Q259" s="28" t="n">
        <v>0.027381</v>
      </c>
      <c r="R259" s="26" t="n">
        <v>34</v>
      </c>
      <c r="S259" s="29" t="n">
        <v>1.75</v>
      </c>
      <c r="T259" s="24" t="inlineStr">
        <is>
          <t>tennis-surface-elo-v1</t>
        </is>
      </c>
      <c r="U259" s="24" t="inlineStr">
        <is>
          <t>settled</t>
        </is>
      </c>
      <c r="V259" s="24" t="inlineStr">
        <is>
          <t>loss</t>
        </is>
      </c>
      <c r="W259" s="26" t="n">
        <v>1</v>
      </c>
      <c r="X259" s="26" t="n">
        <v>0</v>
      </c>
      <c r="Y259" s="25" t="n"/>
      <c r="Z259" s="26" t="n"/>
      <c r="AA259" s="28" t="n"/>
      <c r="AB259" s="28" t="n"/>
      <c r="AC259" s="30" t="n">
        <v>-1.75</v>
      </c>
      <c r="AD259" s="24" t="inlineStr">
        <is>
          <t>2026-07-30T04:12:58.638731Z</t>
        </is>
      </c>
      <c r="AE259" s="31" t="inlineStr">
        <is>
          <t>Surface-blended Elo on Hard: Elvina Kalieva p=0.322 vs Zeynep Sonmez. Executable ask 0.6500 (aec-wta-zeyson-elvkal-2026-07-29).</t>
        </is>
      </c>
      <c r="AF259" s="31" t="inlineStr">
        <is>
          <t>Research-only surface-blended Elo model; singles only, WTA-only market coverage, not yet locked-holdout qualified.</t>
        </is>
      </c>
      <c r="AG259" s="24" t="inlineStr">
        <is>
          <t>review_required</t>
        </is>
      </c>
      <c r="AH259" s="24" t="n"/>
      <c r="AI259" s="31" t="n"/>
      <c r="AJ259" s="31" t="n"/>
      <c r="AK259" s="24" t="inlineStr">
        <is>
          <t>research_observation</t>
        </is>
      </c>
      <c r="AL259" s="26" t="n">
        <v>3</v>
      </c>
      <c r="AM259" s="24" t="inlineStr">
        <is>
          <t>RESEARCH_OBSERVATION</t>
        </is>
      </c>
      <c r="AN259" s="24" t="inlineStr">
        <is>
          <t>NO_CALL</t>
        </is>
      </c>
      <c r="AO259" s="24" t="inlineStr">
        <is>
          <t>NO_CALL_MODEL_UNVALIDATED</t>
        </is>
      </c>
      <c r="AP259" s="24" t="inlineStr">
        <is>
          <t>Elvina Kalieva</t>
        </is>
      </c>
      <c r="AQ259" s="24" t="inlineStr">
        <is>
          <t>Elvina Kalieva</t>
        </is>
      </c>
      <c r="AR259" s="24" t="inlineStr">
        <is>
          <t>Elvina Kalieva</t>
        </is>
      </c>
      <c r="AS259" s="24" t="inlineStr">
        <is>
          <t>Zeynep Sonmez</t>
        </is>
      </c>
      <c r="AT259" s="24" t="inlineStr">
        <is>
          <t>Zeynep Sonmez</t>
        </is>
      </c>
      <c r="AU259" s="24" t="inlineStr">
        <is>
          <t>Zeynep Sonmez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research</t>
        </is>
      </c>
      <c r="BA259" s="24" t="inlineStr">
        <is>
          <t>73429bd71f12304106b9ffb751bd50617d5109d487f00de7ae2732f60e779590</t>
        </is>
      </c>
      <c r="BB259" s="24" t="inlineStr">
        <is>
          <t>surface_blended_elo</t>
        </is>
      </c>
      <c r="BC259" s="24" t="inlineStr">
        <is>
          <t>tennis-surface-elo-v1</t>
        </is>
      </c>
      <c r="BD259" s="24" t="inlineStr">
        <is>
          <t>73429bd71f12304106b9ffb751bd50617d5109d487f00de7ae2732f60e779590</t>
        </is>
      </c>
      <c r="BE259" s="24" t="inlineStr">
        <is>
          <t>tennis-surface-elo-v1</t>
        </is>
      </c>
      <c r="BF259" s="24" t="inlineStr">
        <is>
          <t>1</t>
        </is>
      </c>
      <c r="BG259" s="24" t="inlineStr">
        <is>
          <t>73429bd71f12304106b9ffb751bd50617d5109d487f00de7ae2732f60e779590</t>
        </is>
      </c>
      <c r="BH259" s="24" t="inlineStr">
        <is>
          <t>2026-07-29T17:43:29.985852Z</t>
        </is>
      </c>
      <c r="BI259" s="24" t="inlineStr">
        <is>
          <t>["same_event","same_team_same_day","same_league_same_day"]</t>
        </is>
      </c>
      <c r="BJ259" s="25" t="n"/>
      <c r="BK259" s="26" t="n">
        <v>-186</v>
      </c>
      <c r="BL259" s="27" t="n">
        <v>1.537634</v>
      </c>
      <c r="BM259" s="28" t="n">
        <v>0.65035</v>
      </c>
      <c r="BN259" s="28" t="n"/>
      <c r="BO259" s="28" t="n"/>
      <c r="BP259" s="25" t="n"/>
      <c r="BQ259" s="27" t="n"/>
      <c r="BR259" s="28" t="n"/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</row>
    <row r="260" ht="36" customHeight="1">
      <c r="A260" s="24" t="inlineStr">
        <is>
          <t>2cf5fcb8edff4226</t>
        </is>
      </c>
      <c r="B260" s="24" t="inlineStr">
        <is>
          <t>2026-07-29T17:45:17.438275Z</t>
        </is>
      </c>
      <c r="C260" s="24" t="inlineStr">
        <is>
          <t>2026-07-29T23:00Z</t>
        </is>
      </c>
      <c r="D260" s="24" t="inlineStr">
        <is>
          <t>1067-2026:179455</t>
        </is>
      </c>
      <c r="E260" s="24" t="inlineStr">
        <is>
          <t>TENNIS</t>
        </is>
      </c>
      <c r="F260" s="24" t="inlineStr">
        <is>
          <t>Renata Zarazua</t>
        </is>
      </c>
      <c r="G260" s="24" t="inlineStr">
        <is>
          <t>Tatjana Maria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-150</v>
      </c>
      <c r="M260" s="27" t="n">
        <v>1.666667</v>
      </c>
      <c r="N260" s="28" t="n">
        <v>0.6</v>
      </c>
      <c r="O260" s="28" t="n">
        <v>0.7051770000000001</v>
      </c>
      <c r="P260" s="28" t="n">
        <v>0.05</v>
      </c>
      <c r="Q260" s="28" t="n">
        <v>0.105177</v>
      </c>
      <c r="R260" s="26" t="n">
        <v>73</v>
      </c>
      <c r="S260" s="29" t="n">
        <v>2</v>
      </c>
      <c r="T260" s="24" t="inlineStr">
        <is>
          <t>tennis-surface-elo-v1</t>
        </is>
      </c>
      <c r="U260" s="24" t="inlineStr">
        <is>
          <t>settled</t>
        </is>
      </c>
      <c r="V260" s="24" t="inlineStr">
        <is>
          <t>loss</t>
        </is>
      </c>
      <c r="W260" s="26" t="n">
        <v>1</v>
      </c>
      <c r="X260" s="26" t="n">
        <v>0</v>
      </c>
      <c r="Y260" s="25" t="n"/>
      <c r="Z260" s="26" t="n"/>
      <c r="AA260" s="28" t="n"/>
      <c r="AB260" s="28" t="n"/>
      <c r="AC260" s="30" t="n">
        <v>-2</v>
      </c>
      <c r="AD260" s="24" t="inlineStr">
        <is>
          <t>2026-07-30T04:12:58.807246Z</t>
        </is>
      </c>
      <c r="AE260" s="31" t="inlineStr">
        <is>
          <t>Surface-blended Elo on Hard: Renata Zarazua p=0.295 vs Tatjana Maria. Executable ask 0.6000 (aec-wta-tatmar-renzar-2026-07-29).</t>
        </is>
      </c>
      <c r="AF260" s="31" t="inlineStr">
        <is>
          <t>Research-only surface-blended Elo model; singles only, WTA-only market coverage, not yet locked-holdout qualified.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research_observation</t>
        </is>
      </c>
      <c r="AL260" s="26" t="n">
        <v>3</v>
      </c>
      <c r="AM260" s="24" t="inlineStr">
        <is>
          <t>RESEARCH_OBSERVATION</t>
        </is>
      </c>
      <c r="AN260" s="24" t="inlineStr">
        <is>
          <t>NO_CALL</t>
        </is>
      </c>
      <c r="AO260" s="24" t="inlineStr">
        <is>
          <t>NO_CALL_MODEL_UNVALIDATED</t>
        </is>
      </c>
      <c r="AP260" s="24" t="inlineStr">
        <is>
          <t>Renata Zarazua</t>
        </is>
      </c>
      <c r="AQ260" s="24" t="inlineStr">
        <is>
          <t>Renata Zarazua</t>
        </is>
      </c>
      <c r="AR260" s="24" t="inlineStr">
        <is>
          <t>Renata Zarazua</t>
        </is>
      </c>
      <c r="AS260" s="24" t="inlineStr">
        <is>
          <t>Tatjana Maria</t>
        </is>
      </c>
      <c r="AT260" s="24" t="inlineStr">
        <is>
          <t>Tatjana Maria</t>
        </is>
      </c>
      <c r="AU260" s="24" t="inlineStr">
        <is>
          <t>Tatjana Maria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research</t>
        </is>
      </c>
      <c r="BA260" s="24" t="inlineStr">
        <is>
          <t>73429bd71f12304106b9ffb751bd50617d5109d487f00de7ae2732f60e779590</t>
        </is>
      </c>
      <c r="BB260" s="24" t="inlineStr">
        <is>
          <t>surface_blended_elo</t>
        </is>
      </c>
      <c r="BC260" s="24" t="inlineStr">
        <is>
          <t>tennis-surface-elo-v1</t>
        </is>
      </c>
      <c r="BD260" s="24" t="inlineStr">
        <is>
          <t>73429bd71f12304106b9ffb751bd50617d5109d487f00de7ae2732f60e779590</t>
        </is>
      </c>
      <c r="BE260" s="24" t="inlineStr">
        <is>
          <t>tennis-surface-elo-v1</t>
        </is>
      </c>
      <c r="BF260" s="24" t="inlineStr">
        <is>
          <t>1</t>
        </is>
      </c>
      <c r="BG260" s="24" t="inlineStr">
        <is>
          <t>73429bd71f12304106b9ffb751bd50617d5109d487f00de7ae2732f60e779590</t>
        </is>
      </c>
      <c r="BH260" s="24" t="inlineStr">
        <is>
          <t>2026-07-29T17:43:33.953536Z</t>
        </is>
      </c>
      <c r="BI260" s="24" t="inlineStr">
        <is>
          <t>["same_event","same_team_same_day","same_league_same_day"]</t>
        </is>
      </c>
      <c r="BJ260" s="25" t="n"/>
      <c r="BK260" s="26" t="n">
        <v>-150</v>
      </c>
      <c r="BL260" s="27" t="n">
        <v>1.666667</v>
      </c>
      <c r="BM260" s="28" t="n">
        <v>0.6</v>
      </c>
      <c r="BN260" s="28" t="n"/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</row>
    <row r="261" ht="36" customHeight="1">
      <c r="A261" s="24" t="inlineStr">
        <is>
          <t>e9efa0767df14a0e</t>
        </is>
      </c>
      <c r="B261" s="24" t="inlineStr">
        <is>
          <t>2026-07-30T07:22:18.156139Z</t>
        </is>
      </c>
      <c r="C261" s="24" t="inlineStr">
        <is>
          <t>2026-07-30T09:00Z</t>
        </is>
      </c>
      <c r="D261" s="24" t="inlineStr">
        <is>
          <t>1073-2026:179599</t>
        </is>
      </c>
      <c r="E261" s="24" t="inlineStr">
        <is>
          <t>TENNIS</t>
        </is>
      </c>
      <c r="F261" s="24" t="inlineStr">
        <is>
          <t>Mia Ristic</t>
        </is>
      </c>
      <c r="G261" s="24" t="inlineStr">
        <is>
          <t>Yelyzaveta Kotliar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400</v>
      </c>
      <c r="M261" s="27" t="n">
        <v>5</v>
      </c>
      <c r="N261" s="28" t="n">
        <v>0.2</v>
      </c>
      <c r="O261" s="28" t="n">
        <v>0.5190669999999999</v>
      </c>
      <c r="P261" s="28" t="n">
        <v>0.05</v>
      </c>
      <c r="Q261" s="28" t="n">
        <v>0.319067</v>
      </c>
      <c r="R261" s="26" t="n">
        <v>100</v>
      </c>
      <c r="S261" s="29" t="n">
        <v>1</v>
      </c>
      <c r="T261" s="24" t="inlineStr">
        <is>
          <t>tennis-surface-elo-v1</t>
        </is>
      </c>
      <c r="U261" s="24" t="inlineStr">
        <is>
          <t>settled</t>
        </is>
      </c>
      <c r="V261" s="24" t="inlineStr">
        <is>
          <t>loss</t>
        </is>
      </c>
      <c r="W261" s="26" t="n">
        <v>1</v>
      </c>
      <c r="X261" s="26" t="n">
        <v>0</v>
      </c>
      <c r="Y261" s="25" t="n"/>
      <c r="Z261" s="26" t="n"/>
      <c r="AA261" s="28" t="n"/>
      <c r="AB261" s="28" t="n"/>
      <c r="AC261" s="30" t="n">
        <v>-1</v>
      </c>
      <c r="AD261" s="24" t="inlineStr">
        <is>
          <t>2026-07-30T13:30:54.966484Z</t>
        </is>
      </c>
      <c r="AE261" s="31" t="inlineStr">
        <is>
          <t>Surface-blended Elo on Hard: Mia Ristic p=0.481 vs Yelyzaveta Kotliar. Executable ask 0.2000 (aec-wta-yelkot-miaris-2026-07-29).</t>
        </is>
      </c>
      <c r="AF261" s="31" t="inlineStr">
        <is>
          <t>Research-only surface-blended Elo model; singles only, WTA-only market coverage, not yet locked-holdout qualified.</t>
        </is>
      </c>
      <c r="AG261" s="24" t="inlineStr">
        <is>
          <t>review_required</t>
        </is>
      </c>
      <c r="AH261" s="24" t="n"/>
      <c r="AI261" s="31" t="n"/>
      <c r="AJ261" s="31" t="n"/>
      <c r="AK261" s="24" t="inlineStr">
        <is>
          <t>research_observation</t>
        </is>
      </c>
      <c r="AL261" s="26" t="n">
        <v>3</v>
      </c>
      <c r="AM261" s="24" t="inlineStr">
        <is>
          <t>RESEARCH_OBSERVATION</t>
        </is>
      </c>
      <c r="AN261" s="24" t="inlineStr">
        <is>
          <t>NO_CALL</t>
        </is>
      </c>
      <c r="AO261" s="24" t="inlineStr">
        <is>
          <t>NO_CALL_MODEL_UNVALIDATED</t>
        </is>
      </c>
      <c r="AP261" s="24" t="inlineStr">
        <is>
          <t>Mia Ristic</t>
        </is>
      </c>
      <c r="AQ261" s="24" t="inlineStr">
        <is>
          <t>Mia Ristic</t>
        </is>
      </c>
      <c r="AR261" s="24" t="inlineStr">
        <is>
          <t>Mia Ristic</t>
        </is>
      </c>
      <c r="AS261" s="24" t="inlineStr">
        <is>
          <t>Yelyzaveta Kotliar</t>
        </is>
      </c>
      <c r="AT261" s="24" t="inlineStr">
        <is>
          <t>Yelyzaveta Kotliar</t>
        </is>
      </c>
      <c r="AU261" s="24" t="inlineStr">
        <is>
          <t>Yelyzaveta Kotliar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research</t>
        </is>
      </c>
      <c r="BA261" s="24" t="inlineStr">
        <is>
          <t>73429bd71f12304106b9ffb751bd50617d5109d487f00de7ae2732f60e779590</t>
        </is>
      </c>
      <c r="BB261" s="24" t="inlineStr">
        <is>
          <t>surface_blended_elo</t>
        </is>
      </c>
      <c r="BC261" s="24" t="inlineStr">
        <is>
          <t>tennis-surface-elo-v1</t>
        </is>
      </c>
      <c r="BD261" s="24" t="inlineStr">
        <is>
          <t>73429bd71f12304106b9ffb751bd50617d5109d487f00de7ae2732f60e779590</t>
        </is>
      </c>
      <c r="BE261" s="24" t="inlineStr">
        <is>
          <t>tennis-surface-elo-v1</t>
        </is>
      </c>
      <c r="BF261" s="24" t="inlineStr">
        <is>
          <t>1</t>
        </is>
      </c>
      <c r="BG261" s="24" t="inlineStr">
        <is>
          <t>73429bd71f12304106b9ffb751bd50617d5109d487f00de7ae2732f60e779590</t>
        </is>
      </c>
      <c r="BH261" s="24" t="inlineStr">
        <is>
          <t>2026-07-30T07:20:24.446685Z</t>
        </is>
      </c>
      <c r="BI261" s="24" t="inlineStr">
        <is>
          <t>["same_event","same_team_same_day","same_league_same_day"]</t>
        </is>
      </c>
      <c r="BJ261" s="25" t="n"/>
      <c r="BK261" s="26" t="n">
        <v>400</v>
      </c>
      <c r="BL261" s="27" t="n">
        <v>5</v>
      </c>
      <c r="BM261" s="28" t="n">
        <v>0.2</v>
      </c>
      <c r="BN261" s="28" t="n"/>
      <c r="BO261" s="28" t="n"/>
      <c r="BP261" s="25" t="n"/>
      <c r="BQ261" s="27" t="n"/>
      <c r="BR261" s="28" t="n"/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</row>
    <row r="262" ht="36" customHeight="1">
      <c r="A262" s="24" t="inlineStr">
        <is>
          <t>1f481c16c7a6423b</t>
        </is>
      </c>
      <c r="B262" s="24" t="inlineStr">
        <is>
          <t>2026-07-30T10:28:05.385402Z</t>
        </is>
      </c>
      <c r="C262" s="24" t="inlineStr">
        <is>
          <t>2026-07-30T10:30Z</t>
        </is>
      </c>
      <c r="D262" s="24" t="inlineStr">
        <is>
          <t>1073-2026:183178</t>
        </is>
      </c>
      <c r="E262" s="24" t="inlineStr">
        <is>
          <t>TENNIS</t>
        </is>
      </c>
      <c r="F262" s="24" t="inlineStr">
        <is>
          <t>Anastasiia Sobolieva</t>
        </is>
      </c>
      <c r="G262" s="24" t="inlineStr">
        <is>
          <t>Laura Samson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polymarket_us</t>
        </is>
      </c>
      <c r="L262" s="26" t="n">
        <v>-104</v>
      </c>
      <c r="M262" s="27" t="n">
        <v>1.961538</v>
      </c>
      <c r="N262" s="28" t="n">
        <v>0.509804</v>
      </c>
      <c r="O262" s="28" t="n">
        <v>0.6387119999999999</v>
      </c>
      <c r="P262" s="28" t="n">
        <v>0.05</v>
      </c>
      <c r="Q262" s="28" t="n">
        <v>0.128908</v>
      </c>
      <c r="R262" s="26" t="n">
        <v>84</v>
      </c>
      <c r="S262" s="29" t="n">
        <v>1.5</v>
      </c>
      <c r="T262" s="24" t="inlineStr">
        <is>
          <t>tennis-surface-elo-v1</t>
        </is>
      </c>
      <c r="U262" s="24" t="inlineStr">
        <is>
          <t>settled</t>
        </is>
      </c>
      <c r="V262" s="24" t="inlineStr">
        <is>
          <t>win</t>
        </is>
      </c>
      <c r="W262" s="26" t="n">
        <v>0</v>
      </c>
      <c r="X262" s="26" t="n">
        <v>1</v>
      </c>
      <c r="Y262" s="25" t="n"/>
      <c r="Z262" s="26" t="n"/>
      <c r="AA262" s="28" t="n"/>
      <c r="AB262" s="28" t="n"/>
      <c r="AC262" s="30" t="n">
        <v>1.4423</v>
      </c>
      <c r="AD262" s="24" t="inlineStr">
        <is>
          <t>2026-07-30T13:30:55.251503Z</t>
        </is>
      </c>
      <c r="AE262" s="31" t="inlineStr">
        <is>
          <t>Surface-blended Elo on Hard: Anastasiia Sobolieva p=0.361 vs Laura Samson. Executable ask 0.5100 (aec-wta-lausam-anasob-2026-07-29).</t>
        </is>
      </c>
      <c r="AF262" s="31" t="inlineStr">
        <is>
          <t>Research-only surface-blended Elo model; singles only, WTA-only market coverage, not yet locked-holdout qualified.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research_observation</t>
        </is>
      </c>
      <c r="AL262" s="26" t="n">
        <v>3</v>
      </c>
      <c r="AM262" s="24" t="inlineStr">
        <is>
          <t>RESEARCH_OBSERVATION</t>
        </is>
      </c>
      <c r="AN262" s="24" t="inlineStr">
        <is>
          <t>NO_CALL</t>
        </is>
      </c>
      <c r="AO262" s="24" t="inlineStr">
        <is>
          <t>NO_CALL_MODEL_UNVALIDATED</t>
        </is>
      </c>
      <c r="AP262" s="24" t="inlineStr">
        <is>
          <t>Anastasiia Sobolieva</t>
        </is>
      </c>
      <c r="AQ262" s="24" t="inlineStr">
        <is>
          <t>Anastasiia Sobolieva</t>
        </is>
      </c>
      <c r="AR262" s="24" t="inlineStr">
        <is>
          <t>Anastasiia Sobolieva</t>
        </is>
      </c>
      <c r="AS262" s="24" t="inlineStr">
        <is>
          <t>Laura Samson</t>
        </is>
      </c>
      <c r="AT262" s="24" t="inlineStr">
        <is>
          <t>Laura Samson</t>
        </is>
      </c>
      <c r="AU262" s="24" t="inlineStr">
        <is>
          <t>Laura Samson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research</t>
        </is>
      </c>
      <c r="BA262" s="24" t="inlineStr">
        <is>
          <t>73429bd71f12304106b9ffb751bd50617d5109d487f00de7ae2732f60e779590</t>
        </is>
      </c>
      <c r="BB262" s="24" t="inlineStr">
        <is>
          <t>surface_blended_elo</t>
        </is>
      </c>
      <c r="BC262" s="24" t="inlineStr">
        <is>
          <t>tennis-surface-elo-v1</t>
        </is>
      </c>
      <c r="BD262" s="24" t="inlineStr">
        <is>
          <t>73429bd71f12304106b9ffb751bd50617d5109d487f00de7ae2732f60e779590</t>
        </is>
      </c>
      <c r="BE262" s="24" t="inlineStr">
        <is>
          <t>tennis-surface-elo-v1</t>
        </is>
      </c>
      <c r="BF262" s="24" t="inlineStr">
        <is>
          <t>1</t>
        </is>
      </c>
      <c r="BG262" s="24" t="inlineStr">
        <is>
          <t>73429bd71f12304106b9ffb751bd50617d5109d487f00de7ae2732f60e779590</t>
        </is>
      </c>
      <c r="BH262" s="24" t="inlineStr">
        <is>
          <t>2026-07-30T10:25:57.623656Z</t>
        </is>
      </c>
      <c r="BI262" s="24" t="inlineStr">
        <is>
          <t>["same_event","same_team_same_day","same_league_same_day"]</t>
        </is>
      </c>
      <c r="BJ262" s="25" t="n"/>
      <c r="BK262" s="26" t="n">
        <v>-104</v>
      </c>
      <c r="BL262" s="27" t="n">
        <v>1.961538</v>
      </c>
      <c r="BM262" s="28" t="n">
        <v>0.509804</v>
      </c>
      <c r="BN262" s="28" t="n"/>
      <c r="BO262" s="28" t="n"/>
      <c r="BP262" s="25" t="n"/>
      <c r="BQ262" s="27" t="n"/>
      <c r="BR262" s="28" t="n"/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</row>
    <row r="263" ht="36" customHeight="1">
      <c r="A263" s="24" t="inlineStr">
        <is>
          <t>e9929ceab6c14c67</t>
        </is>
      </c>
      <c r="B263" s="24" t="inlineStr">
        <is>
          <t>2026-07-30T13:33:53.663155Z</t>
        </is>
      </c>
      <c r="C263" s="24" t="inlineStr">
        <is>
          <t>2026-07-30T16:00Z</t>
        </is>
      </c>
      <c r="D263" s="24" t="inlineStr">
        <is>
          <t>1067-2026:179440</t>
        </is>
      </c>
      <c r="E263" s="24" t="inlineStr">
        <is>
          <t>TENNIS</t>
        </is>
      </c>
      <c r="F263" s="24" t="inlineStr">
        <is>
          <t>Maya Joint</t>
        </is>
      </c>
      <c r="G263" s="24" t="inlineStr">
        <is>
          <t>Kristina Liutova</t>
        </is>
      </c>
      <c r="H263" s="24" t="inlineStr">
        <is>
          <t>moneyline</t>
        </is>
      </c>
      <c r="I263" s="24" t="inlineStr">
        <is>
          <t>away</t>
        </is>
      </c>
      <c r="J263" s="25" t="n"/>
      <c r="K263" s="24" t="inlineStr">
        <is>
          <t>polymarket_us</t>
        </is>
      </c>
      <c r="L263" s="26" t="n">
        <v>-150</v>
      </c>
      <c r="M263" s="27" t="n">
        <v>1.666667</v>
      </c>
      <c r="N263" s="28" t="n">
        <v>0.6</v>
      </c>
      <c r="O263" s="28" t="n">
        <v>0.582815</v>
      </c>
      <c r="P263" s="28" t="n">
        <v>0.05</v>
      </c>
      <c r="Q263" s="28" t="n">
        <v>-0.017185</v>
      </c>
      <c r="R263" s="26" t="n">
        <v>11</v>
      </c>
      <c r="S263" s="29" t="n">
        <v>1.25</v>
      </c>
      <c r="T263" s="24" t="inlineStr">
        <is>
          <t>tennis-surface-elo-v1</t>
        </is>
      </c>
      <c r="U263" s="24" t="inlineStr">
        <is>
          <t>settled</t>
        </is>
      </c>
      <c r="V263" s="24" t="inlineStr">
        <is>
          <t>loss</t>
        </is>
      </c>
      <c r="W263" s="26" t="n">
        <v>0</v>
      </c>
      <c r="X263" s="26" t="n">
        <v>1</v>
      </c>
      <c r="Y263" s="25" t="n"/>
      <c r="Z263" s="26" t="n"/>
      <c r="AA263" s="28" t="n"/>
      <c r="AB263" s="28" t="n"/>
      <c r="AC263" s="30" t="n">
        <v>-1.25</v>
      </c>
      <c r="AD263" s="24" t="inlineStr">
        <is>
          <t>2026-07-30T21:06:27.328889Z</t>
        </is>
      </c>
      <c r="AE263" s="31" t="inlineStr">
        <is>
          <t>Surface-blended Elo on Hard: Maya Joint p=0.583 vs Kristina Liutova. Executable ask 0.6000 (aec-wta-kriliu-mayjoi-2026-07-28).</t>
        </is>
      </c>
      <c r="AF263" s="31" t="inlineStr">
        <is>
          <t>Research-only surface-blended Elo model; singles only, WTA-only market coverage, not yet locked-holdout qualified.</t>
        </is>
      </c>
      <c r="AG263" s="24" t="inlineStr">
        <is>
          <t>review_required</t>
        </is>
      </c>
      <c r="AH263" s="24" t="n"/>
      <c r="AI263" s="31" t="n"/>
      <c r="AJ263" s="31" t="n"/>
      <c r="AK263" s="24" t="inlineStr">
        <is>
          <t>research_observation</t>
        </is>
      </c>
      <c r="AL263" s="26" t="n">
        <v>3</v>
      </c>
      <c r="AM263" s="24" t="inlineStr">
        <is>
          <t>RESEARCH_OBSERVATION</t>
        </is>
      </c>
      <c r="AN263" s="24" t="inlineStr">
        <is>
          <t>NO_CALL</t>
        </is>
      </c>
      <c r="AO263" s="24" t="inlineStr">
        <is>
          <t>NO_CALL_MODEL_UNVALIDATED</t>
        </is>
      </c>
      <c r="AP263" s="24" t="inlineStr">
        <is>
          <t>Maya Joint</t>
        </is>
      </c>
      <c r="AQ263" s="24" t="inlineStr">
        <is>
          <t>Maya Joint</t>
        </is>
      </c>
      <c r="AR263" s="24" t="inlineStr">
        <is>
          <t>Maya Joint</t>
        </is>
      </c>
      <c r="AS263" s="24" t="inlineStr">
        <is>
          <t>Kristina Liutova</t>
        </is>
      </c>
      <c r="AT263" s="24" t="inlineStr">
        <is>
          <t>Kristina Liutova</t>
        </is>
      </c>
      <c r="AU263" s="24" t="inlineStr">
        <is>
          <t>Kristina Liutova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research</t>
        </is>
      </c>
      <c r="BA263" s="24" t="inlineStr">
        <is>
          <t>73429bd71f12304106b9ffb751bd50617d5109d487f00de7ae2732f60e779590</t>
        </is>
      </c>
      <c r="BB263" s="24" t="inlineStr">
        <is>
          <t>surface_blended_elo</t>
        </is>
      </c>
      <c r="BC263" s="24" t="inlineStr">
        <is>
          <t>tennis-surface-elo-v1</t>
        </is>
      </c>
      <c r="BD263" s="24" t="inlineStr">
        <is>
          <t>73429bd71f12304106b9ffb751bd50617d5109d487f00de7ae2732f60e779590</t>
        </is>
      </c>
      <c r="BE263" s="24" t="inlineStr">
        <is>
          <t>tennis-surface-elo-v1</t>
        </is>
      </c>
      <c r="BF263" s="24" t="inlineStr">
        <is>
          <t>1</t>
        </is>
      </c>
      <c r="BG263" s="24" t="inlineStr">
        <is>
          <t>73429bd71f12304106b9ffb751bd50617d5109d487f00de7ae2732f60e779590</t>
        </is>
      </c>
      <c r="BH263" s="24" t="inlineStr">
        <is>
          <t>2026-07-30T13:31:49.488352Z</t>
        </is>
      </c>
      <c r="BI263" s="24" t="inlineStr">
        <is>
          <t>["same_event","same_team_same_day","same_league_same_day"]</t>
        </is>
      </c>
      <c r="BJ263" s="25" t="n"/>
      <c r="BK263" s="26" t="n">
        <v>-150</v>
      </c>
      <c r="BL263" s="27" t="n">
        <v>1.666667</v>
      </c>
      <c r="BM263" s="28" t="n">
        <v>0.6</v>
      </c>
      <c r="BN263" s="28" t="n"/>
      <c r="BO263" s="28" t="n"/>
      <c r="BP263" s="25" t="n"/>
      <c r="BQ263" s="27" t="n"/>
      <c r="BR263" s="28" t="n"/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</row>
    <row r="264" ht="36" customHeight="1">
      <c r="A264" s="24" t="inlineStr">
        <is>
          <t>ac191e99e8dd4155</t>
        </is>
      </c>
      <c r="B264" s="24" t="inlineStr">
        <is>
          <t>2026-07-30T13:33:53.663155Z</t>
        </is>
      </c>
      <c r="C264" s="24" t="inlineStr">
        <is>
          <t>2026-07-30T14:00Z</t>
        </is>
      </c>
      <c r="D264" s="24" t="inlineStr">
        <is>
          <t>1073-2026:179601</t>
        </is>
      </c>
      <c r="E264" s="24" t="inlineStr">
        <is>
          <t>TENNIS</t>
        </is>
      </c>
      <c r="F264" s="24" t="inlineStr">
        <is>
          <t>Lucia Bronzetti</t>
        </is>
      </c>
      <c r="G264" s="24" t="inlineStr">
        <is>
          <t>Alevtina Ibragimova</t>
        </is>
      </c>
      <c r="H264" s="24" t="inlineStr">
        <is>
          <t>moneyline</t>
        </is>
      </c>
      <c r="I264" s="24" t="inlineStr">
        <is>
          <t>away</t>
        </is>
      </c>
      <c r="J264" s="25" t="n"/>
      <c r="K264" s="24" t="inlineStr">
        <is>
          <t>polymarket_us</t>
        </is>
      </c>
      <c r="L264" s="26" t="n">
        <v>-186</v>
      </c>
      <c r="M264" s="27" t="n">
        <v>1.537634</v>
      </c>
      <c r="N264" s="28" t="n">
        <v>0.65035</v>
      </c>
      <c r="O264" s="28" t="n">
        <v>0.579964</v>
      </c>
      <c r="P264" s="28" t="n">
        <v>0.05</v>
      </c>
      <c r="Q264" s="28" t="n">
        <v>-0.070386</v>
      </c>
      <c r="R264" s="26" t="n">
        <v>0</v>
      </c>
      <c r="S264" s="29" t="n">
        <v>1.25</v>
      </c>
      <c r="T264" s="24" t="inlineStr">
        <is>
          <t>tennis-surface-elo-v1</t>
        </is>
      </c>
      <c r="U264" s="24" t="inlineStr">
        <is>
          <t>settled</t>
        </is>
      </c>
      <c r="V264" s="24" t="inlineStr">
        <is>
          <t>win</t>
        </is>
      </c>
      <c r="W264" s="26" t="n">
        <v>1</v>
      </c>
      <c r="X264" s="26" t="n">
        <v>0</v>
      </c>
      <c r="Y264" s="25" t="n"/>
      <c r="Z264" s="26" t="n"/>
      <c r="AA264" s="28" t="n"/>
      <c r="AB264" s="28" t="n"/>
      <c r="AC264" s="30" t="n">
        <v>0.672</v>
      </c>
      <c r="AD264" s="24" t="inlineStr">
        <is>
          <t>2026-07-30T16:36:51.092247Z</t>
        </is>
      </c>
      <c r="AE264" s="31" t="inlineStr">
        <is>
          <t>Surface-blended Elo on Hard: Lucia Bronzetti p=0.580 vs Alevtina Ibragimova. Executable ask 0.6500 (aec-wta-aleibr-lucbro-2026-07-29).</t>
        </is>
      </c>
      <c r="AF264" s="31" t="inlineStr">
        <is>
          <t>Research-only surface-blended Elo model; singles only, WTA-only market coverage, not yet locked-holdout qualified.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research_observation</t>
        </is>
      </c>
      <c r="AL264" s="26" t="n">
        <v>3</v>
      </c>
      <c r="AM264" s="24" t="inlineStr">
        <is>
          <t>RESEARCH_OBSERVATION</t>
        </is>
      </c>
      <c r="AN264" s="24" t="inlineStr">
        <is>
          <t>NO_CALL</t>
        </is>
      </c>
      <c r="AO264" s="24" t="inlineStr">
        <is>
          <t>NO_CALL_MODEL_UNVALIDATED</t>
        </is>
      </c>
      <c r="AP264" s="24" t="inlineStr">
        <is>
          <t>Lucia Bronzetti</t>
        </is>
      </c>
      <c r="AQ264" s="24" t="inlineStr">
        <is>
          <t>Lucia Bronzetti</t>
        </is>
      </c>
      <c r="AR264" s="24" t="inlineStr">
        <is>
          <t>Lucia Bronzetti</t>
        </is>
      </c>
      <c r="AS264" s="24" t="inlineStr">
        <is>
          <t>Alevtina Ibragimova</t>
        </is>
      </c>
      <c r="AT264" s="24" t="inlineStr">
        <is>
          <t>Alevtina Ibragimova</t>
        </is>
      </c>
      <c r="AU264" s="24" t="inlineStr">
        <is>
          <t>Alevtina Ibragimova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research</t>
        </is>
      </c>
      <c r="BA264" s="24" t="inlineStr">
        <is>
          <t>73429bd71f12304106b9ffb751bd50617d5109d487f00de7ae2732f60e779590</t>
        </is>
      </c>
      <c r="BB264" s="24" t="inlineStr">
        <is>
          <t>surface_blended_elo</t>
        </is>
      </c>
      <c r="BC264" s="24" t="inlineStr">
        <is>
          <t>tennis-surface-elo-v1</t>
        </is>
      </c>
      <c r="BD264" s="24" t="inlineStr">
        <is>
          <t>73429bd71f12304106b9ffb751bd50617d5109d487f00de7ae2732f60e779590</t>
        </is>
      </c>
      <c r="BE264" s="24" t="inlineStr">
        <is>
          <t>tennis-surface-elo-v1</t>
        </is>
      </c>
      <c r="BF264" s="24" t="inlineStr">
        <is>
          <t>1</t>
        </is>
      </c>
      <c r="BG264" s="24" t="inlineStr">
        <is>
          <t>73429bd71f12304106b9ffb751bd50617d5109d487f00de7ae2732f60e779590</t>
        </is>
      </c>
      <c r="BH264" s="24" t="inlineStr">
        <is>
          <t>2026-07-30T13:31:49.448060Z</t>
        </is>
      </c>
      <c r="BI264" s="24" t="inlineStr">
        <is>
          <t>["same_event","same_team_same_day","same_league_same_day"]</t>
        </is>
      </c>
      <c r="BJ264" s="25" t="n"/>
      <c r="BK264" s="26" t="n">
        <v>-186</v>
      </c>
      <c r="BL264" s="27" t="n">
        <v>1.537634</v>
      </c>
      <c r="BM264" s="28" t="n">
        <v>0.65035</v>
      </c>
      <c r="BN264" s="28" t="n"/>
      <c r="BO264" s="28" t="n"/>
      <c r="BP264" s="25" t="n"/>
      <c r="BQ264" s="27" t="n"/>
      <c r="BR264" s="28" t="n"/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</row>
    <row r="265" ht="36" customHeight="1">
      <c r="A265" s="24" t="inlineStr">
        <is>
          <t>6d53fafea44848d1</t>
        </is>
      </c>
      <c r="B265" s="24" t="inlineStr">
        <is>
          <t>2026-07-30T16:53:01.133141Z</t>
        </is>
      </c>
      <c r="C265" s="24" t="inlineStr">
        <is>
          <t>2026-07-30T17:00Z</t>
        </is>
      </c>
      <c r="D265" s="24" t="inlineStr">
        <is>
          <t>888-2026:179021</t>
        </is>
      </c>
      <c r="E265" s="24" t="inlineStr">
        <is>
          <t>TENNIS</t>
        </is>
      </c>
      <c r="F265" s="24" t="inlineStr">
        <is>
          <t>Anna Kalinskaya</t>
        </is>
      </c>
      <c r="G265" s="24" t="inlineStr">
        <is>
          <t>Janice Tjen</t>
        </is>
      </c>
      <c r="H265" s="24" t="inlineStr">
        <is>
          <t>moneyline</t>
        </is>
      </c>
      <c r="I265" s="24" t="inlineStr">
        <is>
          <t>away</t>
        </is>
      </c>
      <c r="J265" s="25" t="n"/>
      <c r="K265" s="24" t="inlineStr">
        <is>
          <t>polymarket_us</t>
        </is>
      </c>
      <c r="L265" s="26" t="n">
        <v>-257</v>
      </c>
      <c r="M265" s="27" t="n">
        <v>1.389105</v>
      </c>
      <c r="N265" s="28" t="n">
        <v>0.719888</v>
      </c>
      <c r="O265" s="28" t="n">
        <v>0.711749</v>
      </c>
      <c r="P265" s="28" t="n">
        <v>0.05</v>
      </c>
      <c r="Q265" s="28" t="n">
        <v>-0.008139</v>
      </c>
      <c r="R265" s="26" t="n">
        <v>16</v>
      </c>
      <c r="S265" s="29" t="n">
        <v>2</v>
      </c>
      <c r="T265" s="24" t="inlineStr">
        <is>
          <t>tennis-surface-elo-v1</t>
        </is>
      </c>
      <c r="U265" s="24" t="inlineStr">
        <is>
          <t>settled</t>
        </is>
      </c>
      <c r="V265" s="24" t="inlineStr">
        <is>
          <t>win</t>
        </is>
      </c>
      <c r="W265" s="26" t="n">
        <v>1</v>
      </c>
      <c r="X265" s="26" t="n">
        <v>0</v>
      </c>
      <c r="Y265" s="25" t="n"/>
      <c r="Z265" s="26" t="n"/>
      <c r="AA265" s="28" t="n"/>
      <c r="AB265" s="28" t="n"/>
      <c r="AC265" s="30" t="n">
        <v>0.7782</v>
      </c>
      <c r="AD265" s="24" t="inlineStr">
        <is>
          <t>2026-07-30T21:06:27.521597Z</t>
        </is>
      </c>
      <c r="AE265" s="31" t="inlineStr">
        <is>
          <t>Surface-blended Elo on Hard: Anna Kalinskaya p=0.712 vs Janice Tjen. Executable ask 0.7200 (aec-wta-jantje-annkal-2026-07-29).</t>
        </is>
      </c>
      <c r="AF265" s="31" t="inlineStr">
        <is>
          <t>Research-only surface-blended Elo model; singles only, WTA-only market coverage, not yet locked-holdout qualified.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research_observation</t>
        </is>
      </c>
      <c r="AL265" s="26" t="n">
        <v>3</v>
      </c>
      <c r="AM265" s="24" t="inlineStr">
        <is>
          <t>RESEARCH_OBSERVATION</t>
        </is>
      </c>
      <c r="AN265" s="24" t="inlineStr">
        <is>
          <t>NO_CALL</t>
        </is>
      </c>
      <c r="AO265" s="24" t="inlineStr">
        <is>
          <t>NO_CALL_MODEL_UNVALIDATED</t>
        </is>
      </c>
      <c r="AP265" s="24" t="inlineStr">
        <is>
          <t>Anna Kalinskaya</t>
        </is>
      </c>
      <c r="AQ265" s="24" t="inlineStr">
        <is>
          <t>Anna Kalinskaya</t>
        </is>
      </c>
      <c r="AR265" s="24" t="inlineStr">
        <is>
          <t>Anna Kalinskaya</t>
        </is>
      </c>
      <c r="AS265" s="24" t="inlineStr">
        <is>
          <t>Janice Tjen</t>
        </is>
      </c>
      <c r="AT265" s="24" t="inlineStr">
        <is>
          <t>Janice Tjen</t>
        </is>
      </c>
      <c r="AU265" s="24" t="inlineStr">
        <is>
          <t>Janice Tjen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research</t>
        </is>
      </c>
      <c r="BA265" s="24" t="inlineStr">
        <is>
          <t>73429bd71f12304106b9ffb751bd50617d5109d487f00de7ae2732f60e779590</t>
        </is>
      </c>
      <c r="BB265" s="24" t="inlineStr">
        <is>
          <t>surface_blended_elo</t>
        </is>
      </c>
      <c r="BC265" s="24" t="inlineStr">
        <is>
          <t>tennis-surface-elo-v1</t>
        </is>
      </c>
      <c r="BD265" s="24" t="inlineStr">
        <is>
          <t>73429bd71f12304106b9ffb751bd50617d5109d487f00de7ae2732f60e779590</t>
        </is>
      </c>
      <c r="BE265" s="24" t="inlineStr">
        <is>
          <t>tennis-surface-elo-v1</t>
        </is>
      </c>
      <c r="BF265" s="24" t="inlineStr">
        <is>
          <t>1</t>
        </is>
      </c>
      <c r="BG265" s="24" t="inlineStr">
        <is>
          <t>73429bd71f12304106b9ffb751bd50617d5109d487f00de7ae2732f60e779590</t>
        </is>
      </c>
      <c r="BH265" s="24" t="inlineStr">
        <is>
          <t>2026-07-30T16:50:51.570342Z</t>
        </is>
      </c>
      <c r="BI265" s="24" t="inlineStr">
        <is>
          <t>["same_event","same_team_same_day","same_league_same_day"]</t>
        </is>
      </c>
      <c r="BJ265" s="25" t="n"/>
      <c r="BK265" s="26" t="n">
        <v>-257</v>
      </c>
      <c r="BL265" s="27" t="n">
        <v>1.389105</v>
      </c>
      <c r="BM265" s="28" t="n">
        <v>0.719888</v>
      </c>
      <c r="BN265" s="28" t="n"/>
      <c r="BO265" s="28" t="n"/>
      <c r="BP265" s="25" t="n"/>
      <c r="BQ265" s="27" t="n"/>
      <c r="BR265" s="28" t="n"/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</row>
    <row r="266" ht="36" customHeight="1">
      <c r="A266" s="24" t="inlineStr">
        <is>
          <t>7c0cf703c2d9484e</t>
        </is>
      </c>
      <c r="B266" s="24" t="inlineStr">
        <is>
          <t>2026-07-30T17:37:43.528029Z</t>
        </is>
      </c>
      <c r="C266" s="24" t="inlineStr">
        <is>
          <t>2026-07-30T18:30Z</t>
        </is>
      </c>
      <c r="D266" s="24" t="inlineStr">
        <is>
          <t>875-2026:179558</t>
        </is>
      </c>
      <c r="E266" s="24" t="inlineStr">
        <is>
          <t>TENNIS</t>
        </is>
      </c>
      <c r="F266" s="24" t="inlineStr">
        <is>
          <t>Himeno Sakatsume</t>
        </is>
      </c>
      <c r="G266" s="24" t="inlineStr">
        <is>
          <t>Mai Hontama</t>
        </is>
      </c>
      <c r="H266" s="24" t="inlineStr">
        <is>
          <t>moneyline</t>
        </is>
      </c>
      <c r="I266" s="24" t="inlineStr">
        <is>
          <t>away</t>
        </is>
      </c>
      <c r="J266" s="25" t="n"/>
      <c r="K266" s="24" t="inlineStr">
        <is>
          <t>polymarket_us</t>
        </is>
      </c>
      <c r="L266" s="26" t="n">
        <v>113</v>
      </c>
      <c r="M266" s="27" t="n">
        <v>2.13</v>
      </c>
      <c r="N266" s="28" t="n">
        <v>0.469484</v>
      </c>
      <c r="O266" s="28" t="n">
        <v>0.5652740000000001</v>
      </c>
      <c r="P266" s="28" t="n">
        <v>0.05</v>
      </c>
      <c r="Q266" s="28" t="n">
        <v>0.09579</v>
      </c>
      <c r="R266" s="26" t="n">
        <v>68</v>
      </c>
      <c r="S266" s="29" t="n">
        <v>1</v>
      </c>
      <c r="T266" s="24" t="inlineStr">
        <is>
          <t>tennis-surface-elo-v1</t>
        </is>
      </c>
      <c r="U266" s="24" t="inlineStr">
        <is>
          <t>settled</t>
        </is>
      </c>
      <c r="V266" s="24" t="inlineStr">
        <is>
          <t>loss</t>
        </is>
      </c>
      <c r="W266" s="26" t="n">
        <v>0</v>
      </c>
      <c r="X266" s="26" t="n">
        <v>1</v>
      </c>
      <c r="Y266" s="25" t="n"/>
      <c r="Z266" s="26" t="n"/>
      <c r="AA266" s="28" t="n"/>
      <c r="AB266" s="28" t="n"/>
      <c r="AC266" s="30" t="n">
        <v>-1</v>
      </c>
      <c r="AD266" s="24" t="inlineStr">
        <is>
          <t>2026-07-30T21:06:27.713325Z</t>
        </is>
      </c>
      <c r="AE266" s="31" t="inlineStr">
        <is>
          <t>Surface-blended Elo on Hard: Himeno Sakatsume p=0.565 vs Mai Hontama. Executable ask 0.4700 (aec-wta-maihon-himsak-2026-07-31).</t>
        </is>
      </c>
      <c r="AF266" s="31" t="inlineStr">
        <is>
          <t>Research-only surface-blended Elo model; singles only, WTA-only market coverage, not yet locked-holdout qualified.</t>
        </is>
      </c>
      <c r="AG266" s="24" t="inlineStr">
        <is>
          <t>review_required</t>
        </is>
      </c>
      <c r="AH266" s="24" t="n"/>
      <c r="AI266" s="31" t="n"/>
      <c r="AJ266" s="31" t="n"/>
      <c r="AK266" s="24" t="inlineStr">
        <is>
          <t>research_observation</t>
        </is>
      </c>
      <c r="AL266" s="26" t="n">
        <v>3</v>
      </c>
      <c r="AM266" s="24" t="inlineStr">
        <is>
          <t>RESEARCH_OBSERVATION</t>
        </is>
      </c>
      <c r="AN266" s="24" t="inlineStr">
        <is>
          <t>NO_CALL</t>
        </is>
      </c>
      <c r="AO266" s="24" t="inlineStr">
        <is>
          <t>NO_CALL_MODEL_UNVALIDATED</t>
        </is>
      </c>
      <c r="AP266" s="24" t="inlineStr">
        <is>
          <t>Himeno Sakatsume</t>
        </is>
      </c>
      <c r="AQ266" s="24" t="inlineStr">
        <is>
          <t>Himeno Sakatsume</t>
        </is>
      </c>
      <c r="AR266" s="24" t="inlineStr">
        <is>
          <t>Himeno Sakatsume</t>
        </is>
      </c>
      <c r="AS266" s="24" t="inlineStr">
        <is>
          <t>Mai Hontama</t>
        </is>
      </c>
      <c r="AT266" s="24" t="inlineStr">
        <is>
          <t>Mai Hontama</t>
        </is>
      </c>
      <c r="AU266" s="24" t="inlineStr">
        <is>
          <t>Mai Hontama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research</t>
        </is>
      </c>
      <c r="BA266" s="24" t="inlineStr">
        <is>
          <t>73429bd71f12304106b9ffb751bd50617d5109d487f00de7ae2732f60e779590</t>
        </is>
      </c>
      <c r="BB266" s="24" t="inlineStr">
        <is>
          <t>surface_blended_elo</t>
        </is>
      </c>
      <c r="BC266" s="24" t="inlineStr">
        <is>
          <t>tennis-surface-elo-v1</t>
        </is>
      </c>
      <c r="BD266" s="24" t="inlineStr">
        <is>
          <t>73429bd71f12304106b9ffb751bd50617d5109d487f00de7ae2732f60e779590</t>
        </is>
      </c>
      <c r="BE266" s="24" t="inlineStr">
        <is>
          <t>tennis-surface-elo-v1</t>
        </is>
      </c>
      <c r="BF266" s="24" t="inlineStr">
        <is>
          <t>1</t>
        </is>
      </c>
      <c r="BG266" s="24" t="inlineStr">
        <is>
          <t>73429bd71f12304106b9ffb751bd50617d5109d487f00de7ae2732f60e779590</t>
        </is>
      </c>
      <c r="BH266" s="24" t="inlineStr">
        <is>
          <t>2026-07-30T17:35:52.310964Z</t>
        </is>
      </c>
      <c r="BI266" s="24" t="inlineStr">
        <is>
          <t>["same_event","same_team_same_day","same_league_same_day"]</t>
        </is>
      </c>
      <c r="BJ266" s="25" t="n"/>
      <c r="BK266" s="26" t="n">
        <v>113</v>
      </c>
      <c r="BL266" s="27" t="n">
        <v>2.13</v>
      </c>
      <c r="BM266" s="28" t="n">
        <v>0.469484</v>
      </c>
      <c r="BN266" s="28" t="n"/>
      <c r="BO266" s="28" t="n"/>
      <c r="BP266" s="25" t="n"/>
      <c r="BQ266" s="27" t="n"/>
      <c r="BR266" s="28" t="n"/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</row>
    <row r="267" ht="36" customHeight="1">
      <c r="A267" s="24" t="inlineStr">
        <is>
          <t>f437f6de19cd4aed</t>
        </is>
      </c>
      <c r="B267" s="24" t="inlineStr">
        <is>
          <t>2026-07-30T17:37:43.528029Z</t>
        </is>
      </c>
      <c r="C267" s="24" t="inlineStr">
        <is>
          <t>2026-07-30T18:30Z</t>
        </is>
      </c>
      <c r="D267" s="24" t="inlineStr">
        <is>
          <t>875-2026:179559</t>
        </is>
      </c>
      <c r="E267" s="24" t="inlineStr">
        <is>
          <t>TENNIS</t>
        </is>
      </c>
      <c r="F267" s="24" t="inlineStr">
        <is>
          <t>Maddison Inglis</t>
        </is>
      </c>
      <c r="G267" s="24" t="inlineStr">
        <is>
          <t>Moyuka Uchijima</t>
        </is>
      </c>
      <c r="H267" s="24" t="inlineStr">
        <is>
          <t>moneyline</t>
        </is>
      </c>
      <c r="I267" s="24" t="inlineStr">
        <is>
          <t>home</t>
        </is>
      </c>
      <c r="J267" s="25" t="n"/>
      <c r="K267" s="24" t="inlineStr">
        <is>
          <t>polymarket_us</t>
        </is>
      </c>
      <c r="L267" s="26" t="n">
        <v>-138</v>
      </c>
      <c r="M267" s="27" t="n">
        <v>1.724638</v>
      </c>
      <c r="N267" s="28" t="n">
        <v>0.579832</v>
      </c>
      <c r="O267" s="28" t="n">
        <v>0.555657</v>
      </c>
      <c r="P267" s="28" t="n">
        <v>0.05</v>
      </c>
      <c r="Q267" s="28" t="n">
        <v>-0.024175</v>
      </c>
      <c r="R267" s="26" t="n">
        <v>8</v>
      </c>
      <c r="S267" s="29" t="n">
        <v>1</v>
      </c>
      <c r="T267" s="24" t="inlineStr">
        <is>
          <t>tennis-surface-elo-v1</t>
        </is>
      </c>
      <c r="U267" s="24" t="inlineStr">
        <is>
          <t>settled</t>
        </is>
      </c>
      <c r="V267" s="24" t="inlineStr">
        <is>
          <t>loss</t>
        </is>
      </c>
      <c r="W267" s="26" t="n">
        <v>1</v>
      </c>
      <c r="X267" s="26" t="n">
        <v>0</v>
      </c>
      <c r="Y267" s="25" t="n"/>
      <c r="Z267" s="26" t="n"/>
      <c r="AA267" s="28" t="n"/>
      <c r="AB267" s="28" t="n"/>
      <c r="AC267" s="30" t="n">
        <v>-1</v>
      </c>
      <c r="AD267" s="24" t="inlineStr">
        <is>
          <t>2026-07-30T21:06:27.904521Z</t>
        </is>
      </c>
      <c r="AE267" s="31" t="inlineStr">
        <is>
          <t>Surface-blended Elo on Hard: Maddison Inglis p=0.444 vs Moyuka Uchijima. Executable ask 0.5800 (aec-wta-moyuch-mading-2026-07-30).</t>
        </is>
      </c>
      <c r="AF267" s="31" t="inlineStr">
        <is>
          <t>Research-only surface-blended Elo model; singles only, WTA-only market coverage, not yet locked-holdout qualified.</t>
        </is>
      </c>
      <c r="AG267" s="24" t="inlineStr">
        <is>
          <t>review_required</t>
        </is>
      </c>
      <c r="AH267" s="24" t="n"/>
      <c r="AI267" s="31" t="n"/>
      <c r="AJ267" s="31" t="n"/>
      <c r="AK267" s="24" t="inlineStr">
        <is>
          <t>research_observation</t>
        </is>
      </c>
      <c r="AL267" s="26" t="n">
        <v>3</v>
      </c>
      <c r="AM267" s="24" t="inlineStr">
        <is>
          <t>RESEARCH_OBSERVATION</t>
        </is>
      </c>
      <c r="AN267" s="24" t="inlineStr">
        <is>
          <t>NO_CALL</t>
        </is>
      </c>
      <c r="AO267" s="24" t="inlineStr">
        <is>
          <t>NO_CALL_MODEL_UNVALIDATED</t>
        </is>
      </c>
      <c r="AP267" s="24" t="inlineStr">
        <is>
          <t>Maddison Inglis</t>
        </is>
      </c>
      <c r="AQ267" s="24" t="inlineStr">
        <is>
          <t>Maddison Inglis</t>
        </is>
      </c>
      <c r="AR267" s="24" t="inlineStr">
        <is>
          <t>Maddison Inglis</t>
        </is>
      </c>
      <c r="AS267" s="24" t="inlineStr">
        <is>
          <t>Moyuka Uchijima</t>
        </is>
      </c>
      <c r="AT267" s="24" t="inlineStr">
        <is>
          <t>Moyuka Uchijima</t>
        </is>
      </c>
      <c r="AU267" s="24" t="inlineStr">
        <is>
          <t>Moyuka Uchijima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research</t>
        </is>
      </c>
      <c r="BA267" s="24" t="inlineStr">
        <is>
          <t>73429bd71f12304106b9ffb751bd50617d5109d487f00de7ae2732f60e779590</t>
        </is>
      </c>
      <c r="BB267" s="24" t="inlineStr">
        <is>
          <t>surface_blended_elo</t>
        </is>
      </c>
      <c r="BC267" s="24" t="inlineStr">
        <is>
          <t>tennis-surface-elo-v1</t>
        </is>
      </c>
      <c r="BD267" s="24" t="inlineStr">
        <is>
          <t>73429bd71f12304106b9ffb751bd50617d5109d487f00de7ae2732f60e779590</t>
        </is>
      </c>
      <c r="BE267" s="24" t="inlineStr">
        <is>
          <t>tennis-surface-elo-v1</t>
        </is>
      </c>
      <c r="BF267" s="24" t="inlineStr">
        <is>
          <t>1</t>
        </is>
      </c>
      <c r="BG267" s="24" t="inlineStr">
        <is>
          <t>73429bd71f12304106b9ffb751bd50617d5109d487f00de7ae2732f60e779590</t>
        </is>
      </c>
      <c r="BH267" s="24" t="inlineStr">
        <is>
          <t>2026-07-30T17:35:52.319608Z</t>
        </is>
      </c>
      <c r="BI267" s="24" t="inlineStr">
        <is>
          <t>["same_event","same_team_same_day","same_league_same_day"]</t>
        </is>
      </c>
      <c r="BJ267" s="25" t="n"/>
      <c r="BK267" s="26" t="n">
        <v>-138</v>
      </c>
      <c r="BL267" s="27" t="n">
        <v>1.724638</v>
      </c>
      <c r="BM267" s="28" t="n">
        <v>0.579832</v>
      </c>
      <c r="BN267" s="28" t="n"/>
      <c r="BO267" s="28" t="n"/>
      <c r="BP267" s="25" t="n"/>
      <c r="BQ267" s="27" t="n"/>
      <c r="BR267" s="28" t="n"/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</row>
    <row r="268" ht="36" customHeight="1">
      <c r="A268" s="24" t="inlineStr">
        <is>
          <t>c7d10b6b4dac4a9a</t>
        </is>
      </c>
      <c r="B268" s="24" t="inlineStr">
        <is>
          <t>2026-07-30T17:37:43.528029Z</t>
        </is>
      </c>
      <c r="C268" s="24" t="inlineStr">
        <is>
          <t>2026-07-30T19:30Z</t>
        </is>
      </c>
      <c r="D268" s="24" t="inlineStr">
        <is>
          <t>875-2026:179557</t>
        </is>
      </c>
      <c r="E268" s="24" t="inlineStr">
        <is>
          <t>TENNIS</t>
        </is>
      </c>
      <c r="F268" s="24" t="inlineStr">
        <is>
          <t>Taylah Preston</t>
        </is>
      </c>
      <c r="G268" s="24" t="inlineStr">
        <is>
          <t>Harriet Dart</t>
        </is>
      </c>
      <c r="H268" s="24" t="inlineStr">
        <is>
          <t>moneyline</t>
        </is>
      </c>
      <c r="I268" s="24" t="inlineStr">
        <is>
          <t>away</t>
        </is>
      </c>
      <c r="J268" s="25" t="n"/>
      <c r="K268" s="24" t="inlineStr">
        <is>
          <t>polymarket_us</t>
        </is>
      </c>
      <c r="L268" s="26" t="n">
        <v>-117</v>
      </c>
      <c r="M268" s="27" t="n">
        <v>1.854701</v>
      </c>
      <c r="N268" s="28" t="n">
        <v>0.539171</v>
      </c>
      <c r="O268" s="28" t="n">
        <v>0.532721</v>
      </c>
      <c r="P268" s="28" t="n">
        <v>0.05</v>
      </c>
      <c r="Q268" s="28" t="n">
        <v>-0.00645</v>
      </c>
      <c r="R268" s="26" t="n">
        <v>17</v>
      </c>
      <c r="S268" s="29" t="n">
        <v>1</v>
      </c>
      <c r="T268" s="24" t="inlineStr">
        <is>
          <t>tennis-surface-elo-v1</t>
        </is>
      </c>
      <c r="U268" s="24" t="inlineStr">
        <is>
          <t>settled</t>
        </is>
      </c>
      <c r="V268" s="24" t="inlineStr">
        <is>
          <t>win</t>
        </is>
      </c>
      <c r="W268" s="26" t="n">
        <v>1</v>
      </c>
      <c r="X268" s="26" t="n">
        <v>0</v>
      </c>
      <c r="Y268" s="25" t="n"/>
      <c r="Z268" s="26" t="n"/>
      <c r="AA268" s="28" t="n"/>
      <c r="AB268" s="28" t="n"/>
      <c r="AC268" s="30" t="n">
        <v>0.8547</v>
      </c>
      <c r="AD268" s="24" t="inlineStr">
        <is>
          <t>2026-07-31T00:55:25.037636Z</t>
        </is>
      </c>
      <c r="AE268" s="31" t="inlineStr">
        <is>
          <t>Surface-blended Elo on Hard: Taylah Preston p=0.533 vs Harriet Dart. Executable ask 0.5400 (aec-wta-hardar-taypre-2026-07-31).</t>
        </is>
      </c>
      <c r="AF268" s="31" t="inlineStr">
        <is>
          <t>Research-only surface-blended Elo model; singles only, WTA-only market coverage, not yet locked-holdout qualified.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research_observation</t>
        </is>
      </c>
      <c r="AL268" s="26" t="n">
        <v>3</v>
      </c>
      <c r="AM268" s="24" t="inlineStr">
        <is>
          <t>RESEARCH_OBSERVATION</t>
        </is>
      </c>
      <c r="AN268" s="24" t="inlineStr">
        <is>
          <t>NO_CALL</t>
        </is>
      </c>
      <c r="AO268" s="24" t="inlineStr">
        <is>
          <t>NO_CALL_MODEL_UNVALIDATED</t>
        </is>
      </c>
      <c r="AP268" s="24" t="inlineStr">
        <is>
          <t>Taylah Preston</t>
        </is>
      </c>
      <c r="AQ268" s="24" t="inlineStr">
        <is>
          <t>Taylah Preston</t>
        </is>
      </c>
      <c r="AR268" s="24" t="inlineStr">
        <is>
          <t>Taylah Preston</t>
        </is>
      </c>
      <c r="AS268" s="24" t="inlineStr">
        <is>
          <t>Harriet Dart</t>
        </is>
      </c>
      <c r="AT268" s="24" t="inlineStr">
        <is>
          <t>Harriet Dart</t>
        </is>
      </c>
      <c r="AU268" s="24" t="inlineStr">
        <is>
          <t>Harriet Dart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research</t>
        </is>
      </c>
      <c r="BA268" s="24" t="inlineStr">
        <is>
          <t>73429bd71f12304106b9ffb751bd50617d5109d487f00de7ae2732f60e779590</t>
        </is>
      </c>
      <c r="BB268" s="24" t="inlineStr">
        <is>
          <t>surface_blended_elo</t>
        </is>
      </c>
      <c r="BC268" s="24" t="inlineStr">
        <is>
          <t>tennis-surface-elo-v1</t>
        </is>
      </c>
      <c r="BD268" s="24" t="inlineStr">
        <is>
          <t>73429bd71f12304106b9ffb751bd50617d5109d487f00de7ae2732f60e779590</t>
        </is>
      </c>
      <c r="BE268" s="24" t="inlineStr">
        <is>
          <t>tennis-surface-elo-v1</t>
        </is>
      </c>
      <c r="BF268" s="24" t="inlineStr">
        <is>
          <t>1</t>
        </is>
      </c>
      <c r="BG268" s="24" t="inlineStr">
        <is>
          <t>73429bd71f12304106b9ffb751bd50617d5109d487f00de7ae2732f60e779590</t>
        </is>
      </c>
      <c r="BH268" s="24" t="inlineStr">
        <is>
          <t>2026-07-30T17:35:56.111877Z</t>
        </is>
      </c>
      <c r="BI268" s="24" t="inlineStr">
        <is>
          <t>["same_event","same_team_same_day","same_league_same_day"]</t>
        </is>
      </c>
      <c r="BJ268" s="25" t="n"/>
      <c r="BK268" s="26" t="n">
        <v>-117</v>
      </c>
      <c r="BL268" s="27" t="n">
        <v>1.854701</v>
      </c>
      <c r="BM268" s="28" t="n">
        <v>0.539171</v>
      </c>
      <c r="BN268" s="28" t="n"/>
      <c r="BO268" s="28" t="n"/>
      <c r="BP268" s="25" t="n"/>
      <c r="BQ268" s="27" t="n"/>
      <c r="BR268" s="28" t="n"/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</row>
    <row r="269" ht="36" customHeight="1">
      <c r="A269" s="24" t="inlineStr">
        <is>
          <t>c5ea892809844fc3</t>
        </is>
      </c>
      <c r="B269" s="24" t="inlineStr">
        <is>
          <t>2026-07-30T17:37:43.528029Z</t>
        </is>
      </c>
      <c r="C269" s="24" t="inlineStr">
        <is>
          <t>2026-07-30T19:00Z</t>
        </is>
      </c>
      <c r="D269" s="24" t="inlineStr">
        <is>
          <t>888-2026:179023</t>
        </is>
      </c>
      <c r="E269" s="24" t="inlineStr">
        <is>
          <t>TENNIS</t>
        </is>
      </c>
      <c r="F269" s="24" t="inlineStr">
        <is>
          <t>Magdalena Frech</t>
        </is>
      </c>
      <c r="G269" s="24" t="inlineStr">
        <is>
          <t>Jessica Pegula</t>
        </is>
      </c>
      <c r="H269" s="24" t="inlineStr">
        <is>
          <t>moneyline</t>
        </is>
      </c>
      <c r="I269" s="24" t="inlineStr">
        <is>
          <t>home</t>
        </is>
      </c>
      <c r="J269" s="25" t="n"/>
      <c r="K269" s="24" t="inlineStr">
        <is>
          <t>polymarket_us</t>
        </is>
      </c>
      <c r="L269" s="26" t="n">
        <v>-900</v>
      </c>
      <c r="M269" s="27" t="n">
        <v>1.111111</v>
      </c>
      <c r="N269" s="28" t="n">
        <v>0.9</v>
      </c>
      <c r="O269" s="28" t="n">
        <v>0.9137729999999999</v>
      </c>
      <c r="P269" s="28" t="n">
        <v>0.05</v>
      </c>
      <c r="Q269" s="28" t="n">
        <v>0.013773</v>
      </c>
      <c r="R269" s="26" t="n">
        <v>27</v>
      </c>
      <c r="S269" s="29" t="n">
        <v>2</v>
      </c>
      <c r="T269" s="24" t="inlineStr">
        <is>
          <t>tennis-surface-elo-v1</t>
        </is>
      </c>
      <c r="U269" s="24" t="inlineStr">
        <is>
          <t>settled</t>
        </is>
      </c>
      <c r="V269" s="24" t="inlineStr">
        <is>
          <t>win</t>
        </is>
      </c>
      <c r="W269" s="26" t="n">
        <v>0</v>
      </c>
      <c r="X269" s="26" t="n">
        <v>1</v>
      </c>
      <c r="Y269" s="25" t="n"/>
      <c r="Z269" s="26" t="n"/>
      <c r="AA269" s="28" t="n"/>
      <c r="AB269" s="28" t="n"/>
      <c r="AC269" s="30" t="n">
        <v>0.2222</v>
      </c>
      <c r="AD269" s="24" t="inlineStr">
        <is>
          <t>2026-07-31T00:55:25.228126Z</t>
        </is>
      </c>
      <c r="AE269" s="31" t="inlineStr">
        <is>
          <t>Surface-blended Elo on Hard: Magdalena Frech p=0.086 vs Jessica Pegula. Executable ask 0.9000 (aec-wta-jespeg-magfre-2026-07-30).</t>
        </is>
      </c>
      <c r="AF269" s="31" t="inlineStr">
        <is>
          <t>Research-only surface-blended Elo model; singles only, WTA-only market coverage, not yet locked-holdout qualified.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research_observation</t>
        </is>
      </c>
      <c r="AL269" s="26" t="n">
        <v>3</v>
      </c>
      <c r="AM269" s="24" t="inlineStr">
        <is>
          <t>RESEARCH_OBSERVATION</t>
        </is>
      </c>
      <c r="AN269" s="24" t="inlineStr">
        <is>
          <t>NO_CALL</t>
        </is>
      </c>
      <c r="AO269" s="24" t="inlineStr">
        <is>
          <t>NO_CALL_MODEL_UNVALIDATED</t>
        </is>
      </c>
      <c r="AP269" s="24" t="inlineStr">
        <is>
          <t>Magdalena Frech</t>
        </is>
      </c>
      <c r="AQ269" s="24" t="inlineStr">
        <is>
          <t>Magdalena Frech</t>
        </is>
      </c>
      <c r="AR269" s="24" t="inlineStr">
        <is>
          <t>Magdalena Frech</t>
        </is>
      </c>
      <c r="AS269" s="24" t="inlineStr">
        <is>
          <t>Jessica Pegula</t>
        </is>
      </c>
      <c r="AT269" s="24" t="inlineStr">
        <is>
          <t>Jessica Pegula</t>
        </is>
      </c>
      <c r="AU269" s="24" t="inlineStr">
        <is>
          <t>Jessica Pegula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research</t>
        </is>
      </c>
      <c r="BA269" s="24" t="inlineStr">
        <is>
          <t>73429bd71f12304106b9ffb751bd50617d5109d487f00de7ae2732f60e779590</t>
        </is>
      </c>
      <c r="BB269" s="24" t="inlineStr">
        <is>
          <t>surface_blended_elo</t>
        </is>
      </c>
      <c r="BC269" s="24" t="inlineStr">
        <is>
          <t>tennis-surface-elo-v1</t>
        </is>
      </c>
      <c r="BD269" s="24" t="inlineStr">
        <is>
          <t>73429bd71f12304106b9ffb751bd50617d5109d487f00de7ae2732f60e779590</t>
        </is>
      </c>
      <c r="BE269" s="24" t="inlineStr">
        <is>
          <t>tennis-surface-elo-v1</t>
        </is>
      </c>
      <c r="BF269" s="24" t="inlineStr">
        <is>
          <t>1</t>
        </is>
      </c>
      <c r="BG269" s="24" t="inlineStr">
        <is>
          <t>73429bd71f12304106b9ffb751bd50617d5109d487f00de7ae2732f60e779590</t>
        </is>
      </c>
      <c r="BH269" s="24" t="inlineStr">
        <is>
          <t>2026-07-30T17:35:52.888748Z</t>
        </is>
      </c>
      <c r="BI269" s="24" t="inlineStr">
        <is>
          <t>["same_event","same_team_same_day","same_league_same_day"]</t>
        </is>
      </c>
      <c r="BJ269" s="25" t="n"/>
      <c r="BK269" s="26" t="n">
        <v>-900</v>
      </c>
      <c r="BL269" s="27" t="n">
        <v>1.111111</v>
      </c>
      <c r="BM269" s="28" t="n">
        <v>0.9</v>
      </c>
      <c r="BN269" s="28" t="n"/>
      <c r="BO269" s="28" t="n"/>
      <c r="BP269" s="25" t="n"/>
      <c r="BQ269" s="27" t="n"/>
      <c r="BR269" s="28" t="n"/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</row>
    <row r="270" ht="36" customHeight="1">
      <c r="A270" s="24" t="inlineStr">
        <is>
          <t>f0a46e785b174dc0</t>
        </is>
      </c>
      <c r="B270" s="24" t="inlineStr">
        <is>
          <t>2026-07-30T17:37:43.528029Z</t>
        </is>
      </c>
      <c r="C270" s="24" t="inlineStr">
        <is>
          <t>2026-07-30T19:15Z</t>
        </is>
      </c>
      <c r="D270" s="24" t="inlineStr">
        <is>
          <t>1067-2026:179464</t>
        </is>
      </c>
      <c r="E270" s="24" t="inlineStr">
        <is>
          <t>TENNIS</t>
        </is>
      </c>
      <c r="F270" s="24" t="inlineStr">
        <is>
          <t>Peyton Stearns</t>
        </is>
      </c>
      <c r="G270" s="24" t="inlineStr">
        <is>
          <t>Tatiana Prozorova</t>
        </is>
      </c>
      <c r="H270" s="24" t="inlineStr">
        <is>
          <t>moneyline</t>
        </is>
      </c>
      <c r="I270" s="24" t="inlineStr">
        <is>
          <t>away</t>
        </is>
      </c>
      <c r="J270" s="25" t="n"/>
      <c r="K270" s="24" t="inlineStr">
        <is>
          <t>polymarket_us</t>
        </is>
      </c>
      <c r="L270" s="26" t="n">
        <v>-163</v>
      </c>
      <c r="M270" s="27" t="n">
        <v>1.613497</v>
      </c>
      <c r="N270" s="28" t="n">
        <v>0.619772</v>
      </c>
      <c r="O270" s="28" t="n">
        <v>0.519871</v>
      </c>
      <c r="P270" s="28" t="n">
        <v>0.05</v>
      </c>
      <c r="Q270" s="28" t="n">
        <v>-0.099901</v>
      </c>
      <c r="R270" s="26" t="n">
        <v>0</v>
      </c>
      <c r="S270" s="29" t="n">
        <v>1</v>
      </c>
      <c r="T270" s="24" t="inlineStr">
        <is>
          <t>tennis-surface-elo-v1</t>
        </is>
      </c>
      <c r="U270" s="24" t="inlineStr">
        <is>
          <t>settled</t>
        </is>
      </c>
      <c r="V270" s="24" t="inlineStr">
        <is>
          <t>win</t>
        </is>
      </c>
      <c r="W270" s="26" t="n">
        <v>1</v>
      </c>
      <c r="X270" s="26" t="n">
        <v>0</v>
      </c>
      <c r="Y270" s="25" t="n"/>
      <c r="Z270" s="26" t="n"/>
      <c r="AA270" s="28" t="n"/>
      <c r="AB270" s="28" t="n"/>
      <c r="AC270" s="30" t="n">
        <v>0.6135</v>
      </c>
      <c r="AD270" s="24" t="inlineStr">
        <is>
          <t>2026-07-31T00:55:25.417496Z</t>
        </is>
      </c>
      <c r="AE270" s="31" t="inlineStr">
        <is>
          <t>Surface-blended Elo on Hard: Peyton Stearns p=0.520 vs Tatiana Prozorova. Executable ask 0.6200 (aec-wta-tatpro-peyste-2026-07-30).</t>
        </is>
      </c>
      <c r="AF270" s="31" t="inlineStr">
        <is>
          <t>Research-only surface-blended Elo model; singles only, WTA-only market coverage, not yet locked-holdout qualified.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research_observation</t>
        </is>
      </c>
      <c r="AL270" s="26" t="n">
        <v>3</v>
      </c>
      <c r="AM270" s="24" t="inlineStr">
        <is>
          <t>RESEARCH_OBSERVATION</t>
        </is>
      </c>
      <c r="AN270" s="24" t="inlineStr">
        <is>
          <t>NO_CALL</t>
        </is>
      </c>
      <c r="AO270" s="24" t="inlineStr">
        <is>
          <t>NO_CALL_MODEL_UNVALIDATED</t>
        </is>
      </c>
      <c r="AP270" s="24" t="inlineStr">
        <is>
          <t>Peyton Stearns</t>
        </is>
      </c>
      <c r="AQ270" s="24" t="inlineStr">
        <is>
          <t>Peyton Stearns</t>
        </is>
      </c>
      <c r="AR270" s="24" t="inlineStr">
        <is>
          <t>Peyton Stearns</t>
        </is>
      </c>
      <c r="AS270" s="24" t="inlineStr">
        <is>
          <t>Tatiana Prozorova</t>
        </is>
      </c>
      <c r="AT270" s="24" t="inlineStr">
        <is>
          <t>Tatiana Prozorova</t>
        </is>
      </c>
      <c r="AU270" s="24" t="inlineStr">
        <is>
          <t>Tatiana Prozorova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research</t>
        </is>
      </c>
      <c r="BA270" s="24" t="inlineStr">
        <is>
          <t>73429bd71f12304106b9ffb751bd50617d5109d487f00de7ae2732f60e779590</t>
        </is>
      </c>
      <c r="BB270" s="24" t="inlineStr">
        <is>
          <t>surface_blended_elo</t>
        </is>
      </c>
      <c r="BC270" s="24" t="inlineStr">
        <is>
          <t>tennis-surface-elo-v1</t>
        </is>
      </c>
      <c r="BD270" s="24" t="inlineStr">
        <is>
          <t>73429bd71f12304106b9ffb751bd50617d5109d487f00de7ae2732f60e779590</t>
        </is>
      </c>
      <c r="BE270" s="24" t="inlineStr">
        <is>
          <t>tennis-surface-elo-v1</t>
        </is>
      </c>
      <c r="BF270" s="24" t="inlineStr">
        <is>
          <t>1</t>
        </is>
      </c>
      <c r="BG270" s="24" t="inlineStr">
        <is>
          <t>73429bd71f12304106b9ffb751bd50617d5109d487f00de7ae2732f60e779590</t>
        </is>
      </c>
      <c r="BH270" s="24" t="inlineStr">
        <is>
          <t>2026-07-30T17:35:55.334191Z</t>
        </is>
      </c>
      <c r="BI270" s="24" t="inlineStr">
        <is>
          <t>["same_event","same_team_same_day","same_league_same_day"]</t>
        </is>
      </c>
      <c r="BJ270" s="25" t="n"/>
      <c r="BK270" s="26" t="n">
        <v>-163</v>
      </c>
      <c r="BL270" s="27" t="n">
        <v>1.613497</v>
      </c>
      <c r="BM270" s="28" t="n">
        <v>0.619772</v>
      </c>
      <c r="BN270" s="28" t="n"/>
      <c r="BO270" s="28" t="n"/>
      <c r="BP270" s="25" t="n"/>
      <c r="BQ270" s="27" t="n"/>
      <c r="BR270" s="28" t="n"/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</row>
    <row r="271" ht="36" customHeight="1">
      <c r="A271" s="24" t="inlineStr">
        <is>
          <t>3163b0526e8c4451</t>
        </is>
      </c>
      <c r="B271" s="24" t="inlineStr">
        <is>
          <t>2026-07-30T21:08:44.901049Z</t>
        </is>
      </c>
      <c r="C271" s="24" t="inlineStr">
        <is>
          <t>2026-07-31T00:00Z</t>
        </is>
      </c>
      <c r="D271" s="24" t="inlineStr">
        <is>
          <t>888-2026:179008</t>
        </is>
      </c>
      <c r="E271" s="24" t="inlineStr">
        <is>
          <t>TENNIS</t>
        </is>
      </c>
      <c r="F271" s="24" t="inlineStr">
        <is>
          <t>Elina Svitolina</t>
        </is>
      </c>
      <c r="G271" s="24" t="inlineStr">
        <is>
          <t>Polina Kudermetova</t>
        </is>
      </c>
      <c r="H271" s="24" t="inlineStr">
        <is>
          <t>moneyline</t>
        </is>
      </c>
      <c r="I271" s="24" t="inlineStr">
        <is>
          <t>away</t>
        </is>
      </c>
      <c r="J271" s="25" t="n"/>
      <c r="K271" s="24" t="inlineStr">
        <is>
          <t>polymarket_us</t>
        </is>
      </c>
      <c r="L271" s="26" t="n">
        <v>-488</v>
      </c>
      <c r="M271" s="27" t="n">
        <v>1.204918</v>
      </c>
      <c r="N271" s="28" t="n">
        <v>0.829932</v>
      </c>
      <c r="O271" s="28" t="n">
        <v>0.7868270000000001</v>
      </c>
      <c r="P271" s="28" t="n">
        <v>0.05</v>
      </c>
      <c r="Q271" s="28" t="n">
        <v>-0.043105</v>
      </c>
      <c r="R271" s="26" t="n">
        <v>0</v>
      </c>
      <c r="S271" s="29" t="n">
        <v>2</v>
      </c>
      <c r="T271" s="24" t="inlineStr">
        <is>
          <t>tennis-surface-elo-v1</t>
        </is>
      </c>
      <c r="U271" s="24" t="inlineStr">
        <is>
          <t>settled</t>
        </is>
      </c>
      <c r="V271" s="24" t="inlineStr">
        <is>
          <t>win</t>
        </is>
      </c>
      <c r="W271" s="26" t="n">
        <v>1</v>
      </c>
      <c r="X271" s="26" t="n">
        <v>0</v>
      </c>
      <c r="Y271" s="25" t="n"/>
      <c r="Z271" s="26" t="n"/>
      <c r="AA271" s="28" t="n"/>
      <c r="AB271" s="28" t="n"/>
      <c r="AC271" s="30" t="n">
        <v>0.4098</v>
      </c>
      <c r="AD271" s="24" t="inlineStr">
        <is>
          <t>2026-07-31T04:29:41.497334Z</t>
        </is>
      </c>
      <c r="AE271" s="31" t="inlineStr">
        <is>
          <t>Surface-blended Elo on Hard: Elina Svitolina p=0.787 vs Polina Kudermetova. Executable ask 0.8300 (aec-wta-polkud-elisvi-2026-07-29).</t>
        </is>
      </c>
      <c r="AF271" s="31" t="inlineStr">
        <is>
          <t>Research-only surface-blended Elo model; singles only, WTA-only market coverage, not yet locked-holdout qualified.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research_observation</t>
        </is>
      </c>
      <c r="AL271" s="26" t="n">
        <v>3</v>
      </c>
      <c r="AM271" s="24" t="inlineStr">
        <is>
          <t>RESEARCH_OBSERVATION</t>
        </is>
      </c>
      <c r="AN271" s="24" t="inlineStr">
        <is>
          <t>NO_CALL</t>
        </is>
      </c>
      <c r="AO271" s="24" t="inlineStr">
        <is>
          <t>NO_CALL_MODEL_UNVALIDATED</t>
        </is>
      </c>
      <c r="AP271" s="24" t="inlineStr">
        <is>
          <t>Elina Svitolina</t>
        </is>
      </c>
      <c r="AQ271" s="24" t="inlineStr">
        <is>
          <t>Elina Svitolina</t>
        </is>
      </c>
      <c r="AR271" s="24" t="inlineStr">
        <is>
          <t>Elina Svitolina</t>
        </is>
      </c>
      <c r="AS271" s="24" t="inlineStr">
        <is>
          <t>Polina Kudermetova</t>
        </is>
      </c>
      <c r="AT271" s="24" t="inlineStr">
        <is>
          <t>Polina Kudermetova</t>
        </is>
      </c>
      <c r="AU271" s="24" t="inlineStr">
        <is>
          <t>Polina Kudermetova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research</t>
        </is>
      </c>
      <c r="BA271" s="24" t="inlineStr">
        <is>
          <t>73429bd71f12304106b9ffb751bd50617d5109d487f00de7ae2732f60e779590</t>
        </is>
      </c>
      <c r="BB271" s="24" t="inlineStr">
        <is>
          <t>surface_blended_elo</t>
        </is>
      </c>
      <c r="BC271" s="24" t="inlineStr">
        <is>
          <t>tennis-surface-elo-v1</t>
        </is>
      </c>
      <c r="BD271" s="24" t="inlineStr">
        <is>
          <t>73429bd71f12304106b9ffb751bd50617d5109d487f00de7ae2732f60e779590</t>
        </is>
      </c>
      <c r="BE271" s="24" t="inlineStr">
        <is>
          <t>tennis-surface-elo-v1</t>
        </is>
      </c>
      <c r="BF271" s="24" t="inlineStr">
        <is>
          <t>1</t>
        </is>
      </c>
      <c r="BG271" s="24" t="inlineStr">
        <is>
          <t>73429bd71f12304106b9ffb751bd50617d5109d487f00de7ae2732f60e779590</t>
        </is>
      </c>
      <c r="BH271" s="24" t="inlineStr">
        <is>
          <t>2026-07-30T21:07:30.038443Z</t>
        </is>
      </c>
      <c r="BI271" s="24" t="inlineStr">
        <is>
          <t>["same_event","same_team_same_day","same_league_same_day"]</t>
        </is>
      </c>
      <c r="BJ271" s="25" t="n"/>
      <c r="BK271" s="26" t="n">
        <v>-488</v>
      </c>
      <c r="BL271" s="27" t="n">
        <v>1.204918</v>
      </c>
      <c r="BM271" s="28" t="n">
        <v>0.829932</v>
      </c>
      <c r="BN271" s="28" t="n"/>
      <c r="BO271" s="28" t="n"/>
      <c r="BP271" s="25" t="n"/>
      <c r="BQ271" s="27" t="n"/>
      <c r="BR271" s="28" t="n"/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</row>
    <row r="272" ht="36" customHeight="1">
      <c r="A272" s="24" t="inlineStr">
        <is>
          <t>b4dca212b13d4b27</t>
        </is>
      </c>
      <c r="B272" s="24" t="inlineStr">
        <is>
          <t>2026-07-30T21:08:44.901049Z</t>
        </is>
      </c>
      <c r="C272" s="24" t="inlineStr">
        <is>
          <t>2026-07-30T23:00Z</t>
        </is>
      </c>
      <c r="D272" s="24" t="inlineStr">
        <is>
          <t>1067-2026:179463</t>
        </is>
      </c>
      <c r="E272" s="24" t="inlineStr">
        <is>
          <t>TENNIS</t>
        </is>
      </c>
      <c r="F272" s="24" t="inlineStr">
        <is>
          <t>Darja Vidmanova</t>
        </is>
      </c>
      <c r="G272" s="24" t="inlineStr">
        <is>
          <t>Sloane Stephens</t>
        </is>
      </c>
      <c r="H272" s="24" t="inlineStr">
        <is>
          <t>moneyline</t>
        </is>
      </c>
      <c r="I272" s="24" t="inlineStr">
        <is>
          <t>away</t>
        </is>
      </c>
      <c r="J272" s="25" t="n"/>
      <c r="K272" s="24" t="inlineStr">
        <is>
          <t>polymarket_us</t>
        </is>
      </c>
      <c r="L272" s="26" t="n">
        <v>-150</v>
      </c>
      <c r="M272" s="27" t="n">
        <v>1.666667</v>
      </c>
      <c r="N272" s="28" t="n">
        <v>0.6</v>
      </c>
      <c r="O272" s="28" t="n">
        <v>0.715942</v>
      </c>
      <c r="P272" s="28" t="n">
        <v>0.05</v>
      </c>
      <c r="Q272" s="28" t="n">
        <v>0.115942</v>
      </c>
      <c r="R272" s="26" t="n">
        <v>78</v>
      </c>
      <c r="S272" s="29" t="n">
        <v>2</v>
      </c>
      <c r="T272" s="24" t="inlineStr">
        <is>
          <t>tennis-surface-elo-v1</t>
        </is>
      </c>
      <c r="U272" s="24" t="inlineStr">
        <is>
          <t>settled</t>
        </is>
      </c>
      <c r="V272" s="24" t="inlineStr">
        <is>
          <t>win</t>
        </is>
      </c>
      <c r="W272" s="26" t="n">
        <v>1</v>
      </c>
      <c r="X272" s="26" t="n">
        <v>0</v>
      </c>
      <c r="Y272" s="25" t="n"/>
      <c r="Z272" s="26" t="n"/>
      <c r="AA272" s="28" t="n"/>
      <c r="AB272" s="28" t="n"/>
      <c r="AC272" s="30" t="n">
        <v>1.3333</v>
      </c>
      <c r="AD272" s="24" t="inlineStr">
        <is>
          <t>2026-07-31T00:55:25.605879Z</t>
        </is>
      </c>
      <c r="AE272" s="31" t="inlineStr">
        <is>
          <t>Surface-blended Elo on Hard: Darja Vidmanova p=0.716 vs Sloane Stephens. Executable ask 0.6000 (aec-wta-sloste-darvid-2026-07-30).</t>
        </is>
      </c>
      <c r="AF272" s="31" t="inlineStr">
        <is>
          <t>Research-only surface-blended Elo model; singles only, WTA-only market coverage, not yet locked-holdout qualified.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research_observation</t>
        </is>
      </c>
      <c r="AL272" s="26" t="n">
        <v>3</v>
      </c>
      <c r="AM272" s="24" t="inlineStr">
        <is>
          <t>RESEARCH_OBSERVATION</t>
        </is>
      </c>
      <c r="AN272" s="24" t="inlineStr">
        <is>
          <t>NO_CALL</t>
        </is>
      </c>
      <c r="AO272" s="24" t="inlineStr">
        <is>
          <t>NO_CALL_MODEL_UNVALIDATED</t>
        </is>
      </c>
      <c r="AP272" s="24" t="inlineStr">
        <is>
          <t>Darja Vidmanova</t>
        </is>
      </c>
      <c r="AQ272" s="24" t="inlineStr">
        <is>
          <t>Darja Vidmanova</t>
        </is>
      </c>
      <c r="AR272" s="24" t="inlineStr">
        <is>
          <t>Darja Vidmanova</t>
        </is>
      </c>
      <c r="AS272" s="24" t="inlineStr">
        <is>
          <t>Sloane Stephens</t>
        </is>
      </c>
      <c r="AT272" s="24" t="inlineStr">
        <is>
          <t>Sloane Stephens</t>
        </is>
      </c>
      <c r="AU272" s="24" t="inlineStr">
        <is>
          <t>Sloane Stephens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research</t>
        </is>
      </c>
      <c r="BA272" s="24" t="inlineStr">
        <is>
          <t>73429bd71f12304106b9ffb751bd50617d5109d487f00de7ae2732f60e779590</t>
        </is>
      </c>
      <c r="BB272" s="24" t="inlineStr">
        <is>
          <t>surface_blended_elo</t>
        </is>
      </c>
      <c r="BC272" s="24" t="inlineStr">
        <is>
          <t>tennis-surface-elo-v1</t>
        </is>
      </c>
      <c r="BD272" s="24" t="inlineStr">
        <is>
          <t>73429bd71f12304106b9ffb751bd50617d5109d487f00de7ae2732f60e779590</t>
        </is>
      </c>
      <c r="BE272" s="24" t="inlineStr">
        <is>
          <t>tennis-surface-elo-v1</t>
        </is>
      </c>
      <c r="BF272" s="24" t="inlineStr">
        <is>
          <t>1</t>
        </is>
      </c>
      <c r="BG272" s="24" t="inlineStr">
        <is>
          <t>73429bd71f12304106b9ffb751bd50617d5109d487f00de7ae2732f60e779590</t>
        </is>
      </c>
      <c r="BH272" s="24" t="inlineStr">
        <is>
          <t>2026-07-30T21:07:28.830238Z</t>
        </is>
      </c>
      <c r="BI272" s="24" t="inlineStr">
        <is>
          <t>["same_event","same_team_same_day","same_league_same_day"]</t>
        </is>
      </c>
      <c r="BJ272" s="25" t="n"/>
      <c r="BK272" s="26" t="n">
        <v>-150</v>
      </c>
      <c r="BL272" s="27" t="n">
        <v>1.666667</v>
      </c>
      <c r="BM272" s="28" t="n">
        <v>0.6</v>
      </c>
      <c r="BN272" s="28" t="n"/>
      <c r="BO272" s="28" t="n"/>
      <c r="BP272" s="25" t="n"/>
      <c r="BQ272" s="27" t="n"/>
      <c r="BR272" s="28" t="n"/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</row>
    <row r="273" ht="36" customHeight="1">
      <c r="A273" s="24" t="inlineStr">
        <is>
          <t>7bb16946fcf94c7d</t>
        </is>
      </c>
      <c r="B273" s="24" t="inlineStr">
        <is>
          <t>2026-07-31T07:33:41.738469Z</t>
        </is>
      </c>
      <c r="C273" s="24" t="inlineStr">
        <is>
          <t>2026-07-31T09:00Z</t>
        </is>
      </c>
      <c r="D273" s="24" t="inlineStr">
        <is>
          <t>1073-2026:179596</t>
        </is>
      </c>
      <c r="E273" s="24" t="inlineStr">
        <is>
          <t>TENNIS</t>
        </is>
      </c>
      <c r="F273" s="24" t="inlineStr">
        <is>
          <t>Carole Monnet</t>
        </is>
      </c>
      <c r="G273" s="24" t="inlineStr">
        <is>
          <t>Kaitlin Quevedo</t>
        </is>
      </c>
      <c r="H273" s="24" t="inlineStr">
        <is>
          <t>moneyline</t>
        </is>
      </c>
      <c r="I273" s="24" t="inlineStr">
        <is>
          <t>home</t>
        </is>
      </c>
      <c r="J273" s="25" t="n"/>
      <c r="K273" s="24" t="inlineStr">
        <is>
          <t>polymarket_us</t>
        </is>
      </c>
      <c r="L273" s="26" t="n">
        <v>-335</v>
      </c>
      <c r="M273" s="27" t="n">
        <v>1.298507</v>
      </c>
      <c r="N273" s="28" t="n">
        <v>0.770115</v>
      </c>
      <c r="O273" s="28" t="n">
        <v>0.66466</v>
      </c>
      <c r="P273" s="28" t="n">
        <v>0.05</v>
      </c>
      <c r="Q273" s="28" t="n">
        <v>-0.105455</v>
      </c>
      <c r="R273" s="26" t="n">
        <v>0</v>
      </c>
      <c r="S273" s="29" t="n">
        <v>1.75</v>
      </c>
      <c r="T273" s="24" t="inlineStr">
        <is>
          <t>tennis-surface-elo-v1</t>
        </is>
      </c>
      <c r="U273" s="24" t="inlineStr">
        <is>
          <t>settled</t>
        </is>
      </c>
      <c r="V273" s="24" t="inlineStr">
        <is>
          <t>win</t>
        </is>
      </c>
      <c r="W273" s="26" t="n">
        <v>0</v>
      </c>
      <c r="X273" s="26" t="n">
        <v>1</v>
      </c>
      <c r="Y273" s="25" t="n"/>
      <c r="Z273" s="26" t="n">
        <v>-335</v>
      </c>
      <c r="AA273" s="28" t="n">
        <v>0.77</v>
      </c>
      <c r="AB273" s="28" t="n">
        <v>-0.000115</v>
      </c>
      <c r="AC273" s="30" t="n">
        <v>0.5224</v>
      </c>
      <c r="AD273" s="24" t="inlineStr">
        <is>
          <t>2026-07-31T11:12:20.264183Z</t>
        </is>
      </c>
      <c r="AE273" s="31" t="inlineStr">
        <is>
          <t>Surface-blended Elo on Hard: Carole Monnet p=0.335 vs Kaitlin Quevedo. Executable ask 0.7700 (aec-wta-kaique-carmon-2026-07-31).</t>
        </is>
      </c>
      <c r="AF273" s="31" t="inlineStr">
        <is>
          <t>Research-only surface-blended Elo model; singles only, WTA-only market coverage, not yet locked-holdout qualified.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research_observation</t>
        </is>
      </c>
      <c r="AL273" s="26" t="n">
        <v>3</v>
      </c>
      <c r="AM273" s="24" t="inlineStr">
        <is>
          <t>RESEARCH_OBSERVATION</t>
        </is>
      </c>
      <c r="AN273" s="24" t="inlineStr">
        <is>
          <t>NO_CALL</t>
        </is>
      </c>
      <c r="AO273" s="24" t="inlineStr">
        <is>
          <t>NO_CALL_MODEL_UNVALIDATED</t>
        </is>
      </c>
      <c r="AP273" s="24" t="inlineStr">
        <is>
          <t>Carole Monnet</t>
        </is>
      </c>
      <c r="AQ273" s="24" t="inlineStr">
        <is>
          <t>Carole Monnet</t>
        </is>
      </c>
      <c r="AR273" s="24" t="inlineStr">
        <is>
          <t>Carole Monnet</t>
        </is>
      </c>
      <c r="AS273" s="24" t="inlineStr">
        <is>
          <t>Kaitlin Quevedo</t>
        </is>
      </c>
      <c r="AT273" s="24" t="inlineStr">
        <is>
          <t>Kaitlin Quevedo</t>
        </is>
      </c>
      <c r="AU273" s="24" t="inlineStr">
        <is>
          <t>Kaitlin Quevedo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research</t>
        </is>
      </c>
      <c r="BA273" s="24" t="inlineStr">
        <is>
          <t>73429bd71f12304106b9ffb751bd50617d5109d487f00de7ae2732f60e779590</t>
        </is>
      </c>
      <c r="BB273" s="24" t="inlineStr">
        <is>
          <t>surface_blended_elo</t>
        </is>
      </c>
      <c r="BC273" s="24" t="inlineStr">
        <is>
          <t>tennis-surface-elo-v1</t>
        </is>
      </c>
      <c r="BD273" s="24" t="inlineStr">
        <is>
          <t>73429bd71f12304106b9ffb751bd50617d5109d487f00de7ae2732f60e779590</t>
        </is>
      </c>
      <c r="BE273" s="24" t="inlineStr">
        <is>
          <t>tennis-surface-elo-v1</t>
        </is>
      </c>
      <c r="BF273" s="24" t="inlineStr">
        <is>
          <t>1</t>
        </is>
      </c>
      <c r="BG273" s="24" t="inlineStr">
        <is>
          <t>73429bd71f12304106b9ffb751bd50617d5109d487f00de7ae2732f60e779590</t>
        </is>
      </c>
      <c r="BH273" s="24" t="inlineStr">
        <is>
          <t>2026-07-31T07:30:42.946104Z</t>
        </is>
      </c>
      <c r="BI273" s="24" t="inlineStr">
        <is>
          <t>["same_event","same_team_same_day","same_league_same_day"]</t>
        </is>
      </c>
      <c r="BJ273" s="25" t="n"/>
      <c r="BK273" s="26" t="n">
        <v>-335</v>
      </c>
      <c r="BL273" s="27" t="n">
        <v>1.298507</v>
      </c>
      <c r="BM273" s="28" t="n">
        <v>0.770115</v>
      </c>
      <c r="BN273" s="28" t="n"/>
      <c r="BO273" s="28" t="n"/>
      <c r="BP273" s="25" t="n"/>
      <c r="BQ273" s="27" t="n">
        <v>1.298507</v>
      </c>
      <c r="BR273" s="28" t="n">
        <v>0.77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</row>
    <row r="274" ht="36" customHeight="1">
      <c r="A274" s="24" t="inlineStr">
        <is>
          <t>6de838ef45f24790</t>
        </is>
      </c>
      <c r="B274" s="24" t="inlineStr">
        <is>
          <t>2026-07-31T07:33:41.738469Z</t>
        </is>
      </c>
      <c r="C274" s="24" t="inlineStr">
        <is>
          <t>2026-07-31T09:00Z</t>
        </is>
      </c>
      <c r="D274" s="24" t="inlineStr">
        <is>
          <t>1073-2026:179592</t>
        </is>
      </c>
      <c r="E274" s="24" t="inlineStr">
        <is>
          <t>TENNIS</t>
        </is>
      </c>
      <c r="F274" s="24" t="inlineStr">
        <is>
          <t>Mia Ristic</t>
        </is>
      </c>
      <c r="G274" s="24" t="inlineStr">
        <is>
          <t>Laura Samson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-127</v>
      </c>
      <c r="M274" s="27" t="n">
        <v>1.787402</v>
      </c>
      <c r="N274" s="28" t="n">
        <v>0.5594710000000001</v>
      </c>
      <c r="O274" s="28" t="n">
        <v>0.520483</v>
      </c>
      <c r="P274" s="28" t="n">
        <v>0.05</v>
      </c>
      <c r="Q274" s="28" t="n">
        <v>-0.038988</v>
      </c>
      <c r="R274" s="26" t="n">
        <v>1</v>
      </c>
      <c r="S274" s="29" t="n">
        <v>1</v>
      </c>
      <c r="T274" s="24" t="inlineStr">
        <is>
          <t>tennis-surface-elo-v1</t>
        </is>
      </c>
      <c r="U274" s="24" t="inlineStr">
        <is>
          <t>settled</t>
        </is>
      </c>
      <c r="V274" s="24" t="inlineStr">
        <is>
          <t>win</t>
        </is>
      </c>
      <c r="W274" s="26" t="n">
        <v>0</v>
      </c>
      <c r="X274" s="26" t="n">
        <v>1</v>
      </c>
      <c r="Y274" s="25" t="n"/>
      <c r="Z274" s="26" t="n">
        <v>-127</v>
      </c>
      <c r="AA274" s="28" t="n">
        <v>0.5600000000000001</v>
      </c>
      <c r="AB274" s="28" t="n">
        <v>0.000529</v>
      </c>
      <c r="AC274" s="30" t="n">
        <v>0.7874</v>
      </c>
      <c r="AD274" s="24" t="inlineStr">
        <is>
          <t>2026-07-31T13:38:57.047753Z</t>
        </is>
      </c>
      <c r="AE274" s="31" t="inlineStr">
        <is>
          <t>Surface-blended Elo on Hard: Mia Ristic p=0.480 vs Laura Samson. Executable ask 0.5600 (aec-wta-lausam-miaris-2026-07-31).</t>
        </is>
      </c>
      <c r="AF274" s="31" t="inlineStr">
        <is>
          <t>Research-only surface-blended Elo model; singles only, WTA-only market coverage, not yet locked-holdout qualified.</t>
        </is>
      </c>
      <c r="AG274" s="24" t="inlineStr">
        <is>
          <t>not_applicable</t>
        </is>
      </c>
      <c r="AH274" s="24" t="n"/>
      <c r="AI274" s="31" t="n"/>
      <c r="AJ274" s="31" t="n"/>
      <c r="AK274" s="24" t="inlineStr">
        <is>
          <t>research_observation</t>
        </is>
      </c>
      <c r="AL274" s="26" t="n">
        <v>3</v>
      </c>
      <c r="AM274" s="24" t="inlineStr">
        <is>
          <t>RESEARCH_OBSERVATION</t>
        </is>
      </c>
      <c r="AN274" s="24" t="inlineStr">
        <is>
          <t>NO_CALL</t>
        </is>
      </c>
      <c r="AO274" s="24" t="inlineStr">
        <is>
          <t>NO_CALL_MODEL_UNVALIDATED</t>
        </is>
      </c>
      <c r="AP274" s="24" t="inlineStr">
        <is>
          <t>Mia Ristic</t>
        </is>
      </c>
      <c r="AQ274" s="24" t="inlineStr">
        <is>
          <t>Mia Ristic</t>
        </is>
      </c>
      <c r="AR274" s="24" t="inlineStr">
        <is>
          <t>Mia Ristic</t>
        </is>
      </c>
      <c r="AS274" s="24" t="inlineStr">
        <is>
          <t>Laura Samson</t>
        </is>
      </c>
      <c r="AT274" s="24" t="inlineStr">
        <is>
          <t>Laura Samson</t>
        </is>
      </c>
      <c r="AU274" s="24" t="inlineStr">
        <is>
          <t>Laura Samson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research</t>
        </is>
      </c>
      <c r="BA274" s="24" t="inlineStr">
        <is>
          <t>73429bd71f12304106b9ffb751bd50617d5109d487f00de7ae2732f60e779590</t>
        </is>
      </c>
      <c r="BB274" s="24" t="inlineStr">
        <is>
          <t>surface_blended_elo</t>
        </is>
      </c>
      <c r="BC274" s="24" t="inlineStr">
        <is>
          <t>tennis-surface-elo-v1</t>
        </is>
      </c>
      <c r="BD274" s="24" t="inlineStr">
        <is>
          <t>73429bd71f12304106b9ffb751bd50617d5109d487f00de7ae2732f60e779590</t>
        </is>
      </c>
      <c r="BE274" s="24" t="inlineStr">
        <is>
          <t>tennis-surface-elo-v1</t>
        </is>
      </c>
      <c r="BF274" s="24" t="inlineStr">
        <is>
          <t>1</t>
        </is>
      </c>
      <c r="BG274" s="24" t="inlineStr">
        <is>
          <t>73429bd71f12304106b9ffb751bd50617d5109d487f00de7ae2732f60e779590</t>
        </is>
      </c>
      <c r="BH274" s="24" t="inlineStr">
        <is>
          <t>2026-07-31T07:30:42.939960Z</t>
        </is>
      </c>
      <c r="BI274" s="24" t="inlineStr">
        <is>
          <t>["same_event","same_team_same_day","same_league_same_day"]</t>
        </is>
      </c>
      <c r="BJ274" s="25" t="n"/>
      <c r="BK274" s="26" t="n">
        <v>-127</v>
      </c>
      <c r="BL274" s="27" t="n">
        <v>1.787402</v>
      </c>
      <c r="BM274" s="28" t="n">
        <v>0.5594710000000001</v>
      </c>
      <c r="BN274" s="28" t="n"/>
      <c r="BO274" s="28" t="n"/>
      <c r="BP274" s="25" t="n"/>
      <c r="BQ274" s="27" t="n">
        <v>1.787402</v>
      </c>
      <c r="BR274" s="28" t="n">
        <v>0.5600000000000001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</row>
    <row r="275" ht="36" customHeight="1">
      <c r="A275" s="24" t="inlineStr">
        <is>
          <t>a006a9beeb6546ec</t>
        </is>
      </c>
      <c r="B275" s="24" t="inlineStr">
        <is>
          <t>2026-07-31T07:33:41.738469Z</t>
        </is>
      </c>
      <c r="C275" s="24" t="inlineStr">
        <is>
          <t>2026-07-31T10:30Z</t>
        </is>
      </c>
      <c r="D275" s="24" t="inlineStr">
        <is>
          <t>1073-2026:179595</t>
        </is>
      </c>
      <c r="E275" s="24" t="inlineStr">
        <is>
          <t>TENNIS</t>
        </is>
      </c>
      <c r="F275" s="24" t="inlineStr">
        <is>
          <t>Alice Rame</t>
        </is>
      </c>
      <c r="G275" s="24" t="inlineStr">
        <is>
          <t>Francesca Jones</t>
        </is>
      </c>
      <c r="H275" s="24" t="inlineStr">
        <is>
          <t>moneyline</t>
        </is>
      </c>
      <c r="I275" s="24" t="inlineStr">
        <is>
          <t>home</t>
        </is>
      </c>
      <c r="J275" s="25" t="n"/>
      <c r="K275" s="24" t="inlineStr">
        <is>
          <t>polymarket_us</t>
        </is>
      </c>
      <c r="L275" s="26" t="n">
        <v>-669</v>
      </c>
      <c r="M275" s="27" t="n">
        <v>1.149477</v>
      </c>
      <c r="N275" s="28" t="n">
        <v>0.869961</v>
      </c>
      <c r="O275" s="28" t="n">
        <v>0.771104</v>
      </c>
      <c r="P275" s="28" t="n">
        <v>0.05</v>
      </c>
      <c r="Q275" s="28" t="n">
        <v>-0.098857</v>
      </c>
      <c r="R275" s="26" t="n">
        <v>0</v>
      </c>
      <c r="S275" s="29" t="n">
        <v>2</v>
      </c>
      <c r="T275" s="24" t="inlineStr">
        <is>
          <t>tennis-surface-elo-v1</t>
        </is>
      </c>
      <c r="U275" s="24" t="inlineStr">
        <is>
          <t>settled</t>
        </is>
      </c>
      <c r="V275" s="24" t="inlineStr">
        <is>
          <t>win</t>
        </is>
      </c>
      <c r="W275" s="26" t="n">
        <v>0</v>
      </c>
      <c r="X275" s="26" t="n">
        <v>1</v>
      </c>
      <c r="Y275" s="25" t="n"/>
      <c r="Z275" s="26" t="n">
        <v>-669</v>
      </c>
      <c r="AA275" s="28" t="n">
        <v>0.87</v>
      </c>
      <c r="AB275" s="28" t="n">
        <v>3.9e-05</v>
      </c>
      <c r="AC275" s="30" t="n">
        <v>0.299</v>
      </c>
      <c r="AD275" s="24" t="inlineStr">
        <is>
          <t>2026-07-31T13:38:57.289362Z</t>
        </is>
      </c>
      <c r="AE275" s="31" t="inlineStr">
        <is>
          <t>Surface-blended Elo on Hard: Alice Rame p=0.229 vs Francesca Jones. Executable ask 0.8700 (aec-wta-frajon-aliram-2026-07-31).</t>
        </is>
      </c>
      <c r="AF275" s="31" t="inlineStr">
        <is>
          <t>Research-only surface-blended Elo model; singles only, WTA-only market coverage, not yet locked-holdout qualified.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research_observation</t>
        </is>
      </c>
      <c r="AL275" s="26" t="n">
        <v>3</v>
      </c>
      <c r="AM275" s="24" t="inlineStr">
        <is>
          <t>RESEARCH_OBSERVATION</t>
        </is>
      </c>
      <c r="AN275" s="24" t="inlineStr">
        <is>
          <t>NO_CALL</t>
        </is>
      </c>
      <c r="AO275" s="24" t="inlineStr">
        <is>
          <t>NO_CALL_MODEL_UNVALIDATED</t>
        </is>
      </c>
      <c r="AP275" s="24" t="inlineStr">
        <is>
          <t>Alice Rame</t>
        </is>
      </c>
      <c r="AQ275" s="24" t="inlineStr">
        <is>
          <t>Alice Rame</t>
        </is>
      </c>
      <c r="AR275" s="24" t="inlineStr">
        <is>
          <t>Alice Rame</t>
        </is>
      </c>
      <c r="AS275" s="24" t="inlineStr">
        <is>
          <t>Francesca Jones</t>
        </is>
      </c>
      <c r="AT275" s="24" t="inlineStr">
        <is>
          <t>Francesca Jones</t>
        </is>
      </c>
      <c r="AU275" s="24" t="inlineStr">
        <is>
          <t>Francesca Jones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research</t>
        </is>
      </c>
      <c r="BA275" s="24" t="inlineStr">
        <is>
          <t>73429bd71f12304106b9ffb751bd50617d5109d487f00de7ae2732f60e779590</t>
        </is>
      </c>
      <c r="BB275" s="24" t="inlineStr">
        <is>
          <t>surface_blended_elo</t>
        </is>
      </c>
      <c r="BC275" s="24" t="inlineStr">
        <is>
          <t>tennis-surface-elo-v1</t>
        </is>
      </c>
      <c r="BD275" s="24" t="inlineStr">
        <is>
          <t>73429bd71f12304106b9ffb751bd50617d5109d487f00de7ae2732f60e779590</t>
        </is>
      </c>
      <c r="BE275" s="24" t="inlineStr">
        <is>
          <t>tennis-surface-elo-v1</t>
        </is>
      </c>
      <c r="BF275" s="24" t="inlineStr">
        <is>
          <t>1</t>
        </is>
      </c>
      <c r="BG275" s="24" t="inlineStr">
        <is>
          <t>73429bd71f12304106b9ffb751bd50617d5109d487f00de7ae2732f60e779590</t>
        </is>
      </c>
      <c r="BH275" s="24" t="inlineStr">
        <is>
          <t>2026-07-31T07:30:42.885586Z</t>
        </is>
      </c>
      <c r="BI275" s="24" t="inlineStr">
        <is>
          <t>["same_event","same_team_same_day","same_league_same_day"]</t>
        </is>
      </c>
      <c r="BJ275" s="25" t="n"/>
      <c r="BK275" s="26" t="n">
        <v>-669</v>
      </c>
      <c r="BL275" s="27" t="n">
        <v>1.149477</v>
      </c>
      <c r="BM275" s="28" t="n">
        <v>0.869961</v>
      </c>
      <c r="BN275" s="28" t="n"/>
      <c r="BO275" s="28" t="n"/>
      <c r="BP275" s="25" t="n"/>
      <c r="BQ275" s="27" t="n">
        <v>1.149477</v>
      </c>
      <c r="BR275" s="28" t="n">
        <v>0.87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</row>
    <row r="276" ht="36" customHeight="1">
      <c r="A276" s="24" t="inlineStr">
        <is>
          <t>0a5265c9624b4e6d</t>
        </is>
      </c>
      <c r="B276" s="24" t="inlineStr">
        <is>
          <t>2026-07-31T13:42:17.041144Z</t>
        </is>
      </c>
      <c r="C276" s="24" t="inlineStr">
        <is>
          <t>2026-07-31T16:00Z</t>
        </is>
      </c>
      <c r="D276" s="24" t="inlineStr">
        <is>
          <t>888-2026:179006</t>
        </is>
      </c>
      <c r="E276" s="24" t="inlineStr">
        <is>
          <t>TENNIS</t>
        </is>
      </c>
      <c r="F276" s="24" t="inlineStr">
        <is>
          <t>Anna Kalinskaya</t>
        </is>
      </c>
      <c r="G276" s="24" t="inlineStr">
        <is>
          <t>Jessica Pegula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polymarket_us</t>
        </is>
      </c>
      <c r="L276" s="26" t="n">
        <v>-270</v>
      </c>
      <c r="M276" s="27" t="n">
        <v>1.37037</v>
      </c>
      <c r="N276" s="28" t="n">
        <v>0.72973</v>
      </c>
      <c r="O276" s="28" t="n">
        <v>0.790175</v>
      </c>
      <c r="P276" s="28" t="n">
        <v>0.05</v>
      </c>
      <c r="Q276" s="28" t="n">
        <v>0.060445</v>
      </c>
      <c r="R276" s="26" t="n">
        <v>50</v>
      </c>
      <c r="S276" s="29" t="n">
        <v>2</v>
      </c>
      <c r="T276" s="24" t="inlineStr">
        <is>
          <t>tennis-surface-elo-v1</t>
        </is>
      </c>
      <c r="U276" s="24" t="inlineStr">
        <is>
          <t>settled</t>
        </is>
      </c>
      <c r="V276" s="24" t="inlineStr">
        <is>
          <t>win</t>
        </is>
      </c>
      <c r="W276" s="26" t="n">
        <v>0</v>
      </c>
      <c r="X276" s="26" t="n">
        <v>1</v>
      </c>
      <c r="Y276" s="25" t="n"/>
      <c r="Z276" s="26" t="n">
        <v>-270</v>
      </c>
      <c r="AA276" s="28" t="n">
        <v>0.73</v>
      </c>
      <c r="AB276" s="28" t="n">
        <v>0.00027</v>
      </c>
      <c r="AC276" s="30" t="n">
        <v>0.7407</v>
      </c>
      <c r="AD276" s="24" t="inlineStr">
        <is>
          <t>2026-07-31T19:51:19.971117Z</t>
        </is>
      </c>
      <c r="AE276" s="31" t="inlineStr">
        <is>
          <t>Surface-blended Elo on Hard: Anna Kalinskaya p=0.210 vs Jessica Pegula. Executable ask 0.7300 (aec-wta-jespeg-annkal-2026-07-31).</t>
        </is>
      </c>
      <c r="AF276" s="31" t="inlineStr">
        <is>
          <t>Research-only surface-blended Elo model; singles only, WTA-only market coverage, not yet locked-holdout qualified.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research_observation</t>
        </is>
      </c>
      <c r="AL276" s="26" t="n">
        <v>3</v>
      </c>
      <c r="AM276" s="24" t="inlineStr">
        <is>
          <t>RESEARCH_OBSERVATION</t>
        </is>
      </c>
      <c r="AN276" s="24" t="inlineStr">
        <is>
          <t>NO_CALL</t>
        </is>
      </c>
      <c r="AO276" s="24" t="inlineStr">
        <is>
          <t>NO_CALL_MODEL_UNVALIDATED</t>
        </is>
      </c>
      <c r="AP276" s="24" t="inlineStr">
        <is>
          <t>Anna Kalinskaya</t>
        </is>
      </c>
      <c r="AQ276" s="24" t="inlineStr">
        <is>
          <t>Anna Kalinskaya</t>
        </is>
      </c>
      <c r="AR276" s="24" t="inlineStr">
        <is>
          <t>Anna Kalinskaya</t>
        </is>
      </c>
      <c r="AS276" s="24" t="inlineStr">
        <is>
          <t>Jessica Pegula</t>
        </is>
      </c>
      <c r="AT276" s="24" t="inlineStr">
        <is>
          <t>Jessica Pegula</t>
        </is>
      </c>
      <c r="AU276" s="24" t="inlineStr">
        <is>
          <t>Jessica Pegula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research</t>
        </is>
      </c>
      <c r="BA276" s="24" t="inlineStr">
        <is>
          <t>999faa03e2fa83bdf40e3760cb8645b4c314e4cc37c2050b8320d6582c4d8167</t>
        </is>
      </c>
      <c r="BB276" s="24" t="inlineStr">
        <is>
          <t>surface_blended_elo</t>
        </is>
      </c>
      <c r="BC276" s="24" t="inlineStr">
        <is>
          <t>tennis-surface-elo-v1</t>
        </is>
      </c>
      <c r="BD276" s="24" t="inlineStr">
        <is>
          <t>999faa03e2fa83bdf40e3760cb8645b4c314e4cc37c2050b8320d6582c4d8167</t>
        </is>
      </c>
      <c r="BE276" s="24" t="inlineStr">
        <is>
          <t>tennis-surface-elo-v1</t>
        </is>
      </c>
      <c r="BF276" s="24" t="inlineStr">
        <is>
          <t>1</t>
        </is>
      </c>
      <c r="BG276" s="24" t="inlineStr">
        <is>
          <t>999faa03e2fa83bdf40e3760cb8645b4c314e4cc37c2050b8320d6582c4d8167</t>
        </is>
      </c>
      <c r="BH276" s="24" t="inlineStr">
        <is>
          <t>2026-07-31T13:39:50.860788Z</t>
        </is>
      </c>
      <c r="BI276" s="24" t="inlineStr">
        <is>
          <t>["same_event","same_team_same_day","same_league_same_day"]</t>
        </is>
      </c>
      <c r="BJ276" s="25" t="n"/>
      <c r="BK276" s="26" t="n">
        <v>-270</v>
      </c>
      <c r="BL276" s="27" t="n">
        <v>1.37037</v>
      </c>
      <c r="BM276" s="28" t="n">
        <v>0.72973</v>
      </c>
      <c r="BN276" s="28" t="n"/>
      <c r="BO276" s="28" t="n"/>
      <c r="BP276" s="25" t="n"/>
      <c r="BQ276" s="27" t="n">
        <v>1.37037</v>
      </c>
      <c r="BR276" s="28" t="n">
        <v>0.73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</row>
    <row r="277" ht="36" customHeight="1">
      <c r="A277" s="24" t="inlineStr">
        <is>
          <t>5ff33ec3de68414f</t>
        </is>
      </c>
      <c r="B277" s="24" t="inlineStr">
        <is>
          <t>2026-07-31T13:42:17.041144Z</t>
        </is>
      </c>
      <c r="C277" s="24" t="inlineStr">
        <is>
          <t>2026-07-31T14:00Z</t>
        </is>
      </c>
      <c r="D277" s="24" t="inlineStr">
        <is>
          <t>1073-2026:179594</t>
        </is>
      </c>
      <c r="E277" s="24" t="inlineStr">
        <is>
          <t>TENNIS</t>
        </is>
      </c>
      <c r="F277" s="24" t="inlineStr">
        <is>
          <t>Lucia Bronzetti</t>
        </is>
      </c>
      <c r="G277" s="24" t="inlineStr">
        <is>
          <t>Sara Sorribes Tormo</t>
        </is>
      </c>
      <c r="H277" s="24" t="inlineStr">
        <is>
          <t>moneyline</t>
        </is>
      </c>
      <c r="I277" s="24" t="inlineStr">
        <is>
          <t>away</t>
        </is>
      </c>
      <c r="J277" s="25" t="n"/>
      <c r="K277" s="24" t="inlineStr">
        <is>
          <t>polymarket_us</t>
        </is>
      </c>
      <c r="L277" s="26" t="n">
        <v>122</v>
      </c>
      <c r="M277" s="27" t="n">
        <v>2.22</v>
      </c>
      <c r="N277" s="28" t="n">
        <v>0.45045</v>
      </c>
      <c r="O277" s="28" t="n">
        <v>0.558996</v>
      </c>
      <c r="P277" s="28" t="n">
        <v>0.05</v>
      </c>
      <c r="Q277" s="28" t="n">
        <v>0.108546</v>
      </c>
      <c r="R277" s="26" t="n">
        <v>74</v>
      </c>
      <c r="S277" s="29" t="n">
        <v>1</v>
      </c>
      <c r="T277" s="24" t="inlineStr">
        <is>
          <t>tennis-surface-elo-v1</t>
        </is>
      </c>
      <c r="U277" s="24" t="inlineStr">
        <is>
          <t>settled</t>
        </is>
      </c>
      <c r="V277" s="24" t="inlineStr">
        <is>
          <t>win</t>
        </is>
      </c>
      <c r="W277" s="26" t="n">
        <v>1</v>
      </c>
      <c r="X277" s="26" t="n">
        <v>0</v>
      </c>
      <c r="Y277" s="25" t="n"/>
      <c r="Z277" s="26" t="n">
        <v>122</v>
      </c>
      <c r="AA277" s="28" t="n">
        <v>0.45</v>
      </c>
      <c r="AB277" s="28" t="n">
        <v>-0.00045</v>
      </c>
      <c r="AC277" s="30" t="n">
        <v>1.22</v>
      </c>
      <c r="AD277" s="24" t="inlineStr">
        <is>
          <t>2026-07-31T19:51:20.537475Z</t>
        </is>
      </c>
      <c r="AE277" s="31" t="inlineStr">
        <is>
          <t>Surface-blended Elo on Hard: Lucia Bronzetti p=0.559 vs Sara Sorribes Tormo. Executable ask 0.4500 (aec-wta-sartor-lucbro-2026-07-31).</t>
        </is>
      </c>
      <c r="AF277" s="31" t="inlineStr">
        <is>
          <t>Research-only surface-blended Elo model; singles only, WTA-only market coverage, not yet locked-holdout qualified.</t>
        </is>
      </c>
      <c r="AG277" s="24" t="inlineStr">
        <is>
          <t>not_applicable</t>
        </is>
      </c>
      <c r="AH277" s="24" t="n"/>
      <c r="AI277" s="31" t="n"/>
      <c r="AJ277" s="31" t="n"/>
      <c r="AK277" s="24" t="inlineStr">
        <is>
          <t>research_observation</t>
        </is>
      </c>
      <c r="AL277" s="26" t="n">
        <v>3</v>
      </c>
      <c r="AM277" s="24" t="inlineStr">
        <is>
          <t>RESEARCH_OBSERVATION</t>
        </is>
      </c>
      <c r="AN277" s="24" t="inlineStr">
        <is>
          <t>NO_CALL</t>
        </is>
      </c>
      <c r="AO277" s="24" t="inlineStr">
        <is>
          <t>NO_CALL_MODEL_UNVALIDATED</t>
        </is>
      </c>
      <c r="AP277" s="24" t="inlineStr">
        <is>
          <t>Lucia Bronzetti</t>
        </is>
      </c>
      <c r="AQ277" s="24" t="inlineStr">
        <is>
          <t>Lucia Bronzetti</t>
        </is>
      </c>
      <c r="AR277" s="24" t="inlineStr">
        <is>
          <t>Lucia Bronzetti</t>
        </is>
      </c>
      <c r="AS277" s="24" t="inlineStr">
        <is>
          <t>Sara Sorribes Tormo</t>
        </is>
      </c>
      <c r="AT277" s="24" t="inlineStr">
        <is>
          <t>Sara Sorribes Tormo</t>
        </is>
      </c>
      <c r="AU277" s="24" t="inlineStr">
        <is>
          <t>Sara Sorribes Tormo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research</t>
        </is>
      </c>
      <c r="BA277" s="24" t="inlineStr">
        <is>
          <t>999faa03e2fa83bdf40e3760cb8645b4c314e4cc37c2050b8320d6582c4d8167</t>
        </is>
      </c>
      <c r="BB277" s="24" t="inlineStr">
        <is>
          <t>surface_blended_elo</t>
        </is>
      </c>
      <c r="BC277" s="24" t="inlineStr">
        <is>
          <t>tennis-surface-elo-v1</t>
        </is>
      </c>
      <c r="BD277" s="24" t="inlineStr">
        <is>
          <t>999faa03e2fa83bdf40e3760cb8645b4c314e4cc37c2050b8320d6582c4d8167</t>
        </is>
      </c>
      <c r="BE277" s="24" t="inlineStr">
        <is>
          <t>tennis-surface-elo-v1</t>
        </is>
      </c>
      <c r="BF277" s="24" t="inlineStr">
        <is>
          <t>1</t>
        </is>
      </c>
      <c r="BG277" s="24" t="inlineStr">
        <is>
          <t>999faa03e2fa83bdf40e3760cb8645b4c314e4cc37c2050b8320d6582c4d8167</t>
        </is>
      </c>
      <c r="BH277" s="24" t="inlineStr">
        <is>
          <t>2026-07-31T13:39:49.361483Z</t>
        </is>
      </c>
      <c r="BI277" s="24" t="inlineStr">
        <is>
          <t>["same_event","same_team_same_day","same_league_same_day"]</t>
        </is>
      </c>
      <c r="BJ277" s="25" t="n"/>
      <c r="BK277" s="26" t="n">
        <v>122</v>
      </c>
      <c r="BL277" s="27" t="n">
        <v>2.22</v>
      </c>
      <c r="BM277" s="28" t="n">
        <v>0.45045</v>
      </c>
      <c r="BN277" s="28" t="n"/>
      <c r="BO277" s="28" t="n"/>
      <c r="BP277" s="25" t="n"/>
      <c r="BQ277" s="27" t="n">
        <v>2.22</v>
      </c>
      <c r="BR277" s="28" t="n">
        <v>0.45</v>
      </c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</row>
    <row r="278" ht="36" customHeight="1">
      <c r="A278" s="24" t="inlineStr">
        <is>
          <t>b111fbea73f8498b</t>
        </is>
      </c>
      <c r="B278" s="24" t="inlineStr">
        <is>
          <t>2026-07-31T16:48:15.741242Z</t>
        </is>
      </c>
      <c r="C278" s="24" t="inlineStr">
        <is>
          <t>2026-07-31T18:00Z</t>
        </is>
      </c>
      <c r="D278" s="24" t="inlineStr">
        <is>
          <t>875-2026:179555</t>
        </is>
      </c>
      <c r="E278" s="24" t="inlineStr">
        <is>
          <t>TENNIS</t>
        </is>
      </c>
      <c r="F278" s="24" t="inlineStr">
        <is>
          <t>Mai Hontama</t>
        </is>
      </c>
      <c r="G278" s="24" t="inlineStr">
        <is>
          <t>Maddison Inglis</t>
        </is>
      </c>
      <c r="H278" s="24" t="inlineStr">
        <is>
          <t>moneyline</t>
        </is>
      </c>
      <c r="I278" s="24" t="inlineStr">
        <is>
          <t>home</t>
        </is>
      </c>
      <c r="J278" s="25" t="n"/>
      <c r="K278" s="24" t="inlineStr">
        <is>
          <t>polymarket_us</t>
        </is>
      </c>
      <c r="L278" s="26" t="n">
        <v>113</v>
      </c>
      <c r="M278" s="27" t="n">
        <v>2.13</v>
      </c>
      <c r="N278" s="28" t="n">
        <v>0.469484</v>
      </c>
      <c r="O278" s="28" t="n">
        <v>0.568028</v>
      </c>
      <c r="P278" s="28" t="n">
        <v>0.05</v>
      </c>
      <c r="Q278" s="28" t="n">
        <v>0.09854400000000001</v>
      </c>
      <c r="R278" s="26" t="n">
        <v>69</v>
      </c>
      <c r="S278" s="29" t="n">
        <v>1</v>
      </c>
      <c r="T278" s="24" t="inlineStr">
        <is>
          <t>tennis-surface-elo-v1</t>
        </is>
      </c>
      <c r="U278" s="24" t="inlineStr">
        <is>
          <t>settled</t>
        </is>
      </c>
      <c r="V278" s="24" t="inlineStr">
        <is>
          <t>win</t>
        </is>
      </c>
      <c r="W278" s="26" t="n">
        <v>0</v>
      </c>
      <c r="X278" s="26" t="n">
        <v>1</v>
      </c>
      <c r="Y278" s="25" t="n"/>
      <c r="Z278" s="26" t="n">
        <v>113</v>
      </c>
      <c r="AA278" s="28" t="n">
        <v>0.47</v>
      </c>
      <c r="AB278" s="28" t="n">
        <v>0.000516</v>
      </c>
      <c r="AC278" s="30" t="n">
        <v>1.13</v>
      </c>
      <c r="AD278" s="24" t="inlineStr">
        <is>
          <t>2026-07-31T19:51:21.011383Z</t>
        </is>
      </c>
      <c r="AE278" s="31" t="inlineStr">
        <is>
          <t>Surface-blended Elo on Hard: Mai Hontama p=0.432 vs Maddison Inglis. Executable ask 0.4700 (aec-wta-mading-maihon-2026-07-31).</t>
        </is>
      </c>
      <c r="AF278" s="31" t="inlineStr">
        <is>
          <t>Research-only surface-blended Elo model; singles only, WTA-only market coverage, not yet locked-holdout qualified.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research_observation</t>
        </is>
      </c>
      <c r="AL278" s="26" t="n">
        <v>3</v>
      </c>
      <c r="AM278" s="24" t="inlineStr">
        <is>
          <t>RESEARCH_OBSERVATION</t>
        </is>
      </c>
      <c r="AN278" s="24" t="inlineStr">
        <is>
          <t>NO_CALL</t>
        </is>
      </c>
      <c r="AO278" s="24" t="inlineStr">
        <is>
          <t>NO_CALL_MODEL_UNVALIDATED</t>
        </is>
      </c>
      <c r="AP278" s="24" t="inlineStr">
        <is>
          <t>Mai Hontama</t>
        </is>
      </c>
      <c r="AQ278" s="24" t="inlineStr">
        <is>
          <t>Mai Hontama</t>
        </is>
      </c>
      <c r="AR278" s="24" t="inlineStr">
        <is>
          <t>Mai Hontama</t>
        </is>
      </c>
      <c r="AS278" s="24" t="inlineStr">
        <is>
          <t>Maddison Inglis</t>
        </is>
      </c>
      <c r="AT278" s="24" t="inlineStr">
        <is>
          <t>Maddison Inglis</t>
        </is>
      </c>
      <c r="AU278" s="24" t="inlineStr">
        <is>
          <t>Maddison Inglis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research</t>
        </is>
      </c>
      <c r="BA278" s="24" t="inlineStr">
        <is>
          <t>999faa03e2fa83bdf40e3760cb8645b4c314e4cc37c2050b8320d6582c4d8167</t>
        </is>
      </c>
      <c r="BB278" s="24" t="inlineStr">
        <is>
          <t>surface_blended_elo</t>
        </is>
      </c>
      <c r="BC278" s="24" t="inlineStr">
        <is>
          <t>tennis-surface-elo-v1</t>
        </is>
      </c>
      <c r="BD278" s="24" t="inlineStr">
        <is>
          <t>999faa03e2fa83bdf40e3760cb8645b4c314e4cc37c2050b8320d6582c4d8167</t>
        </is>
      </c>
      <c r="BE278" s="24" t="inlineStr">
        <is>
          <t>tennis-surface-elo-v1</t>
        </is>
      </c>
      <c r="BF278" s="24" t="inlineStr">
        <is>
          <t>1</t>
        </is>
      </c>
      <c r="BG278" s="24" t="inlineStr">
        <is>
          <t>999faa03e2fa83bdf40e3760cb8645b4c314e4cc37c2050b8320d6582c4d8167</t>
        </is>
      </c>
      <c r="BH278" s="24" t="inlineStr">
        <is>
          <t>2026-07-31T16:46:01.946281Z</t>
        </is>
      </c>
      <c r="BI278" s="24" t="inlineStr">
        <is>
          <t>["same_event","same_team_same_day","same_league_same_day"]</t>
        </is>
      </c>
      <c r="BJ278" s="25" t="n"/>
      <c r="BK278" s="26" t="n">
        <v>113</v>
      </c>
      <c r="BL278" s="27" t="n">
        <v>2.13</v>
      </c>
      <c r="BM278" s="28" t="n">
        <v>0.469484</v>
      </c>
      <c r="BN278" s="28" t="n"/>
      <c r="BO278" s="28" t="n"/>
      <c r="BP278" s="25" t="n"/>
      <c r="BQ278" s="27" t="n">
        <v>2.13</v>
      </c>
      <c r="BR278" s="28" t="n">
        <v>0.47</v>
      </c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</row>
    <row r="279" ht="36" customHeight="1">
      <c r="A279" s="24" t="inlineStr">
        <is>
          <t>0c951108cbed46c5</t>
        </is>
      </c>
      <c r="B279" s="24" t="inlineStr">
        <is>
          <t>2026-07-31T16:48:15.741242Z</t>
        </is>
      </c>
      <c r="C279" s="24" t="inlineStr">
        <is>
          <t>2026-07-31T19:30Z</t>
        </is>
      </c>
      <c r="D279" s="24" t="inlineStr">
        <is>
          <t>875-2026:179554</t>
        </is>
      </c>
      <c r="E279" s="24" t="inlineStr">
        <is>
          <t>TENNIS</t>
        </is>
      </c>
      <c r="F279" s="24" t="inlineStr">
        <is>
          <t>Mananchaya Sawangkaew</t>
        </is>
      </c>
      <c r="G279" s="24" t="inlineStr">
        <is>
          <t>Taylah Preston</t>
        </is>
      </c>
      <c r="H279" s="24" t="inlineStr">
        <is>
          <t>moneyline</t>
        </is>
      </c>
      <c r="I279" s="24" t="inlineStr">
        <is>
          <t>away</t>
        </is>
      </c>
      <c r="J279" s="25" t="n"/>
      <c r="K279" s="24" t="inlineStr">
        <is>
          <t>polymarket_us</t>
        </is>
      </c>
      <c r="L279" s="26" t="n">
        <v>-178</v>
      </c>
      <c r="M279" s="27" t="n">
        <v>1.561798</v>
      </c>
      <c r="N279" s="28" t="n">
        <v>0.640288</v>
      </c>
      <c r="O279" s="28" t="n">
        <v>0.672366</v>
      </c>
      <c r="P279" s="28" t="n">
        <v>0.05</v>
      </c>
      <c r="Q279" s="28" t="n">
        <v>0.032078</v>
      </c>
      <c r="R279" s="26" t="n">
        <v>36</v>
      </c>
      <c r="S279" s="29" t="n">
        <v>1.75</v>
      </c>
      <c r="T279" s="24" t="inlineStr">
        <is>
          <t>tennis-surface-elo-v1</t>
        </is>
      </c>
      <c r="U279" s="24" t="inlineStr">
        <is>
          <t>settled</t>
        </is>
      </c>
      <c r="V279" s="24" t="inlineStr">
        <is>
          <t>loss</t>
        </is>
      </c>
      <c r="W279" s="26" t="n">
        <v>0</v>
      </c>
      <c r="X279" s="26" t="n">
        <v>1</v>
      </c>
      <c r="Y279" s="25" t="n"/>
      <c r="Z279" s="26" t="n">
        <v>-178</v>
      </c>
      <c r="AA279" s="28" t="n">
        <v>0.64</v>
      </c>
      <c r="AB279" s="28" t="n">
        <v>-0.000288</v>
      </c>
      <c r="AC279" s="30" t="n">
        <v>-1.75</v>
      </c>
      <c r="AD279" s="24" t="inlineStr">
        <is>
          <t>2026-07-31T23:28:43.967425Z</t>
        </is>
      </c>
      <c r="AE279" s="31" t="inlineStr">
        <is>
          <t>Surface-blended Elo on Hard: Mananchaya Sawangkaew p=0.672 vs Taylah Preston. Executable ask 0.6400 (aec-wta-taypre-mansaw-2026-07-31).</t>
        </is>
      </c>
      <c r="AF279" s="31" t="inlineStr">
        <is>
          <t>Research-only surface-blended Elo model; singles only, WTA-only market coverage, not yet locked-holdout qualified.</t>
        </is>
      </c>
      <c r="AG279" s="24" t="inlineStr">
        <is>
          <t>review_required</t>
        </is>
      </c>
      <c r="AH279" s="24" t="n"/>
      <c r="AI279" s="31" t="n"/>
      <c r="AJ279" s="31" t="n"/>
      <c r="AK279" s="24" t="inlineStr">
        <is>
          <t>research_observation</t>
        </is>
      </c>
      <c r="AL279" s="26" t="n">
        <v>3</v>
      </c>
      <c r="AM279" s="24" t="inlineStr">
        <is>
          <t>RESEARCH_OBSERVATION</t>
        </is>
      </c>
      <c r="AN279" s="24" t="inlineStr">
        <is>
          <t>NO_CALL</t>
        </is>
      </c>
      <c r="AO279" s="24" t="inlineStr">
        <is>
          <t>NO_CALL_MODEL_UNVALIDATED</t>
        </is>
      </c>
      <c r="AP279" s="24" t="inlineStr">
        <is>
          <t>Mananchaya Sawangkaew</t>
        </is>
      </c>
      <c r="AQ279" s="24" t="inlineStr">
        <is>
          <t>Mananchaya Sawangkaew</t>
        </is>
      </c>
      <c r="AR279" s="24" t="inlineStr">
        <is>
          <t>Mananchaya Sawangkaew</t>
        </is>
      </c>
      <c r="AS279" s="24" t="inlineStr">
        <is>
          <t>Taylah Preston</t>
        </is>
      </c>
      <c r="AT279" s="24" t="inlineStr">
        <is>
          <t>Taylah Preston</t>
        </is>
      </c>
      <c r="AU279" s="24" t="inlineStr">
        <is>
          <t>Taylah Preston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research</t>
        </is>
      </c>
      <c r="BA279" s="24" t="inlineStr">
        <is>
          <t>999faa03e2fa83bdf40e3760cb8645b4c314e4cc37c2050b8320d6582c4d8167</t>
        </is>
      </c>
      <c r="BB279" s="24" t="inlineStr">
        <is>
          <t>surface_blended_elo</t>
        </is>
      </c>
      <c r="BC279" s="24" t="inlineStr">
        <is>
          <t>tennis-surface-elo-v1</t>
        </is>
      </c>
      <c r="BD279" s="24" t="inlineStr">
        <is>
          <t>999faa03e2fa83bdf40e3760cb8645b4c314e4cc37c2050b8320d6582c4d8167</t>
        </is>
      </c>
      <c r="BE279" s="24" t="inlineStr">
        <is>
          <t>tennis-surface-elo-v1</t>
        </is>
      </c>
      <c r="BF279" s="24" t="inlineStr">
        <is>
          <t>1</t>
        </is>
      </c>
      <c r="BG279" s="24" t="inlineStr">
        <is>
          <t>999faa03e2fa83bdf40e3760cb8645b4c314e4cc37c2050b8320d6582c4d8167</t>
        </is>
      </c>
      <c r="BH279" s="24" t="inlineStr">
        <is>
          <t>2026-07-31T16:46:03.748498Z</t>
        </is>
      </c>
      <c r="BI279" s="24" t="inlineStr">
        <is>
          <t>["same_event","same_team_same_day","same_league_same_day"]</t>
        </is>
      </c>
      <c r="BJ279" s="25" t="n"/>
      <c r="BK279" s="26" t="n">
        <v>-178</v>
      </c>
      <c r="BL279" s="27" t="n">
        <v>1.561798</v>
      </c>
      <c r="BM279" s="28" t="n">
        <v>0.640288</v>
      </c>
      <c r="BN279" s="28" t="n"/>
      <c r="BO279" s="28" t="n"/>
      <c r="BP279" s="25" t="n"/>
      <c r="BQ279" s="27" t="n">
        <v>1.561798</v>
      </c>
      <c r="BR279" s="28" t="n">
        <v>0.64</v>
      </c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</row>
    <row r="280" ht="36" customHeight="1">
      <c r="A280" s="24" t="inlineStr">
        <is>
          <t>ae103e8c49014074</t>
        </is>
      </c>
      <c r="B280" s="24" t="inlineStr">
        <is>
          <t>2026-07-31T16:48:15.741242Z</t>
        </is>
      </c>
      <c r="C280" s="24" t="inlineStr">
        <is>
          <t>2026-07-31T18:00Z</t>
        </is>
      </c>
      <c r="D280" s="24" t="inlineStr">
        <is>
          <t>888-2026:179020</t>
        </is>
      </c>
      <c r="E280" s="24" t="inlineStr">
        <is>
          <t>TENNIS</t>
        </is>
      </c>
      <c r="F280" s="24" t="inlineStr">
        <is>
          <t>Naomi Osaka</t>
        </is>
      </c>
      <c r="G280" s="24" t="inlineStr">
        <is>
          <t>Elisabetta Cocciaretto</t>
        </is>
      </c>
      <c r="H280" s="24" t="inlineStr">
        <is>
          <t>moneyline</t>
        </is>
      </c>
      <c r="I280" s="24" t="inlineStr">
        <is>
          <t>away</t>
        </is>
      </c>
      <c r="J280" s="25" t="n"/>
      <c r="K280" s="24" t="inlineStr">
        <is>
          <t>polymarket_us</t>
        </is>
      </c>
      <c r="L280" s="26" t="n">
        <v>-567</v>
      </c>
      <c r="M280" s="27" t="n">
        <v>1.176367</v>
      </c>
      <c r="N280" s="28" t="n">
        <v>0.850075</v>
      </c>
      <c r="O280" s="28" t="n">
        <v>0.686106</v>
      </c>
      <c r="P280" s="28" t="n">
        <v>0.05</v>
      </c>
      <c r="Q280" s="28" t="n">
        <v>-0.163969</v>
      </c>
      <c r="R280" s="26" t="n">
        <v>0</v>
      </c>
      <c r="S280" s="29" t="n">
        <v>2</v>
      </c>
      <c r="T280" s="24" t="inlineStr">
        <is>
          <t>tennis-surface-elo-v1</t>
        </is>
      </c>
      <c r="U280" s="24" t="inlineStr">
        <is>
          <t>settled</t>
        </is>
      </c>
      <c r="V280" s="24" t="inlineStr">
        <is>
          <t>win</t>
        </is>
      </c>
      <c r="W280" s="26" t="n">
        <v>1</v>
      </c>
      <c r="X280" s="26" t="n">
        <v>0</v>
      </c>
      <c r="Y280" s="25" t="n"/>
      <c r="Z280" s="26" t="n">
        <v>-567</v>
      </c>
      <c r="AA280" s="28" t="n">
        <v>0.85</v>
      </c>
      <c r="AB280" s="28" t="n">
        <v>-7.499999999999999e-05</v>
      </c>
      <c r="AC280" s="30" t="n">
        <v>0.3527</v>
      </c>
      <c r="AD280" s="24" t="inlineStr">
        <is>
          <t>2026-07-31T21:03:37.637903Z</t>
        </is>
      </c>
      <c r="AE280" s="31" t="inlineStr">
        <is>
          <t>Surface-blended Elo on Hard: Naomi Osaka p=0.686 vs Elisabetta Cocciaretto. Executable ask 0.8500 (aec-wta-elicoc-naoosa-2026-07-31).</t>
        </is>
      </c>
      <c r="AF280" s="31" t="inlineStr">
        <is>
          <t>Research-only surface-blended Elo model; singles only, WTA-only market coverage, not yet locked-holdout qualified.</t>
        </is>
      </c>
      <c r="AG280" s="24" t="inlineStr">
        <is>
          <t>not_applicable</t>
        </is>
      </c>
      <c r="AH280" s="24" t="n"/>
      <c r="AI280" s="31" t="n"/>
      <c r="AJ280" s="31" t="n"/>
      <c r="AK280" s="24" t="inlineStr">
        <is>
          <t>research_observation</t>
        </is>
      </c>
      <c r="AL280" s="26" t="n">
        <v>3</v>
      </c>
      <c r="AM280" s="24" t="inlineStr">
        <is>
          <t>RESEARCH_OBSERVATION</t>
        </is>
      </c>
      <c r="AN280" s="24" t="inlineStr">
        <is>
          <t>NO_CALL</t>
        </is>
      </c>
      <c r="AO280" s="24" t="inlineStr">
        <is>
          <t>NO_CALL_MODEL_UNVALIDATED</t>
        </is>
      </c>
      <c r="AP280" s="24" t="inlineStr">
        <is>
          <t>Naomi Osaka</t>
        </is>
      </c>
      <c r="AQ280" s="24" t="inlineStr">
        <is>
          <t>Naomi Osaka</t>
        </is>
      </c>
      <c r="AR280" s="24" t="inlineStr">
        <is>
          <t>Naomi Osaka</t>
        </is>
      </c>
      <c r="AS280" s="24" t="inlineStr">
        <is>
          <t>Elisabetta Cocciaretto</t>
        </is>
      </c>
      <c r="AT280" s="24" t="inlineStr">
        <is>
          <t>Elisabetta Cocciaretto</t>
        </is>
      </c>
      <c r="AU280" s="24" t="inlineStr">
        <is>
          <t>Elisabetta Cocciaretto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research</t>
        </is>
      </c>
      <c r="BA280" s="24" t="inlineStr">
        <is>
          <t>999faa03e2fa83bdf40e3760cb8645b4c314e4cc37c2050b8320d6582c4d8167</t>
        </is>
      </c>
      <c r="BB280" s="24" t="inlineStr">
        <is>
          <t>surface_blended_elo</t>
        </is>
      </c>
      <c r="BC280" s="24" t="inlineStr">
        <is>
          <t>tennis-surface-elo-v1</t>
        </is>
      </c>
      <c r="BD280" s="24" t="inlineStr">
        <is>
          <t>999faa03e2fa83bdf40e3760cb8645b4c314e4cc37c2050b8320d6582c4d8167</t>
        </is>
      </c>
      <c r="BE280" s="24" t="inlineStr">
        <is>
          <t>tennis-surface-elo-v1</t>
        </is>
      </c>
      <c r="BF280" s="24" t="inlineStr">
        <is>
          <t>1</t>
        </is>
      </c>
      <c r="BG280" s="24" t="inlineStr">
        <is>
          <t>999faa03e2fa83bdf40e3760cb8645b4c314e4cc37c2050b8320d6582c4d8167</t>
        </is>
      </c>
      <c r="BH280" s="24" t="inlineStr">
        <is>
          <t>2026-07-31T16:46:01.916062Z</t>
        </is>
      </c>
      <c r="BI280" s="24" t="inlineStr">
        <is>
          <t>["same_event","same_team_same_day","same_league_same_day"]</t>
        </is>
      </c>
      <c r="BJ280" s="25" t="n"/>
      <c r="BK280" s="26" t="n">
        <v>-567</v>
      </c>
      <c r="BL280" s="27" t="n">
        <v>1.176367</v>
      </c>
      <c r="BM280" s="28" t="n">
        <v>0.850075</v>
      </c>
      <c r="BN280" s="28" t="n"/>
      <c r="BO280" s="28" t="n"/>
      <c r="BP280" s="25" t="n"/>
      <c r="BQ280" s="27" t="n">
        <v>1.176367</v>
      </c>
      <c r="BR280" s="28" t="n">
        <v>0.85</v>
      </c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</row>
    <row r="281" ht="36" customHeight="1">
      <c r="A281" s="24" t="inlineStr">
        <is>
          <t>4a44c2c843454d56</t>
        </is>
      </c>
      <c r="B281" s="24" t="inlineStr">
        <is>
          <t>2026-07-31T16:48:15.741242Z</t>
        </is>
      </c>
      <c r="C281" s="24" t="inlineStr">
        <is>
          <t>2026-07-31T17:30Z</t>
        </is>
      </c>
      <c r="D281" s="24" t="inlineStr">
        <is>
          <t>1067-2026:179453</t>
        </is>
      </c>
      <c r="E281" s="24" t="inlineStr">
        <is>
          <t>TENNIS</t>
        </is>
      </c>
      <c r="F281" s="24" t="inlineStr">
        <is>
          <t>Peyton Stearns</t>
        </is>
      </c>
      <c r="G281" s="24" t="inlineStr">
        <is>
          <t>Elvina Kalieva</t>
        </is>
      </c>
      <c r="H281" s="24" t="inlineStr">
        <is>
          <t>moneyline</t>
        </is>
      </c>
      <c r="I281" s="24" t="inlineStr">
        <is>
          <t>away</t>
        </is>
      </c>
      <c r="J281" s="25" t="n"/>
      <c r="K281" s="24" t="inlineStr">
        <is>
          <t>polymarket_us</t>
        </is>
      </c>
      <c r="L281" s="26" t="n">
        <v>-270</v>
      </c>
      <c r="M281" s="27" t="n">
        <v>1.37037</v>
      </c>
      <c r="N281" s="28" t="n">
        <v>0.72973</v>
      </c>
      <c r="O281" s="28" t="n">
        <v>0.604555</v>
      </c>
      <c r="P281" s="28" t="n">
        <v>0.05</v>
      </c>
      <c r="Q281" s="28" t="n">
        <v>-0.125175</v>
      </c>
      <c r="R281" s="26" t="n">
        <v>0</v>
      </c>
      <c r="S281" s="29" t="n">
        <v>1.25</v>
      </c>
      <c r="T281" s="24" t="inlineStr">
        <is>
          <t>tennis-surface-elo-v1</t>
        </is>
      </c>
      <c r="U281" s="24" t="inlineStr">
        <is>
          <t>settled</t>
        </is>
      </c>
      <c r="V281" s="24" t="inlineStr">
        <is>
          <t>loss</t>
        </is>
      </c>
      <c r="W281" s="26" t="n">
        <v>0</v>
      </c>
      <c r="X281" s="26" t="n">
        <v>1</v>
      </c>
      <c r="Y281" s="25" t="n"/>
      <c r="Z281" s="26" t="n">
        <v>-270</v>
      </c>
      <c r="AA281" s="28" t="n">
        <v>0.73</v>
      </c>
      <c r="AB281" s="28" t="n">
        <v>0.00027</v>
      </c>
      <c r="AC281" s="30" t="n">
        <v>-1.25</v>
      </c>
      <c r="AD281" s="24" t="inlineStr">
        <is>
          <t>2026-07-31T23:28:44.202315Z</t>
        </is>
      </c>
      <c r="AE281" s="31" t="inlineStr">
        <is>
          <t>Surface-blended Elo on Hard: Peyton Stearns p=0.605 vs Elvina Kalieva. Executable ask 0.7300 (aec-wta-elvkal-peyste-2026-07-31).</t>
        </is>
      </c>
      <c r="AF281" s="31" t="inlineStr">
        <is>
          <t>Research-only surface-blended Elo model; singles only, WTA-only market coverage, not yet locked-holdout qualified.</t>
        </is>
      </c>
      <c r="AG281" s="24" t="inlineStr">
        <is>
          <t>review_required</t>
        </is>
      </c>
      <c r="AH281" s="24" t="n"/>
      <c r="AI281" s="31" t="n"/>
      <c r="AJ281" s="31" t="n"/>
      <c r="AK281" s="24" t="inlineStr">
        <is>
          <t>research_observation</t>
        </is>
      </c>
      <c r="AL281" s="26" t="n">
        <v>3</v>
      </c>
      <c r="AM281" s="24" t="inlineStr">
        <is>
          <t>RESEARCH_OBSERVATION</t>
        </is>
      </c>
      <c r="AN281" s="24" t="inlineStr">
        <is>
          <t>NO_CALL</t>
        </is>
      </c>
      <c r="AO281" s="24" t="inlineStr">
        <is>
          <t>NO_CALL_MODEL_UNVALIDATED</t>
        </is>
      </c>
      <c r="AP281" s="24" t="inlineStr">
        <is>
          <t>Peyton Stearns</t>
        </is>
      </c>
      <c r="AQ281" s="24" t="inlineStr">
        <is>
          <t>Peyton Stearns</t>
        </is>
      </c>
      <c r="AR281" s="24" t="inlineStr">
        <is>
          <t>Peyton Stearns</t>
        </is>
      </c>
      <c r="AS281" s="24" t="inlineStr">
        <is>
          <t>Elvina Kalieva</t>
        </is>
      </c>
      <c r="AT281" s="24" t="inlineStr">
        <is>
          <t>Elvina Kalieva</t>
        </is>
      </c>
      <c r="AU281" s="24" t="inlineStr">
        <is>
          <t>Elvina Kalieva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research</t>
        </is>
      </c>
      <c r="BA281" s="24" t="inlineStr">
        <is>
          <t>999faa03e2fa83bdf40e3760cb8645b4c314e4cc37c2050b8320d6582c4d8167</t>
        </is>
      </c>
      <c r="BB281" s="24" t="inlineStr">
        <is>
          <t>surface_blended_elo</t>
        </is>
      </c>
      <c r="BC281" s="24" t="inlineStr">
        <is>
          <t>tennis-surface-elo-v1</t>
        </is>
      </c>
      <c r="BD281" s="24" t="inlineStr">
        <is>
          <t>999faa03e2fa83bdf40e3760cb8645b4c314e4cc37c2050b8320d6582c4d8167</t>
        </is>
      </c>
      <c r="BE281" s="24" t="inlineStr">
        <is>
          <t>tennis-surface-elo-v1</t>
        </is>
      </c>
      <c r="BF281" s="24" t="inlineStr">
        <is>
          <t>1</t>
        </is>
      </c>
      <c r="BG281" s="24" t="inlineStr">
        <is>
          <t>999faa03e2fa83bdf40e3760cb8645b4c314e4cc37c2050b8320d6582c4d8167</t>
        </is>
      </c>
      <c r="BH281" s="24" t="inlineStr">
        <is>
          <t>2026-07-31T16:46:00.001887Z</t>
        </is>
      </c>
      <c r="BI281" s="24" t="inlineStr">
        <is>
          <t>["same_event","same_team_same_day","same_league_same_day"]</t>
        </is>
      </c>
      <c r="BJ281" s="25" t="n"/>
      <c r="BK281" s="26" t="n">
        <v>-270</v>
      </c>
      <c r="BL281" s="27" t="n">
        <v>1.37037</v>
      </c>
      <c r="BM281" s="28" t="n">
        <v>0.72973</v>
      </c>
      <c r="BN281" s="28" t="n"/>
      <c r="BO281" s="28" t="n"/>
      <c r="BP281" s="25" t="n"/>
      <c r="BQ281" s="27" t="n">
        <v>1.37037</v>
      </c>
      <c r="BR281" s="28" t="n">
        <v>0.73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</row>
    <row r="282" ht="36" customHeight="1">
      <c r="A282" s="24" t="inlineStr">
        <is>
          <t>860a8c7addb04dc6</t>
        </is>
      </c>
      <c r="B282" s="24" t="inlineStr">
        <is>
          <t>2026-07-31T16:48:15.741242Z</t>
        </is>
      </c>
      <c r="C282" s="24" t="inlineStr">
        <is>
          <t>2026-07-31T19:00Z</t>
        </is>
      </c>
      <c r="D282" s="24" t="inlineStr">
        <is>
          <t>1067-2026:179446</t>
        </is>
      </c>
      <c r="E282" s="24" t="inlineStr">
        <is>
          <t>TENNIS</t>
        </is>
      </c>
      <c r="F282" s="24" t="inlineStr">
        <is>
          <t>Renata Zarazua</t>
        </is>
      </c>
      <c r="G282" s="24" t="inlineStr">
        <is>
          <t>Anastasia Zakharova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polymarket_us</t>
        </is>
      </c>
      <c r="L282" s="26" t="n">
        <v>-144</v>
      </c>
      <c r="M282" s="27" t="n">
        <v>1.694444</v>
      </c>
      <c r="N282" s="28" t="n">
        <v>0.590164</v>
      </c>
      <c r="O282" s="28" t="n">
        <v>0.687737</v>
      </c>
      <c r="P282" s="28" t="n">
        <v>0.05</v>
      </c>
      <c r="Q282" s="28" t="n">
        <v>0.09757299999999999</v>
      </c>
      <c r="R282" s="26" t="n">
        <v>69</v>
      </c>
      <c r="S282" s="29" t="n">
        <v>2</v>
      </c>
      <c r="T282" s="24" t="inlineStr">
        <is>
          <t>tennis-surface-elo-v1</t>
        </is>
      </c>
      <c r="U282" s="24" t="inlineStr">
        <is>
          <t>settled</t>
        </is>
      </c>
      <c r="V282" s="24" t="inlineStr">
        <is>
          <t>loss</t>
        </is>
      </c>
      <c r="W282" s="26" t="n">
        <v>1</v>
      </c>
      <c r="X282" s="26" t="n">
        <v>0</v>
      </c>
      <c r="Y282" s="25" t="n"/>
      <c r="Z282" s="26" t="n">
        <v>-144</v>
      </c>
      <c r="AA282" s="28" t="n">
        <v>0.59</v>
      </c>
      <c r="AB282" s="28" t="n">
        <v>-0.000164</v>
      </c>
      <c r="AC282" s="30" t="n">
        <v>-2</v>
      </c>
      <c r="AD282" s="24" t="inlineStr">
        <is>
          <t>2026-08-01T03:00:16.522549Z</t>
        </is>
      </c>
      <c r="AE282" s="31" t="inlineStr">
        <is>
          <t>Surface-blended Elo on Hard: Renata Zarazua p=0.312 vs Anastasia Zakharova. Executable ask 0.5900 (aec-wta-anazak-renzar-2026-07-30).</t>
        </is>
      </c>
      <c r="AF282" s="31" t="inlineStr">
        <is>
          <t>Research-only surface-blended Elo model; singles only, WTA-only market coverage, not yet locked-holdout qualified.</t>
        </is>
      </c>
      <c r="AG282" s="24" t="inlineStr">
        <is>
          <t>review_required</t>
        </is>
      </c>
      <c r="AH282" s="24" t="n"/>
      <c r="AI282" s="31" t="n"/>
      <c r="AJ282" s="31" t="n"/>
      <c r="AK282" s="24" t="inlineStr">
        <is>
          <t>research_observation</t>
        </is>
      </c>
      <c r="AL282" s="26" t="n">
        <v>3</v>
      </c>
      <c r="AM282" s="24" t="inlineStr">
        <is>
          <t>RESEARCH_OBSERVATION</t>
        </is>
      </c>
      <c r="AN282" s="24" t="inlineStr">
        <is>
          <t>NO_CALL</t>
        </is>
      </c>
      <c r="AO282" s="24" t="inlineStr">
        <is>
          <t>NO_CALL_MODEL_UNVALIDATED</t>
        </is>
      </c>
      <c r="AP282" s="24" t="inlineStr">
        <is>
          <t>Renata Zarazua</t>
        </is>
      </c>
      <c r="AQ282" s="24" t="inlineStr">
        <is>
          <t>Renata Zarazua</t>
        </is>
      </c>
      <c r="AR282" s="24" t="inlineStr">
        <is>
          <t>Renata Zarazua</t>
        </is>
      </c>
      <c r="AS282" s="24" t="inlineStr">
        <is>
          <t>Anastasia Zakharova</t>
        </is>
      </c>
      <c r="AT282" s="24" t="inlineStr">
        <is>
          <t>Anastasia Zakharova</t>
        </is>
      </c>
      <c r="AU282" s="24" t="inlineStr">
        <is>
          <t>Anastasia Zakharova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research</t>
        </is>
      </c>
      <c r="BA282" s="24" t="inlineStr">
        <is>
          <t>999faa03e2fa83bdf40e3760cb8645b4c314e4cc37c2050b8320d6582c4d8167</t>
        </is>
      </c>
      <c r="BB282" s="24" t="inlineStr">
        <is>
          <t>surface_blended_elo</t>
        </is>
      </c>
      <c r="BC282" s="24" t="inlineStr">
        <is>
          <t>tennis-surface-elo-v1</t>
        </is>
      </c>
      <c r="BD282" s="24" t="inlineStr">
        <is>
          <t>999faa03e2fa83bdf40e3760cb8645b4c314e4cc37c2050b8320d6582c4d8167</t>
        </is>
      </c>
      <c r="BE282" s="24" t="inlineStr">
        <is>
          <t>tennis-surface-elo-v1</t>
        </is>
      </c>
      <c r="BF282" s="24" t="inlineStr">
        <is>
          <t>1</t>
        </is>
      </c>
      <c r="BG282" s="24" t="inlineStr">
        <is>
          <t>999faa03e2fa83bdf40e3760cb8645b4c314e4cc37c2050b8320d6582c4d8167</t>
        </is>
      </c>
      <c r="BH282" s="24" t="inlineStr">
        <is>
          <t>2026-07-31T16:46:02.750394Z</t>
        </is>
      </c>
      <c r="BI282" s="24" t="inlineStr">
        <is>
          <t>["same_event","same_team_same_day","same_league_same_day"]</t>
        </is>
      </c>
      <c r="BJ282" s="25" t="n"/>
      <c r="BK282" s="26" t="n">
        <v>-144</v>
      </c>
      <c r="BL282" s="27" t="n">
        <v>1.694444</v>
      </c>
      <c r="BM282" s="28" t="n">
        <v>0.590164</v>
      </c>
      <c r="BN282" s="28" t="n"/>
      <c r="BO282" s="28" t="n"/>
      <c r="BP282" s="25" t="n"/>
      <c r="BQ282" s="27" t="n">
        <v>1.694444</v>
      </c>
      <c r="BR282" s="28" t="n">
        <v>0.59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</row>
    <row r="283" ht="36" customHeight="1">
      <c r="A283" s="24" t="inlineStr">
        <is>
          <t>1fc8e155851e45b3</t>
        </is>
      </c>
      <c r="B283" s="24" t="inlineStr">
        <is>
          <t>2026-07-31T19:55:18.326039Z</t>
        </is>
      </c>
      <c r="C283" s="24" t="inlineStr">
        <is>
          <t>2026-07-31T20:10Z</t>
        </is>
      </c>
      <c r="D283" s="24" t="inlineStr">
        <is>
          <t>888-2026:179004</t>
        </is>
      </c>
      <c r="E283" s="24" t="inlineStr">
        <is>
          <t>TENNIS</t>
        </is>
      </c>
      <c r="F283" s="24" t="inlineStr">
        <is>
          <t>Liudmila Samsonova</t>
        </is>
      </c>
      <c r="G283" s="24" t="inlineStr">
        <is>
          <t>Diana Shnaider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-113</v>
      </c>
      <c r="M283" s="27" t="n">
        <v>1.884956</v>
      </c>
      <c r="N283" s="28" t="n">
        <v>0.530516</v>
      </c>
      <c r="O283" s="28" t="n">
        <v>0.6818650000000001</v>
      </c>
      <c r="P283" s="28" t="n">
        <v>0.05</v>
      </c>
      <c r="Q283" s="28" t="n">
        <v>0.151349</v>
      </c>
      <c r="R283" s="26" t="n">
        <v>96</v>
      </c>
      <c r="S283" s="29" t="n">
        <v>2</v>
      </c>
      <c r="T283" s="24" t="inlineStr">
        <is>
          <t>tennis-surface-elo-v1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1</v>
      </c>
      <c r="Y283" s="25" t="n"/>
      <c r="Z283" s="26" t="n">
        <v>-113</v>
      </c>
      <c r="AA283" s="28" t="n">
        <v>0.53</v>
      </c>
      <c r="AB283" s="28" t="n">
        <v>-0.000516</v>
      </c>
      <c r="AC283" s="30" t="n">
        <v>1.7699</v>
      </c>
      <c r="AD283" s="24" t="inlineStr">
        <is>
          <t>2026-07-31T23:28:44.433663Z</t>
        </is>
      </c>
      <c r="AE283" s="31" t="inlineStr">
        <is>
          <t>Surface-blended Elo on Hard: Liudmila Samsonova p=0.318 vs Diana Shnaider. Executable ask 0.5300 (aec-wta-diashn-liusam-2026-07-31).</t>
        </is>
      </c>
      <c r="AF283" s="31" t="inlineStr">
        <is>
          <t>Research-only surface-blended Elo model; singles only, WTA-only market coverage, not yet locked-holdout qualified.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research_observation</t>
        </is>
      </c>
      <c r="AL283" s="26" t="n">
        <v>3</v>
      </c>
      <c r="AM283" s="24" t="inlineStr">
        <is>
          <t>RESEARCH_OBSERVATION</t>
        </is>
      </c>
      <c r="AN283" s="24" t="inlineStr">
        <is>
          <t>NO_CALL</t>
        </is>
      </c>
      <c r="AO283" s="24" t="inlineStr">
        <is>
          <t>NO_CALL_MODEL_UNVALIDATED</t>
        </is>
      </c>
      <c r="AP283" s="24" t="inlineStr">
        <is>
          <t>Liudmila Samsonova</t>
        </is>
      </c>
      <c r="AQ283" s="24" t="inlineStr">
        <is>
          <t>Liudmila Samsonova</t>
        </is>
      </c>
      <c r="AR283" s="24" t="inlineStr">
        <is>
          <t>Liudmila Samsonova</t>
        </is>
      </c>
      <c r="AS283" s="24" t="inlineStr">
        <is>
          <t>Diana Shnaider</t>
        </is>
      </c>
      <c r="AT283" s="24" t="inlineStr">
        <is>
          <t>Diana Shnaider</t>
        </is>
      </c>
      <c r="AU283" s="24" t="inlineStr">
        <is>
          <t>Diana Shnaider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research</t>
        </is>
      </c>
      <c r="BA283" s="24" t="inlineStr">
        <is>
          <t>999faa03e2fa83bdf40e3760cb8645b4c314e4cc37c2050b8320d6582c4d8167</t>
        </is>
      </c>
      <c r="BB283" s="24" t="inlineStr">
        <is>
          <t>surface_blended_elo</t>
        </is>
      </c>
      <c r="BC283" s="24" t="inlineStr">
        <is>
          <t>tennis-surface-elo-v1</t>
        </is>
      </c>
      <c r="BD283" s="24" t="inlineStr">
        <is>
          <t>999faa03e2fa83bdf40e3760cb8645b4c314e4cc37c2050b8320d6582c4d8167</t>
        </is>
      </c>
      <c r="BE283" s="24" t="inlineStr">
        <is>
          <t>tennis-surface-elo-v1</t>
        </is>
      </c>
      <c r="BF283" s="24" t="inlineStr">
        <is>
          <t>1</t>
        </is>
      </c>
      <c r="BG283" s="24" t="inlineStr">
        <is>
          <t>999faa03e2fa83bdf40e3760cb8645b4c314e4cc37c2050b8320d6582c4d8167</t>
        </is>
      </c>
      <c r="BH283" s="24" t="inlineStr">
        <is>
          <t>2026-07-31T19:53:05.806055Z</t>
        </is>
      </c>
      <c r="BI283" s="24" t="inlineStr">
        <is>
          <t>["same_event","same_team_same_day","same_league_same_day"]</t>
        </is>
      </c>
      <c r="BJ283" s="25" t="n"/>
      <c r="BK283" s="26" t="n">
        <v>-113</v>
      </c>
      <c r="BL283" s="27" t="n">
        <v>1.884956</v>
      </c>
      <c r="BM283" s="28" t="n">
        <v>0.530516</v>
      </c>
      <c r="BN283" s="28" t="n"/>
      <c r="BO283" s="28" t="n"/>
      <c r="BP283" s="25" t="n"/>
      <c r="BQ283" s="27" t="n">
        <v>1.884956</v>
      </c>
      <c r="BR283" s="28" t="n">
        <v>0.53</v>
      </c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</row>
    <row r="284" ht="36" customHeight="1">
      <c r="A284" s="24" t="inlineStr">
        <is>
          <t>b1115c560fa34be6</t>
        </is>
      </c>
      <c r="B284" s="24" t="inlineStr">
        <is>
          <t>2026-07-31T21:07:23.884398Z</t>
        </is>
      </c>
      <c r="C284" s="24" t="inlineStr">
        <is>
          <t>2026-07-31T22:30Z</t>
        </is>
      </c>
      <c r="D284" s="24" t="inlineStr">
        <is>
          <t>888-2026:179019</t>
        </is>
      </c>
      <c r="E284" s="24" t="inlineStr">
        <is>
          <t>TENNIS</t>
        </is>
      </c>
      <c r="F284" s="24" t="inlineStr">
        <is>
          <t>Elina Svitolina</t>
        </is>
      </c>
      <c r="G284" s="24" t="inlineStr">
        <is>
          <t>Alexandra Eala</t>
        </is>
      </c>
      <c r="H284" s="24" t="inlineStr">
        <is>
          <t>moneyline</t>
        </is>
      </c>
      <c r="I284" s="24" t="inlineStr">
        <is>
          <t>away</t>
        </is>
      </c>
      <c r="J284" s="25" t="n"/>
      <c r="K284" s="24" t="inlineStr">
        <is>
          <t>polymarket_us</t>
        </is>
      </c>
      <c r="L284" s="26" t="n">
        <v>-144</v>
      </c>
      <c r="M284" s="27" t="n">
        <v>1.694444</v>
      </c>
      <c r="N284" s="28" t="n">
        <v>0.590164</v>
      </c>
      <c r="O284" s="28" t="n">
        <v>0.710107</v>
      </c>
      <c r="P284" s="28" t="n">
        <v>0.05</v>
      </c>
      <c r="Q284" s="28" t="n">
        <v>0.119943</v>
      </c>
      <c r="R284" s="26" t="n">
        <v>80</v>
      </c>
      <c r="S284" s="29" t="n">
        <v>2</v>
      </c>
      <c r="T284" s="24" t="inlineStr">
        <is>
          <t>tennis-surface-elo-v1</t>
        </is>
      </c>
      <c r="U284" s="24" t="inlineStr">
        <is>
          <t>settled</t>
        </is>
      </c>
      <c r="V284" s="24" t="inlineStr">
        <is>
          <t>loss</t>
        </is>
      </c>
      <c r="W284" s="26" t="n">
        <v>0</v>
      </c>
      <c r="X284" s="26" t="n">
        <v>1</v>
      </c>
      <c r="Y284" s="25" t="n"/>
      <c r="Z284" s="26" t="n">
        <v>-144</v>
      </c>
      <c r="AA284" s="28" t="n">
        <v>0.59</v>
      </c>
      <c r="AB284" s="28" t="n">
        <v>-0.000164</v>
      </c>
      <c r="AC284" s="30" t="n">
        <v>-2</v>
      </c>
      <c r="AD284" s="24" t="inlineStr">
        <is>
          <t>2026-08-01T03:00:16.760498Z</t>
        </is>
      </c>
      <c r="AE284" s="31" t="inlineStr">
        <is>
          <t>Surface-blended Elo on Hard: Elina Svitolina p=0.710 vs Alexandra Eala. Executable ask 0.5900 (aec-wta-aleeal-elisvi-2026-08-01).</t>
        </is>
      </c>
      <c r="AF284" s="31" t="inlineStr">
        <is>
          <t>Research-only surface-blended Elo model; singles only, WTA-only market coverage, not yet locked-holdout qualified.</t>
        </is>
      </c>
      <c r="AG284" s="24" t="inlineStr">
        <is>
          <t>review_required</t>
        </is>
      </c>
      <c r="AH284" s="24" t="n"/>
      <c r="AI284" s="31" t="n"/>
      <c r="AJ284" s="31" t="n"/>
      <c r="AK284" s="24" t="inlineStr">
        <is>
          <t>research_observation</t>
        </is>
      </c>
      <c r="AL284" s="26" t="n">
        <v>3</v>
      </c>
      <c r="AM284" s="24" t="inlineStr">
        <is>
          <t>RESEARCH_OBSERVATION</t>
        </is>
      </c>
      <c r="AN284" s="24" t="inlineStr">
        <is>
          <t>NO_CALL</t>
        </is>
      </c>
      <c r="AO284" s="24" t="inlineStr">
        <is>
          <t>NO_CALL_MODEL_UNVALIDATED</t>
        </is>
      </c>
      <c r="AP284" s="24" t="inlineStr">
        <is>
          <t>Elina Svitolina</t>
        </is>
      </c>
      <c r="AQ284" s="24" t="inlineStr">
        <is>
          <t>Elina Svitolina</t>
        </is>
      </c>
      <c r="AR284" s="24" t="inlineStr">
        <is>
          <t>Elina Svitolina</t>
        </is>
      </c>
      <c r="AS284" s="24" t="inlineStr">
        <is>
          <t>Alexandra Eala</t>
        </is>
      </c>
      <c r="AT284" s="24" t="inlineStr">
        <is>
          <t>Alexandra Eala</t>
        </is>
      </c>
      <c r="AU284" s="24" t="inlineStr">
        <is>
          <t>Alexandra Eala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research</t>
        </is>
      </c>
      <c r="BA284" s="24" t="inlineStr">
        <is>
          <t>999faa03e2fa83bdf40e3760cb8645b4c314e4cc37c2050b8320d6582c4d8167</t>
        </is>
      </c>
      <c r="BB284" s="24" t="inlineStr">
        <is>
          <t>surface_blended_elo</t>
        </is>
      </c>
      <c r="BC284" s="24" t="inlineStr">
        <is>
          <t>tennis-surface-elo-v1</t>
        </is>
      </c>
      <c r="BD284" s="24" t="inlineStr">
        <is>
          <t>999faa03e2fa83bdf40e3760cb8645b4c314e4cc37c2050b8320d6582c4d8167</t>
        </is>
      </c>
      <c r="BE284" s="24" t="inlineStr">
        <is>
          <t>tennis-surface-elo-v1</t>
        </is>
      </c>
      <c r="BF284" s="24" t="inlineStr">
        <is>
          <t>1</t>
        </is>
      </c>
      <c r="BG284" s="24" t="inlineStr">
        <is>
          <t>999faa03e2fa83bdf40e3760cb8645b4c314e4cc37c2050b8320d6582c4d8167</t>
        </is>
      </c>
      <c r="BH284" s="24" t="inlineStr">
        <is>
          <t>2026-07-31T21:05:12.590790Z</t>
        </is>
      </c>
      <c r="BI284" s="24" t="inlineStr">
        <is>
          <t>["same_event","same_team_same_day","same_league_same_day"]</t>
        </is>
      </c>
      <c r="BJ284" s="25" t="n"/>
      <c r="BK284" s="26" t="n">
        <v>-144</v>
      </c>
      <c r="BL284" s="27" t="n">
        <v>1.694444</v>
      </c>
      <c r="BM284" s="28" t="n">
        <v>0.590164</v>
      </c>
      <c r="BN284" s="28" t="n"/>
      <c r="BO284" s="28" t="n"/>
      <c r="BP284" s="25" t="n"/>
      <c r="BQ284" s="27" t="n">
        <v>1.694444</v>
      </c>
      <c r="BR284" s="28" t="n">
        <v>0.59</v>
      </c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</row>
    <row r="285" ht="36" customHeight="1">
      <c r="A285" s="24" t="inlineStr">
        <is>
          <t>10eed2ec1da54da9</t>
        </is>
      </c>
      <c r="B285" s="24" t="inlineStr">
        <is>
          <t>2026-07-31T21:07:23.884398Z</t>
        </is>
      </c>
      <c r="C285" s="24" t="inlineStr">
        <is>
          <t>2026-07-31T23:00Z</t>
        </is>
      </c>
      <c r="D285" s="24" t="inlineStr">
        <is>
          <t>1067-2026:179447</t>
        </is>
      </c>
      <c r="E285" s="24" t="inlineStr">
        <is>
          <t>TENNIS</t>
        </is>
      </c>
      <c r="F285" s="24" t="inlineStr">
        <is>
          <t>Katie Volynets</t>
        </is>
      </c>
      <c r="G285" s="24" t="inlineStr">
        <is>
          <t>Darja Vidmanova</t>
        </is>
      </c>
      <c r="H285" s="24" t="inlineStr">
        <is>
          <t>moneyline</t>
        </is>
      </c>
      <c r="I285" s="24" t="inlineStr">
        <is>
          <t>away</t>
        </is>
      </c>
      <c r="J285" s="25" t="n"/>
      <c r="K285" s="24" t="inlineStr">
        <is>
          <t>polymarket_us</t>
        </is>
      </c>
      <c r="L285" s="26" t="n">
        <v>-194</v>
      </c>
      <c r="M285" s="27" t="n">
        <v>1.515464</v>
      </c>
      <c r="N285" s="28" t="n">
        <v>0.659864</v>
      </c>
      <c r="O285" s="28" t="n">
        <v>0.58929</v>
      </c>
      <c r="P285" s="28" t="n">
        <v>0.05</v>
      </c>
      <c r="Q285" s="28" t="n">
        <v>-0.070574</v>
      </c>
      <c r="R285" s="26" t="n">
        <v>0</v>
      </c>
      <c r="S285" s="29" t="n">
        <v>1.25</v>
      </c>
      <c r="T285" s="24" t="inlineStr">
        <is>
          <t>tennis-surface-elo-v1</t>
        </is>
      </c>
      <c r="U285" s="24" t="inlineStr">
        <is>
          <t>settled</t>
        </is>
      </c>
      <c r="V285" s="24" t="inlineStr">
        <is>
          <t>loss</t>
        </is>
      </c>
      <c r="W285" s="26" t="n">
        <v>0</v>
      </c>
      <c r="X285" s="26" t="n">
        <v>1</v>
      </c>
      <c r="Y285" s="25" t="n"/>
      <c r="Z285" s="26" t="n">
        <v>-194</v>
      </c>
      <c r="AA285" s="28" t="n">
        <v>0.66</v>
      </c>
      <c r="AB285" s="28" t="n">
        <v>0.000136</v>
      </c>
      <c r="AC285" s="30" t="n">
        <v>-1.25</v>
      </c>
      <c r="AD285" s="24" t="inlineStr">
        <is>
          <t>2026-08-01T05:33:51.231172Z</t>
        </is>
      </c>
      <c r="AE285" s="31" t="inlineStr">
        <is>
          <t>Surface-blended Elo on Hard: Katie Volynets p=0.589 vs Darja Vidmanova. Executable ask 0.6600 (aec-wta-darvid-katvol-2026-07-31).</t>
        </is>
      </c>
      <c r="AF285" s="31" t="inlineStr">
        <is>
          <t>Research-only surface-blended Elo model; singles only, WTA-only market coverage, not yet locked-holdout qualified.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research_observation</t>
        </is>
      </c>
      <c r="AL285" s="26" t="n">
        <v>3</v>
      </c>
      <c r="AM285" s="24" t="inlineStr">
        <is>
          <t>RESEARCH_OBSERVATION</t>
        </is>
      </c>
      <c r="AN285" s="24" t="inlineStr">
        <is>
          <t>NO_CALL</t>
        </is>
      </c>
      <c r="AO285" s="24" t="inlineStr">
        <is>
          <t>NO_CALL_MODEL_UNVALIDATED</t>
        </is>
      </c>
      <c r="AP285" s="24" t="inlineStr">
        <is>
          <t>Katie Volynets</t>
        </is>
      </c>
      <c r="AQ285" s="24" t="inlineStr">
        <is>
          <t>Katie Volynets</t>
        </is>
      </c>
      <c r="AR285" s="24" t="inlineStr">
        <is>
          <t>Katie Volynets</t>
        </is>
      </c>
      <c r="AS285" s="24" t="inlineStr">
        <is>
          <t>Darja Vidmanova</t>
        </is>
      </c>
      <c r="AT285" s="24" t="inlineStr">
        <is>
          <t>Darja Vidmanova</t>
        </is>
      </c>
      <c r="AU285" s="24" t="inlineStr">
        <is>
          <t>Darja Vidmanova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research</t>
        </is>
      </c>
      <c r="BA285" s="24" t="inlineStr">
        <is>
          <t>999faa03e2fa83bdf40e3760cb8645b4c314e4cc37c2050b8320d6582c4d8167</t>
        </is>
      </c>
      <c r="BB285" s="24" t="inlineStr">
        <is>
          <t>surface_blended_elo</t>
        </is>
      </c>
      <c r="BC285" s="24" t="inlineStr">
        <is>
          <t>tennis-surface-elo-v1</t>
        </is>
      </c>
      <c r="BD285" s="24" t="inlineStr">
        <is>
          <t>999faa03e2fa83bdf40e3760cb8645b4c314e4cc37c2050b8320d6582c4d8167</t>
        </is>
      </c>
      <c r="BE285" s="24" t="inlineStr">
        <is>
          <t>tennis-surface-elo-v1</t>
        </is>
      </c>
      <c r="BF285" s="24" t="inlineStr">
        <is>
          <t>1</t>
        </is>
      </c>
      <c r="BG285" s="24" t="inlineStr">
        <is>
          <t>999faa03e2fa83bdf40e3760cb8645b4c314e4cc37c2050b8320d6582c4d8167</t>
        </is>
      </c>
      <c r="BH285" s="24" t="inlineStr">
        <is>
          <t>2026-07-31T21:05:14.529918Z</t>
        </is>
      </c>
      <c r="BI285" s="24" t="inlineStr">
        <is>
          <t>["same_event","same_team_same_day","same_league_same_day"]</t>
        </is>
      </c>
      <c r="BJ285" s="25" t="n"/>
      <c r="BK285" s="26" t="n">
        <v>-194</v>
      </c>
      <c r="BL285" s="27" t="n">
        <v>1.515464</v>
      </c>
      <c r="BM285" s="28" t="n">
        <v>0.659864</v>
      </c>
      <c r="BN285" s="28" t="n"/>
      <c r="BO285" s="28" t="n"/>
      <c r="BP285" s="25" t="n"/>
      <c r="BQ285" s="27" t="n">
        <v>1.515464</v>
      </c>
      <c r="BR285" s="28" t="n">
        <v>0.66</v>
      </c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</row>
    <row r="286" ht="36" customHeight="1">
      <c r="A286" s="24" t="inlineStr">
        <is>
          <t>6b3978939cb34a8d</t>
        </is>
      </c>
      <c r="B286" s="24" t="inlineStr">
        <is>
          <t>2026-08-01T10:21:10.442597Z</t>
        </is>
      </c>
      <c r="C286" s="24" t="inlineStr">
        <is>
          <t>2026-08-01T13:00Z</t>
        </is>
      </c>
      <c r="D286" s="24" t="inlineStr">
        <is>
          <t>1073-2026:179590</t>
        </is>
      </c>
      <c r="E286" s="24" t="inlineStr">
        <is>
          <t>TENNIS</t>
        </is>
      </c>
      <c r="F286" s="24" t="inlineStr">
        <is>
          <t>Francesca Jones</t>
        </is>
      </c>
      <c r="G286" s="24" t="inlineStr">
        <is>
          <t>Kaitlin Quevedo</t>
        </is>
      </c>
      <c r="H286" s="24" t="inlineStr">
        <is>
          <t>moneyline</t>
        </is>
      </c>
      <c r="I286" s="24" t="inlineStr">
        <is>
          <t>away</t>
        </is>
      </c>
      <c r="J286" s="25" t="n"/>
      <c r="K286" s="24" t="inlineStr">
        <is>
          <t>polymarket_us</t>
        </is>
      </c>
      <c r="L286" s="26" t="n">
        <v>-113</v>
      </c>
      <c r="M286" s="27" t="n">
        <v>1.884956</v>
      </c>
      <c r="N286" s="28" t="n">
        <v>0.530516</v>
      </c>
      <c r="O286" s="28" t="n">
        <v>0.556019</v>
      </c>
      <c r="P286" s="28" t="n">
        <v>0.05</v>
      </c>
      <c r="Q286" s="28" t="n">
        <v>0.025503</v>
      </c>
      <c r="R286" s="26" t="n">
        <v>33</v>
      </c>
      <c r="S286" s="29" t="n">
        <v>1</v>
      </c>
      <c r="T286" s="24" t="inlineStr">
        <is>
          <t>tennis-surface-elo-v1</t>
        </is>
      </c>
      <c r="U286" s="24" t="inlineStr">
        <is>
          <t>settled</t>
        </is>
      </c>
      <c r="V286" s="24" t="inlineStr">
        <is>
          <t>loss</t>
        </is>
      </c>
      <c r="W286" s="26" t="n">
        <v>0</v>
      </c>
      <c r="X286" s="26" t="n">
        <v>1</v>
      </c>
      <c r="Y286" s="25" t="n"/>
      <c r="Z286" s="26" t="n">
        <v>-113</v>
      </c>
      <c r="AA286" s="28" t="n">
        <v>0.53</v>
      </c>
      <c r="AB286" s="28" t="n">
        <v>-0.000516</v>
      </c>
      <c r="AC286" s="30" t="n">
        <v>-1</v>
      </c>
      <c r="AD286" s="24" t="inlineStr">
        <is>
          <t>2026-08-01T16:48:15.887490Z</t>
        </is>
      </c>
      <c r="AE286" s="31" t="inlineStr">
        <is>
          <t>Surface-blended Elo on Hard: Francesca Jones p=0.556 vs Kaitlin Quevedo. Executable ask 0.5300 (aec-wta-kaique-frajon-2026-08-01).</t>
        </is>
      </c>
      <c r="AF286" s="31" t="inlineStr">
        <is>
          <t>Research-only surface-blended Elo model; singles only, WTA-only market coverage, not yet locked-holdout qualified.</t>
        </is>
      </c>
      <c r="AG286" s="24" t="inlineStr">
        <is>
          <t>review_required</t>
        </is>
      </c>
      <c r="AH286" s="24" t="n"/>
      <c r="AI286" s="31" t="n"/>
      <c r="AJ286" s="31" t="n"/>
      <c r="AK286" s="24" t="inlineStr">
        <is>
          <t>research_observation</t>
        </is>
      </c>
      <c r="AL286" s="26" t="n">
        <v>3</v>
      </c>
      <c r="AM286" s="24" t="inlineStr">
        <is>
          <t>RESEARCH_OBSERVATION</t>
        </is>
      </c>
      <c r="AN286" s="24" t="inlineStr">
        <is>
          <t>NO_CALL</t>
        </is>
      </c>
      <c r="AO286" s="24" t="inlineStr">
        <is>
          <t>NO_CALL_MODEL_UNVALIDATED</t>
        </is>
      </c>
      <c r="AP286" s="24" t="inlineStr">
        <is>
          <t>Francesca Jones</t>
        </is>
      </c>
      <c r="AQ286" s="24" t="inlineStr">
        <is>
          <t>Francesca Jones</t>
        </is>
      </c>
      <c r="AR286" s="24" t="inlineStr">
        <is>
          <t>Francesca Jones</t>
        </is>
      </c>
      <c r="AS286" s="24" t="inlineStr">
        <is>
          <t>Kaitlin Quevedo</t>
        </is>
      </c>
      <c r="AT286" s="24" t="inlineStr">
        <is>
          <t>Kaitlin Quevedo</t>
        </is>
      </c>
      <c r="AU286" s="24" t="inlineStr">
        <is>
          <t>Kaitlin Quevedo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research</t>
        </is>
      </c>
      <c r="BA286" s="24" t="inlineStr">
        <is>
          <t>999faa03e2fa83bdf40e3760cb8645b4c314e4cc37c2050b8320d6582c4d8167</t>
        </is>
      </c>
      <c r="BB286" s="24" t="inlineStr">
        <is>
          <t>surface_blended_elo</t>
        </is>
      </c>
      <c r="BC286" s="24" t="inlineStr">
        <is>
          <t>tennis-surface-elo-v1</t>
        </is>
      </c>
      <c r="BD286" s="24" t="inlineStr">
        <is>
          <t>999faa03e2fa83bdf40e3760cb8645b4c314e4cc37c2050b8320d6582c4d8167</t>
        </is>
      </c>
      <c r="BE286" s="24" t="inlineStr">
        <is>
          <t>tennis-surface-elo-v1</t>
        </is>
      </c>
      <c r="BF286" s="24" t="inlineStr">
        <is>
          <t>1</t>
        </is>
      </c>
      <c r="BG286" s="24" t="inlineStr">
        <is>
          <t>999faa03e2fa83bdf40e3760cb8645b4c314e4cc37c2050b8320d6582c4d8167</t>
        </is>
      </c>
      <c r="BH286" s="24" t="inlineStr">
        <is>
          <t>2026-08-01T10:17:33.819801Z</t>
        </is>
      </c>
      <c r="BI286" s="24" t="inlineStr">
        <is>
          <t>["same_event","same_team_same_day","same_league_same_day"]</t>
        </is>
      </c>
      <c r="BJ286" s="25" t="n"/>
      <c r="BK286" s="26" t="n">
        <v>-113</v>
      </c>
      <c r="BL286" s="27" t="n">
        <v>1.884956</v>
      </c>
      <c r="BM286" s="28" t="n">
        <v>0.530516</v>
      </c>
      <c r="BN286" s="28" t="n"/>
      <c r="BO286" s="28" t="n"/>
      <c r="BP286" s="25" t="n"/>
      <c r="BQ286" s="27" t="n">
        <v>1.884956</v>
      </c>
      <c r="BR286" s="28" t="n">
        <v>0.53</v>
      </c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</row>
    <row r="287" ht="36" customHeight="1">
      <c r="A287" s="24" t="inlineStr">
        <is>
          <t>32c3d88544104880</t>
        </is>
      </c>
      <c r="B287" s="24" t="inlineStr">
        <is>
          <t>2026-08-01T13:45:05.538322Z</t>
        </is>
      </c>
      <c r="C287" s="24" t="inlineStr">
        <is>
          <t>2026-08-01T15:00Z</t>
        </is>
      </c>
      <c r="D287" s="24" t="inlineStr">
        <is>
          <t>1073-2026:179588</t>
        </is>
      </c>
      <c r="E287" s="24" t="inlineStr">
        <is>
          <t>TENNIS</t>
        </is>
      </c>
      <c r="F287" s="24" t="inlineStr">
        <is>
          <t>Laura Samson</t>
        </is>
      </c>
      <c r="G287" s="24" t="inlineStr">
        <is>
          <t>Lucia Bronzetti</t>
        </is>
      </c>
      <c r="H287" s="24" t="inlineStr">
        <is>
          <t>moneyline</t>
        </is>
      </c>
      <c r="I287" s="24" t="inlineStr">
        <is>
          <t>home</t>
        </is>
      </c>
      <c r="J287" s="25" t="n"/>
      <c r="K287" s="24" t="inlineStr">
        <is>
          <t>polymarket_us</t>
        </is>
      </c>
      <c r="L287" s="26" t="n">
        <v>-122</v>
      </c>
      <c r="M287" s="27" t="n">
        <v>1.819672</v>
      </c>
      <c r="N287" s="28" t="n">
        <v>0.54955</v>
      </c>
      <c r="O287" s="28" t="n">
        <v>0.616613</v>
      </c>
      <c r="P287" s="28" t="n">
        <v>0.05</v>
      </c>
      <c r="Q287" s="28" t="n">
        <v>0.067063</v>
      </c>
      <c r="R287" s="26" t="n">
        <v>54</v>
      </c>
      <c r="S287" s="29" t="n">
        <v>1.5</v>
      </c>
      <c r="T287" s="24" t="inlineStr">
        <is>
          <t>tennis-surface-elo-v1</t>
        </is>
      </c>
      <c r="U287" s="24" t="inlineStr">
        <is>
          <t>settled</t>
        </is>
      </c>
      <c r="V287" s="24" t="inlineStr">
        <is>
          <t>loss</t>
        </is>
      </c>
      <c r="W287" s="26" t="n">
        <v>1</v>
      </c>
      <c r="X287" s="26" t="n">
        <v>0</v>
      </c>
      <c r="Y287" s="25" t="n"/>
      <c r="Z287" s="26" t="n">
        <v>-122</v>
      </c>
      <c r="AA287" s="28" t="n">
        <v>0.55</v>
      </c>
      <c r="AB287" s="28" t="n">
        <v>0.00045</v>
      </c>
      <c r="AC287" s="30" t="n">
        <v>-1.5</v>
      </c>
      <c r="AD287" s="24" t="inlineStr">
        <is>
          <t>2026-08-01T18:35:36.565262Z</t>
        </is>
      </c>
      <c r="AE287" s="31" t="inlineStr">
        <is>
          <t>Surface-blended Elo on Hard: Laura Samson p=0.383 vs Lucia Bronzetti. Executable ask 0.5500 (aec-wta-lucbro-lausam-2026-08-01).</t>
        </is>
      </c>
      <c r="AF287" s="31" t="inlineStr">
        <is>
          <t>Research-only surface-blended Elo model; singles only, WTA-only market coverage, not yet locked-holdout qualified.</t>
        </is>
      </c>
      <c r="AG287" s="24" t="inlineStr">
        <is>
          <t>review_required</t>
        </is>
      </c>
      <c r="AH287" s="24" t="n"/>
      <c r="AI287" s="31" t="n"/>
      <c r="AJ287" s="31" t="n"/>
      <c r="AK287" s="24" t="inlineStr">
        <is>
          <t>research_observation</t>
        </is>
      </c>
      <c r="AL287" s="26" t="n">
        <v>3</v>
      </c>
      <c r="AM287" s="24" t="inlineStr">
        <is>
          <t>RESEARCH_OBSERVATION</t>
        </is>
      </c>
      <c r="AN287" s="24" t="inlineStr">
        <is>
          <t>NO_CALL</t>
        </is>
      </c>
      <c r="AO287" s="24" t="inlineStr">
        <is>
          <t>NO_CALL_MODEL_UNVALIDATED</t>
        </is>
      </c>
      <c r="AP287" s="24" t="inlineStr">
        <is>
          <t>Laura Samson</t>
        </is>
      </c>
      <c r="AQ287" s="24" t="inlineStr">
        <is>
          <t>Laura Samson</t>
        </is>
      </c>
      <c r="AR287" s="24" t="inlineStr">
        <is>
          <t>Laura Samson</t>
        </is>
      </c>
      <c r="AS287" s="24" t="inlineStr">
        <is>
          <t>Lucia Bronzetti</t>
        </is>
      </c>
      <c r="AT287" s="24" t="inlineStr">
        <is>
          <t>Lucia Bronzetti</t>
        </is>
      </c>
      <c r="AU287" s="24" t="inlineStr">
        <is>
          <t>Lucia Bronzetti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research</t>
        </is>
      </c>
      <c r="BA287" s="24" t="inlineStr">
        <is>
          <t>999faa03e2fa83bdf40e3760cb8645b4c314e4cc37c2050b8320d6582c4d8167</t>
        </is>
      </c>
      <c r="BB287" s="24" t="inlineStr">
        <is>
          <t>surface_blended_elo</t>
        </is>
      </c>
      <c r="BC287" s="24" t="inlineStr">
        <is>
          <t>tennis-surface-elo-v1</t>
        </is>
      </c>
      <c r="BD287" s="24" t="inlineStr">
        <is>
          <t>999faa03e2fa83bdf40e3760cb8645b4c314e4cc37c2050b8320d6582c4d8167</t>
        </is>
      </c>
      <c r="BE287" s="24" t="inlineStr">
        <is>
          <t>tennis-surface-elo-v1</t>
        </is>
      </c>
      <c r="BF287" s="24" t="inlineStr">
        <is>
          <t>1</t>
        </is>
      </c>
      <c r="BG287" s="24" t="inlineStr">
        <is>
          <t>999faa03e2fa83bdf40e3760cb8645b4c314e4cc37c2050b8320d6582c4d8167</t>
        </is>
      </c>
      <c r="BH287" s="24" t="inlineStr">
        <is>
          <t>2026-08-01T13:42:52.016686Z</t>
        </is>
      </c>
      <c r="BI287" s="24" t="inlineStr">
        <is>
          <t>["same_event","same_team_same_day","same_league_same_day"]</t>
        </is>
      </c>
      <c r="BJ287" s="25" t="n"/>
      <c r="BK287" s="26" t="n">
        <v>-122</v>
      </c>
      <c r="BL287" s="27" t="n">
        <v>1.819672</v>
      </c>
      <c r="BM287" s="28" t="n">
        <v>0.54955</v>
      </c>
      <c r="BN287" s="28" t="n"/>
      <c r="BO287" s="28" t="n"/>
      <c r="BP287" s="25" t="n"/>
      <c r="BQ287" s="27" t="n">
        <v>1.819672</v>
      </c>
      <c r="BR287" s="28" t="n">
        <v>0.55</v>
      </c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</row>
    <row r="288" ht="36" customHeight="1">
      <c r="A288" s="24" t="inlineStr">
        <is>
          <t>aea1bbec2ad64cd6</t>
        </is>
      </c>
      <c r="B288" s="24" t="inlineStr">
        <is>
          <t>2026-08-01T13:45:05.538322Z</t>
        </is>
      </c>
      <c r="C288" s="24" t="inlineStr">
        <is>
          <t>2026-08-01T15:00Z</t>
        </is>
      </c>
      <c r="D288" s="24" t="inlineStr">
        <is>
          <t>421-2026:183321</t>
        </is>
      </c>
      <c r="E288" s="24" t="inlineStr">
        <is>
          <t>TENNIS</t>
        </is>
      </c>
      <c r="F288" s="24" t="inlineStr">
        <is>
          <t>Aoi Ito</t>
        </is>
      </c>
      <c r="G288" s="24" t="inlineStr">
        <is>
          <t>Oksana Selekhmeteva</t>
        </is>
      </c>
      <c r="H288" s="24" t="inlineStr">
        <is>
          <t>moneyline</t>
        </is>
      </c>
      <c r="I288" s="24" t="inlineStr">
        <is>
          <t>home</t>
        </is>
      </c>
      <c r="J288" s="25" t="n"/>
      <c r="K288" s="24" t="inlineStr">
        <is>
          <t>polymarket_us</t>
        </is>
      </c>
      <c r="L288" s="26" t="n">
        <v>-223</v>
      </c>
      <c r="M288" s="27" t="n">
        <v>1.44843</v>
      </c>
      <c r="N288" s="28" t="n">
        <v>0.690402</v>
      </c>
      <c r="O288" s="28" t="n">
        <v>0.5925859999999999</v>
      </c>
      <c r="P288" s="28" t="n">
        <v>0.05</v>
      </c>
      <c r="Q288" s="28" t="n">
        <v>-0.097816</v>
      </c>
      <c r="R288" s="26" t="n">
        <v>0</v>
      </c>
      <c r="S288" s="29" t="n">
        <v>1.25</v>
      </c>
      <c r="T288" s="24" t="inlineStr">
        <is>
          <t>tennis-surface-elo-v1</t>
        </is>
      </c>
      <c r="U288" s="24" t="inlineStr">
        <is>
          <t>settled</t>
        </is>
      </c>
      <c r="V288" s="24" t="inlineStr">
        <is>
          <t>loss</t>
        </is>
      </c>
      <c r="W288" s="26" t="n">
        <v>1</v>
      </c>
      <c r="X288" s="26" t="n">
        <v>0</v>
      </c>
      <c r="Y288" s="25" t="n"/>
      <c r="Z288" s="26" t="n">
        <v>-223</v>
      </c>
      <c r="AA288" s="28" t="n">
        <v>0.6899999999999999</v>
      </c>
      <c r="AB288" s="28" t="n">
        <v>-0.000402</v>
      </c>
      <c r="AC288" s="30" t="n">
        <v>-1.25</v>
      </c>
      <c r="AD288" s="24" t="inlineStr">
        <is>
          <t>2026-08-01T18:35:37.137505Z</t>
        </is>
      </c>
      <c r="AE288" s="31" t="inlineStr">
        <is>
          <t>Surface-blended Elo on Hard: Aoi Ito p=0.407 vs Oksana Selekhmeteva. Executable ask 0.6900 (aec-wta-okssel-aoiito-2026-08-01).</t>
        </is>
      </c>
      <c r="AF288" s="31" t="inlineStr">
        <is>
          <t>Research-only surface-blended Elo model; singles only, WTA-only market coverage, not yet locked-holdout qualified.</t>
        </is>
      </c>
      <c r="AG288" s="24" t="inlineStr">
        <is>
          <t>review_required</t>
        </is>
      </c>
      <c r="AH288" s="24" t="n"/>
      <c r="AI288" s="31" t="n"/>
      <c r="AJ288" s="31" t="n"/>
      <c r="AK288" s="24" t="inlineStr">
        <is>
          <t>research_observation</t>
        </is>
      </c>
      <c r="AL288" s="26" t="n">
        <v>3</v>
      </c>
      <c r="AM288" s="24" t="inlineStr">
        <is>
          <t>RESEARCH_OBSERVATION</t>
        </is>
      </c>
      <c r="AN288" s="24" t="inlineStr">
        <is>
          <t>NO_CALL</t>
        </is>
      </c>
      <c r="AO288" s="24" t="inlineStr">
        <is>
          <t>NO_CALL_MODEL_UNVALIDATED</t>
        </is>
      </c>
      <c r="AP288" s="24" t="inlineStr">
        <is>
          <t>Aoi Ito</t>
        </is>
      </c>
      <c r="AQ288" s="24" t="inlineStr">
        <is>
          <t>Aoi Ito</t>
        </is>
      </c>
      <c r="AR288" s="24" t="inlineStr">
        <is>
          <t>Aoi Ito</t>
        </is>
      </c>
      <c r="AS288" s="24" t="inlineStr">
        <is>
          <t>Oksana Selekhmeteva</t>
        </is>
      </c>
      <c r="AT288" s="24" t="inlineStr">
        <is>
          <t>Oksana Selekhmeteva</t>
        </is>
      </c>
      <c r="AU288" s="24" t="inlineStr">
        <is>
          <t>Oksana Selekhmeteva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research</t>
        </is>
      </c>
      <c r="BA288" s="24" t="inlineStr">
        <is>
          <t>999faa03e2fa83bdf40e3760cb8645b4c314e4cc37c2050b8320d6582c4d8167</t>
        </is>
      </c>
      <c r="BB288" s="24" t="inlineStr">
        <is>
          <t>surface_blended_elo</t>
        </is>
      </c>
      <c r="BC288" s="24" t="inlineStr">
        <is>
          <t>tennis-surface-elo-v1</t>
        </is>
      </c>
      <c r="BD288" s="24" t="inlineStr">
        <is>
          <t>999faa03e2fa83bdf40e3760cb8645b4c314e4cc37c2050b8320d6582c4d8167</t>
        </is>
      </c>
      <c r="BE288" s="24" t="inlineStr">
        <is>
          <t>tennis-surface-elo-v1</t>
        </is>
      </c>
      <c r="BF288" s="24" t="inlineStr">
        <is>
          <t>1</t>
        </is>
      </c>
      <c r="BG288" s="24" t="inlineStr">
        <is>
          <t>999faa03e2fa83bdf40e3760cb8645b4c314e4cc37c2050b8320d6582c4d8167</t>
        </is>
      </c>
      <c r="BH288" s="24" t="inlineStr">
        <is>
          <t>2026-08-01T13:42:48.416587Z</t>
        </is>
      </c>
      <c r="BI288" s="24" t="inlineStr">
        <is>
          <t>["same_event","same_team_same_day","same_league_same_day"]</t>
        </is>
      </c>
      <c r="BJ288" s="25" t="n"/>
      <c r="BK288" s="26" t="n">
        <v>-223</v>
      </c>
      <c r="BL288" s="27" t="n">
        <v>1.44843</v>
      </c>
      <c r="BM288" s="28" t="n">
        <v>0.690402</v>
      </c>
      <c r="BN288" s="28" t="n"/>
      <c r="BO288" s="28" t="n"/>
      <c r="BP288" s="25" t="n"/>
      <c r="BQ288" s="27" t="n">
        <v>1.44843</v>
      </c>
      <c r="BR288" s="28" t="n">
        <v>0.6899999999999999</v>
      </c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</row>
    <row r="289" ht="36" customHeight="1">
      <c r="A289" s="24" t="inlineStr">
        <is>
          <t>0ba68b6e97b34a6e</t>
        </is>
      </c>
      <c r="B289" s="24" t="inlineStr">
        <is>
          <t>2026-08-01T13:45:05.538322Z</t>
        </is>
      </c>
      <c r="C289" s="24" t="inlineStr">
        <is>
          <t>2026-08-01T15:00Z</t>
        </is>
      </c>
      <c r="D289" s="24" t="inlineStr">
        <is>
          <t>421-2026:183322</t>
        </is>
      </c>
      <c r="E289" s="24" t="inlineStr">
        <is>
          <t>TENNIS</t>
        </is>
      </c>
      <c r="F289" s="24" t="inlineStr">
        <is>
          <t>Lois Boisson</t>
        </is>
      </c>
      <c r="G289" s="24" t="inlineStr">
        <is>
          <t>Emiliana Arango</t>
        </is>
      </c>
      <c r="H289" s="24" t="inlineStr">
        <is>
          <t>moneyline</t>
        </is>
      </c>
      <c r="I289" s="24" t="inlineStr">
        <is>
          <t>away</t>
        </is>
      </c>
      <c r="J289" s="25" t="n"/>
      <c r="K289" s="24" t="inlineStr">
        <is>
          <t>polymarket_us</t>
        </is>
      </c>
      <c r="L289" s="26" t="n">
        <v>108</v>
      </c>
      <c r="M289" s="27" t="n">
        <v>2.08</v>
      </c>
      <c r="N289" s="28" t="n">
        <v>0.480769</v>
      </c>
      <c r="O289" s="28" t="n">
        <v>0.5789029999999999</v>
      </c>
      <c r="P289" s="28" t="n">
        <v>0.05</v>
      </c>
      <c r="Q289" s="28" t="n">
        <v>0.098134</v>
      </c>
      <c r="R289" s="26" t="n">
        <v>69</v>
      </c>
      <c r="S289" s="29" t="n">
        <v>1.25</v>
      </c>
      <c r="T289" s="24" t="inlineStr">
        <is>
          <t>tennis-surface-elo-v1</t>
        </is>
      </c>
      <c r="U289" s="24" t="inlineStr">
        <is>
          <t>settled</t>
        </is>
      </c>
      <c r="V289" s="24" t="inlineStr">
        <is>
          <t>win</t>
        </is>
      </c>
      <c r="W289" s="26" t="n">
        <v>1</v>
      </c>
      <c r="X289" s="26" t="n">
        <v>0</v>
      </c>
      <c r="Y289" s="25" t="n"/>
      <c r="Z289" s="26" t="n">
        <v>108</v>
      </c>
      <c r="AA289" s="28" t="n">
        <v>0.48</v>
      </c>
      <c r="AB289" s="28" t="n">
        <v>-0.000769</v>
      </c>
      <c r="AC289" s="30" t="n">
        <v>1.35</v>
      </c>
      <c r="AD289" s="24" t="inlineStr">
        <is>
          <t>2026-08-01T18:35:37.653283Z</t>
        </is>
      </c>
      <c r="AE289" s="31" t="inlineStr">
        <is>
          <t>Surface-blended Elo on Hard: Lois Boisson p=0.579 vs Emiliana Arango. Executable ask 0.4800 (aec-wta-emiara-loiboi-2026-08-01).</t>
        </is>
      </c>
      <c r="AF289" s="31" t="inlineStr">
        <is>
          <t>Research-only surface-blended Elo model; singles only, WTA-only market coverage, not yet locked-holdout qualified.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research_observation</t>
        </is>
      </c>
      <c r="AL289" s="26" t="n">
        <v>3</v>
      </c>
      <c r="AM289" s="24" t="inlineStr">
        <is>
          <t>RESEARCH_OBSERVATION</t>
        </is>
      </c>
      <c r="AN289" s="24" t="inlineStr">
        <is>
          <t>NO_CALL</t>
        </is>
      </c>
      <c r="AO289" s="24" t="inlineStr">
        <is>
          <t>NO_CALL_MODEL_UNVALIDATED</t>
        </is>
      </c>
      <c r="AP289" s="24" t="inlineStr">
        <is>
          <t>Lois Boisson</t>
        </is>
      </c>
      <c r="AQ289" s="24" t="inlineStr">
        <is>
          <t>Lois Boisson</t>
        </is>
      </c>
      <c r="AR289" s="24" t="inlineStr">
        <is>
          <t>Lois Boisson</t>
        </is>
      </c>
      <c r="AS289" s="24" t="inlineStr">
        <is>
          <t>Emiliana Arango</t>
        </is>
      </c>
      <c r="AT289" s="24" t="inlineStr">
        <is>
          <t>Emiliana Arango</t>
        </is>
      </c>
      <c r="AU289" s="24" t="inlineStr">
        <is>
          <t>Emiliana Arango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research</t>
        </is>
      </c>
      <c r="BA289" s="24" t="inlineStr">
        <is>
          <t>999faa03e2fa83bdf40e3760cb8645b4c314e4cc37c2050b8320d6582c4d8167</t>
        </is>
      </c>
      <c r="BB289" s="24" t="inlineStr">
        <is>
          <t>surface_blended_elo</t>
        </is>
      </c>
      <c r="BC289" s="24" t="inlineStr">
        <is>
          <t>tennis-surface-elo-v1</t>
        </is>
      </c>
      <c r="BD289" s="24" t="inlineStr">
        <is>
          <t>999faa03e2fa83bdf40e3760cb8645b4c314e4cc37c2050b8320d6582c4d8167</t>
        </is>
      </c>
      <c r="BE289" s="24" t="inlineStr">
        <is>
          <t>tennis-surface-elo-v1</t>
        </is>
      </c>
      <c r="BF289" s="24" t="inlineStr">
        <is>
          <t>1</t>
        </is>
      </c>
      <c r="BG289" s="24" t="inlineStr">
        <is>
          <t>999faa03e2fa83bdf40e3760cb8645b4c314e4cc37c2050b8320d6582c4d8167</t>
        </is>
      </c>
      <c r="BH289" s="24" t="inlineStr">
        <is>
          <t>2026-08-01T13:42:47.170895Z</t>
        </is>
      </c>
      <c r="BI289" s="24" t="inlineStr">
        <is>
          <t>["same_event","same_team_same_day","same_league_same_day"]</t>
        </is>
      </c>
      <c r="BJ289" s="25" t="n"/>
      <c r="BK289" s="26" t="n">
        <v>108</v>
      </c>
      <c r="BL289" s="27" t="n">
        <v>2.08</v>
      </c>
      <c r="BM289" s="28" t="n">
        <v>0.480769</v>
      </c>
      <c r="BN289" s="28" t="n"/>
      <c r="BO289" s="28" t="n"/>
      <c r="BP289" s="25" t="n"/>
      <c r="BQ289" s="27" t="n">
        <v>2.08</v>
      </c>
      <c r="BR289" s="28" t="n">
        <v>0.48</v>
      </c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</row>
    <row r="290" ht="36" customHeight="1">
      <c r="A290" s="24" t="inlineStr">
        <is>
          <t>0929e2ef16d04d34</t>
        </is>
      </c>
      <c r="B290" s="24" t="inlineStr">
        <is>
          <t>2026-08-01T13:45:05.538322Z</t>
        </is>
      </c>
      <c r="C290" s="24" t="inlineStr">
        <is>
          <t>2026-08-01T15:00Z</t>
        </is>
      </c>
      <c r="D290" s="24" t="inlineStr">
        <is>
          <t>421-2026:183328</t>
        </is>
      </c>
      <c r="E290" s="24" t="inlineStr">
        <is>
          <t>TENNIS</t>
        </is>
      </c>
      <c r="F290" s="24" t="inlineStr">
        <is>
          <t>Zhu Lin</t>
        </is>
      </c>
      <c r="G290" s="24" t="inlineStr">
        <is>
          <t>Leolia Jeanjean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122</v>
      </c>
      <c r="M290" s="27" t="n">
        <v>2.22</v>
      </c>
      <c r="N290" s="28" t="n">
        <v>0.45045</v>
      </c>
      <c r="O290" s="28" t="n">
        <v>0.518244</v>
      </c>
      <c r="P290" s="28" t="n">
        <v>0.05</v>
      </c>
      <c r="Q290" s="28" t="n">
        <v>0.06779399999999999</v>
      </c>
      <c r="R290" s="26" t="n">
        <v>54</v>
      </c>
      <c r="S290" s="29" t="n">
        <v>1</v>
      </c>
      <c r="T290" s="24" t="inlineStr">
        <is>
          <t>tennis-surface-elo-v1</t>
        </is>
      </c>
      <c r="U290" s="24" t="inlineStr">
        <is>
          <t>settled</t>
        </is>
      </c>
      <c r="V290" s="24" t="inlineStr">
        <is>
          <t>win</t>
        </is>
      </c>
      <c r="W290" s="26" t="n">
        <v>0</v>
      </c>
      <c r="X290" s="26" t="n">
        <v>1</v>
      </c>
      <c r="Y290" s="25" t="n"/>
      <c r="Z290" s="26" t="n">
        <v>122</v>
      </c>
      <c r="AA290" s="28" t="n">
        <v>0.45</v>
      </c>
      <c r="AB290" s="28" t="n">
        <v>-0.00045</v>
      </c>
      <c r="AC290" s="30" t="n">
        <v>1.22</v>
      </c>
      <c r="AD290" s="24" t="inlineStr">
        <is>
          <t>2026-08-01T18:35:38.169808Z</t>
        </is>
      </c>
      <c r="AE290" s="31" t="inlineStr">
        <is>
          <t>Surface-blended Elo on Hard: Zhu Lin p=0.482 vs Leolia Jeanjean. Executable ask 0.4500 (aec-wta-leojea-linzhu-2026-08-01).</t>
        </is>
      </c>
      <c r="AF290" s="31" t="inlineStr">
        <is>
          <t>Research-only surface-blended Elo model; singles only, WTA-only market coverage, not yet locked-holdout qualified.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research_observation</t>
        </is>
      </c>
      <c r="AL290" s="26" t="n">
        <v>3</v>
      </c>
      <c r="AM290" s="24" t="inlineStr">
        <is>
          <t>RESEARCH_OBSERVATION</t>
        </is>
      </c>
      <c r="AN290" s="24" t="inlineStr">
        <is>
          <t>NO_CALL</t>
        </is>
      </c>
      <c r="AO290" s="24" t="inlineStr">
        <is>
          <t>NO_CALL_MODEL_UNVALIDATED</t>
        </is>
      </c>
      <c r="AP290" s="24" t="inlineStr">
        <is>
          <t>Zhu Lin</t>
        </is>
      </c>
      <c r="AQ290" s="24" t="inlineStr">
        <is>
          <t>Zhu Lin</t>
        </is>
      </c>
      <c r="AR290" s="24" t="inlineStr">
        <is>
          <t>Zhu Lin</t>
        </is>
      </c>
      <c r="AS290" s="24" t="inlineStr">
        <is>
          <t>Leolia Jeanjean</t>
        </is>
      </c>
      <c r="AT290" s="24" t="inlineStr">
        <is>
          <t>Leolia Jeanjean</t>
        </is>
      </c>
      <c r="AU290" s="24" t="inlineStr">
        <is>
          <t>Leolia Jeanjean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research</t>
        </is>
      </c>
      <c r="BA290" s="24" t="inlineStr">
        <is>
          <t>999faa03e2fa83bdf40e3760cb8645b4c314e4cc37c2050b8320d6582c4d8167</t>
        </is>
      </c>
      <c r="BB290" s="24" t="inlineStr">
        <is>
          <t>surface_blended_elo</t>
        </is>
      </c>
      <c r="BC290" s="24" t="inlineStr">
        <is>
          <t>tennis-surface-elo-v1</t>
        </is>
      </c>
      <c r="BD290" s="24" t="inlineStr">
        <is>
          <t>999faa03e2fa83bdf40e3760cb8645b4c314e4cc37c2050b8320d6582c4d8167</t>
        </is>
      </c>
      <c r="BE290" s="24" t="inlineStr">
        <is>
          <t>tennis-surface-elo-v1</t>
        </is>
      </c>
      <c r="BF290" s="24" t="inlineStr">
        <is>
          <t>1</t>
        </is>
      </c>
      <c r="BG290" s="24" t="inlineStr">
        <is>
          <t>999faa03e2fa83bdf40e3760cb8645b4c314e4cc37c2050b8320d6582c4d8167</t>
        </is>
      </c>
      <c r="BH290" s="24" t="inlineStr">
        <is>
          <t>2026-08-01T13:42:50.700450Z</t>
        </is>
      </c>
      <c r="BI290" s="24" t="inlineStr">
        <is>
          <t>["same_event","same_team_same_day","same_league_same_day"]</t>
        </is>
      </c>
      <c r="BJ290" s="25" t="n"/>
      <c r="BK290" s="26" t="n">
        <v>122</v>
      </c>
      <c r="BL290" s="27" t="n">
        <v>2.22</v>
      </c>
      <c r="BM290" s="28" t="n">
        <v>0.45045</v>
      </c>
      <c r="BN290" s="28" t="n"/>
      <c r="BO290" s="28" t="n"/>
      <c r="BP290" s="25" t="n"/>
      <c r="BQ290" s="27" t="n">
        <v>2.22</v>
      </c>
      <c r="BR290" s="28" t="n">
        <v>0.45</v>
      </c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</row>
    <row r="291" ht="36" customHeight="1">
      <c r="A291" s="24" t="inlineStr">
        <is>
          <t>a9f79cf84e904ab3</t>
        </is>
      </c>
      <c r="B291" s="24" t="inlineStr">
        <is>
          <t>2026-08-01T13:45:05.538322Z</t>
        </is>
      </c>
      <c r="C291" s="24" t="inlineStr">
        <is>
          <t>2026-08-01T15:00Z</t>
        </is>
      </c>
      <c r="D291" s="24" t="inlineStr">
        <is>
          <t>421-2026:183329</t>
        </is>
      </c>
      <c r="E291" s="24" t="inlineStr">
        <is>
          <t>TENNIS</t>
        </is>
      </c>
      <c r="F291" s="24" t="inlineStr">
        <is>
          <t>Marina Bassols Ribera</t>
        </is>
      </c>
      <c r="G291" s="24" t="inlineStr">
        <is>
          <t>Victoria Jimenez Kasintseva</t>
        </is>
      </c>
      <c r="H291" s="24" t="inlineStr">
        <is>
          <t>moneyline</t>
        </is>
      </c>
      <c r="I291" s="24" t="inlineStr">
        <is>
          <t>away</t>
        </is>
      </c>
      <c r="J291" s="25" t="n"/>
      <c r="K291" s="24" t="inlineStr">
        <is>
          <t>polymarket_us</t>
        </is>
      </c>
      <c r="L291" s="26" t="n">
        <v>-170</v>
      </c>
      <c r="M291" s="27" t="n">
        <v>1.588235</v>
      </c>
      <c r="N291" s="28" t="n">
        <v>0.62963</v>
      </c>
      <c r="O291" s="28" t="n">
        <v>0.542961</v>
      </c>
      <c r="P291" s="28" t="n">
        <v>0.05</v>
      </c>
      <c r="Q291" s="28" t="n">
        <v>-0.086669</v>
      </c>
      <c r="R291" s="26" t="n">
        <v>0</v>
      </c>
      <c r="S291" s="29" t="n">
        <v>1</v>
      </c>
      <c r="T291" s="24" t="inlineStr">
        <is>
          <t>tennis-surface-elo-v1</t>
        </is>
      </c>
      <c r="U291" s="24" t="inlineStr">
        <is>
          <t>settled</t>
        </is>
      </c>
      <c r="V291" s="24" t="inlineStr">
        <is>
          <t>loss</t>
        </is>
      </c>
      <c r="W291" s="26" t="n">
        <v>0</v>
      </c>
      <c r="X291" s="26" t="n">
        <v>1</v>
      </c>
      <c r="Y291" s="25" t="n"/>
      <c r="Z291" s="26" t="n">
        <v>-170</v>
      </c>
      <c r="AA291" s="28" t="n">
        <v>0.63</v>
      </c>
      <c r="AB291" s="28" t="n">
        <v>0.00037</v>
      </c>
      <c r="AC291" s="30" t="n">
        <v>-1</v>
      </c>
      <c r="AD291" s="24" t="inlineStr">
        <is>
          <t>2026-08-01T18:35:38.685541Z</t>
        </is>
      </c>
      <c r="AE291" s="31" t="inlineStr">
        <is>
          <t>Surface-blended Elo on Hard: Marina Bassols Ribera p=0.543 vs Victoria Jimenez Kasintseva. Executable ask 0.6300 (aec-wta-vickas-marrib-2026-08-01).</t>
        </is>
      </c>
      <c r="AF291" s="31" t="inlineStr">
        <is>
          <t>Research-only surface-blended Elo model; singles only, WTA-only market coverage, not yet locked-holdout qualified.</t>
        </is>
      </c>
      <c r="AG291" s="24" t="inlineStr">
        <is>
          <t>review_required</t>
        </is>
      </c>
      <c r="AH291" s="24" t="n"/>
      <c r="AI291" s="31" t="n"/>
      <c r="AJ291" s="31" t="n"/>
      <c r="AK291" s="24" t="inlineStr">
        <is>
          <t>research_observation</t>
        </is>
      </c>
      <c r="AL291" s="26" t="n">
        <v>3</v>
      </c>
      <c r="AM291" s="24" t="inlineStr">
        <is>
          <t>RESEARCH_OBSERVATION</t>
        </is>
      </c>
      <c r="AN291" s="24" t="inlineStr">
        <is>
          <t>NO_CALL</t>
        </is>
      </c>
      <c r="AO291" s="24" t="inlineStr">
        <is>
          <t>NO_CALL_MODEL_UNVALIDATED</t>
        </is>
      </c>
      <c r="AP291" s="24" t="inlineStr">
        <is>
          <t>Marina Bassols Ribera</t>
        </is>
      </c>
      <c r="AQ291" s="24" t="inlineStr">
        <is>
          <t>Marina Bassols Ribera</t>
        </is>
      </c>
      <c r="AR291" s="24" t="inlineStr">
        <is>
          <t>Marina Bassols Ribera</t>
        </is>
      </c>
      <c r="AS291" s="24" t="inlineStr">
        <is>
          <t>Victoria Jimenez Kasintseva</t>
        </is>
      </c>
      <c r="AT291" s="24" t="inlineStr">
        <is>
          <t>Victoria Jimenez Kasintseva</t>
        </is>
      </c>
      <c r="AU291" s="24" t="inlineStr">
        <is>
          <t>Victoria Jimenez Kasintseva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research</t>
        </is>
      </c>
      <c r="BA291" s="24" t="inlineStr">
        <is>
          <t>999faa03e2fa83bdf40e3760cb8645b4c314e4cc37c2050b8320d6582c4d8167</t>
        </is>
      </c>
      <c r="BB291" s="24" t="inlineStr">
        <is>
          <t>surface_blended_elo</t>
        </is>
      </c>
      <c r="BC291" s="24" t="inlineStr">
        <is>
          <t>tennis-surface-elo-v1</t>
        </is>
      </c>
      <c r="BD291" s="24" t="inlineStr">
        <is>
          <t>999faa03e2fa83bdf40e3760cb8645b4c314e4cc37c2050b8320d6582c4d8167</t>
        </is>
      </c>
      <c r="BE291" s="24" t="inlineStr">
        <is>
          <t>tennis-surface-elo-v1</t>
        </is>
      </c>
      <c r="BF291" s="24" t="inlineStr">
        <is>
          <t>1</t>
        </is>
      </c>
      <c r="BG291" s="24" t="inlineStr">
        <is>
          <t>999faa03e2fa83bdf40e3760cb8645b4c314e4cc37c2050b8320d6582c4d8167</t>
        </is>
      </c>
      <c r="BH291" s="24" t="inlineStr">
        <is>
          <t>2026-08-01T13:42:45.658413Z</t>
        </is>
      </c>
      <c r="BI291" s="24" t="inlineStr">
        <is>
          <t>["same_event","same_team_same_day","same_league_same_day"]</t>
        </is>
      </c>
      <c r="BJ291" s="25" t="n"/>
      <c r="BK291" s="26" t="n">
        <v>-170</v>
      </c>
      <c r="BL291" s="27" t="n">
        <v>1.588235</v>
      </c>
      <c r="BM291" s="28" t="n">
        <v>0.62963</v>
      </c>
      <c r="BN291" s="28" t="n"/>
      <c r="BO291" s="28" t="n"/>
      <c r="BP291" s="25" t="n"/>
      <c r="BQ291" s="27" t="n">
        <v>1.588235</v>
      </c>
      <c r="BR291" s="28" t="n">
        <v>0.63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</row>
    <row r="292" ht="36" customHeight="1">
      <c r="A292" s="24" t="inlineStr">
        <is>
          <t>276b20227dcf4a5b</t>
        </is>
      </c>
      <c r="B292" s="24" t="inlineStr">
        <is>
          <t>2026-08-01T13:45:05.538322Z</t>
        </is>
      </c>
      <c r="C292" s="24" t="inlineStr">
        <is>
          <t>2026-08-01T16:30Z</t>
        </is>
      </c>
      <c r="D292" s="24" t="inlineStr">
        <is>
          <t>421-2026:183314</t>
        </is>
      </c>
      <c r="E292" s="24" t="inlineStr">
        <is>
          <t>TENNIS</t>
        </is>
      </c>
      <c r="F292" s="24" t="inlineStr">
        <is>
          <t>Zheng Qinwen</t>
        </is>
      </c>
      <c r="G292" s="24" t="inlineStr">
        <is>
          <t>Lanlana Tararudee</t>
        </is>
      </c>
      <c r="H292" s="24" t="inlineStr">
        <is>
          <t>moneyline</t>
        </is>
      </c>
      <c r="I292" s="24" t="inlineStr">
        <is>
          <t>away</t>
        </is>
      </c>
      <c r="J292" s="25" t="n"/>
      <c r="K292" s="24" t="inlineStr">
        <is>
          <t>polymarket_us</t>
        </is>
      </c>
      <c r="L292" s="26" t="n">
        <v>-257</v>
      </c>
      <c r="M292" s="27" t="n">
        <v>1.389105</v>
      </c>
      <c r="N292" s="28" t="n">
        <v>0.719888</v>
      </c>
      <c r="O292" s="28" t="n">
        <v>0.522979</v>
      </c>
      <c r="P292" s="28" t="n">
        <v>0.05</v>
      </c>
      <c r="Q292" s="28" t="n">
        <v>-0.196909</v>
      </c>
      <c r="R292" s="26" t="n">
        <v>0</v>
      </c>
      <c r="S292" s="29" t="n">
        <v>1</v>
      </c>
      <c r="T292" s="24" t="inlineStr">
        <is>
          <t>tennis-surface-elo-v1</t>
        </is>
      </c>
      <c r="U292" s="24" t="inlineStr">
        <is>
          <t>settled</t>
        </is>
      </c>
      <c r="V292" s="24" t="inlineStr">
        <is>
          <t>loss</t>
        </is>
      </c>
      <c r="W292" s="26" t="n">
        <v>0</v>
      </c>
      <c r="X292" s="26" t="n">
        <v>1</v>
      </c>
      <c r="Y292" s="25" t="n"/>
      <c r="Z292" s="26" t="n"/>
      <c r="AA292" s="28" t="n"/>
      <c r="AB292" s="28" t="n"/>
      <c r="AC292" s="30" t="n">
        <v>-1</v>
      </c>
      <c r="AD292" s="24" t="inlineStr">
        <is>
          <t>2026-08-01T20:13:24.564563Z</t>
        </is>
      </c>
      <c r="AE292" s="31" t="inlineStr">
        <is>
          <t>Surface-blended Elo on Hard: Zheng Qinwen p=0.523 vs Lanlana Tararudee. Executable ask 0.7200 (aec-wta-lantar-qinzhe-2026-08-01).</t>
        </is>
      </c>
      <c r="AF292" s="31" t="inlineStr">
        <is>
          <t>Research-only surface-blended Elo model; singles only, WTA-only market coverage, not yet locked-holdout qualified.</t>
        </is>
      </c>
      <c r="AG292" s="24" t="inlineStr">
        <is>
          <t>review_required</t>
        </is>
      </c>
      <c r="AH292" s="24" t="n"/>
      <c r="AI292" s="31" t="n"/>
      <c r="AJ292" s="31" t="n"/>
      <c r="AK292" s="24" t="inlineStr">
        <is>
          <t>research_observation</t>
        </is>
      </c>
      <c r="AL292" s="26" t="n">
        <v>3</v>
      </c>
      <c r="AM292" s="24" t="inlineStr">
        <is>
          <t>RESEARCH_OBSERVATION</t>
        </is>
      </c>
      <c r="AN292" s="24" t="inlineStr">
        <is>
          <t>NO_CALL</t>
        </is>
      </c>
      <c r="AO292" s="24" t="inlineStr">
        <is>
          <t>NO_CALL_MODEL_UNVALIDATED</t>
        </is>
      </c>
      <c r="AP292" s="24" t="inlineStr">
        <is>
          <t>Zheng Qinwen</t>
        </is>
      </c>
      <c r="AQ292" s="24" t="inlineStr">
        <is>
          <t>Zheng Qinwen</t>
        </is>
      </c>
      <c r="AR292" s="24" t="inlineStr">
        <is>
          <t>Zheng Qinwen</t>
        </is>
      </c>
      <c r="AS292" s="24" t="inlineStr">
        <is>
          <t>Lanlana Tararudee</t>
        </is>
      </c>
      <c r="AT292" s="24" t="inlineStr">
        <is>
          <t>Lanlana Tararudee</t>
        </is>
      </c>
      <c r="AU292" s="24" t="inlineStr">
        <is>
          <t>Lanlana Tararudee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research</t>
        </is>
      </c>
      <c r="BA292" s="24" t="inlineStr">
        <is>
          <t>999faa03e2fa83bdf40e3760cb8645b4c314e4cc37c2050b8320d6582c4d8167</t>
        </is>
      </c>
      <c r="BB292" s="24" t="inlineStr">
        <is>
          <t>surface_blended_elo</t>
        </is>
      </c>
      <c r="BC292" s="24" t="inlineStr">
        <is>
          <t>tennis-surface-elo-v1</t>
        </is>
      </c>
      <c r="BD292" s="24" t="inlineStr">
        <is>
          <t>999faa03e2fa83bdf40e3760cb8645b4c314e4cc37c2050b8320d6582c4d8167</t>
        </is>
      </c>
      <c r="BE292" s="24" t="inlineStr">
        <is>
          <t>tennis-surface-elo-v1</t>
        </is>
      </c>
      <c r="BF292" s="24" t="inlineStr">
        <is>
          <t>1</t>
        </is>
      </c>
      <c r="BG292" s="24" t="inlineStr">
        <is>
          <t>999faa03e2fa83bdf40e3760cb8645b4c314e4cc37c2050b8320d6582c4d8167</t>
        </is>
      </c>
      <c r="BH292" s="24" t="inlineStr">
        <is>
          <t>2026-08-01T13:42:55.992533Z</t>
        </is>
      </c>
      <c r="BI292" s="24" t="inlineStr">
        <is>
          <t>["same_event","same_team_same_day","same_league_same_day"]</t>
        </is>
      </c>
      <c r="BJ292" s="25" t="n"/>
      <c r="BK292" s="26" t="n">
        <v>-257</v>
      </c>
      <c r="BL292" s="27" t="n">
        <v>1.389105</v>
      </c>
      <c r="BM292" s="28" t="n">
        <v>0.719888</v>
      </c>
      <c r="BN292" s="28" t="n"/>
      <c r="BO292" s="28" t="n"/>
      <c r="BP292" s="25" t="n"/>
      <c r="BQ292" s="27" t="n"/>
      <c r="BR292" s="28" t="n"/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</row>
    <row r="293" ht="36" customHeight="1">
      <c r="A293" s="24" t="inlineStr">
        <is>
          <t>42c0de5270074fbe</t>
        </is>
      </c>
      <c r="B293" s="24" t="inlineStr">
        <is>
          <t>2026-08-01T13:45:05.538322Z</t>
        </is>
      </c>
      <c r="C293" s="24" t="inlineStr">
        <is>
          <t>2026-08-01T16:30Z</t>
        </is>
      </c>
      <c r="D293" s="24" t="inlineStr">
        <is>
          <t>421-2026:183317</t>
        </is>
      </c>
      <c r="E293" s="24" t="inlineStr">
        <is>
          <t>TENNIS</t>
        </is>
      </c>
      <c r="F293" s="24" t="inlineStr">
        <is>
          <t>Mary Stoiana</t>
        </is>
      </c>
      <c r="G293" s="24" t="inlineStr">
        <is>
          <t>Alina Korneeva</t>
        </is>
      </c>
      <c r="H293" s="24" t="inlineStr">
        <is>
          <t>moneyline</t>
        </is>
      </c>
      <c r="I293" s="24" t="inlineStr">
        <is>
          <t>home</t>
        </is>
      </c>
      <c r="J293" s="25" t="n"/>
      <c r="K293" s="24" t="inlineStr">
        <is>
          <t>polymarket_us</t>
        </is>
      </c>
      <c r="L293" s="26" t="n">
        <v>-194</v>
      </c>
      <c r="M293" s="27" t="n">
        <v>1.515464</v>
      </c>
      <c r="N293" s="28" t="n">
        <v>0.659864</v>
      </c>
      <c r="O293" s="28" t="n">
        <v>0.532656</v>
      </c>
      <c r="P293" s="28" t="n">
        <v>0.05</v>
      </c>
      <c r="Q293" s="28" t="n">
        <v>-0.127208</v>
      </c>
      <c r="R293" s="26" t="n">
        <v>0</v>
      </c>
      <c r="S293" s="29" t="n">
        <v>1</v>
      </c>
      <c r="T293" s="24" t="inlineStr">
        <is>
          <t>tennis-surface-elo-v1</t>
        </is>
      </c>
      <c r="U293" s="24" t="inlineStr">
        <is>
          <t>settled</t>
        </is>
      </c>
      <c r="V293" s="24" t="inlineStr">
        <is>
          <t>win</t>
        </is>
      </c>
      <c r="W293" s="26" t="n">
        <v>0</v>
      </c>
      <c r="X293" s="26" t="n">
        <v>1</v>
      </c>
      <c r="Y293" s="25" t="n"/>
      <c r="Z293" s="26" t="n">
        <v>-194</v>
      </c>
      <c r="AA293" s="28" t="n">
        <v>0.66</v>
      </c>
      <c r="AB293" s="28" t="n">
        <v>0.000136</v>
      </c>
      <c r="AC293" s="30" t="n">
        <v>0.5155</v>
      </c>
      <c r="AD293" s="24" t="inlineStr">
        <is>
          <t>2026-08-01T20:13:25.102676Z</t>
        </is>
      </c>
      <c r="AE293" s="31" t="inlineStr">
        <is>
          <t>Surface-blended Elo on Hard: Mary Stoiana p=0.467 vs Alina Korneeva. Executable ask 0.6600 (aec-wta-alikor-marsto-2026-08-01).</t>
        </is>
      </c>
      <c r="AF293" s="31" t="inlineStr">
        <is>
          <t>Research-only surface-blended Elo model; singles only, WTA-only market coverage, not yet locked-holdout qualified.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research_observation</t>
        </is>
      </c>
      <c r="AL293" s="26" t="n">
        <v>3</v>
      </c>
      <c r="AM293" s="24" t="inlineStr">
        <is>
          <t>RESEARCH_OBSERVATION</t>
        </is>
      </c>
      <c r="AN293" s="24" t="inlineStr">
        <is>
          <t>NO_CALL</t>
        </is>
      </c>
      <c r="AO293" s="24" t="inlineStr">
        <is>
          <t>NO_CALL_MODEL_UNVALIDATED</t>
        </is>
      </c>
      <c r="AP293" s="24" t="inlineStr">
        <is>
          <t>Mary Stoiana</t>
        </is>
      </c>
      <c r="AQ293" s="24" t="inlineStr">
        <is>
          <t>Mary Stoiana</t>
        </is>
      </c>
      <c r="AR293" s="24" t="inlineStr">
        <is>
          <t>Mary Stoiana</t>
        </is>
      </c>
      <c r="AS293" s="24" t="inlineStr">
        <is>
          <t>Alina Korneeva</t>
        </is>
      </c>
      <c r="AT293" s="24" t="inlineStr">
        <is>
          <t>Alina Korneeva</t>
        </is>
      </c>
      <c r="AU293" s="24" t="inlineStr">
        <is>
          <t>Alina Korneeva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research</t>
        </is>
      </c>
      <c r="BA293" s="24" t="inlineStr">
        <is>
          <t>999faa03e2fa83bdf40e3760cb8645b4c314e4cc37c2050b8320d6582c4d8167</t>
        </is>
      </c>
      <c r="BB293" s="24" t="inlineStr">
        <is>
          <t>surface_blended_elo</t>
        </is>
      </c>
      <c r="BC293" s="24" t="inlineStr">
        <is>
          <t>tennis-surface-elo-v1</t>
        </is>
      </c>
      <c r="BD293" s="24" t="inlineStr">
        <is>
          <t>999faa03e2fa83bdf40e3760cb8645b4c314e4cc37c2050b8320d6582c4d8167</t>
        </is>
      </c>
      <c r="BE293" s="24" t="inlineStr">
        <is>
          <t>tennis-surface-elo-v1</t>
        </is>
      </c>
      <c r="BF293" s="24" t="inlineStr">
        <is>
          <t>1</t>
        </is>
      </c>
      <c r="BG293" s="24" t="inlineStr">
        <is>
          <t>999faa03e2fa83bdf40e3760cb8645b4c314e4cc37c2050b8320d6582c4d8167</t>
        </is>
      </c>
      <c r="BH293" s="24" t="inlineStr">
        <is>
          <t>2026-08-01T13:42:52.164407Z</t>
        </is>
      </c>
      <c r="BI293" s="24" t="inlineStr">
        <is>
          <t>["same_event","same_team_same_day","same_league_same_day"]</t>
        </is>
      </c>
      <c r="BJ293" s="25" t="n"/>
      <c r="BK293" s="26" t="n">
        <v>-194</v>
      </c>
      <c r="BL293" s="27" t="n">
        <v>1.515464</v>
      </c>
      <c r="BM293" s="28" t="n">
        <v>0.659864</v>
      </c>
      <c r="BN293" s="28" t="n"/>
      <c r="BO293" s="28" t="n"/>
      <c r="BP293" s="25" t="n"/>
      <c r="BQ293" s="27" t="n">
        <v>1.515464</v>
      </c>
      <c r="BR293" s="28" t="n">
        <v>0.66</v>
      </c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</row>
    <row r="294" ht="36" customHeight="1">
      <c r="A294" s="24" t="inlineStr">
        <is>
          <t>1fe67e4c3bec4eee</t>
        </is>
      </c>
      <c r="B294" s="24" t="inlineStr">
        <is>
          <t>2026-08-01T13:45:05.538322Z</t>
        </is>
      </c>
      <c r="C294" s="24" t="inlineStr">
        <is>
          <t>2026-08-01T16:30Z</t>
        </is>
      </c>
      <c r="D294" s="24" t="inlineStr">
        <is>
          <t>421-2026:183318</t>
        </is>
      </c>
      <c r="E294" s="24" t="inlineStr">
        <is>
          <t>TENNIS</t>
        </is>
      </c>
      <c r="F294" s="24" t="inlineStr">
        <is>
          <t>Isabella Marton</t>
        </is>
      </c>
      <c r="G294" s="24" t="inlineStr">
        <is>
          <t>Tatjana Maria</t>
        </is>
      </c>
      <c r="H294" s="24" t="inlineStr">
        <is>
          <t>moneyline</t>
        </is>
      </c>
      <c r="I294" s="24" t="inlineStr">
        <is>
          <t>home</t>
        </is>
      </c>
      <c r="J294" s="25" t="n"/>
      <c r="K294" s="24" t="inlineStr">
        <is>
          <t>polymarket_us</t>
        </is>
      </c>
      <c r="L294" s="26" t="n">
        <v>-2400</v>
      </c>
      <c r="M294" s="27" t="n">
        <v>1.041667</v>
      </c>
      <c r="N294" s="28" t="n">
        <v>0.96</v>
      </c>
      <c r="O294" s="28" t="n">
        <v>0.718038</v>
      </c>
      <c r="P294" s="28" t="n">
        <v>0.2</v>
      </c>
      <c r="Q294" s="28" t="n">
        <v>-0.241962</v>
      </c>
      <c r="R294" s="26" t="n">
        <v>0</v>
      </c>
      <c r="S294" s="29" t="n">
        <v>1</v>
      </c>
      <c r="T294" s="24" t="inlineStr">
        <is>
          <t>tennis-surface-elo-v1</t>
        </is>
      </c>
      <c r="U294" s="24" t="inlineStr">
        <is>
          <t>settled</t>
        </is>
      </c>
      <c r="V294" s="24" t="inlineStr">
        <is>
          <t>win</t>
        </is>
      </c>
      <c r="W294" s="26" t="n">
        <v>0</v>
      </c>
      <c r="X294" s="26" t="n">
        <v>1</v>
      </c>
      <c r="Y294" s="25" t="n"/>
      <c r="Z294" s="26" t="n">
        <v>-2400</v>
      </c>
      <c r="AA294" s="28" t="n">
        <v>0.96</v>
      </c>
      <c r="AB294" s="28" t="n">
        <v>0</v>
      </c>
      <c r="AC294" s="30" t="n">
        <v>0.0417</v>
      </c>
      <c r="AD294" s="24" t="inlineStr">
        <is>
          <t>2026-08-01T20:13:25.632481Z</t>
        </is>
      </c>
      <c r="AE294" s="31" t="inlineStr">
        <is>
          <t>Surface-blended Elo on Hard: Isabella Marton p=0.282 vs Tatjana Maria. Executable ask 0.9600 (aec-wta-tatmar-isamar-2026-08-01).</t>
        </is>
      </c>
      <c r="AF294" s="31" t="inlineStr">
        <is>
          <t>Research-only surface-blended Elo model; singles only, WTA-only market coverage, not yet locked-holdout qualified.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research_observation</t>
        </is>
      </c>
      <c r="AL294" s="26" t="n">
        <v>3</v>
      </c>
      <c r="AM294" s="24" t="inlineStr">
        <is>
          <t>RESEARCH_OBSERVATION</t>
        </is>
      </c>
      <c r="AN294" s="24" t="inlineStr">
        <is>
          <t>NO_CALL</t>
        </is>
      </c>
      <c r="AO294" s="24" t="inlineStr">
        <is>
          <t>NO_CALL_MODEL_UNVALIDATED</t>
        </is>
      </c>
      <c r="AP294" s="24" t="inlineStr">
        <is>
          <t>Isabella Marton</t>
        </is>
      </c>
      <c r="AQ294" s="24" t="inlineStr">
        <is>
          <t>Isabella Marton</t>
        </is>
      </c>
      <c r="AR294" s="24" t="inlineStr">
        <is>
          <t>Isabella Marton</t>
        </is>
      </c>
      <c r="AS294" s="24" t="inlineStr">
        <is>
          <t>Tatjana Maria</t>
        </is>
      </c>
      <c r="AT294" s="24" t="inlineStr">
        <is>
          <t>Tatjana Maria</t>
        </is>
      </c>
      <c r="AU294" s="24" t="inlineStr">
        <is>
          <t>Tatjana Maria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research</t>
        </is>
      </c>
      <c r="BA294" s="24" t="inlineStr">
        <is>
          <t>999faa03e2fa83bdf40e3760cb8645b4c314e4cc37c2050b8320d6582c4d8167</t>
        </is>
      </c>
      <c r="BB294" s="24" t="inlineStr">
        <is>
          <t>surface_blended_elo</t>
        </is>
      </c>
      <c r="BC294" s="24" t="inlineStr">
        <is>
          <t>tennis-surface-elo-v1</t>
        </is>
      </c>
      <c r="BD294" s="24" t="inlineStr">
        <is>
          <t>999faa03e2fa83bdf40e3760cb8645b4c314e4cc37c2050b8320d6582c4d8167</t>
        </is>
      </c>
      <c r="BE294" s="24" t="inlineStr">
        <is>
          <t>tennis-surface-elo-v1</t>
        </is>
      </c>
      <c r="BF294" s="24" t="inlineStr">
        <is>
          <t>1</t>
        </is>
      </c>
      <c r="BG294" s="24" t="inlineStr">
        <is>
          <t>999faa03e2fa83bdf40e3760cb8645b4c314e4cc37c2050b8320d6582c4d8167</t>
        </is>
      </c>
      <c r="BH294" s="24" t="inlineStr">
        <is>
          <t>2026-08-01T13:42:53.865852Z</t>
        </is>
      </c>
      <c r="BI294" s="24" t="inlineStr">
        <is>
          <t>["same_event","same_team_same_day","same_league_same_day"]</t>
        </is>
      </c>
      <c r="BJ294" s="25" t="n"/>
      <c r="BK294" s="26" t="n">
        <v>-2400</v>
      </c>
      <c r="BL294" s="27" t="n">
        <v>1.041667</v>
      </c>
      <c r="BM294" s="28" t="n">
        <v>0.96</v>
      </c>
      <c r="BN294" s="28" t="n"/>
      <c r="BO294" s="28" t="n"/>
      <c r="BP294" s="25" t="n"/>
      <c r="BQ294" s="27" t="n">
        <v>1.041667</v>
      </c>
      <c r="BR294" s="28" t="n">
        <v>0.96</v>
      </c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</row>
    <row r="295" ht="36" customHeight="1">
      <c r="A295" s="24" t="inlineStr">
        <is>
          <t>262a96a1a1c944ff</t>
        </is>
      </c>
      <c r="B295" s="24" t="inlineStr">
        <is>
          <t>2026-08-01T13:45:05.538322Z</t>
        </is>
      </c>
      <c r="C295" s="24" t="inlineStr">
        <is>
          <t>2026-08-01T16:30Z</t>
        </is>
      </c>
      <c r="D295" s="24" t="inlineStr">
        <is>
          <t>421-2026:183319</t>
        </is>
      </c>
      <c r="E295" s="24" t="inlineStr">
        <is>
          <t>TENNIS</t>
        </is>
      </c>
      <c r="F295" s="24" t="inlineStr">
        <is>
          <t>Himeno Sakatsume</t>
        </is>
      </c>
      <c r="G295" s="24" t="inlineStr">
        <is>
          <t>Moyuka Uchijima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-133</v>
      </c>
      <c r="M295" s="27" t="n">
        <v>1.75188</v>
      </c>
      <c r="N295" s="28" t="n">
        <v>0.570815</v>
      </c>
      <c r="O295" s="28" t="n">
        <v>0.558424</v>
      </c>
      <c r="P295" s="28" t="n">
        <v>0.05</v>
      </c>
      <c r="Q295" s="28" t="n">
        <v>-0.012391</v>
      </c>
      <c r="R295" s="26" t="n">
        <v>14</v>
      </c>
      <c r="S295" s="29" t="n">
        <v>1</v>
      </c>
      <c r="T295" s="24" t="inlineStr">
        <is>
          <t>tennis-surface-elo-v1</t>
        </is>
      </c>
      <c r="U295" s="24" t="inlineStr">
        <is>
          <t>settled</t>
        </is>
      </c>
      <c r="V295" s="24" t="inlineStr">
        <is>
          <t>win</t>
        </is>
      </c>
      <c r="W295" s="26" t="n">
        <v>0</v>
      </c>
      <c r="X295" s="26" t="n">
        <v>1</v>
      </c>
      <c r="Y295" s="25" t="n"/>
      <c r="Z295" s="26" t="n">
        <v>-133</v>
      </c>
      <c r="AA295" s="28" t="n">
        <v>0.57</v>
      </c>
      <c r="AB295" s="28" t="n">
        <v>-0.000815</v>
      </c>
      <c r="AC295" s="30" t="n">
        <v>0.7519</v>
      </c>
      <c r="AD295" s="24" t="inlineStr">
        <is>
          <t>2026-08-01T20:13:26.163894Z</t>
        </is>
      </c>
      <c r="AE295" s="31" t="inlineStr">
        <is>
          <t>Surface-blended Elo on Hard: Himeno Sakatsume p=0.442 vs Moyuka Uchijima. Executable ask 0.5700 (aec-wta-moyuch-himsak-2026-08-01).</t>
        </is>
      </c>
      <c r="AF295" s="31" t="inlineStr">
        <is>
          <t>Research-only surface-blended Elo model; singles only, WTA-only market coverage, not yet locked-holdout qualified.</t>
        </is>
      </c>
      <c r="AG295" s="24" t="inlineStr">
        <is>
          <t>not_applicable</t>
        </is>
      </c>
      <c r="AH295" s="24" t="n"/>
      <c r="AI295" s="31" t="n"/>
      <c r="AJ295" s="31" t="n"/>
      <c r="AK295" s="24" t="inlineStr">
        <is>
          <t>research_observation</t>
        </is>
      </c>
      <c r="AL295" s="26" t="n">
        <v>3</v>
      </c>
      <c r="AM295" s="24" t="inlineStr">
        <is>
          <t>RESEARCH_OBSERVATION</t>
        </is>
      </c>
      <c r="AN295" s="24" t="inlineStr">
        <is>
          <t>NO_CALL</t>
        </is>
      </c>
      <c r="AO295" s="24" t="inlineStr">
        <is>
          <t>NO_CALL_MODEL_UNVALIDATED</t>
        </is>
      </c>
      <c r="AP295" s="24" t="inlineStr">
        <is>
          <t>Himeno Sakatsume</t>
        </is>
      </c>
      <c r="AQ295" s="24" t="inlineStr">
        <is>
          <t>Himeno Sakatsume</t>
        </is>
      </c>
      <c r="AR295" s="24" t="inlineStr">
        <is>
          <t>Himeno Sakatsume</t>
        </is>
      </c>
      <c r="AS295" s="24" t="inlineStr">
        <is>
          <t>Moyuka Uchijima</t>
        </is>
      </c>
      <c r="AT295" s="24" t="inlineStr">
        <is>
          <t>Moyuka Uchijima</t>
        </is>
      </c>
      <c r="AU295" s="24" t="inlineStr">
        <is>
          <t>Moyuka Uchijima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research</t>
        </is>
      </c>
      <c r="BA295" s="24" t="inlineStr">
        <is>
          <t>999faa03e2fa83bdf40e3760cb8645b4c314e4cc37c2050b8320d6582c4d8167</t>
        </is>
      </c>
      <c r="BB295" s="24" t="inlineStr">
        <is>
          <t>surface_blended_elo</t>
        </is>
      </c>
      <c r="BC295" s="24" t="inlineStr">
        <is>
          <t>tennis-surface-elo-v1</t>
        </is>
      </c>
      <c r="BD295" s="24" t="inlineStr">
        <is>
          <t>999faa03e2fa83bdf40e3760cb8645b4c314e4cc37c2050b8320d6582c4d8167</t>
        </is>
      </c>
      <c r="BE295" s="24" t="inlineStr">
        <is>
          <t>tennis-surface-elo-v1</t>
        </is>
      </c>
      <c r="BF295" s="24" t="inlineStr">
        <is>
          <t>1</t>
        </is>
      </c>
      <c r="BG295" s="24" t="inlineStr">
        <is>
          <t>999faa03e2fa83bdf40e3760cb8645b4c314e4cc37c2050b8320d6582c4d8167</t>
        </is>
      </c>
      <c r="BH295" s="24" t="inlineStr">
        <is>
          <t>2026-08-01T13:42:56.804251Z</t>
        </is>
      </c>
      <c r="BI295" s="24" t="inlineStr">
        <is>
          <t>["same_event","same_team_same_day","same_league_same_day"]</t>
        </is>
      </c>
      <c r="BJ295" s="25" t="n"/>
      <c r="BK295" s="26" t="n">
        <v>-133</v>
      </c>
      <c r="BL295" s="27" t="n">
        <v>1.75188</v>
      </c>
      <c r="BM295" s="28" t="n">
        <v>0.570815</v>
      </c>
      <c r="BN295" s="28" t="n"/>
      <c r="BO295" s="28" t="n"/>
      <c r="BP295" s="25" t="n"/>
      <c r="BQ295" s="27" t="n">
        <v>1.75188</v>
      </c>
      <c r="BR295" s="28" t="n">
        <v>0.57</v>
      </c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</row>
    <row r="296" ht="36" customHeight="1">
      <c r="A296" s="24" t="inlineStr">
        <is>
          <t>6e003df785904b47</t>
        </is>
      </c>
      <c r="B296" s="24" t="inlineStr">
        <is>
          <t>2026-08-01T16:52:34.743688Z</t>
        </is>
      </c>
      <c r="C296" s="24" t="inlineStr">
        <is>
          <t>2026-08-01T18:00Z</t>
        </is>
      </c>
      <c r="D296" s="24" t="inlineStr">
        <is>
          <t>888-2026:179018</t>
        </is>
      </c>
      <c r="E296" s="24" t="inlineStr">
        <is>
          <t>TENNIS</t>
        </is>
      </c>
      <c r="F296" s="24" t="inlineStr">
        <is>
          <t>Diana Shnaider</t>
        </is>
      </c>
      <c r="G296" s="24" t="inlineStr">
        <is>
          <t>Jessica Pegula</t>
        </is>
      </c>
      <c r="H296" s="24" t="inlineStr">
        <is>
          <t>moneyline</t>
        </is>
      </c>
      <c r="I296" s="24" t="inlineStr">
        <is>
          <t>home</t>
        </is>
      </c>
      <c r="J296" s="25" t="n"/>
      <c r="K296" s="24" t="inlineStr">
        <is>
          <t>polymarket_us</t>
        </is>
      </c>
      <c r="L296" s="26" t="n">
        <v>-355</v>
      </c>
      <c r="M296" s="27" t="n">
        <v>1.28169</v>
      </c>
      <c r="N296" s="28" t="n">
        <v>0.78022</v>
      </c>
      <c r="O296" s="28" t="n">
        <v>0.822583</v>
      </c>
      <c r="P296" s="28" t="n">
        <v>0.05</v>
      </c>
      <c r="Q296" s="28" t="n">
        <v>0.042363</v>
      </c>
      <c r="R296" s="26" t="n">
        <v>41</v>
      </c>
      <c r="S296" s="29" t="n">
        <v>2</v>
      </c>
      <c r="T296" s="24" t="inlineStr">
        <is>
          <t>tennis-surface-elo-v1</t>
        </is>
      </c>
      <c r="U296" s="24" t="inlineStr">
        <is>
          <t>settled</t>
        </is>
      </c>
      <c r="V296" s="24" t="inlineStr">
        <is>
          <t>win</t>
        </is>
      </c>
      <c r="W296" s="26" t="n">
        <v>0</v>
      </c>
      <c r="X296" s="26" t="n">
        <v>1</v>
      </c>
      <c r="Y296" s="25" t="n"/>
      <c r="Z296" s="26" t="n">
        <v>-355</v>
      </c>
      <c r="AA296" s="28" t="n">
        <v>0.78</v>
      </c>
      <c r="AB296" s="28" t="n">
        <v>-0.00022</v>
      </c>
      <c r="AC296" s="30" t="n">
        <v>0.5634</v>
      </c>
      <c r="AD296" s="24" t="inlineStr">
        <is>
          <t>2026-08-01T20:13:26.701752Z</t>
        </is>
      </c>
      <c r="AE296" s="31" t="inlineStr">
        <is>
          <t>Surface-blended Elo on Hard: Diana Shnaider p=0.177 vs Jessica Pegula. Executable ask 0.7800 (aec-wta-jespeg-diashn-2026-08-01).</t>
        </is>
      </c>
      <c r="AF296" s="31" t="inlineStr">
        <is>
          <t>Research-only surface-blended Elo model; singles only, WTA-only market coverage, not yet locked-holdout qualified.</t>
        </is>
      </c>
      <c r="AG296" s="24" t="inlineStr">
        <is>
          <t>not_applicable</t>
        </is>
      </c>
      <c r="AH296" s="24" t="n"/>
      <c r="AI296" s="31" t="n"/>
      <c r="AJ296" s="31" t="n"/>
      <c r="AK296" s="24" t="inlineStr">
        <is>
          <t>research_observation</t>
        </is>
      </c>
      <c r="AL296" s="26" t="n">
        <v>3</v>
      </c>
      <c r="AM296" s="24" t="inlineStr">
        <is>
          <t>RESEARCH_OBSERVATION</t>
        </is>
      </c>
      <c r="AN296" s="24" t="inlineStr">
        <is>
          <t>NO_CALL</t>
        </is>
      </c>
      <c r="AO296" s="24" t="inlineStr">
        <is>
          <t>NO_CALL_MODEL_UNVALIDATED</t>
        </is>
      </c>
      <c r="AP296" s="24" t="inlineStr">
        <is>
          <t>Diana Shnaider</t>
        </is>
      </c>
      <c r="AQ296" s="24" t="inlineStr">
        <is>
          <t>Diana Shnaider</t>
        </is>
      </c>
      <c r="AR296" s="24" t="inlineStr">
        <is>
          <t>Diana Shnaider</t>
        </is>
      </c>
      <c r="AS296" s="24" t="inlineStr">
        <is>
          <t>Jessica Pegula</t>
        </is>
      </c>
      <c r="AT296" s="24" t="inlineStr">
        <is>
          <t>Jessica Pegula</t>
        </is>
      </c>
      <c r="AU296" s="24" t="inlineStr">
        <is>
          <t>Jessica Pegula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research</t>
        </is>
      </c>
      <c r="BA296" s="24" t="inlineStr">
        <is>
          <t>999faa03e2fa83bdf40e3760cb8645b4c314e4cc37c2050b8320d6582c4d8167</t>
        </is>
      </c>
      <c r="BB296" s="24" t="inlineStr">
        <is>
          <t>surface_blended_elo</t>
        </is>
      </c>
      <c r="BC296" s="24" t="inlineStr">
        <is>
          <t>tennis-surface-elo-v1</t>
        </is>
      </c>
      <c r="BD296" s="24" t="inlineStr">
        <is>
          <t>999faa03e2fa83bdf40e3760cb8645b4c314e4cc37c2050b8320d6582c4d8167</t>
        </is>
      </c>
      <c r="BE296" s="24" t="inlineStr">
        <is>
          <t>tennis-surface-elo-v1</t>
        </is>
      </c>
      <c r="BF296" s="24" t="inlineStr">
        <is>
          <t>1</t>
        </is>
      </c>
      <c r="BG296" s="24" t="inlineStr">
        <is>
          <t>999faa03e2fa83bdf40e3760cb8645b4c314e4cc37c2050b8320d6582c4d8167</t>
        </is>
      </c>
      <c r="BH296" s="24" t="inlineStr">
        <is>
          <t>2026-08-01T16:49:52.619672Z</t>
        </is>
      </c>
      <c r="BI296" s="24" t="inlineStr">
        <is>
          <t>["same_event","same_team_same_day","same_league_same_day"]</t>
        </is>
      </c>
      <c r="BJ296" s="25" t="n"/>
      <c r="BK296" s="26" t="n">
        <v>-355</v>
      </c>
      <c r="BL296" s="27" t="n">
        <v>1.28169</v>
      </c>
      <c r="BM296" s="28" t="n">
        <v>0.78022</v>
      </c>
      <c r="BN296" s="28" t="n"/>
      <c r="BO296" s="28" t="n"/>
      <c r="BP296" s="25" t="n"/>
      <c r="BQ296" s="27" t="n">
        <v>1.28169</v>
      </c>
      <c r="BR296" s="28" t="n">
        <v>0.78</v>
      </c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</row>
    <row r="297" ht="36" customHeight="1">
      <c r="A297" s="24" t="inlineStr">
        <is>
          <t>85f67ba42ca94860</t>
        </is>
      </c>
      <c r="B297" s="24" t="inlineStr">
        <is>
          <t>2026-08-01T16:52:34.743688Z</t>
        </is>
      </c>
      <c r="C297" s="24" t="inlineStr">
        <is>
          <t>2026-08-01T18:00Z</t>
        </is>
      </c>
      <c r="D297" s="24" t="inlineStr">
        <is>
          <t>1067-2026:179445</t>
        </is>
      </c>
      <c r="E297" s="24" t="inlineStr">
        <is>
          <t>TENNIS</t>
        </is>
      </c>
      <c r="F297" s="24" t="inlineStr">
        <is>
          <t>Elvina Kalieva</t>
        </is>
      </c>
      <c r="G297" s="24" t="inlineStr">
        <is>
          <t>Kristina Liutova</t>
        </is>
      </c>
      <c r="H297" s="24" t="inlineStr">
        <is>
          <t>moneyline</t>
        </is>
      </c>
      <c r="I297" s="24" t="inlineStr">
        <is>
          <t>away</t>
        </is>
      </c>
      <c r="J297" s="25" t="n"/>
      <c r="K297" s="24" t="inlineStr">
        <is>
          <t>polymarket_us</t>
        </is>
      </c>
      <c r="L297" s="26" t="n">
        <v>133</v>
      </c>
      <c r="M297" s="27" t="n">
        <v>2.33</v>
      </c>
      <c r="N297" s="28" t="n">
        <v>0.429185</v>
      </c>
      <c r="O297" s="28" t="n">
        <v>0.546816</v>
      </c>
      <c r="P297" s="28" t="n">
        <v>0.05</v>
      </c>
      <c r="Q297" s="28" t="n">
        <v>0.117631</v>
      </c>
      <c r="R297" s="26" t="n">
        <v>79</v>
      </c>
      <c r="S297" s="29" t="n">
        <v>1</v>
      </c>
      <c r="T297" s="24" t="inlineStr">
        <is>
          <t>tennis-surface-elo-v1</t>
        </is>
      </c>
      <c r="U297" s="24" t="inlineStr">
        <is>
          <t>settled</t>
        </is>
      </c>
      <c r="V297" s="24" t="inlineStr">
        <is>
          <t>loss</t>
        </is>
      </c>
      <c r="W297" s="26" t="n">
        <v>0</v>
      </c>
      <c r="X297" s="26" t="n">
        <v>1</v>
      </c>
      <c r="Y297" s="25" t="n"/>
      <c r="Z297" s="26" t="n">
        <v>133</v>
      </c>
      <c r="AA297" s="28" t="n">
        <v>0.43</v>
      </c>
      <c r="AB297" s="28" t="n">
        <v>0.000815</v>
      </c>
      <c r="AC297" s="30" t="n">
        <v>-1</v>
      </c>
      <c r="AD297" s="24" t="inlineStr">
        <is>
          <t>2026-08-01T20:13:27.238832Z</t>
        </is>
      </c>
      <c r="AE297" s="31" t="inlineStr">
        <is>
          <t>Surface-blended Elo on Hard: Elvina Kalieva p=0.547 vs Kristina Liutova. Executable ask 0.4300 (aec-wta-kriliu-elvkal-2026-08-01).</t>
        </is>
      </c>
      <c r="AF297" s="31" t="inlineStr">
        <is>
          <t>Research-only surface-blended Elo model; singles only, WTA-only market coverage, not yet locked-holdout qualified.</t>
        </is>
      </c>
      <c r="AG297" s="24" t="inlineStr">
        <is>
          <t>review_required</t>
        </is>
      </c>
      <c r="AH297" s="24" t="n"/>
      <c r="AI297" s="31" t="n"/>
      <c r="AJ297" s="31" t="n"/>
      <c r="AK297" s="24" t="inlineStr">
        <is>
          <t>research_observation</t>
        </is>
      </c>
      <c r="AL297" s="26" t="n">
        <v>3</v>
      </c>
      <c r="AM297" s="24" t="inlineStr">
        <is>
          <t>RESEARCH_OBSERVATION</t>
        </is>
      </c>
      <c r="AN297" s="24" t="inlineStr">
        <is>
          <t>NO_CALL</t>
        </is>
      </c>
      <c r="AO297" s="24" t="inlineStr">
        <is>
          <t>NO_CALL_MODEL_UNVALIDATED</t>
        </is>
      </c>
      <c r="AP297" s="24" t="inlineStr">
        <is>
          <t>Elvina Kalieva</t>
        </is>
      </c>
      <c r="AQ297" s="24" t="inlineStr">
        <is>
          <t>Elvina Kalieva</t>
        </is>
      </c>
      <c r="AR297" s="24" t="inlineStr">
        <is>
          <t>Elvina Kalieva</t>
        </is>
      </c>
      <c r="AS297" s="24" t="inlineStr">
        <is>
          <t>Kristina Liutova</t>
        </is>
      </c>
      <c r="AT297" s="24" t="inlineStr">
        <is>
          <t>Kristina Liutova</t>
        </is>
      </c>
      <c r="AU297" s="24" t="inlineStr">
        <is>
          <t>Kristina Liutova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research</t>
        </is>
      </c>
      <c r="BA297" s="24" t="inlineStr">
        <is>
          <t>999faa03e2fa83bdf40e3760cb8645b4c314e4cc37c2050b8320d6582c4d8167</t>
        </is>
      </c>
      <c r="BB297" s="24" t="inlineStr">
        <is>
          <t>surface_blended_elo</t>
        </is>
      </c>
      <c r="BC297" s="24" t="inlineStr">
        <is>
          <t>tennis-surface-elo-v1</t>
        </is>
      </c>
      <c r="BD297" s="24" t="inlineStr">
        <is>
          <t>999faa03e2fa83bdf40e3760cb8645b4c314e4cc37c2050b8320d6582c4d8167</t>
        </is>
      </c>
      <c r="BE297" s="24" t="inlineStr">
        <is>
          <t>tennis-surface-elo-v1</t>
        </is>
      </c>
      <c r="BF297" s="24" t="inlineStr">
        <is>
          <t>1</t>
        </is>
      </c>
      <c r="BG297" s="24" t="inlineStr">
        <is>
          <t>999faa03e2fa83bdf40e3760cb8645b4c314e4cc37c2050b8320d6582c4d8167</t>
        </is>
      </c>
      <c r="BH297" s="24" t="inlineStr">
        <is>
          <t>2026-08-01T16:49:50.998496Z</t>
        </is>
      </c>
      <c r="BI297" s="24" t="inlineStr">
        <is>
          <t>["same_event","same_team_same_day","same_league_same_day"]</t>
        </is>
      </c>
      <c r="BJ297" s="25" t="n"/>
      <c r="BK297" s="26" t="n">
        <v>133</v>
      </c>
      <c r="BL297" s="27" t="n">
        <v>2.33</v>
      </c>
      <c r="BM297" s="28" t="n">
        <v>0.429185</v>
      </c>
      <c r="BN297" s="28" t="n"/>
      <c r="BO297" s="28" t="n"/>
      <c r="BP297" s="25" t="n"/>
      <c r="BQ297" s="27" t="n">
        <v>2.33</v>
      </c>
      <c r="BR297" s="28" t="n">
        <v>0.43</v>
      </c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</row>
    <row r="298" ht="36" customHeight="1">
      <c r="A298" s="24" t="inlineStr">
        <is>
          <t>a39df48ae9c84f8b</t>
        </is>
      </c>
      <c r="B298" s="24" t="inlineStr">
        <is>
          <t>2026-08-01T16:52:34.743688Z</t>
        </is>
      </c>
      <c r="C298" s="24" t="inlineStr">
        <is>
          <t>2026-08-01T18:00Z</t>
        </is>
      </c>
      <c r="D298" s="24" t="inlineStr">
        <is>
          <t>421-2026:183323</t>
        </is>
      </c>
      <c r="E298" s="24" t="inlineStr">
        <is>
          <t>TENNIS</t>
        </is>
      </c>
      <c r="F298" s="24" t="inlineStr">
        <is>
          <t>Lucrezia Stefanini</t>
        </is>
      </c>
      <c r="G298" s="24" t="inlineStr">
        <is>
          <t>Sofia Kenin</t>
        </is>
      </c>
      <c r="H298" s="24" t="inlineStr">
        <is>
          <t>moneyline</t>
        </is>
      </c>
      <c r="I298" s="24" t="inlineStr">
        <is>
          <t>home</t>
        </is>
      </c>
      <c r="J298" s="25" t="n"/>
      <c r="K298" s="24" t="inlineStr">
        <is>
          <t>polymarket_us</t>
        </is>
      </c>
      <c r="L298" s="26" t="n">
        <v>-122</v>
      </c>
      <c r="M298" s="27" t="n">
        <v>1.819672</v>
      </c>
      <c r="N298" s="28" t="n">
        <v>0.54955</v>
      </c>
      <c r="O298" s="28" t="n">
        <v>0.516532</v>
      </c>
      <c r="P298" s="28" t="n">
        <v>0.05</v>
      </c>
      <c r="Q298" s="28" t="n">
        <v>-0.033018</v>
      </c>
      <c r="R298" s="26" t="n">
        <v>3</v>
      </c>
      <c r="S298" s="29" t="n">
        <v>1</v>
      </c>
      <c r="T298" s="24" t="inlineStr">
        <is>
          <t>tennis-surface-elo-v1</t>
        </is>
      </c>
      <c r="U298" s="24" t="inlineStr">
        <is>
          <t>settled</t>
        </is>
      </c>
      <c r="V298" s="24" t="inlineStr">
        <is>
          <t>loss</t>
        </is>
      </c>
      <c r="W298" s="26" t="n">
        <v>1</v>
      </c>
      <c r="X298" s="26" t="n">
        <v>0</v>
      </c>
      <c r="Y298" s="25" t="n"/>
      <c r="Z298" s="26" t="n">
        <v>-122</v>
      </c>
      <c r="AA298" s="28" t="n">
        <v>0.55</v>
      </c>
      <c r="AB298" s="28" t="n">
        <v>0.00045</v>
      </c>
      <c r="AC298" s="30" t="n">
        <v>-1</v>
      </c>
      <c r="AD298" s="24" t="inlineStr">
        <is>
          <t>2026-08-01T21:40:59.983799Z</t>
        </is>
      </c>
      <c r="AE298" s="31" t="inlineStr">
        <is>
          <t>Surface-blended Elo on Hard: Lucrezia Stefanini p=0.483 vs Sofia Kenin. Executable ask 0.5500 (aec-wta-sofken-lucste-2026-08-01).</t>
        </is>
      </c>
      <c r="AF298" s="31" t="inlineStr">
        <is>
          <t>Research-only surface-blended Elo model; singles only, WTA-only market coverage, not yet locked-holdout qualified.</t>
        </is>
      </c>
      <c r="AG298" s="24" t="inlineStr">
        <is>
          <t>review_required</t>
        </is>
      </c>
      <c r="AH298" s="24" t="n"/>
      <c r="AI298" s="31" t="n"/>
      <c r="AJ298" s="31" t="n"/>
      <c r="AK298" s="24" t="inlineStr">
        <is>
          <t>research_observation</t>
        </is>
      </c>
      <c r="AL298" s="26" t="n">
        <v>3</v>
      </c>
      <c r="AM298" s="24" t="inlineStr">
        <is>
          <t>RESEARCH_OBSERVATION</t>
        </is>
      </c>
      <c r="AN298" s="24" t="inlineStr">
        <is>
          <t>NO_CALL</t>
        </is>
      </c>
      <c r="AO298" s="24" t="inlineStr">
        <is>
          <t>NO_CALL_MODEL_UNVALIDATED</t>
        </is>
      </c>
      <c r="AP298" s="24" t="inlineStr">
        <is>
          <t>Lucrezia Stefanini</t>
        </is>
      </c>
      <c r="AQ298" s="24" t="inlineStr">
        <is>
          <t>Lucrezia Stefanini</t>
        </is>
      </c>
      <c r="AR298" s="24" t="inlineStr">
        <is>
          <t>Lucrezia Stefanini</t>
        </is>
      </c>
      <c r="AS298" s="24" t="inlineStr">
        <is>
          <t>Sofia Kenin</t>
        </is>
      </c>
      <c r="AT298" s="24" t="inlineStr">
        <is>
          <t>Sofia Kenin</t>
        </is>
      </c>
      <c r="AU298" s="24" t="inlineStr">
        <is>
          <t>Sofia Kenin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research</t>
        </is>
      </c>
      <c r="BA298" s="24" t="inlineStr">
        <is>
          <t>999faa03e2fa83bdf40e3760cb8645b4c314e4cc37c2050b8320d6582c4d8167</t>
        </is>
      </c>
      <c r="BB298" s="24" t="inlineStr">
        <is>
          <t>surface_blended_elo</t>
        </is>
      </c>
      <c r="BC298" s="24" t="inlineStr">
        <is>
          <t>tennis-surface-elo-v1</t>
        </is>
      </c>
      <c r="BD298" s="24" t="inlineStr">
        <is>
          <t>999faa03e2fa83bdf40e3760cb8645b4c314e4cc37c2050b8320d6582c4d8167</t>
        </is>
      </c>
      <c r="BE298" s="24" t="inlineStr">
        <is>
          <t>tennis-surface-elo-v1</t>
        </is>
      </c>
      <c r="BF298" s="24" t="inlineStr">
        <is>
          <t>1</t>
        </is>
      </c>
      <c r="BG298" s="24" t="inlineStr">
        <is>
          <t>999faa03e2fa83bdf40e3760cb8645b4c314e4cc37c2050b8320d6582c4d8167</t>
        </is>
      </c>
      <c r="BH298" s="24" t="inlineStr">
        <is>
          <t>2026-08-01T16:49:54.591143Z</t>
        </is>
      </c>
      <c r="BI298" s="24" t="inlineStr">
        <is>
          <t>["same_event","same_team_same_day","same_league_same_day"]</t>
        </is>
      </c>
      <c r="BJ298" s="25" t="n"/>
      <c r="BK298" s="26" t="n">
        <v>-122</v>
      </c>
      <c r="BL298" s="27" t="n">
        <v>1.819672</v>
      </c>
      <c r="BM298" s="28" t="n">
        <v>0.54955</v>
      </c>
      <c r="BN298" s="28" t="n"/>
      <c r="BO298" s="28" t="n"/>
      <c r="BP298" s="25" t="n"/>
      <c r="BQ298" s="27" t="n">
        <v>1.819672</v>
      </c>
      <c r="BR298" s="28" t="n">
        <v>0.55</v>
      </c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</row>
    <row r="299" ht="36" customHeight="1">
      <c r="A299" s="24" t="inlineStr">
        <is>
          <t>9c00dca4cbed4271</t>
        </is>
      </c>
      <c r="B299" s="24" t="inlineStr">
        <is>
          <t>2026-08-01T16:52:34.743688Z</t>
        </is>
      </c>
      <c r="C299" s="24" t="inlineStr">
        <is>
          <t>2026-08-01T18:00Z</t>
        </is>
      </c>
      <c r="D299" s="24" t="inlineStr">
        <is>
          <t>421-2026:183326</t>
        </is>
      </c>
      <c r="E299" s="24" t="inlineStr">
        <is>
          <t>TENNIS</t>
        </is>
      </c>
      <c r="F299" s="24" t="inlineStr">
        <is>
          <t>Avery Alexander</t>
        </is>
      </c>
      <c r="G299" s="24" t="inlineStr">
        <is>
          <t>Polina Kudermetova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-3233</v>
      </c>
      <c r="M299" s="27" t="n">
        <v>1.030931</v>
      </c>
      <c r="N299" s="28" t="n">
        <v>0.969997</v>
      </c>
      <c r="O299" s="28" t="n">
        <v>0.664173</v>
      </c>
      <c r="P299" s="28" t="n">
        <v>0.05</v>
      </c>
      <c r="Q299" s="28" t="n">
        <v>-0.305824</v>
      </c>
      <c r="R299" s="26" t="n">
        <v>0</v>
      </c>
      <c r="S299" s="29" t="n">
        <v>1.75</v>
      </c>
      <c r="T299" s="24" t="inlineStr">
        <is>
          <t>tennis-surface-elo-v1</t>
        </is>
      </c>
      <c r="U299" s="24" t="inlineStr">
        <is>
          <t>settled</t>
        </is>
      </c>
      <c r="V299" s="24" t="inlineStr">
        <is>
          <t>win</t>
        </is>
      </c>
      <c r="W299" s="26" t="n">
        <v>0</v>
      </c>
      <c r="X299" s="26" t="n">
        <v>1</v>
      </c>
      <c r="Y299" s="25" t="n"/>
      <c r="Z299" s="26" t="n">
        <v>-3233</v>
      </c>
      <c r="AA299" s="28" t="n">
        <v>0.97</v>
      </c>
      <c r="AB299" s="28" t="n">
        <v>3e-06</v>
      </c>
      <c r="AC299" s="30" t="n">
        <v>0.0541</v>
      </c>
      <c r="AD299" s="24" t="inlineStr">
        <is>
          <t>2026-08-01T20:34:17.577016Z</t>
        </is>
      </c>
      <c r="AE299" s="31" t="inlineStr">
        <is>
          <t>Surface-blended Elo on Hard: Avery Alexander p=0.336 vs Polina Kudermetova. Executable ask 0.9700 (aec-wta-polkud-aveale-2026-08-01).</t>
        </is>
      </c>
      <c r="AF299" s="31" t="inlineStr">
        <is>
          <t>Research-only surface-blended Elo model; singles only, WTA-only market coverage, not yet locked-holdout qualified.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research_observation</t>
        </is>
      </c>
      <c r="AL299" s="26" t="n">
        <v>3</v>
      </c>
      <c r="AM299" s="24" t="inlineStr">
        <is>
          <t>RESEARCH_OBSERVATION</t>
        </is>
      </c>
      <c r="AN299" s="24" t="inlineStr">
        <is>
          <t>NO_CALL</t>
        </is>
      </c>
      <c r="AO299" s="24" t="inlineStr">
        <is>
          <t>NO_CALL_MODEL_UNVALIDATED</t>
        </is>
      </c>
      <c r="AP299" s="24" t="inlineStr">
        <is>
          <t>Avery Alexander</t>
        </is>
      </c>
      <c r="AQ299" s="24" t="inlineStr">
        <is>
          <t>Avery Alexander</t>
        </is>
      </c>
      <c r="AR299" s="24" t="inlineStr">
        <is>
          <t>Avery Alexander</t>
        </is>
      </c>
      <c r="AS299" s="24" t="inlineStr">
        <is>
          <t>Polina Kudermetova</t>
        </is>
      </c>
      <c r="AT299" s="24" t="inlineStr">
        <is>
          <t>Polina Kudermetova</t>
        </is>
      </c>
      <c r="AU299" s="24" t="inlineStr">
        <is>
          <t>Polina Kudermetova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research</t>
        </is>
      </c>
      <c r="BA299" s="24" t="inlineStr">
        <is>
          <t>999faa03e2fa83bdf40e3760cb8645b4c314e4cc37c2050b8320d6582c4d8167</t>
        </is>
      </c>
      <c r="BB299" s="24" t="inlineStr">
        <is>
          <t>surface_blended_elo</t>
        </is>
      </c>
      <c r="BC299" s="24" t="inlineStr">
        <is>
          <t>tennis-surface-elo-v1</t>
        </is>
      </c>
      <c r="BD299" s="24" t="inlineStr">
        <is>
          <t>999faa03e2fa83bdf40e3760cb8645b4c314e4cc37c2050b8320d6582c4d8167</t>
        </is>
      </c>
      <c r="BE299" s="24" t="inlineStr">
        <is>
          <t>tennis-surface-elo-v1</t>
        </is>
      </c>
      <c r="BF299" s="24" t="inlineStr">
        <is>
          <t>1</t>
        </is>
      </c>
      <c r="BG299" s="24" t="inlineStr">
        <is>
          <t>999faa03e2fa83bdf40e3760cb8645b4c314e4cc37c2050b8320d6582c4d8167</t>
        </is>
      </c>
      <c r="BH299" s="24" t="inlineStr">
        <is>
          <t>2026-08-01T16:49:56.451294Z</t>
        </is>
      </c>
      <c r="BI299" s="24" t="inlineStr">
        <is>
          <t>["same_event","same_team_same_day","same_league_same_day"]</t>
        </is>
      </c>
      <c r="BJ299" s="25" t="n"/>
      <c r="BK299" s="26" t="n">
        <v>-3233</v>
      </c>
      <c r="BL299" s="27" t="n">
        <v>1.030931</v>
      </c>
      <c r="BM299" s="28" t="n">
        <v>0.969997</v>
      </c>
      <c r="BN299" s="28" t="n"/>
      <c r="BO299" s="28" t="n"/>
      <c r="BP299" s="25" t="n"/>
      <c r="BQ299" s="27" t="n">
        <v>1.030931</v>
      </c>
      <c r="BR299" s="28" t="n">
        <v>0.97</v>
      </c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</row>
    <row r="300" ht="36" customHeight="1">
      <c r="A300" s="24" t="inlineStr">
        <is>
          <t>a770fa9bd09c49df</t>
        </is>
      </c>
      <c r="B300" s="24" t="inlineStr">
        <is>
          <t>2026-08-01T18:40:28.047324Z</t>
        </is>
      </c>
      <c r="C300" s="24" t="inlineStr">
        <is>
          <t>2026-08-01T19:30Z</t>
        </is>
      </c>
      <c r="D300" s="24" t="inlineStr">
        <is>
          <t>888-2026:179016</t>
        </is>
      </c>
      <c r="E300" s="24" t="inlineStr">
        <is>
          <t>TENNIS</t>
        </is>
      </c>
      <c r="F300" s="24" t="inlineStr">
        <is>
          <t>Alexandra Eala</t>
        </is>
      </c>
      <c r="G300" s="24" t="inlineStr">
        <is>
          <t>Naomi Osaka</t>
        </is>
      </c>
      <c r="H300" s="24" t="inlineStr">
        <is>
          <t>moneyline</t>
        </is>
      </c>
      <c r="I300" s="24" t="inlineStr">
        <is>
          <t>home</t>
        </is>
      </c>
      <c r="J300" s="25" t="n"/>
      <c r="K300" s="24" t="inlineStr">
        <is>
          <t>polymarket_us</t>
        </is>
      </c>
      <c r="L300" s="26" t="n">
        <v>-150</v>
      </c>
      <c r="M300" s="27" t="n">
        <v>1.666667</v>
      </c>
      <c r="N300" s="28" t="n">
        <v>0.6</v>
      </c>
      <c r="O300" s="28" t="n">
        <v>0.6528929999999999</v>
      </c>
      <c r="P300" s="28" t="n">
        <v>0.05</v>
      </c>
      <c r="Q300" s="28" t="n">
        <v>0.052893</v>
      </c>
      <c r="R300" s="26" t="n">
        <v>46</v>
      </c>
      <c r="S300" s="29" t="n">
        <v>1.75</v>
      </c>
      <c r="T300" s="24" t="inlineStr">
        <is>
          <t>tennis-surface-elo-v1</t>
        </is>
      </c>
      <c r="U300" s="24" t="inlineStr">
        <is>
          <t>settled</t>
        </is>
      </c>
      <c r="V300" s="24" t="inlineStr">
        <is>
          <t>loss</t>
        </is>
      </c>
      <c r="W300" s="26" t="n">
        <v>1</v>
      </c>
      <c r="X300" s="26" t="n">
        <v>0</v>
      </c>
      <c r="Y300" s="25" t="n"/>
      <c r="Z300" s="26" t="n">
        <v>-150</v>
      </c>
      <c r="AA300" s="28" t="n">
        <v>0.6</v>
      </c>
      <c r="AB300" s="28" t="n">
        <v>0</v>
      </c>
      <c r="AC300" s="30" t="n">
        <v>-1.75</v>
      </c>
      <c r="AD300" s="24" t="inlineStr">
        <is>
          <t>2026-08-01T21:41:00.267945Z</t>
        </is>
      </c>
      <c r="AE300" s="31" t="inlineStr">
        <is>
          <t>Surface-blended Elo on Hard: Alexandra Eala p=0.347 vs Naomi Osaka. Executable ask 0.6000 (aec-wta-naoosa-aleeal-2026-08-01).</t>
        </is>
      </c>
      <c r="AF300" s="31" t="inlineStr">
        <is>
          <t>Research-only surface-blended Elo model; singles only, WTA-only market coverage, not yet locked-holdout qualified.</t>
        </is>
      </c>
      <c r="AG300" s="24" t="inlineStr">
        <is>
          <t>review_required</t>
        </is>
      </c>
      <c r="AH300" s="24" t="n"/>
      <c r="AI300" s="31" t="n"/>
      <c r="AJ300" s="31" t="n"/>
      <c r="AK300" s="24" t="inlineStr">
        <is>
          <t>research_observation</t>
        </is>
      </c>
      <c r="AL300" s="26" t="n">
        <v>3</v>
      </c>
      <c r="AM300" s="24" t="inlineStr">
        <is>
          <t>RESEARCH_OBSERVATION</t>
        </is>
      </c>
      <c r="AN300" s="24" t="inlineStr">
        <is>
          <t>NO_CALL</t>
        </is>
      </c>
      <c r="AO300" s="24" t="inlineStr">
        <is>
          <t>NO_CALL_MODEL_UNVALIDATED</t>
        </is>
      </c>
      <c r="AP300" s="24" t="inlineStr">
        <is>
          <t>Alexandra Eala</t>
        </is>
      </c>
      <c r="AQ300" s="24" t="inlineStr">
        <is>
          <t>Alexandra Eala</t>
        </is>
      </c>
      <c r="AR300" s="24" t="inlineStr">
        <is>
          <t>Alexandra Eala</t>
        </is>
      </c>
      <c r="AS300" s="24" t="inlineStr">
        <is>
          <t>Naomi Osaka</t>
        </is>
      </c>
      <c r="AT300" s="24" t="inlineStr">
        <is>
          <t>Naomi Osaka</t>
        </is>
      </c>
      <c r="AU300" s="24" t="inlineStr">
        <is>
          <t>Naomi Osaka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research</t>
        </is>
      </c>
      <c r="BA300" s="24" t="inlineStr">
        <is>
          <t>999faa03e2fa83bdf40e3760cb8645b4c314e4cc37c2050b8320d6582c4d8167</t>
        </is>
      </c>
      <c r="BB300" s="24" t="inlineStr">
        <is>
          <t>surface_blended_elo</t>
        </is>
      </c>
      <c r="BC300" s="24" t="inlineStr">
        <is>
          <t>tennis-surface-elo-v1</t>
        </is>
      </c>
      <c r="BD300" s="24" t="inlineStr">
        <is>
          <t>999faa03e2fa83bdf40e3760cb8645b4c314e4cc37c2050b8320d6582c4d8167</t>
        </is>
      </c>
      <c r="BE300" s="24" t="inlineStr">
        <is>
          <t>tennis-surface-elo-v1</t>
        </is>
      </c>
      <c r="BF300" s="24" t="inlineStr">
        <is>
          <t>1</t>
        </is>
      </c>
      <c r="BG300" s="24" t="inlineStr">
        <is>
          <t>999faa03e2fa83bdf40e3760cb8645b4c314e4cc37c2050b8320d6582c4d8167</t>
        </is>
      </c>
      <c r="BH300" s="24" t="inlineStr">
        <is>
          <t>2026-08-01T18:37:24.080218Z</t>
        </is>
      </c>
      <c r="BI300" s="24" t="inlineStr">
        <is>
          <t>["same_event","same_team_same_day","same_league_same_day"]</t>
        </is>
      </c>
      <c r="BJ300" s="25" t="n"/>
      <c r="BK300" s="26" t="n">
        <v>-150</v>
      </c>
      <c r="BL300" s="27" t="n">
        <v>1.666667</v>
      </c>
      <c r="BM300" s="28" t="n">
        <v>0.6</v>
      </c>
      <c r="BN300" s="28" t="n"/>
      <c r="BO300" s="28" t="n"/>
      <c r="BP300" s="25" t="n"/>
      <c r="BQ300" s="27" t="n">
        <v>1.666667</v>
      </c>
      <c r="BR300" s="28" t="n">
        <v>0.6</v>
      </c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</row>
    <row r="301" ht="36" customHeight="1">
      <c r="A301" s="24" t="inlineStr">
        <is>
          <t>ff4ba2a733344e3b</t>
        </is>
      </c>
      <c r="B301" s="24" t="inlineStr">
        <is>
          <t>2026-08-01T18:40:28.047324Z</t>
        </is>
      </c>
      <c r="C301" s="24" t="inlineStr">
        <is>
          <t>2026-08-01T20:00Z</t>
        </is>
      </c>
      <c r="D301" s="24" t="inlineStr">
        <is>
          <t>1067-2026:179444</t>
        </is>
      </c>
      <c r="E301" s="24" t="inlineStr">
        <is>
          <t>TENNIS</t>
        </is>
      </c>
      <c r="F301" s="24" t="inlineStr">
        <is>
          <t>Renata Zarazua</t>
        </is>
      </c>
      <c r="G301" s="24" t="inlineStr">
        <is>
          <t>Darja Vidmanova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-133</v>
      </c>
      <c r="M301" s="27" t="n">
        <v>1.75188</v>
      </c>
      <c r="N301" s="28" t="n">
        <v>0.570815</v>
      </c>
      <c r="O301" s="28" t="n">
        <v>0.643066</v>
      </c>
      <c r="P301" s="28" t="n">
        <v>0.05</v>
      </c>
      <c r="Q301" s="28" t="n">
        <v>0.072251</v>
      </c>
      <c r="R301" s="26" t="n">
        <v>56</v>
      </c>
      <c r="S301" s="29" t="n">
        <v>1.5</v>
      </c>
      <c r="T301" s="24" t="inlineStr">
        <is>
          <t>tennis-surface-elo-v1</t>
        </is>
      </c>
      <c r="U301" s="24" t="inlineStr">
        <is>
          <t>settled</t>
        </is>
      </c>
      <c r="V301" s="24" t="inlineStr">
        <is>
          <t>win</t>
        </is>
      </c>
      <c r="W301" s="26" t="n">
        <v>0</v>
      </c>
      <c r="X301" s="26" t="n">
        <v>1</v>
      </c>
      <c r="Y301" s="25" t="n"/>
      <c r="Z301" s="26" t="n">
        <v>-133</v>
      </c>
      <c r="AA301" s="28" t="n">
        <v>0.57</v>
      </c>
      <c r="AB301" s="28" t="n">
        <v>-0.000815</v>
      </c>
      <c r="AC301" s="30" t="n">
        <v>1.1278</v>
      </c>
      <c r="AD301" s="24" t="inlineStr">
        <is>
          <t>2026-08-01T23:51:12.440117Z</t>
        </is>
      </c>
      <c r="AE301" s="31" t="inlineStr">
        <is>
          <t>Surface-blended Elo on Hard: Renata Zarazua p=0.357 vs Darja Vidmanova. Executable ask 0.5700 (aec-wta-darvid-renzar-2026-08-01).</t>
        </is>
      </c>
      <c r="AF301" s="31" t="inlineStr">
        <is>
          <t>Research-only surface-blended Elo model; singles only, WTA-only market coverage, not yet locked-holdout qualified.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research_observation</t>
        </is>
      </c>
      <c r="AL301" s="26" t="n">
        <v>3</v>
      </c>
      <c r="AM301" s="24" t="inlineStr">
        <is>
          <t>RESEARCH_OBSERVATION</t>
        </is>
      </c>
      <c r="AN301" s="24" t="inlineStr">
        <is>
          <t>NO_CALL</t>
        </is>
      </c>
      <c r="AO301" s="24" t="inlineStr">
        <is>
          <t>NO_CALL_MODEL_UNVALIDATED</t>
        </is>
      </c>
      <c r="AP301" s="24" t="inlineStr">
        <is>
          <t>Renata Zarazua</t>
        </is>
      </c>
      <c r="AQ301" s="24" t="inlineStr">
        <is>
          <t>Renata Zarazua</t>
        </is>
      </c>
      <c r="AR301" s="24" t="inlineStr">
        <is>
          <t>Renata Zarazua</t>
        </is>
      </c>
      <c r="AS301" s="24" t="inlineStr">
        <is>
          <t>Darja Vidmanova</t>
        </is>
      </c>
      <c r="AT301" s="24" t="inlineStr">
        <is>
          <t>Darja Vidmanova</t>
        </is>
      </c>
      <c r="AU301" s="24" t="inlineStr">
        <is>
          <t>Darja Vidmanova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research</t>
        </is>
      </c>
      <c r="BA301" s="24" t="inlineStr">
        <is>
          <t>999faa03e2fa83bdf40e3760cb8645b4c314e4cc37c2050b8320d6582c4d8167</t>
        </is>
      </c>
      <c r="BB301" s="24" t="inlineStr">
        <is>
          <t>surface_blended_elo</t>
        </is>
      </c>
      <c r="BC301" s="24" t="inlineStr">
        <is>
          <t>tennis-surface-elo-v1</t>
        </is>
      </c>
      <c r="BD301" s="24" t="inlineStr">
        <is>
          <t>999faa03e2fa83bdf40e3760cb8645b4c314e4cc37c2050b8320d6582c4d8167</t>
        </is>
      </c>
      <c r="BE301" s="24" t="inlineStr">
        <is>
          <t>tennis-surface-elo-v1</t>
        </is>
      </c>
      <c r="BF301" s="24" t="inlineStr">
        <is>
          <t>1</t>
        </is>
      </c>
      <c r="BG301" s="24" t="inlineStr">
        <is>
          <t>999faa03e2fa83bdf40e3760cb8645b4c314e4cc37c2050b8320d6582c4d8167</t>
        </is>
      </c>
      <c r="BH301" s="24" t="inlineStr">
        <is>
          <t>2026-08-01T18:37:25.688700Z</t>
        </is>
      </c>
      <c r="BI301" s="24" t="inlineStr">
        <is>
          <t>["same_event","same_team_same_day","same_league_same_day"]</t>
        </is>
      </c>
      <c r="BJ301" s="25" t="n"/>
      <c r="BK301" s="26" t="n">
        <v>-133</v>
      </c>
      <c r="BL301" s="27" t="n">
        <v>1.75188</v>
      </c>
      <c r="BM301" s="28" t="n">
        <v>0.570815</v>
      </c>
      <c r="BN301" s="28" t="n"/>
      <c r="BO301" s="28" t="n"/>
      <c r="BP301" s="25" t="n"/>
      <c r="BQ301" s="27" t="n">
        <v>1.75188</v>
      </c>
      <c r="BR301" s="28" t="n">
        <v>0.57</v>
      </c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</row>
    <row r="302" ht="36" customHeight="1">
      <c r="A302" s="24" t="inlineStr">
        <is>
          <t>77b321a956734986</t>
        </is>
      </c>
      <c r="B302" s="24" t="inlineStr">
        <is>
          <t>2026-08-01T18:40:28.047324Z</t>
        </is>
      </c>
      <c r="C302" s="24" t="inlineStr">
        <is>
          <t>2026-08-01T19:30Z</t>
        </is>
      </c>
      <c r="D302" s="24" t="inlineStr">
        <is>
          <t>421-2026:183316</t>
        </is>
      </c>
      <c r="E302" s="24" t="inlineStr">
        <is>
          <t>TENNIS</t>
        </is>
      </c>
      <c r="F302" s="24" t="inlineStr">
        <is>
          <t>Sloane Stephens</t>
        </is>
      </c>
      <c r="G302" s="24" t="inlineStr">
        <is>
          <t>Harriet Dart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-104</v>
      </c>
      <c r="M302" s="27" t="n">
        <v>1.961538</v>
      </c>
      <c r="N302" s="28" t="n">
        <v>0.509804</v>
      </c>
      <c r="O302" s="28" t="n">
        <v>0.5425990000000001</v>
      </c>
      <c r="P302" s="28" t="n">
        <v>0.05</v>
      </c>
      <c r="Q302" s="28" t="n">
        <v>0.032795</v>
      </c>
      <c r="R302" s="26" t="n">
        <v>36</v>
      </c>
      <c r="S302" s="29" t="n">
        <v>1</v>
      </c>
      <c r="T302" s="24" t="inlineStr">
        <is>
          <t>tennis-surface-elo-v1</t>
        </is>
      </c>
      <c r="U302" s="24" t="inlineStr">
        <is>
          <t>settled</t>
        </is>
      </c>
      <c r="V302" s="24" t="inlineStr">
        <is>
          <t>loss</t>
        </is>
      </c>
      <c r="W302" s="26" t="n">
        <v>1</v>
      </c>
      <c r="X302" s="26" t="n">
        <v>0</v>
      </c>
      <c r="Y302" s="25" t="n"/>
      <c r="Z302" s="26" t="n">
        <v>-104</v>
      </c>
      <c r="AA302" s="28" t="n">
        <v>0.51</v>
      </c>
      <c r="AB302" s="28" t="n">
        <v>0.000196</v>
      </c>
      <c r="AC302" s="30" t="n">
        <v>-1</v>
      </c>
      <c r="AD302" s="24" t="inlineStr">
        <is>
          <t>2026-08-01T23:51:12.837368Z</t>
        </is>
      </c>
      <c r="AE302" s="31" t="inlineStr">
        <is>
          <t>Surface-blended Elo on Hard: Sloane Stephens p=0.457 vs Harriet Dart. Executable ask 0.5100 (aec-wta-hardar-sloste-2026-08-01).</t>
        </is>
      </c>
      <c r="AF302" s="31" t="inlineStr">
        <is>
          <t>Research-only surface-blended Elo model; singles only, WTA-only market coverage, not yet locked-holdout qualified.</t>
        </is>
      </c>
      <c r="AG302" s="24" t="inlineStr">
        <is>
          <t>review_required</t>
        </is>
      </c>
      <c r="AH302" s="24" t="n"/>
      <c r="AI302" s="31" t="n"/>
      <c r="AJ302" s="31" t="n"/>
      <c r="AK302" s="24" t="inlineStr">
        <is>
          <t>research_observation</t>
        </is>
      </c>
      <c r="AL302" s="26" t="n">
        <v>3</v>
      </c>
      <c r="AM302" s="24" t="inlineStr">
        <is>
          <t>RESEARCH_OBSERVATION</t>
        </is>
      </c>
      <c r="AN302" s="24" t="inlineStr">
        <is>
          <t>NO_CALL</t>
        </is>
      </c>
      <c r="AO302" s="24" t="inlineStr">
        <is>
          <t>NO_CALL_MODEL_UNVALIDATED</t>
        </is>
      </c>
      <c r="AP302" s="24" t="inlineStr">
        <is>
          <t>Sloane Stephens</t>
        </is>
      </c>
      <c r="AQ302" s="24" t="inlineStr">
        <is>
          <t>Sloane Stephens</t>
        </is>
      </c>
      <c r="AR302" s="24" t="inlineStr">
        <is>
          <t>Sloane Stephens</t>
        </is>
      </c>
      <c r="AS302" s="24" t="inlineStr">
        <is>
          <t>Harriet Dart</t>
        </is>
      </c>
      <c r="AT302" s="24" t="inlineStr">
        <is>
          <t>Harriet Dart</t>
        </is>
      </c>
      <c r="AU302" s="24" t="inlineStr">
        <is>
          <t>Harriet Dart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research</t>
        </is>
      </c>
      <c r="BA302" s="24" t="inlineStr">
        <is>
          <t>999faa03e2fa83bdf40e3760cb8645b4c314e4cc37c2050b8320d6582c4d8167</t>
        </is>
      </c>
      <c r="BB302" s="24" t="inlineStr">
        <is>
          <t>surface_blended_elo</t>
        </is>
      </c>
      <c r="BC302" s="24" t="inlineStr">
        <is>
          <t>tennis-surface-elo-v1</t>
        </is>
      </c>
      <c r="BD302" s="24" t="inlineStr">
        <is>
          <t>999faa03e2fa83bdf40e3760cb8645b4c314e4cc37c2050b8320d6582c4d8167</t>
        </is>
      </c>
      <c r="BE302" s="24" t="inlineStr">
        <is>
          <t>tennis-surface-elo-v1</t>
        </is>
      </c>
      <c r="BF302" s="24" t="inlineStr">
        <is>
          <t>1</t>
        </is>
      </c>
      <c r="BG302" s="24" t="inlineStr">
        <is>
          <t>999faa03e2fa83bdf40e3760cb8645b4c314e4cc37c2050b8320d6582c4d8167</t>
        </is>
      </c>
      <c r="BH302" s="24" t="inlineStr">
        <is>
          <t>2026-08-01T18:37:23.024082Z</t>
        </is>
      </c>
      <c r="BI302" s="24" t="inlineStr">
        <is>
          <t>["same_event","same_team_same_day","same_league_same_day"]</t>
        </is>
      </c>
      <c r="BJ302" s="25" t="n"/>
      <c r="BK302" s="26" t="n">
        <v>-104</v>
      </c>
      <c r="BL302" s="27" t="n">
        <v>1.961538</v>
      </c>
      <c r="BM302" s="28" t="n">
        <v>0.509804</v>
      </c>
      <c r="BN302" s="28" t="n"/>
      <c r="BO302" s="28" t="n"/>
      <c r="BP302" s="25" t="n"/>
      <c r="BQ302" s="27" t="n">
        <v>1.961538</v>
      </c>
      <c r="BR302" s="28" t="n">
        <v>0.51</v>
      </c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</row>
    <row r="303" ht="36" customHeight="1">
      <c r="A303" s="24" t="inlineStr">
        <is>
          <t>68c34ae759b64dc2</t>
        </is>
      </c>
      <c r="B303" s="24" t="inlineStr">
        <is>
          <t>2026-08-01T20:17:17.078985Z</t>
        </is>
      </c>
      <c r="C303" s="24" t="inlineStr">
        <is>
          <t>2026-08-01T21:00Z</t>
        </is>
      </c>
      <c r="D303" s="24" t="inlineStr">
        <is>
          <t>421-2026:183325</t>
        </is>
      </c>
      <c r="E303" s="24" t="inlineStr">
        <is>
          <t>TENNIS</t>
        </is>
      </c>
      <c r="F303" s="24" t="inlineStr">
        <is>
          <t>Rebecca Sramkova</t>
        </is>
      </c>
      <c r="G303" s="24" t="inlineStr">
        <is>
          <t>Mananchaya Sawangkaew</t>
        </is>
      </c>
      <c r="H303" s="24" t="inlineStr">
        <is>
          <t>moneyline</t>
        </is>
      </c>
      <c r="I303" s="24" t="inlineStr">
        <is>
          <t>home</t>
        </is>
      </c>
      <c r="J303" s="25" t="n"/>
      <c r="K303" s="24" t="inlineStr">
        <is>
          <t>polymarket_us</t>
        </is>
      </c>
      <c r="L303" s="26" t="n">
        <v>-127</v>
      </c>
      <c r="M303" s="27" t="n">
        <v>1.787402</v>
      </c>
      <c r="N303" s="28" t="n">
        <v>0.5594710000000001</v>
      </c>
      <c r="O303" s="28" t="n">
        <v>0.590604</v>
      </c>
      <c r="P303" s="28" t="n">
        <v>0.05</v>
      </c>
      <c r="Q303" s="28" t="n">
        <v>0.031133</v>
      </c>
      <c r="R303" s="26" t="n">
        <v>36</v>
      </c>
      <c r="S303" s="29" t="n">
        <v>1.25</v>
      </c>
      <c r="T303" s="24" t="inlineStr">
        <is>
          <t>tennis-surface-elo-v1</t>
        </is>
      </c>
      <c r="U303" s="24" t="inlineStr">
        <is>
          <t>settled</t>
        </is>
      </c>
      <c r="V303" s="24" t="inlineStr">
        <is>
          <t>loss</t>
        </is>
      </c>
      <c r="W303" s="26" t="n">
        <v>1</v>
      </c>
      <c r="X303" s="26" t="n">
        <v>0</v>
      </c>
      <c r="Y303" s="25" t="n"/>
      <c r="Z303" s="26" t="n">
        <v>-127</v>
      </c>
      <c r="AA303" s="28" t="n">
        <v>0.5600000000000001</v>
      </c>
      <c r="AB303" s="28" t="n">
        <v>0.000529</v>
      </c>
      <c r="AC303" s="30" t="n">
        <v>-1.25</v>
      </c>
      <c r="AD303" s="24" t="inlineStr">
        <is>
          <t>2026-08-01T23:51:13.253347Z</t>
        </is>
      </c>
      <c r="AE303" s="31" t="inlineStr">
        <is>
          <t>Surface-blended Elo on Hard: Rebecca Sramkova p=0.409 vs Mananchaya Sawangkaew. Executable ask 0.5600 (aec-wta-mansaw-rebsra-2026-08-01).</t>
        </is>
      </c>
      <c r="AF303" s="31" t="inlineStr">
        <is>
          <t>Research-only surface-blended Elo model; singles only, WTA-only market coverage, not yet locked-holdout qualified.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research_observation</t>
        </is>
      </c>
      <c r="AL303" s="26" t="n">
        <v>3</v>
      </c>
      <c r="AM303" s="24" t="inlineStr">
        <is>
          <t>RESEARCH_OBSERVATION</t>
        </is>
      </c>
      <c r="AN303" s="24" t="inlineStr">
        <is>
          <t>NO_CALL</t>
        </is>
      </c>
      <c r="AO303" s="24" t="inlineStr">
        <is>
          <t>NO_CALL_MODEL_UNVALIDATED</t>
        </is>
      </c>
      <c r="AP303" s="24" t="inlineStr">
        <is>
          <t>Rebecca Sramkova</t>
        </is>
      </c>
      <c r="AQ303" s="24" t="inlineStr">
        <is>
          <t>Rebecca Sramkova</t>
        </is>
      </c>
      <c r="AR303" s="24" t="inlineStr">
        <is>
          <t>Rebecca Sramkova</t>
        </is>
      </c>
      <c r="AS303" s="24" t="inlineStr">
        <is>
          <t>Mananchaya Sawangkaew</t>
        </is>
      </c>
      <c r="AT303" s="24" t="inlineStr">
        <is>
          <t>Mananchaya Sawangkaew</t>
        </is>
      </c>
      <c r="AU303" s="24" t="inlineStr">
        <is>
          <t>Mananchaya Sawangkaew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research</t>
        </is>
      </c>
      <c r="BA303" s="24" t="inlineStr">
        <is>
          <t>999faa03e2fa83bdf40e3760cb8645b4c314e4cc37c2050b8320d6582c4d8167</t>
        </is>
      </c>
      <c r="BB303" s="24" t="inlineStr">
        <is>
          <t>surface_blended_elo</t>
        </is>
      </c>
      <c r="BC303" s="24" t="inlineStr">
        <is>
          <t>tennis-surface-elo-v1</t>
        </is>
      </c>
      <c r="BD303" s="24" t="inlineStr">
        <is>
          <t>999faa03e2fa83bdf40e3760cb8645b4c314e4cc37c2050b8320d6582c4d8167</t>
        </is>
      </c>
      <c r="BE303" s="24" t="inlineStr">
        <is>
          <t>tennis-surface-elo-v1</t>
        </is>
      </c>
      <c r="BF303" s="24" t="inlineStr">
        <is>
          <t>1</t>
        </is>
      </c>
      <c r="BG303" s="24" t="inlineStr">
        <is>
          <t>999faa03e2fa83bdf40e3760cb8645b4c314e4cc37c2050b8320d6582c4d8167</t>
        </is>
      </c>
      <c r="BH303" s="24" t="inlineStr">
        <is>
          <t>2026-08-01T20:14:57.278891Z</t>
        </is>
      </c>
      <c r="BI303" s="24" t="inlineStr">
        <is>
          <t>["same_event","same_team_same_day","same_league_same_day"]</t>
        </is>
      </c>
      <c r="BJ303" s="25" t="n"/>
      <c r="BK303" s="26" t="n">
        <v>-127</v>
      </c>
      <c r="BL303" s="27" t="n">
        <v>1.787402</v>
      </c>
      <c r="BM303" s="28" t="n">
        <v>0.5594710000000001</v>
      </c>
      <c r="BN303" s="28" t="n"/>
      <c r="BO303" s="28" t="n"/>
      <c r="BP303" s="25" t="n"/>
      <c r="BQ303" s="27" t="n">
        <v>1.787402</v>
      </c>
      <c r="BR303" s="28" t="n">
        <v>0.5600000000000001</v>
      </c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</row>
    <row r="304" ht="36" customHeight="1">
      <c r="A304" s="24" t="inlineStr">
        <is>
          <t>2561c71be5564c8d</t>
        </is>
      </c>
      <c r="B304" s="24" t="inlineStr">
        <is>
          <t>2026-08-02T12:28:47.396277Z</t>
        </is>
      </c>
      <c r="C304" s="24" t="inlineStr">
        <is>
          <t>2026-08-02T13:00Z</t>
        </is>
      </c>
      <c r="D304" s="24" t="inlineStr">
        <is>
          <t>1073-2026:179603</t>
        </is>
      </c>
      <c r="E304" s="24" t="inlineStr">
        <is>
          <t>TENNIS</t>
        </is>
      </c>
      <c r="F304" s="24" t="inlineStr">
        <is>
          <t>Laura Samson</t>
        </is>
      </c>
      <c r="G304" s="24" t="inlineStr">
        <is>
          <t>Kaitlin Quevedo</t>
        </is>
      </c>
      <c r="H304" s="24" t="inlineStr">
        <is>
          <t>moneyline</t>
        </is>
      </c>
      <c r="I304" s="24" t="inlineStr">
        <is>
          <t>home</t>
        </is>
      </c>
      <c r="J304" s="25" t="n"/>
      <c r="K304" s="24" t="inlineStr">
        <is>
          <t>polymarket_us</t>
        </is>
      </c>
      <c r="L304" s="26" t="n">
        <v>-138</v>
      </c>
      <c r="M304" s="27" t="n">
        <v>1.724638</v>
      </c>
      <c r="N304" s="28" t="n">
        <v>0.579832</v>
      </c>
      <c r="O304" s="28" t="n">
        <v>0.608004</v>
      </c>
      <c r="P304" s="28" t="n">
        <v>0.05</v>
      </c>
      <c r="Q304" s="28" t="n">
        <v>0.028172</v>
      </c>
      <c r="R304" s="26" t="n">
        <v>34</v>
      </c>
      <c r="S304" s="29" t="n">
        <v>1.5</v>
      </c>
      <c r="T304" s="24" t="inlineStr">
        <is>
          <t>tennis-surface-elo-v1</t>
        </is>
      </c>
      <c r="U304" s="24" t="inlineStr">
        <is>
          <t>settled</t>
        </is>
      </c>
      <c r="V304" s="24" t="inlineStr">
        <is>
          <t>loss</t>
        </is>
      </c>
      <c r="W304" s="26" t="n">
        <v>1</v>
      </c>
      <c r="X304" s="26" t="n">
        <v>0</v>
      </c>
      <c r="Y304" s="25" t="n"/>
      <c r="Z304" s="26" t="n">
        <v>-138</v>
      </c>
      <c r="AA304" s="28" t="n">
        <v>0.58</v>
      </c>
      <c r="AB304" s="28" t="n">
        <v>0.000168</v>
      </c>
      <c r="AC304" s="30" t="n">
        <v>-1.5</v>
      </c>
      <c r="AD304" s="24" t="inlineStr">
        <is>
          <t>2026-08-02T15:53:31.398063Z</t>
        </is>
      </c>
      <c r="AE304" s="31" t="inlineStr">
        <is>
          <t>Surface-blended Elo on Hard: Laura Samson p=0.392 vs Kaitlin Quevedo. Executable ask 0.5800 (aec-wta-kaique-lausam-2026-08-02).</t>
        </is>
      </c>
      <c r="AF304" s="31" t="inlineStr">
        <is>
          <t>Research-only surface-blended Elo model; singles only, WTA-only market coverage, not yet locked-holdout qualified.</t>
        </is>
      </c>
      <c r="AG304" s="24" t="inlineStr">
        <is>
          <t>review_required</t>
        </is>
      </c>
      <c r="AH304" s="24" t="n"/>
      <c r="AI304" s="31" t="n"/>
      <c r="AJ304" s="31" t="n"/>
      <c r="AK304" s="24" t="inlineStr">
        <is>
          <t>research_observation</t>
        </is>
      </c>
      <c r="AL304" s="26" t="n">
        <v>3</v>
      </c>
      <c r="AM304" s="24" t="inlineStr">
        <is>
          <t>RESEARCH_OBSERVATION</t>
        </is>
      </c>
      <c r="AN304" s="24" t="inlineStr">
        <is>
          <t>NO_CALL</t>
        </is>
      </c>
      <c r="AO304" s="24" t="inlineStr">
        <is>
          <t>NO_CALL_MODEL_UNVALIDATED</t>
        </is>
      </c>
      <c r="AP304" s="24" t="inlineStr">
        <is>
          <t>Laura Samson</t>
        </is>
      </c>
      <c r="AQ304" s="24" t="inlineStr">
        <is>
          <t>Laura Samson</t>
        </is>
      </c>
      <c r="AR304" s="24" t="inlineStr">
        <is>
          <t>Laura Samson</t>
        </is>
      </c>
      <c r="AS304" s="24" t="inlineStr">
        <is>
          <t>Kaitlin Quevedo</t>
        </is>
      </c>
      <c r="AT304" s="24" t="inlineStr">
        <is>
          <t>Kaitlin Quevedo</t>
        </is>
      </c>
      <c r="AU304" s="24" t="inlineStr">
        <is>
          <t>Kaitlin Quevedo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research</t>
        </is>
      </c>
      <c r="BA304" s="24" t="inlineStr">
        <is>
          <t>999faa03e2fa83bdf40e3760cb8645b4c314e4cc37c2050b8320d6582c4d8167</t>
        </is>
      </c>
      <c r="BB304" s="24" t="inlineStr">
        <is>
          <t>surface_blended_elo</t>
        </is>
      </c>
      <c r="BC304" s="24" t="inlineStr">
        <is>
          <t>tennis-surface-elo-v1</t>
        </is>
      </c>
      <c r="BD304" s="24" t="inlineStr">
        <is>
          <t>999faa03e2fa83bdf40e3760cb8645b4c314e4cc37c2050b8320d6582c4d8167</t>
        </is>
      </c>
      <c r="BE304" s="24" t="inlineStr">
        <is>
          <t>tennis-surface-elo-v1</t>
        </is>
      </c>
      <c r="BF304" s="24" t="inlineStr">
        <is>
          <t>1</t>
        </is>
      </c>
      <c r="BG304" s="24" t="inlineStr">
        <is>
          <t>999faa03e2fa83bdf40e3760cb8645b4c314e4cc37c2050b8320d6582c4d8167</t>
        </is>
      </c>
      <c r="BH304" s="24" t="inlineStr">
        <is>
          <t>2026-08-02T12:25:29.223380Z</t>
        </is>
      </c>
      <c r="BI304" s="24" t="inlineStr">
        <is>
          <t>["same_event","same_team_same_day","same_league_same_day"]</t>
        </is>
      </c>
      <c r="BJ304" s="25" t="n"/>
      <c r="BK304" s="26" t="n">
        <v>-138</v>
      </c>
      <c r="BL304" s="27" t="n">
        <v>1.724638</v>
      </c>
      <c r="BM304" s="28" t="n">
        <v>0.579832</v>
      </c>
      <c r="BN304" s="28" t="n"/>
      <c r="BO304" s="28" t="n"/>
      <c r="BP304" s="25" t="n"/>
      <c r="BQ304" s="27" t="n">
        <v>1.724638</v>
      </c>
      <c r="BR304" s="28" t="n">
        <v>0.58</v>
      </c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</row>
    <row r="305" ht="36" customHeight="1">
      <c r="A305" s="24" t="inlineStr">
        <is>
          <t>2ccf46ab0ab040ed</t>
        </is>
      </c>
      <c r="B305" s="24" t="inlineStr">
        <is>
          <t>2026-08-02T15:50:00.179683Z</t>
        </is>
      </c>
      <c r="C305" s="24" t="inlineStr">
        <is>
          <t>2026-08-02T16:00Z</t>
        </is>
      </c>
      <c r="D305" s="24" t="inlineStr">
        <is>
          <t>888-2026:179014</t>
        </is>
      </c>
      <c r="E305" s="24" t="inlineStr">
        <is>
          <t>TENNIS</t>
        </is>
      </c>
      <c r="F305" s="24" t="inlineStr">
        <is>
          <t>Alexandra Eala</t>
        </is>
      </c>
      <c r="G305" s="24" t="inlineStr">
        <is>
          <t>Jessica Pegula</t>
        </is>
      </c>
      <c r="H305" s="24" t="inlineStr">
        <is>
          <t>moneyline</t>
        </is>
      </c>
      <c r="I305" s="24" t="inlineStr">
        <is>
          <t>home</t>
        </is>
      </c>
      <c r="J305" s="25" t="n"/>
      <c r="K305" s="24" t="inlineStr">
        <is>
          <t>polymarket_us</t>
        </is>
      </c>
      <c r="L305" s="26" t="n">
        <v>-144</v>
      </c>
      <c r="M305" s="27" t="n">
        <v>1.694444</v>
      </c>
      <c r="N305" s="28" t="n">
        <v>0.590164</v>
      </c>
      <c r="O305" s="28" t="n">
        <v>0.821797</v>
      </c>
      <c r="P305" s="28" t="n">
        <v>0.05</v>
      </c>
      <c r="Q305" s="28" t="n">
        <v>0.231633</v>
      </c>
      <c r="R305" s="26" t="n">
        <v>100</v>
      </c>
      <c r="S305" s="29" t="n">
        <v>2</v>
      </c>
      <c r="T305" s="24" t="inlineStr">
        <is>
          <t>tennis-surface-elo-v1</t>
        </is>
      </c>
      <c r="U305" s="24" t="inlineStr">
        <is>
          <t>open</t>
        </is>
      </c>
      <c r="V305" s="24" t="n"/>
      <c r="W305" s="26" t="n"/>
      <c r="X305" s="26" t="n"/>
      <c r="Y305" s="25" t="n"/>
      <c r="Z305" s="26" t="n"/>
      <c r="AA305" s="28" t="n"/>
      <c r="AB305" s="28" t="n"/>
      <c r="AC305" s="30" t="n"/>
      <c r="AD305" s="24" t="n"/>
      <c r="AE305" s="31" t="inlineStr">
        <is>
          <t>Surface-blended Elo on Hard: Alexandra Eala p=0.178 vs Jessica Pegula. Executable ask 0.5900 (aec-wta-jespeg-aleeal-2026-08-02).</t>
        </is>
      </c>
      <c r="AF305" s="31" t="inlineStr">
        <is>
          <t>Research-only surface-blended Elo model; singles only, WTA-only market coverage, not yet locked-holdout qualified.</t>
        </is>
      </c>
      <c r="AG305" s="24" t="inlineStr">
        <is>
          <t>not_applicable</t>
        </is>
      </c>
      <c r="AH305" s="24" t="n"/>
      <c r="AI305" s="31" t="n"/>
      <c r="AJ305" s="31" t="n"/>
      <c r="AK305" s="24" t="inlineStr">
        <is>
          <t>model_qualified</t>
        </is>
      </c>
      <c r="AL305" s="26" t="n">
        <v>3</v>
      </c>
      <c r="AM305" s="24" t="inlineStr">
        <is>
          <t>QUALIFIED_SHADOW_CALL</t>
        </is>
      </c>
      <c r="AN305" s="24" t="inlineStr">
        <is>
          <t>CALL</t>
        </is>
      </c>
      <c r="AO305" s="24" t="inlineStr">
        <is>
          <t>QUALIFIED</t>
        </is>
      </c>
      <c r="AP305" s="24" t="inlineStr">
        <is>
          <t>Alexandra Eala</t>
        </is>
      </c>
      <c r="AQ305" s="24" t="inlineStr">
        <is>
          <t>Alexandra Eala</t>
        </is>
      </c>
      <c r="AR305" s="24" t="inlineStr">
        <is>
          <t>Alexandra Eala</t>
        </is>
      </c>
      <c r="AS305" s="24" t="inlineStr">
        <is>
          <t>Jessica Pegula</t>
        </is>
      </c>
      <c r="AT305" s="24" t="inlineStr">
        <is>
          <t>Jessica Pegula</t>
        </is>
      </c>
      <c r="AU305" s="24" t="inlineStr">
        <is>
          <t>Jessica Pegula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research</t>
        </is>
      </c>
      <c r="BA305" s="24" t="inlineStr">
        <is>
          <t>999faa03e2fa83bdf40e3760cb8645b4c314e4cc37c2050b8320d6582c4d8167</t>
        </is>
      </c>
      <c r="BB305" s="24" t="inlineStr">
        <is>
          <t>surface_blended_elo</t>
        </is>
      </c>
      <c r="BC305" s="24" t="inlineStr">
        <is>
          <t>tennis-surface-elo-v1</t>
        </is>
      </c>
      <c r="BD305" s="24" t="inlineStr">
        <is>
          <t>999faa03e2fa83bdf40e3760cb8645b4c314e4cc37c2050b8320d6582c4d8167</t>
        </is>
      </c>
      <c r="BE305" s="24" t="inlineStr">
        <is>
          <t>tennis-surface-elo-v1</t>
        </is>
      </c>
      <c r="BF305" s="24" t="inlineStr">
        <is>
          <t>1</t>
        </is>
      </c>
      <c r="BG305" s="24" t="inlineStr">
        <is>
          <t>999faa03e2fa83bdf40e3760cb8645b4c314e4cc37c2050b8320d6582c4d8167</t>
        </is>
      </c>
      <c r="BH305" s="24" t="inlineStr">
        <is>
          <t>2026-08-02T15:46:52.794231Z</t>
        </is>
      </c>
      <c r="BI305" s="24" t="inlineStr">
        <is>
          <t>["same_event","same_team_same_day","same_league_same_day"]</t>
        </is>
      </c>
      <c r="BJ305" s="25" t="n"/>
      <c r="BK305" s="26" t="n">
        <v>-144</v>
      </c>
      <c r="BL305" s="27" t="n">
        <v>1.694444</v>
      </c>
      <c r="BM305" s="28" t="n">
        <v>0.590164</v>
      </c>
      <c r="BN305" s="28" t="n"/>
      <c r="BO305" s="28" t="n"/>
      <c r="BP305" s="25" t="n"/>
      <c r="BQ305" s="27" t="n"/>
      <c r="BR305" s="28" t="n"/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inlineStr">
        <is>
          <t>True</t>
        </is>
      </c>
    </row>
    <row r="306" ht="36" customHeight="1">
      <c r="A306" s="24" t="inlineStr">
        <is>
          <t>963db413afc049d0</t>
        </is>
      </c>
      <c r="B306" s="24" t="inlineStr">
        <is>
          <t>2026-08-02T16:13:39.503934Z</t>
        </is>
      </c>
      <c r="C306" s="24" t="inlineStr">
        <is>
          <t>2026-08-02T16:30Z</t>
        </is>
      </c>
      <c r="D306" s="24" t="inlineStr">
        <is>
          <t>421-2026:182259</t>
        </is>
      </c>
      <c r="E306" s="24" t="inlineStr">
        <is>
          <t>TENNIS</t>
        </is>
      </c>
      <c r="F306" s="24" t="inlineStr">
        <is>
          <t>Viktorija Golubic</t>
        </is>
      </c>
      <c r="G306" s="24" t="inlineStr">
        <is>
          <t>Kimberly Birrell</t>
        </is>
      </c>
      <c r="H306" s="24" t="inlineStr">
        <is>
          <t>moneyline</t>
        </is>
      </c>
      <c r="I306" s="24" t="inlineStr">
        <is>
          <t>home</t>
        </is>
      </c>
      <c r="J306" s="25" t="n"/>
      <c r="K306" s="24" t="inlineStr">
        <is>
          <t>polymarket_us</t>
        </is>
      </c>
      <c r="L306" s="26" t="n">
        <v>-108</v>
      </c>
      <c r="M306" s="27" t="n">
        <v>1.925926</v>
      </c>
      <c r="N306" s="28" t="n">
        <v>0.519231</v>
      </c>
      <c r="O306" s="28" t="n">
        <v>0.530496</v>
      </c>
      <c r="P306" s="28" t="n">
        <v>0.05</v>
      </c>
      <c r="Q306" s="28" t="n">
        <v>0.011265</v>
      </c>
      <c r="R306" s="26" t="n">
        <v>26</v>
      </c>
      <c r="S306" s="29" t="n">
        <v>1</v>
      </c>
      <c r="T306" s="24" t="inlineStr">
        <is>
          <t>tennis-surface-elo-v1</t>
        </is>
      </c>
      <c r="U306" s="24" t="inlineStr">
        <is>
          <t>open</t>
        </is>
      </c>
      <c r="V306" s="24" t="n"/>
      <c r="W306" s="26" t="n"/>
      <c r="X306" s="26" t="n"/>
      <c r="Y306" s="25" t="n"/>
      <c r="Z306" s="26" t="n"/>
      <c r="AA306" s="28" t="n"/>
      <c r="AB306" s="28" t="n"/>
      <c r="AC306" s="30" t="n"/>
      <c r="AD306" s="24" t="n"/>
      <c r="AE306" s="31" t="inlineStr">
        <is>
          <t>Surface-blended Elo on Hard: Viktorija Golubic p=0.470 vs Kimberly Birrell. Executable ask 0.5200 (aec-wta-kimbir-vikgol-2026-08-02).</t>
        </is>
      </c>
      <c r="AF306" s="31" t="inlineStr">
        <is>
          <t>Research-only surface-blended Elo model; singles only, WTA-only market coverage, not yet locked-holdout qualified.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research_observation</t>
        </is>
      </c>
      <c r="AL306" s="26" t="n">
        <v>3</v>
      </c>
      <c r="AM306" s="24" t="inlineStr">
        <is>
          <t>RESEARCH_OBSERVATION</t>
        </is>
      </c>
      <c r="AN306" s="24" t="inlineStr">
        <is>
          <t>NO_CALL</t>
        </is>
      </c>
      <c r="AO306" s="24" t="inlineStr">
        <is>
          <t>NO_CALL_LOW_EDGE</t>
        </is>
      </c>
      <c r="AP306" s="24" t="inlineStr">
        <is>
          <t>Viktorija Golubic</t>
        </is>
      </c>
      <c r="AQ306" s="24" t="inlineStr">
        <is>
          <t>Viktorija Golubic</t>
        </is>
      </c>
      <c r="AR306" s="24" t="inlineStr">
        <is>
          <t>Viktorija Golubic</t>
        </is>
      </c>
      <c r="AS306" s="24" t="inlineStr">
        <is>
          <t>Kimberly Birrell</t>
        </is>
      </c>
      <c r="AT306" s="24" t="inlineStr">
        <is>
          <t>Kimberly Birrell</t>
        </is>
      </c>
      <c r="AU306" s="24" t="inlineStr">
        <is>
          <t>Kimberly Birrell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research</t>
        </is>
      </c>
      <c r="BA306" s="24" t="inlineStr">
        <is>
          <t>999faa03e2fa83bdf40e3760cb8645b4c314e4cc37c2050b8320d6582c4d8167</t>
        </is>
      </c>
      <c r="BB306" s="24" t="inlineStr">
        <is>
          <t>surface_blended_elo</t>
        </is>
      </c>
      <c r="BC306" s="24" t="inlineStr">
        <is>
          <t>tennis-surface-elo-v1</t>
        </is>
      </c>
      <c r="BD306" s="24" t="inlineStr">
        <is>
          <t>999faa03e2fa83bdf40e3760cb8645b4c314e4cc37c2050b8320d6582c4d8167</t>
        </is>
      </c>
      <c r="BE306" s="24" t="inlineStr">
        <is>
          <t>tennis-surface-elo-v1</t>
        </is>
      </c>
      <c r="BF306" s="24" t="inlineStr">
        <is>
          <t>1</t>
        </is>
      </c>
      <c r="BG306" s="24" t="inlineStr">
        <is>
          <t>999faa03e2fa83bdf40e3760cb8645b4c314e4cc37c2050b8320d6582c4d8167</t>
        </is>
      </c>
      <c r="BH306" s="24" t="inlineStr">
        <is>
          <t>2026-08-02T16:10:19.496539Z</t>
        </is>
      </c>
      <c r="BI306" s="24" t="inlineStr">
        <is>
          <t>["same_event","same_team_same_day","same_league_same_day"]</t>
        </is>
      </c>
      <c r="BJ306" s="25" t="n"/>
      <c r="BK306" s="26" t="n">
        <v>-108</v>
      </c>
      <c r="BL306" s="27" t="n">
        <v>1.925926</v>
      </c>
      <c r="BM306" s="28" t="n">
        <v>0.519231</v>
      </c>
      <c r="BN306" s="28" t="n"/>
      <c r="BO306" s="28" t="n"/>
      <c r="BP306" s="25" t="n"/>
      <c r="BQ306" s="27" t="n"/>
      <c r="BR306" s="28" t="n"/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inlineStr">
        <is>
          <t>True</t>
        </is>
      </c>
    </row>
    <row r="307" ht="36" customHeight="1">
      <c r="A307" s="24" t="inlineStr">
        <is>
          <t>41b4f49e70934391</t>
        </is>
      </c>
      <c r="B307" s="24" t="inlineStr">
        <is>
          <t>2026-08-02T16:13:39.503934Z</t>
        </is>
      </c>
      <c r="C307" s="24" t="inlineStr">
        <is>
          <t>2026-08-02T16:30Z</t>
        </is>
      </c>
      <c r="D307" s="24" t="inlineStr">
        <is>
          <t>421-2026:182280</t>
        </is>
      </c>
      <c r="E307" s="24" t="inlineStr">
        <is>
          <t>TENNIS</t>
        </is>
      </c>
      <c r="F307" s="24" t="inlineStr">
        <is>
          <t>Sara Bejlek</t>
        </is>
      </c>
      <c r="G307" s="24" t="inlineStr">
        <is>
          <t>Wang Xiyu</t>
        </is>
      </c>
      <c r="H307" s="24" t="inlineStr">
        <is>
          <t>moneyline</t>
        </is>
      </c>
      <c r="I307" s="24" t="inlineStr">
        <is>
          <t>away</t>
        </is>
      </c>
      <c r="J307" s="25" t="n"/>
      <c r="K307" s="24" t="inlineStr">
        <is>
          <t>polymarket_us</t>
        </is>
      </c>
      <c r="L307" s="26" t="n">
        <v>-144</v>
      </c>
      <c r="M307" s="27" t="n">
        <v>1.694444</v>
      </c>
      <c r="N307" s="28" t="n">
        <v>0.590164</v>
      </c>
      <c r="O307" s="28" t="n">
        <v>0.597848</v>
      </c>
      <c r="P307" s="28" t="n">
        <v>0.05</v>
      </c>
      <c r="Q307" s="28" t="n">
        <v>0.007684</v>
      </c>
      <c r="R307" s="26" t="n">
        <v>24</v>
      </c>
      <c r="S307" s="29" t="n">
        <v>1.25</v>
      </c>
      <c r="T307" s="24" t="inlineStr">
        <is>
          <t>tennis-surface-elo-v1</t>
        </is>
      </c>
      <c r="U307" s="24" t="inlineStr">
        <is>
          <t>open</t>
        </is>
      </c>
      <c r="V307" s="24" t="n"/>
      <c r="W307" s="26" t="n"/>
      <c r="X307" s="26" t="n"/>
      <c r="Y307" s="25" t="n"/>
      <c r="Z307" s="26" t="n"/>
      <c r="AA307" s="28" t="n"/>
      <c r="AB307" s="28" t="n"/>
      <c r="AC307" s="30" t="n"/>
      <c r="AD307" s="24" t="n"/>
      <c r="AE307" s="31" t="inlineStr">
        <is>
          <t>Surface-blended Elo on Hard: Sara Bejlek p=0.598 vs Wang Xiyu. Executable ask 0.5900 (aec-wta-xiywan-sarbej-2026-08-02).</t>
        </is>
      </c>
      <c r="AF307" s="31" t="inlineStr">
        <is>
          <t>Research-only surface-blended Elo model; singles only, WTA-only market coverage, not yet locked-holdout qualified.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research_observation</t>
        </is>
      </c>
      <c r="AL307" s="26" t="n">
        <v>3</v>
      </c>
      <c r="AM307" s="24" t="inlineStr">
        <is>
          <t>RESEARCH_OBSERVATION</t>
        </is>
      </c>
      <c r="AN307" s="24" t="inlineStr">
        <is>
          <t>NO_CALL</t>
        </is>
      </c>
      <c r="AO307" s="24" t="inlineStr">
        <is>
          <t>NO_CALL_LOW_EDGE</t>
        </is>
      </c>
      <c r="AP307" s="24" t="inlineStr">
        <is>
          <t>Sara Bejlek</t>
        </is>
      </c>
      <c r="AQ307" s="24" t="inlineStr">
        <is>
          <t>Sara Bejlek</t>
        </is>
      </c>
      <c r="AR307" s="24" t="inlineStr">
        <is>
          <t>Sara Bejlek</t>
        </is>
      </c>
      <c r="AS307" s="24" t="inlineStr">
        <is>
          <t>Wang Xiyu</t>
        </is>
      </c>
      <c r="AT307" s="24" t="inlineStr">
        <is>
          <t>Wang Xiyu</t>
        </is>
      </c>
      <c r="AU307" s="24" t="inlineStr">
        <is>
          <t>Wang Xiyu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research</t>
        </is>
      </c>
      <c r="BA307" s="24" t="inlineStr">
        <is>
          <t>999faa03e2fa83bdf40e3760cb8645b4c314e4cc37c2050b8320d6582c4d8167</t>
        </is>
      </c>
      <c r="BB307" s="24" t="inlineStr">
        <is>
          <t>surface_blended_elo</t>
        </is>
      </c>
      <c r="BC307" s="24" t="inlineStr">
        <is>
          <t>tennis-surface-elo-v1</t>
        </is>
      </c>
      <c r="BD307" s="24" t="inlineStr">
        <is>
          <t>999faa03e2fa83bdf40e3760cb8645b4c314e4cc37c2050b8320d6582c4d8167</t>
        </is>
      </c>
      <c r="BE307" s="24" t="inlineStr">
        <is>
          <t>tennis-surface-elo-v1</t>
        </is>
      </c>
      <c r="BF307" s="24" t="inlineStr">
        <is>
          <t>1</t>
        </is>
      </c>
      <c r="BG307" s="24" t="inlineStr">
        <is>
          <t>999faa03e2fa83bdf40e3760cb8645b4c314e4cc37c2050b8320d6582c4d8167</t>
        </is>
      </c>
      <c r="BH307" s="24" t="inlineStr">
        <is>
          <t>2026-08-02T16:10:19.991470Z</t>
        </is>
      </c>
      <c r="BI307" s="24" t="inlineStr">
        <is>
          <t>["same_event","same_team_same_day","same_league_same_day"]</t>
        </is>
      </c>
      <c r="BJ307" s="25" t="n"/>
      <c r="BK307" s="26" t="n">
        <v>-144</v>
      </c>
      <c r="BL307" s="27" t="n">
        <v>1.694444</v>
      </c>
      <c r="BM307" s="28" t="n">
        <v>0.590164</v>
      </c>
      <c r="BN307" s="28" t="n"/>
      <c r="BO307" s="28" t="n"/>
      <c r="BP307" s="25" t="n"/>
      <c r="BQ307" s="27" t="n"/>
      <c r="BR307" s="28" t="n"/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inlineStr">
        <is>
          <t>True</t>
        </is>
      </c>
    </row>
    <row r="308" ht="36" customHeight="1">
      <c r="A308" s="24" t="inlineStr">
        <is>
          <t>e8b9477dbc3f4279</t>
        </is>
      </c>
      <c r="B308" s="24" t="inlineStr">
        <is>
          <t>2026-08-02T17:27:52.928541Z</t>
        </is>
      </c>
      <c r="C308" s="24" t="inlineStr">
        <is>
          <t>2026-08-02T13:35:00-0400</t>
        </is>
      </c>
      <c r="D308" s="24" t="inlineStr">
        <is>
          <t>401816365</t>
        </is>
      </c>
      <c r="E308" s="24" t="inlineStr">
        <is>
          <t>MLB</t>
        </is>
      </c>
      <c r="F308" s="24" t="inlineStr">
        <is>
          <t>Philadelphia Phillies</t>
        </is>
      </c>
      <c r="G308" s="24" t="inlineStr">
        <is>
          <t>Baltimore Orioles</t>
        </is>
      </c>
      <c r="H308" s="24" t="inlineStr">
        <is>
          <t>moneyline</t>
        </is>
      </c>
      <c r="I308" s="24" t="inlineStr">
        <is>
          <t>away</t>
        </is>
      </c>
      <c r="J308" s="25" t="n"/>
      <c r="K308" s="24" t="inlineStr">
        <is>
          <t>polymarket_us</t>
        </is>
      </c>
      <c r="L308" s="26" t="n">
        <v>-130</v>
      </c>
      <c r="M308" s="27" t="n">
        <v>1.769231</v>
      </c>
      <c r="N308" s="28" t="n">
        <v>0.565217</v>
      </c>
      <c r="O308" s="28" t="n">
        <v>0.510159</v>
      </c>
      <c r="P308" s="28" t="n"/>
      <c r="Q308" s="28" t="n">
        <v>-0.055058</v>
      </c>
      <c r="R308" s="26" t="n">
        <v>0</v>
      </c>
      <c r="S308" s="29" t="n">
        <v>1</v>
      </c>
      <c r="T308" s="24" t="inlineStr">
        <is>
          <t>mlb-elo-trend-lr-v7</t>
        </is>
      </c>
      <c r="U308" s="24" t="inlineStr">
        <is>
          <t>open</t>
        </is>
      </c>
      <c r="V308" s="24" t="n"/>
      <c r="W308" s="26" t="n"/>
      <c r="X308" s="26" t="n"/>
      <c r="Y308" s="25" t="n"/>
      <c r="Z308" s="26" t="n"/>
      <c r="AA308" s="28" t="n"/>
      <c r="AB308" s="28" t="n"/>
      <c r="AC308" s="30" t="n"/>
      <c r="AD308" s="24" t="n"/>
      <c r="AE308" s="31" t="inlineStr">
        <is>
          <t>Learned LR call at threshold 0.6242; executable ask 0.5650 (aec-mlb-phi-bal-2026-08-02); model edge vs ask -0.0548.</t>
        </is>
      </c>
      <c r="AF308" s="31" t="inlineStr">
        <is>
          <t>Learned model; shadow-qualified via operator override.</t>
        </is>
      </c>
      <c r="AG308" s="24" t="inlineStr">
        <is>
          <t>not_applicable</t>
        </is>
      </c>
      <c r="AH308" s="24" t="n"/>
      <c r="AI308" s="31" t="n"/>
      <c r="AJ308" s="31" t="n"/>
      <c r="AK308" s="24" t="inlineStr">
        <is>
          <t>model_qualified</t>
        </is>
      </c>
      <c r="AL308" s="26" t="n">
        <v>3</v>
      </c>
      <c r="AM308" s="24" t="inlineStr">
        <is>
          <t>QUALIFIED_SHADOW_CALL</t>
        </is>
      </c>
      <c r="AN308" s="24" t="inlineStr">
        <is>
          <t>CALL</t>
        </is>
      </c>
      <c r="AO308" s="24" t="inlineStr">
        <is>
          <t>QUALIFIED</t>
        </is>
      </c>
      <c r="AP308" s="24" t="inlineStr">
        <is>
          <t>mlb-phi</t>
        </is>
      </c>
      <c r="AQ308" s="24" t="inlineStr">
        <is>
          <t>Philadelphia Phillies</t>
        </is>
      </c>
      <c r="AR308" s="24" t="inlineStr">
        <is>
          <t>Philadelphia Phillies</t>
        </is>
      </c>
      <c r="AS308" s="24" t="inlineStr">
        <is>
          <t>mlb-bal</t>
        </is>
      </c>
      <c r="AT308" s="24" t="inlineStr">
        <is>
          <t>Baltimore Orioles</t>
        </is>
      </c>
      <c r="AU308" s="24" t="inlineStr">
        <is>
          <t>Baltimore Orioles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464eef695bfbbdaa819ec6f5e4c5bd1068ed20b92915fb2677220ae91e20d8b6</t>
        </is>
      </c>
      <c r="BB308" s="24" t="inlineStr">
        <is>
          <t>learned_lr</t>
        </is>
      </c>
      <c r="BC308" s="24" t="inlineStr">
        <is>
          <t>mlb-elo-trend-lr-v7</t>
        </is>
      </c>
      <c r="BD308" s="24" t="inlineStr">
        <is>
          <t>464eef695bfbbdaa819ec6f5e4c5bd1068ed20b92915fb2677220ae91e20d8b6</t>
        </is>
      </c>
      <c r="BE308" s="24" t="inlineStr">
        <is>
          <t>49479e987644e024</t>
        </is>
      </c>
      <c r="BF308" s="24" t="inlineStr">
        <is>
          <t>1</t>
        </is>
      </c>
      <c r="BG308" s="24" t="inlineStr">
        <is>
          <t>mlb-elo-trend-lr-v7</t>
        </is>
      </c>
      <c r="BH308" s="24" t="inlineStr">
        <is>
          <t>2026-08-02T17:26:18.691417Z</t>
        </is>
      </c>
      <c r="BI308" s="24" t="inlineStr">
        <is>
          <t>["same_event","same_team_same_day","same_league_same_day"]</t>
        </is>
      </c>
      <c r="BJ308" s="25" t="n"/>
      <c r="BK308" s="26" t="n">
        <v>-130</v>
      </c>
      <c r="BL308" s="27" t="n">
        <v>1.769231</v>
      </c>
      <c r="BM308" s="28" t="n">
        <v>0.565217</v>
      </c>
      <c r="BN308" s="28" t="n">
        <v>0.562189</v>
      </c>
      <c r="BO308" s="28" t="n"/>
      <c r="BP308" s="25" t="n"/>
      <c r="BQ308" s="27" t="n"/>
      <c r="BR308" s="28" t="n"/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inlineStr">
        <is>
          <t>0.4831243511</t>
        </is>
      </c>
      <c r="CD308" s="24" t="inlineStr">
        <is>
          <t>-0.050102</t>
        </is>
      </c>
      <c r="CE308" s="24" t="inlineStr">
        <is>
          <t>1.03</t>
        </is>
      </c>
      <c r="CF308" s="24" t="inlineStr">
        <is>
          <t>1.019</t>
        </is>
      </c>
      <c r="CG308" s="24" t="inlineStr">
        <is>
          <t>2.8</t>
        </is>
      </c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inlineStr">
        <is>
          <t>0.510159</t>
        </is>
      </c>
      <c r="CQ308" s="24" t="inlineStr">
        <is>
          <t>False</t>
        </is>
      </c>
    </row>
    <row r="309" ht="36" customHeight="1">
      <c r="A309" s="24" t="inlineStr">
        <is>
          <t>54fd030403e949ac</t>
        </is>
      </c>
      <c r="B309" s="24" t="inlineStr">
        <is>
          <t>2026-08-02T17:27:52.928541Z</t>
        </is>
      </c>
      <c r="C309" s="24" t="inlineStr">
        <is>
          <t>2026-08-02T13:35:00-0400</t>
        </is>
      </c>
      <c r="D309" s="24" t="inlineStr">
        <is>
          <t>401816368</t>
        </is>
      </c>
      <c r="E309" s="24" t="inlineStr">
        <is>
          <t>MLB</t>
        </is>
      </c>
      <c r="F309" s="24" t="inlineStr">
        <is>
          <t>Washington Nationals</t>
        </is>
      </c>
      <c r="G309" s="24" t="inlineStr">
        <is>
          <t>Atlanta Braves</t>
        </is>
      </c>
      <c r="H309" s="24" t="inlineStr">
        <is>
          <t>moneyline</t>
        </is>
      </c>
      <c r="I309" s="24" t="inlineStr">
        <is>
          <t>home</t>
        </is>
      </c>
      <c r="J309" s="25" t="n"/>
      <c r="K309" s="24" t="inlineStr">
        <is>
          <t>polymarket_us</t>
        </is>
      </c>
      <c r="L309" s="26" t="n">
        <v>-122</v>
      </c>
      <c r="M309" s="27" t="n">
        <v>1.819672</v>
      </c>
      <c r="N309" s="28" t="n">
        <v>0.54955</v>
      </c>
      <c r="O309" s="28" t="n">
        <v>0.600464</v>
      </c>
      <c r="P309" s="28" t="n"/>
      <c r="Q309" s="28" t="n">
        <v>0.050914</v>
      </c>
      <c r="R309" s="26" t="n">
        <v>47</v>
      </c>
      <c r="S309" s="29" t="n">
        <v>1.25</v>
      </c>
      <c r="T309" s="24" t="inlineStr">
        <is>
          <t>mlb-elo-trend-lr-v7</t>
        </is>
      </c>
      <c r="U309" s="24" t="inlineStr">
        <is>
          <t>open</t>
        </is>
      </c>
      <c r="V309" s="24" t="n"/>
      <c r="W309" s="26" t="n"/>
      <c r="X309" s="26" t="n"/>
      <c r="Y309" s="25" t="n"/>
      <c r="Z309" s="26" t="n"/>
      <c r="AA309" s="28" t="n"/>
      <c r="AB309" s="28" t="n"/>
      <c r="AC309" s="30" t="n"/>
      <c r="AD309" s="24" t="n"/>
      <c r="AE309" s="31" t="inlineStr">
        <is>
          <t>Learned LR call at threshold 0.6242; executable ask 0.5500 (aec-mlb-wsh-atl-2026-08-02); model edge vs ask +0.0505.</t>
        </is>
      </c>
      <c r="AF309" s="31" t="inlineStr">
        <is>
          <t>Learned model; shadow-qualified via operator override.</t>
        </is>
      </c>
      <c r="AG309" s="24" t="inlineStr">
        <is>
          <t>not_applicable</t>
        </is>
      </c>
      <c r="AH309" s="24" t="n"/>
      <c r="AI309" s="31" t="n"/>
      <c r="AJ309" s="31" t="n"/>
      <c r="AK309" s="24" t="inlineStr">
        <is>
          <t>model_qualified</t>
        </is>
      </c>
      <c r="AL309" s="26" t="n">
        <v>3</v>
      </c>
      <c r="AM309" s="24" t="inlineStr">
        <is>
          <t>QUALIFIED_SHADOW_CALL</t>
        </is>
      </c>
      <c r="AN309" s="24" t="inlineStr">
        <is>
          <t>CALL</t>
        </is>
      </c>
      <c r="AO309" s="24" t="inlineStr">
        <is>
          <t>QUALIFIED</t>
        </is>
      </c>
      <c r="AP309" s="24" t="inlineStr">
        <is>
          <t>mlb-wsh</t>
        </is>
      </c>
      <c r="AQ309" s="24" t="inlineStr">
        <is>
          <t>Washington Nationals</t>
        </is>
      </c>
      <c r="AR309" s="24" t="inlineStr">
        <is>
          <t>Washington Nationals</t>
        </is>
      </c>
      <c r="AS309" s="24" t="inlineStr">
        <is>
          <t>mlb-atl</t>
        </is>
      </c>
      <c r="AT309" s="24" t="inlineStr">
        <is>
          <t>Atlanta Braves</t>
        </is>
      </c>
      <c r="AU309" s="24" t="inlineStr">
        <is>
          <t>Atlanta Braves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464eef695bfbbdaa819ec6f5e4c5bd1068ed20b92915fb2677220ae91e20d8b6</t>
        </is>
      </c>
      <c r="BB309" s="24" t="inlineStr">
        <is>
          <t>learned_lr</t>
        </is>
      </c>
      <c r="BC309" s="24" t="inlineStr">
        <is>
          <t>mlb-elo-trend-lr-v7</t>
        </is>
      </c>
      <c r="BD309" s="24" t="inlineStr">
        <is>
          <t>464eef695bfbbdaa819ec6f5e4c5bd1068ed20b92915fb2677220ae91e20d8b6</t>
        </is>
      </c>
      <c r="BE309" s="24" t="inlineStr">
        <is>
          <t>73dc550984f25411</t>
        </is>
      </c>
      <c r="BF309" s="24" t="inlineStr">
        <is>
          <t>1</t>
        </is>
      </c>
      <c r="BG309" s="24" t="inlineStr">
        <is>
          <t>mlb-elo-trend-lr-v7</t>
        </is>
      </c>
      <c r="BH309" s="24" t="inlineStr">
        <is>
          <t>2026-08-02T17:26:19.692469Z</t>
        </is>
      </c>
      <c r="BI309" s="24" t="inlineStr">
        <is>
          <t>["same_event","same_team_same_day","same_league_same_day"]</t>
        </is>
      </c>
      <c r="BJ309" s="25" t="n"/>
      <c r="BK309" s="26" t="n">
        <v>-122</v>
      </c>
      <c r="BL309" s="27" t="n">
        <v>1.819672</v>
      </c>
      <c r="BM309" s="28" t="n">
        <v>0.54955</v>
      </c>
      <c r="BN309" s="28" t="n">
        <v>0.547264</v>
      </c>
      <c r="BO309" s="28" t="n"/>
      <c r="BP309" s="25" t="n"/>
      <c r="BQ309" s="27" t="n"/>
      <c r="BR309" s="28" t="n"/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inlineStr">
        <is>
          <t>0.6335187094</t>
        </is>
      </c>
      <c r="CD309" s="24" t="inlineStr">
        <is>
          <t>1.061773</t>
        </is>
      </c>
      <c r="CE309" s="24" t="inlineStr">
        <is>
          <t>0.929</t>
        </is>
      </c>
      <c r="CF309" s="24" t="inlineStr">
        <is>
          <t>1.0183</t>
        </is>
      </c>
      <c r="CG309" s="24" t="inlineStr">
        <is>
          <t>-3.6</t>
        </is>
      </c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inlineStr">
        <is>
          <t>0.600464</t>
        </is>
      </c>
      <c r="CQ309" s="24" t="inlineStr">
        <is>
          <t>True</t>
        </is>
      </c>
    </row>
    <row r="310" ht="36" customHeight="1">
      <c r="A310" s="24" t="inlineStr">
        <is>
          <t>1ab367e6297947f8</t>
        </is>
      </c>
      <c r="B310" s="24" t="inlineStr">
        <is>
          <t>2026-08-02T17:27:52.928541Z</t>
        </is>
      </c>
      <c r="C310" s="24" t="inlineStr">
        <is>
          <t>2026-08-02T13:37:00-0400</t>
        </is>
      </c>
      <c r="D310" s="24" t="inlineStr">
        <is>
          <t>401816367</t>
        </is>
      </c>
      <c r="E310" s="24" t="inlineStr">
        <is>
          <t>MLB</t>
        </is>
      </c>
      <c r="F310" s="24" t="inlineStr">
        <is>
          <t>St. Louis Cardinals</t>
        </is>
      </c>
      <c r="G310" s="24" t="inlineStr">
        <is>
          <t>Toronto Blue Jays</t>
        </is>
      </c>
      <c r="H310" s="24" t="inlineStr">
        <is>
          <t>moneyline</t>
        </is>
      </c>
      <c r="I310" s="24" t="inlineStr">
        <is>
          <t>home</t>
        </is>
      </c>
      <c r="J310" s="25" t="n"/>
      <c r="K310" s="24" t="inlineStr">
        <is>
          <t>polymarket_us</t>
        </is>
      </c>
      <c r="L310" s="26" t="n">
        <v>-120</v>
      </c>
      <c r="M310" s="27" t="n">
        <v>1.833333</v>
      </c>
      <c r="N310" s="28" t="n">
        <v>0.545455</v>
      </c>
      <c r="O310" s="28" t="n">
        <v>0.536276</v>
      </c>
      <c r="P310" s="28" t="n"/>
      <c r="Q310" s="28" t="n">
        <v>-0.009179</v>
      </c>
      <c r="R310" s="26" t="n">
        <v>17</v>
      </c>
      <c r="S310" s="29" t="n">
        <v>1</v>
      </c>
      <c r="T310" s="24" t="inlineStr">
        <is>
          <t>mlb-elo-trend-lr-v7</t>
        </is>
      </c>
      <c r="U310" s="24" t="inlineStr">
        <is>
          <t>open</t>
        </is>
      </c>
      <c r="V310" s="24" t="n"/>
      <c r="W310" s="26" t="n"/>
      <c r="X310" s="26" t="n"/>
      <c r="Y310" s="25" t="n"/>
      <c r="Z310" s="26" t="n"/>
      <c r="AA310" s="28" t="n"/>
      <c r="AB310" s="28" t="n"/>
      <c r="AC310" s="30" t="n"/>
      <c r="AD310" s="24" t="n"/>
      <c r="AE310" s="31" t="inlineStr">
        <is>
          <t>Learned LR call at threshold 0.6242; executable ask 0.5450 (aec-mlb-stl-tor-2026-08-02); model edge vs ask -0.0087.</t>
        </is>
      </c>
      <c r="AF310" s="31" t="inlineStr">
        <is>
          <t>Learned model; shadow-qualified via operator override.</t>
        </is>
      </c>
      <c r="AG310" s="24" t="inlineStr">
        <is>
          <t>not_applicable</t>
        </is>
      </c>
      <c r="AH310" s="24" t="n"/>
      <c r="AI310" s="31" t="n"/>
      <c r="AJ310" s="31" t="n"/>
      <c r="AK310" s="24" t="inlineStr">
        <is>
          <t>model_qualified</t>
        </is>
      </c>
      <c r="AL310" s="26" t="n">
        <v>3</v>
      </c>
      <c r="AM310" s="24" t="inlineStr">
        <is>
          <t>QUALIFIED_SHADOW_CALL</t>
        </is>
      </c>
      <c r="AN310" s="24" t="inlineStr">
        <is>
          <t>CALL</t>
        </is>
      </c>
      <c r="AO310" s="24" t="inlineStr">
        <is>
          <t>QUALIFIED</t>
        </is>
      </c>
      <c r="AP310" s="24" t="inlineStr">
        <is>
          <t>mlb-stl</t>
        </is>
      </c>
      <c r="AQ310" s="24" t="inlineStr">
        <is>
          <t>St. Louis Cardinals</t>
        </is>
      </c>
      <c r="AR310" s="24" t="inlineStr">
        <is>
          <t>St. Louis Cardinals</t>
        </is>
      </c>
      <c r="AS310" s="24" t="inlineStr">
        <is>
          <t>mlb-tor</t>
        </is>
      </c>
      <c r="AT310" s="24" t="inlineStr">
        <is>
          <t>Toronto Blue Jays</t>
        </is>
      </c>
      <c r="AU310" s="24" t="inlineStr">
        <is>
          <t>Toronto Blue Jays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464eef695bfbbdaa819ec6f5e4c5bd1068ed20b92915fb2677220ae91e20d8b6</t>
        </is>
      </c>
      <c r="BB310" s="24" t="inlineStr">
        <is>
          <t>learned_lr</t>
        </is>
      </c>
      <c r="BC310" s="24" t="inlineStr">
        <is>
          <t>mlb-elo-trend-lr-v7</t>
        </is>
      </c>
      <c r="BD310" s="24" t="inlineStr">
        <is>
          <t>464eef695bfbbdaa819ec6f5e4c5bd1068ed20b92915fb2677220ae91e20d8b6</t>
        </is>
      </c>
      <c r="BE310" s="24" t="inlineStr">
        <is>
          <t>429c13d4c562f5e8</t>
        </is>
      </c>
      <c r="BF310" s="24" t="inlineStr">
        <is>
          <t>1</t>
        </is>
      </c>
      <c r="BG310" s="24" t="inlineStr">
        <is>
          <t>mlb-elo-trend-lr-v7</t>
        </is>
      </c>
      <c r="BH310" s="24" t="inlineStr">
        <is>
          <t>2026-08-02T17:26:20.623512Z</t>
        </is>
      </c>
      <c r="BI310" s="24" t="inlineStr">
        <is>
          <t>["same_event","same_team_same_day","same_league_same_day"]</t>
        </is>
      </c>
      <c r="BJ310" s="25" t="n"/>
      <c r="BK310" s="26" t="n">
        <v>-120</v>
      </c>
      <c r="BL310" s="27" t="n">
        <v>1.833333</v>
      </c>
      <c r="BM310" s="28" t="n">
        <v>0.545455</v>
      </c>
      <c r="BN310" s="28" t="n">
        <v>0.542289</v>
      </c>
      <c r="BO310" s="28" t="n"/>
      <c r="BP310" s="25" t="n"/>
      <c r="BQ310" s="27" t="n"/>
      <c r="BR310" s="28" t="n"/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inlineStr">
        <is>
          <t>0.5658417148</t>
        </is>
      </c>
      <c r="CD310" s="24" t="inlineStr">
        <is>
          <t>1.499161</t>
        </is>
      </c>
      <c r="CE310" s="24" t="inlineStr">
        <is>
          <t>1.019</t>
        </is>
      </c>
      <c r="CF310" s="24" t="inlineStr">
        <is>
          <t>1.0</t>
        </is>
      </c>
      <c r="CG310" s="24" t="inlineStr">
        <is>
          <t>-2.0</t>
        </is>
      </c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inlineStr">
        <is>
          <t>0.536276</t>
        </is>
      </c>
      <c r="CQ310" s="24" t="inlineStr">
        <is>
          <t>False</t>
        </is>
      </c>
    </row>
    <row r="311" ht="36" customHeight="1">
      <c r="A311" s="24" t="inlineStr">
        <is>
          <t>b81757c406fb4c1a</t>
        </is>
      </c>
      <c r="B311" s="24" t="inlineStr">
        <is>
          <t>2026-08-02T17:28:55.256054Z</t>
        </is>
      </c>
      <c r="C311" s="24" t="inlineStr">
        <is>
          <t>2026-08-02T17:35Z</t>
        </is>
      </c>
      <c r="D311" s="24" t="inlineStr">
        <is>
          <t>401816365</t>
        </is>
      </c>
      <c r="E311" s="24" t="inlineStr">
        <is>
          <t>MLB</t>
        </is>
      </c>
      <c r="F311" s="24" t="inlineStr">
        <is>
          <t>Philadelphia Phillies</t>
        </is>
      </c>
      <c r="G311" s="24" t="inlineStr">
        <is>
          <t>Baltimore Orioles</t>
        </is>
      </c>
      <c r="H311" s="24" t="inlineStr">
        <is>
          <t>spread</t>
        </is>
      </c>
      <c r="I311" s="24" t="inlineStr">
        <is>
          <t>home</t>
        </is>
      </c>
      <c r="J311" s="25" t="n">
        <v>1.5</v>
      </c>
      <c r="K311" s="24" t="inlineStr">
        <is>
          <t>polymarket_us</t>
        </is>
      </c>
      <c r="L311" s="26" t="n">
        <v>-130</v>
      </c>
      <c r="M311" s="27" t="n">
        <v>1.769231</v>
      </c>
      <c r="N311" s="28" t="n">
        <v>0.565217</v>
      </c>
      <c r="O311" s="28" t="n">
        <v>0.614868</v>
      </c>
      <c r="P311" s="28" t="n">
        <v>0.042131</v>
      </c>
      <c r="Q311" s="28" t="n">
        <v>0.049651</v>
      </c>
      <c r="R311" s="26" t="n">
        <v>51</v>
      </c>
      <c r="S311" s="29" t="n">
        <v>1.5</v>
      </c>
      <c r="T311" s="24" t="inlineStr">
        <is>
          <t>measured-edge-margin-v2</t>
        </is>
      </c>
      <c r="U311" s="24" t="inlineStr">
        <is>
          <t>open</t>
        </is>
      </c>
      <c r="V311" s="24" t="n"/>
      <c r="W311" s="26" t="n"/>
      <c r="X311" s="26" t="n"/>
      <c r="Y311" s="25" t="n"/>
      <c r="Z311" s="26" t="n"/>
      <c r="AA311" s="28" t="n"/>
      <c r="AB311" s="28" t="n"/>
      <c r="AC311" s="30" t="n"/>
      <c r="AD311" s="24" t="n"/>
      <c r="AE311" s="31" t="inlineStr">
        <is>
          <t>Measured Edge Margin: Trend Engine projected 4.52-4.52; raw selected-side p=0.6750, calibrated p=0.6149.</t>
        </is>
      </c>
      <c r="AF311" s="31" t="inlineStr">
        <is>
          <t>Research-only; lineup, bullpen, park, weather, xFIP, and wRC+ may be neutral fallbacks; market availability and BBO depth may change before first pitch.</t>
        </is>
      </c>
      <c r="AG311" s="24" t="inlineStr">
        <is>
          <t>not_applicable</t>
        </is>
      </c>
      <c r="AH311" s="24" t="n"/>
      <c r="AI311" s="31" t="n"/>
      <c r="AJ311" s="31" t="n"/>
      <c r="AK311" s="24" t="inlineStr">
        <is>
          <t>model_qualified</t>
        </is>
      </c>
      <c r="AL311" s="26" t="n">
        <v>3</v>
      </c>
      <c r="AM311" s="24" t="inlineStr">
        <is>
          <t>QUALIFIED_SHADOW_CALL</t>
        </is>
      </c>
      <c r="AN311" s="24" t="inlineStr">
        <is>
          <t>CALL</t>
        </is>
      </c>
      <c r="AO311" s="24" t="inlineStr">
        <is>
          <t>QUALIFIED</t>
        </is>
      </c>
      <c r="AP311" s="24" t="inlineStr">
        <is>
          <t>mlb-phi</t>
        </is>
      </c>
      <c r="AQ311" s="24" t="inlineStr">
        <is>
          <t>Philadelphia Phillies</t>
        </is>
      </c>
      <c r="AR311" s="24" t="inlineStr">
        <is>
          <t>Philadelphia Phillies</t>
        </is>
      </c>
      <c r="AS311" s="24" t="inlineStr">
        <is>
          <t>mlb-bal</t>
        </is>
      </c>
      <c r="AT311" s="24" t="inlineStr">
        <is>
          <t>Baltimore Orioles</t>
        </is>
      </c>
      <c r="AU311" s="24" t="inlineStr">
        <is>
          <t>Baltimore Orioles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research</t>
        </is>
      </c>
      <c r="BA311" s="24" t="inlineStr">
        <is>
          <t>8360b122264b796b0fb193095cfe4506c7e064e5f3f8c0a659aec41efd08dd25</t>
        </is>
      </c>
      <c r="BB311" s="24" t="inlineStr">
        <is>
          <t>flat_probability_shrinkage_toward_half</t>
        </is>
      </c>
      <c r="BC311" s="24" t="inlineStr">
        <is>
          <t>measured-edge-margin-v2</t>
        </is>
      </c>
      <c r="BD311" s="24" t="inlineStr">
        <is>
          <t>8360b122264b796b0fb193095cfe4506c7e064e5f3f8c0a659aec41efd08dd25</t>
        </is>
      </c>
      <c r="BE311" s="24" t="inlineStr">
        <is>
          <t>v3</t>
        </is>
      </c>
      <c r="BF311" s="24" t="inlineStr">
        <is>
          <t>1</t>
        </is>
      </c>
      <c r="BG311" s="24" t="inlineStr">
        <is>
          <t>measured-edge-paired-v1</t>
        </is>
      </c>
      <c r="BH311" s="24" t="inlineStr">
        <is>
          <t>2026-08-02T17:28:55.256054Z</t>
        </is>
      </c>
      <c r="BI311" s="24" t="inlineStr">
        <is>
          <t>["same_event","same_team_same_day","same_league_same_day"]</t>
        </is>
      </c>
      <c r="BJ311" s="25" t="n">
        <v>1.5</v>
      </c>
      <c r="BK311" s="26" t="n">
        <v>-130</v>
      </c>
      <c r="BL311" s="27" t="n">
        <v>1.769231</v>
      </c>
      <c r="BM311" s="28" t="n">
        <v>0.565217</v>
      </c>
      <c r="BN311" s="28" t="n">
        <v>0.562189</v>
      </c>
      <c r="BO311" s="28" t="n"/>
      <c r="BP311" s="25" t="n"/>
      <c r="BQ311" s="27" t="n"/>
      <c r="BR311" s="28" t="n"/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inlineStr">
        <is>
          <t>True</t>
        </is>
      </c>
    </row>
    <row r="312" ht="36" customHeight="1">
      <c r="A312" s="24" t="inlineStr">
        <is>
          <t>145da2fc85314d6a</t>
        </is>
      </c>
      <c r="B312" s="24" t="inlineStr">
        <is>
          <t>2026-08-02T17:28:55.256054Z</t>
        </is>
      </c>
      <c r="C312" s="24" t="inlineStr">
        <is>
          <t>2026-08-02T17:35Z</t>
        </is>
      </c>
      <c r="D312" s="24" t="inlineStr">
        <is>
          <t>401816365</t>
        </is>
      </c>
      <c r="E312" s="24" t="inlineStr">
        <is>
          <t>MLB</t>
        </is>
      </c>
      <c r="F312" s="24" t="inlineStr">
        <is>
          <t>Philadelphia Phillies</t>
        </is>
      </c>
      <c r="G312" s="24" t="inlineStr">
        <is>
          <t>Baltimore Orioles</t>
        </is>
      </c>
      <c r="H312" s="24" t="inlineStr">
        <is>
          <t>total</t>
        </is>
      </c>
      <c r="I312" s="24" t="inlineStr">
        <is>
          <t>over</t>
        </is>
      </c>
      <c r="J312" s="25" t="n">
        <v>8.5</v>
      </c>
      <c r="K312" s="24" t="inlineStr">
        <is>
          <t>polymarket_us</t>
        </is>
      </c>
      <c r="L312" s="26" t="n">
        <v>113</v>
      </c>
      <c r="M312" s="27" t="n">
        <v>2.13</v>
      </c>
      <c r="N312" s="28" t="n">
        <v>0.469484</v>
      </c>
      <c r="O312" s="28" t="n">
        <v>0.515126</v>
      </c>
      <c r="P312" s="28" t="n">
        <v>0.042131</v>
      </c>
      <c r="Q312" s="28" t="n">
        <v>0.045642</v>
      </c>
      <c r="R312" s="26" t="n">
        <v>48</v>
      </c>
      <c r="S312" s="29" t="n">
        <v>1</v>
      </c>
      <c r="T312" s="24" t="inlineStr">
        <is>
          <t>measured-edge-totals-v2</t>
        </is>
      </c>
      <c r="U312" s="24" t="inlineStr">
        <is>
          <t>open</t>
        </is>
      </c>
      <c r="V312" s="24" t="n"/>
      <c r="W312" s="26" t="n"/>
      <c r="X312" s="26" t="n"/>
      <c r="Y312" s="25" t="n"/>
      <c r="Z312" s="26" t="n"/>
      <c r="AA312" s="28" t="n"/>
      <c r="AB312" s="28" t="n"/>
      <c r="AC312" s="30" t="n"/>
      <c r="AD312" s="24" t="n"/>
      <c r="AE312" s="31" t="inlineStr">
        <is>
          <t>Measured Edge Totals: Trend Engine projected 4.52-4.52; raw selected-side p=0.5210, calibrated p=0.5151.</t>
        </is>
      </c>
      <c r="AF312" s="31" t="inlineStr">
        <is>
          <t>Research-only; lineup, bullpen, park, weather, xFIP, and wRC+ may be neutral fallbacks; market availability and BBO depth may change before first pitch.</t>
        </is>
      </c>
      <c r="AG312" s="24" t="inlineStr">
        <is>
          <t>not_applicable</t>
        </is>
      </c>
      <c r="AH312" s="24" t="n"/>
      <c r="AI312" s="31" t="n"/>
      <c r="AJ312" s="31" t="n"/>
      <c r="AK312" s="24" t="inlineStr">
        <is>
          <t>model_qualified</t>
        </is>
      </c>
      <c r="AL312" s="26" t="n">
        <v>3</v>
      </c>
      <c r="AM312" s="24" t="inlineStr">
        <is>
          <t>QUALIFIED_SHADOW_CALL</t>
        </is>
      </c>
      <c r="AN312" s="24" t="inlineStr">
        <is>
          <t>CALL</t>
        </is>
      </c>
      <c r="AO312" s="24" t="inlineStr">
        <is>
          <t>QUALIFIED</t>
        </is>
      </c>
      <c r="AP312" s="24" t="inlineStr">
        <is>
          <t>mlb-phi</t>
        </is>
      </c>
      <c r="AQ312" s="24" t="inlineStr">
        <is>
          <t>Philadelphia Phillies</t>
        </is>
      </c>
      <c r="AR312" s="24" t="inlineStr">
        <is>
          <t>Philadelphia Phillies</t>
        </is>
      </c>
      <c r="AS312" s="24" t="inlineStr">
        <is>
          <t>mlb-bal</t>
        </is>
      </c>
      <c r="AT312" s="24" t="inlineStr">
        <is>
          <t>Baltimore Orioles</t>
        </is>
      </c>
      <c r="AU312" s="24" t="inlineStr">
        <is>
          <t>Baltimore Orioles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research</t>
        </is>
      </c>
      <c r="BA312" s="24" t="inlineStr">
        <is>
          <t>433578016242b27f9c1c7132cc6b5a2bcc7dd1b0234590c12a944455a88e71bd</t>
        </is>
      </c>
      <c r="BB312" s="24" t="inlineStr">
        <is>
          <t>flat_probability_shrinkage_toward_half</t>
        </is>
      </c>
      <c r="BC312" s="24" t="inlineStr">
        <is>
          <t>measured-edge-totals-v2</t>
        </is>
      </c>
      <c r="BD312" s="24" t="inlineStr">
        <is>
          <t>433578016242b27f9c1c7132cc6b5a2bcc7dd1b0234590c12a944455a88e71bd</t>
        </is>
      </c>
      <c r="BE312" s="24" t="inlineStr">
        <is>
          <t>v3</t>
        </is>
      </c>
      <c r="BF312" s="24" t="inlineStr">
        <is>
          <t>1</t>
        </is>
      </c>
      <c r="BG312" s="24" t="inlineStr">
        <is>
          <t>measured-edge-paired-v1</t>
        </is>
      </c>
      <c r="BH312" s="24" t="inlineStr">
        <is>
          <t>2026-08-02T17:28:55.256054Z</t>
        </is>
      </c>
      <c r="BI312" s="24" t="inlineStr">
        <is>
          <t>["same_event","same_team_same_day","same_league_same_day"]</t>
        </is>
      </c>
      <c r="BJ312" s="25" t="n">
        <v>8.5</v>
      </c>
      <c r="BK312" s="26" t="n">
        <v>113</v>
      </c>
      <c r="BL312" s="27" t="n">
        <v>2.13</v>
      </c>
      <c r="BM312" s="28" t="n">
        <v>0.469484</v>
      </c>
      <c r="BN312" s="28" t="n">
        <v>0.467662</v>
      </c>
      <c r="BO312" s="28" t="n"/>
      <c r="BP312" s="25" t="n"/>
      <c r="BQ312" s="27" t="n"/>
      <c r="BR312" s="28" t="n"/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inlineStr">
        <is>
          <t>True</t>
        </is>
      </c>
    </row>
    <row r="313" ht="36" customHeight="1">
      <c r="A313" s="24" t="inlineStr">
        <is>
          <t>014742c6476a4e41</t>
        </is>
      </c>
      <c r="B313" s="24" t="inlineStr">
        <is>
          <t>2026-08-02T17:28:55.256054Z</t>
        </is>
      </c>
      <c r="C313" s="24" t="inlineStr">
        <is>
          <t>2026-08-02T17:35Z</t>
        </is>
      </c>
      <c r="D313" s="24" t="inlineStr">
        <is>
          <t>401816368</t>
        </is>
      </c>
      <c r="E313" s="24" t="inlineStr">
        <is>
          <t>MLB</t>
        </is>
      </c>
      <c r="F313" s="24" t="inlineStr">
        <is>
          <t>Washington Nationals</t>
        </is>
      </c>
      <c r="G313" s="24" t="inlineStr">
        <is>
          <t>Atlanta Braves</t>
        </is>
      </c>
      <c r="H313" s="24" t="inlineStr">
        <is>
          <t>spread</t>
        </is>
      </c>
      <c r="I313" s="24" t="inlineStr">
        <is>
          <t>away</t>
        </is>
      </c>
      <c r="J313" s="25" t="n">
        <v>1.5</v>
      </c>
      <c r="K313" s="24" t="inlineStr">
        <is>
          <t>polymarket_us</t>
        </is>
      </c>
      <c r="L313" s="26" t="n">
        <v>-178</v>
      </c>
      <c r="M313" s="27" t="n">
        <v>1.561798</v>
      </c>
      <c r="N313" s="28" t="n">
        <v>0.640288</v>
      </c>
      <c r="O313" s="28" t="n">
        <v>0.612965</v>
      </c>
      <c r="P313" s="28" t="n">
        <v>0.042131</v>
      </c>
      <c r="Q313" s="28" t="n">
        <v>-0.027323</v>
      </c>
      <c r="R313" s="26" t="n">
        <v>13</v>
      </c>
      <c r="S313" s="29" t="n">
        <v>1.5</v>
      </c>
      <c r="T313" s="24" t="inlineStr">
        <is>
          <t>measured-edge-margin-v2</t>
        </is>
      </c>
      <c r="U313" s="24" t="inlineStr">
        <is>
          <t>open</t>
        </is>
      </c>
      <c r="V313" s="24" t="n"/>
      <c r="W313" s="26" t="n"/>
      <c r="X313" s="26" t="n"/>
      <c r="Y313" s="25" t="n"/>
      <c r="Z313" s="26" t="n"/>
      <c r="AA313" s="28" t="n"/>
      <c r="AB313" s="28" t="n"/>
      <c r="AC313" s="30" t="n"/>
      <c r="AD313" s="24" t="n"/>
      <c r="AE313" s="31" t="inlineStr">
        <is>
          <t>Measured Edge Margin: Trend Engine projected 4.45-4.46; raw selected-side p=0.6721, calibrated p=0.6130.</t>
        </is>
      </c>
      <c r="AF313" s="31" t="inlineStr">
        <is>
          <t>Research-only; lineup, bullpen, park, weather, xFIP, and wRC+ may be neutral fallbacks; market availability and BBO depth may change before first pitch.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model_qualified</t>
        </is>
      </c>
      <c r="AL313" s="26" t="n">
        <v>3</v>
      </c>
      <c r="AM313" s="24" t="inlineStr">
        <is>
          <t>QUALIFIED_SHADOW_CALL</t>
        </is>
      </c>
      <c r="AN313" s="24" t="inlineStr">
        <is>
          <t>CALL</t>
        </is>
      </c>
      <c r="AO313" s="24" t="inlineStr">
        <is>
          <t>QUALIFIED</t>
        </is>
      </c>
      <c r="AP313" s="24" t="inlineStr">
        <is>
          <t>mlb-wsh</t>
        </is>
      </c>
      <c r="AQ313" s="24" t="inlineStr">
        <is>
          <t>Washington Nationals</t>
        </is>
      </c>
      <c r="AR313" s="24" t="inlineStr">
        <is>
          <t>Washington Nationals</t>
        </is>
      </c>
      <c r="AS313" s="24" t="inlineStr">
        <is>
          <t>mlb-atl</t>
        </is>
      </c>
      <c r="AT313" s="24" t="inlineStr">
        <is>
          <t>Atlanta Braves</t>
        </is>
      </c>
      <c r="AU313" s="24" t="inlineStr">
        <is>
          <t>Atlanta Braves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research</t>
        </is>
      </c>
      <c r="BA313" s="24" t="inlineStr">
        <is>
          <t>8360b122264b796b0fb193095cfe4506c7e064e5f3f8c0a659aec41efd08dd25</t>
        </is>
      </c>
      <c r="BB313" s="24" t="inlineStr">
        <is>
          <t>flat_probability_shrinkage_toward_half</t>
        </is>
      </c>
      <c r="BC313" s="24" t="inlineStr">
        <is>
          <t>measured-edge-margin-v2</t>
        </is>
      </c>
      <c r="BD313" s="24" t="inlineStr">
        <is>
          <t>8360b122264b796b0fb193095cfe4506c7e064e5f3f8c0a659aec41efd08dd25</t>
        </is>
      </c>
      <c r="BE313" s="24" t="inlineStr">
        <is>
          <t>v3</t>
        </is>
      </c>
      <c r="BF313" s="24" t="inlineStr">
        <is>
          <t>1</t>
        </is>
      </c>
      <c r="BG313" s="24" t="inlineStr">
        <is>
          <t>measured-edge-paired-v1</t>
        </is>
      </c>
      <c r="BH313" s="24" t="inlineStr">
        <is>
          <t>2026-08-02T17:28:55.256054Z</t>
        </is>
      </c>
      <c r="BI313" s="24" t="inlineStr">
        <is>
          <t>["same_event","same_team_same_day","same_league_same_day"]</t>
        </is>
      </c>
      <c r="BJ313" s="25" t="n">
        <v>1.5</v>
      </c>
      <c r="BK313" s="26" t="n">
        <v>-178</v>
      </c>
      <c r="BL313" s="27" t="n">
        <v>1.561798</v>
      </c>
      <c r="BM313" s="28" t="n">
        <v>0.640288</v>
      </c>
      <c r="BN313" s="28" t="n">
        <v>0.636816</v>
      </c>
      <c r="BO313" s="28" t="n"/>
      <c r="BP313" s="25" t="n"/>
      <c r="BQ313" s="27" t="n"/>
      <c r="BR313" s="28" t="n"/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inlineStr">
        <is>
          <t>False</t>
        </is>
      </c>
    </row>
    <row r="314" ht="36" customHeight="1">
      <c r="A314" s="24" t="inlineStr">
        <is>
          <t>c6c5a977e85247da</t>
        </is>
      </c>
      <c r="B314" s="24" t="inlineStr">
        <is>
          <t>2026-08-02T17:28:55.256054Z</t>
        </is>
      </c>
      <c r="C314" s="24" t="inlineStr">
        <is>
          <t>2026-08-02T17:35Z</t>
        </is>
      </c>
      <c r="D314" s="24" t="inlineStr">
        <is>
          <t>401816368</t>
        </is>
      </c>
      <c r="E314" s="24" t="inlineStr">
        <is>
          <t>MLB</t>
        </is>
      </c>
      <c r="F314" s="24" t="inlineStr">
        <is>
          <t>Washington Nationals</t>
        </is>
      </c>
      <c r="G314" s="24" t="inlineStr">
        <is>
          <t>Atlanta Braves</t>
        </is>
      </c>
      <c r="H314" s="24" t="inlineStr">
        <is>
          <t>total</t>
        </is>
      </c>
      <c r="I314" s="24" t="inlineStr">
        <is>
          <t>over</t>
        </is>
      </c>
      <c r="J314" s="25" t="n">
        <v>8.5</v>
      </c>
      <c r="K314" s="24" t="inlineStr">
        <is>
          <t>polymarket_us</t>
        </is>
      </c>
      <c r="L314" s="26" t="n">
        <v>-122</v>
      </c>
      <c r="M314" s="27" t="n">
        <v>1.819672</v>
      </c>
      <c r="N314" s="28" t="n">
        <v>0.54955</v>
      </c>
      <c r="O314" s="28" t="n">
        <v>0.510393</v>
      </c>
      <c r="P314" s="28" t="n">
        <v>0.042131</v>
      </c>
      <c r="Q314" s="28" t="n">
        <v>-0.039157</v>
      </c>
      <c r="R314" s="26" t="n">
        <v>6</v>
      </c>
      <c r="S314" s="29" t="n">
        <v>1</v>
      </c>
      <c r="T314" s="24" t="inlineStr">
        <is>
          <t>measured-edge-totals-v2</t>
        </is>
      </c>
      <c r="U314" s="24" t="inlineStr">
        <is>
          <t>open</t>
        </is>
      </c>
      <c r="V314" s="24" t="n"/>
      <c r="W314" s="26" t="n"/>
      <c r="X314" s="26" t="n"/>
      <c r="Y314" s="25" t="n"/>
      <c r="Z314" s="26" t="n"/>
      <c r="AA314" s="28" t="n"/>
      <c r="AB314" s="28" t="n"/>
      <c r="AC314" s="30" t="n"/>
      <c r="AD314" s="24" t="n"/>
      <c r="AE314" s="31" t="inlineStr">
        <is>
          <t>Measured Edge Totals: Trend Engine projected 4.45-4.46; raw selected-side p=0.5071, calibrated p=0.5104.</t>
        </is>
      </c>
      <c r="AF314" s="31" t="inlineStr">
        <is>
          <t>Research-only; lineup, bullpen, park, weather, xFIP, and wRC+ may be neutral fallbacks; market availability and BBO depth may change before first pitch.</t>
        </is>
      </c>
      <c r="AG314" s="24" t="inlineStr">
        <is>
          <t>not_applicable</t>
        </is>
      </c>
      <c r="AH314" s="24" t="n"/>
      <c r="AI314" s="31" t="n"/>
      <c r="AJ314" s="31" t="n"/>
      <c r="AK314" s="24" t="inlineStr">
        <is>
          <t>model_qualified</t>
        </is>
      </c>
      <c r="AL314" s="26" t="n">
        <v>3</v>
      </c>
      <c r="AM314" s="24" t="inlineStr">
        <is>
          <t>QUALIFIED_SHADOW_CALL</t>
        </is>
      </c>
      <c r="AN314" s="24" t="inlineStr">
        <is>
          <t>CALL</t>
        </is>
      </c>
      <c r="AO314" s="24" t="inlineStr">
        <is>
          <t>QUALIFIED</t>
        </is>
      </c>
      <c r="AP314" s="24" t="inlineStr">
        <is>
          <t>mlb-wsh</t>
        </is>
      </c>
      <c r="AQ314" s="24" t="inlineStr">
        <is>
          <t>Washington Nationals</t>
        </is>
      </c>
      <c r="AR314" s="24" t="inlineStr">
        <is>
          <t>Washington Nationals</t>
        </is>
      </c>
      <c r="AS314" s="24" t="inlineStr">
        <is>
          <t>mlb-atl</t>
        </is>
      </c>
      <c r="AT314" s="24" t="inlineStr">
        <is>
          <t>Atlanta Braves</t>
        </is>
      </c>
      <c r="AU314" s="24" t="inlineStr">
        <is>
          <t>Atlanta Braves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research</t>
        </is>
      </c>
      <c r="BA314" s="24" t="inlineStr">
        <is>
          <t>433578016242b27f9c1c7132cc6b5a2bcc7dd1b0234590c12a944455a88e71bd</t>
        </is>
      </c>
      <c r="BB314" s="24" t="inlineStr">
        <is>
          <t>flat_probability_shrinkage_toward_half</t>
        </is>
      </c>
      <c r="BC314" s="24" t="inlineStr">
        <is>
          <t>measured-edge-totals-v2</t>
        </is>
      </c>
      <c r="BD314" s="24" t="inlineStr">
        <is>
          <t>433578016242b27f9c1c7132cc6b5a2bcc7dd1b0234590c12a944455a88e71bd</t>
        </is>
      </c>
      <c r="BE314" s="24" t="inlineStr">
        <is>
          <t>v3</t>
        </is>
      </c>
      <c r="BF314" s="24" t="inlineStr">
        <is>
          <t>1</t>
        </is>
      </c>
      <c r="BG314" s="24" t="inlineStr">
        <is>
          <t>measured-edge-paired-v1</t>
        </is>
      </c>
      <c r="BH314" s="24" t="inlineStr">
        <is>
          <t>2026-08-02T17:28:55.256054Z</t>
        </is>
      </c>
      <c r="BI314" s="24" t="inlineStr">
        <is>
          <t>["same_event","same_team_same_day","same_league_same_day"]</t>
        </is>
      </c>
      <c r="BJ314" s="25" t="n">
        <v>8.5</v>
      </c>
      <c r="BK314" s="26" t="n">
        <v>-122</v>
      </c>
      <c r="BL314" s="27" t="n">
        <v>1.819672</v>
      </c>
      <c r="BM314" s="28" t="n">
        <v>0.54955</v>
      </c>
      <c r="BN314" s="28" t="n">
        <v>0.547264</v>
      </c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inlineStr">
        <is>
          <t>False</t>
        </is>
      </c>
    </row>
    <row r="315" ht="36" customHeight="1">
      <c r="A315" s="24" t="inlineStr">
        <is>
          <t>a813a5e00c514edc</t>
        </is>
      </c>
      <c r="B315" s="24" t="inlineStr">
        <is>
          <t>2026-08-02T17:28:55.256054Z</t>
        </is>
      </c>
      <c r="C315" s="24" t="inlineStr">
        <is>
          <t>2026-08-02T17:37Z</t>
        </is>
      </c>
      <c r="D315" s="24" t="inlineStr">
        <is>
          <t>401816367</t>
        </is>
      </c>
      <c r="E315" s="24" t="inlineStr">
        <is>
          <t>MLB</t>
        </is>
      </c>
      <c r="F315" s="24" t="inlineStr">
        <is>
          <t>St. Louis Cardinals</t>
        </is>
      </c>
      <c r="G315" s="24" t="inlineStr">
        <is>
          <t>Toronto Blue Jays</t>
        </is>
      </c>
      <c r="H315" s="24" t="inlineStr">
        <is>
          <t>spread</t>
        </is>
      </c>
      <c r="I315" s="24" t="inlineStr">
        <is>
          <t>away</t>
        </is>
      </c>
      <c r="J315" s="25" t="n">
        <v>1.5</v>
      </c>
      <c r="K315" s="24" t="inlineStr">
        <is>
          <t>polymarket_us</t>
        </is>
      </c>
      <c r="L315" s="26" t="n">
        <v>-174</v>
      </c>
      <c r="M315" s="27" t="n">
        <v>1.574713</v>
      </c>
      <c r="N315" s="28" t="n">
        <v>0.635036</v>
      </c>
      <c r="O315" s="28" t="n">
        <v>0.6256930000000001</v>
      </c>
      <c r="P315" s="28" t="n">
        <v>0.05172</v>
      </c>
      <c r="Q315" s="28" t="n">
        <v>-0.009343000000000001</v>
      </c>
      <c r="R315" s="26" t="n">
        <v>16</v>
      </c>
      <c r="S315" s="29" t="n">
        <v>1.5</v>
      </c>
      <c r="T315" s="24" t="inlineStr">
        <is>
          <t>measured-edge-margin-v2</t>
        </is>
      </c>
      <c r="U315" s="24" t="inlineStr">
        <is>
          <t>open</t>
        </is>
      </c>
      <c r="V315" s="24" t="n"/>
      <c r="W315" s="26" t="n"/>
      <c r="X315" s="26" t="n"/>
      <c r="Y315" s="25" t="n"/>
      <c r="Z315" s="26" t="n"/>
      <c r="AA315" s="28" t="n"/>
      <c r="AB315" s="28" t="n"/>
      <c r="AC315" s="30" t="n"/>
      <c r="AD315" s="24" t="n"/>
      <c r="AE315" s="31" t="inlineStr">
        <is>
          <t>Measured Edge Margin: Trend Engine projected 5.24-4.85; raw selected-side p=0.6915, calibrated p=0.6257.</t>
        </is>
      </c>
      <c r="AF315" s="31" t="inlineStr">
        <is>
          <t>Research-only; lineup, bullpen, park, weather, xFIP, and wRC+ may be neutral fallbacks; market availability and BBO depth may change before first pitch.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model_qualified</t>
        </is>
      </c>
      <c r="AL315" s="26" t="n">
        <v>3</v>
      </c>
      <c r="AM315" s="24" t="inlineStr">
        <is>
          <t>QUALIFIED_SHADOW_CALL</t>
        </is>
      </c>
      <c r="AN315" s="24" t="inlineStr">
        <is>
          <t>CALL</t>
        </is>
      </c>
      <c r="AO315" s="24" t="inlineStr">
        <is>
          <t>QUALIFIED</t>
        </is>
      </c>
      <c r="AP315" s="24" t="inlineStr">
        <is>
          <t>mlb-stl</t>
        </is>
      </c>
      <c r="AQ315" s="24" t="inlineStr">
        <is>
          <t>St. Louis Cardinals</t>
        </is>
      </c>
      <c r="AR315" s="24" t="inlineStr">
        <is>
          <t>St. Louis Cardinals</t>
        </is>
      </c>
      <c r="AS315" s="24" t="inlineStr">
        <is>
          <t>mlb-tor</t>
        </is>
      </c>
      <c r="AT315" s="24" t="inlineStr">
        <is>
          <t>Toronto Blue Jays</t>
        </is>
      </c>
      <c r="AU315" s="24" t="inlineStr">
        <is>
          <t>Toronto Blue Jays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research</t>
        </is>
      </c>
      <c r="BA315" s="24" t="inlineStr">
        <is>
          <t>8360b122264b796b0fb193095cfe4506c7e064e5f3f8c0a659aec41efd08dd25</t>
        </is>
      </c>
      <c r="BB315" s="24" t="inlineStr">
        <is>
          <t>flat_probability_shrinkage_toward_half</t>
        </is>
      </c>
      <c r="BC315" s="24" t="inlineStr">
        <is>
          <t>measured-edge-margin-v2</t>
        </is>
      </c>
      <c r="BD315" s="24" t="inlineStr">
        <is>
          <t>8360b122264b796b0fb193095cfe4506c7e064e5f3f8c0a659aec41efd08dd25</t>
        </is>
      </c>
      <c r="BE315" s="24" t="inlineStr">
        <is>
          <t>v3</t>
        </is>
      </c>
      <c r="BF315" s="24" t="inlineStr">
        <is>
          <t>1</t>
        </is>
      </c>
      <c r="BG315" s="24" t="inlineStr">
        <is>
          <t>measured-edge-paired-v1</t>
        </is>
      </c>
      <c r="BH315" s="24" t="inlineStr">
        <is>
          <t>2026-08-02T17:28:55.256054Z</t>
        </is>
      </c>
      <c r="BI315" s="24" t="inlineStr">
        <is>
          <t>["same_event","same_team_same_day","same_league_same_day"]</t>
        </is>
      </c>
      <c r="BJ315" s="25" t="n">
        <v>1.5</v>
      </c>
      <c r="BK315" s="26" t="n">
        <v>-174</v>
      </c>
      <c r="BL315" s="27" t="n">
        <v>1.574713</v>
      </c>
      <c r="BM315" s="28" t="n">
        <v>0.635036</v>
      </c>
      <c r="BN315" s="28" t="n">
        <v>0.631841</v>
      </c>
      <c r="BO315" s="28" t="n"/>
      <c r="BP315" s="25" t="n"/>
      <c r="BQ315" s="27" t="n"/>
      <c r="BR315" s="28" t="n"/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inlineStr">
        <is>
          <t>False</t>
        </is>
      </c>
    </row>
    <row r="316" ht="36" customHeight="1">
      <c r="A316" s="24" t="inlineStr">
        <is>
          <t>61ff584adf8e4aee</t>
        </is>
      </c>
      <c r="B316" s="24" t="inlineStr">
        <is>
          <t>2026-08-02T17:28:55.256054Z</t>
        </is>
      </c>
      <c r="C316" s="24" t="inlineStr">
        <is>
          <t>2026-08-02T17:37Z</t>
        </is>
      </c>
      <c r="D316" s="24" t="inlineStr">
        <is>
          <t>401816367</t>
        </is>
      </c>
      <c r="E316" s="24" t="inlineStr">
        <is>
          <t>MLB</t>
        </is>
      </c>
      <c r="F316" s="24" t="inlineStr">
        <is>
          <t>St. Louis Cardinals</t>
        </is>
      </c>
      <c r="G316" s="24" t="inlineStr">
        <is>
          <t>Toronto Blue Jays</t>
        </is>
      </c>
      <c r="H316" s="24" t="inlineStr">
        <is>
          <t>total</t>
        </is>
      </c>
      <c r="I316" s="24" t="inlineStr">
        <is>
          <t>over</t>
        </is>
      </c>
      <c r="J316" s="25" t="n">
        <v>8.5</v>
      </c>
      <c r="K316" s="24" t="inlineStr">
        <is>
          <t>polymarket_us</t>
        </is>
      </c>
      <c r="L316" s="26" t="n">
        <v>-106</v>
      </c>
      <c r="M316" s="27" t="n">
        <v>1.943396</v>
      </c>
      <c r="N316" s="28" t="n">
        <v>0.514563</v>
      </c>
      <c r="O316" s="28" t="n">
        <v>0.5447340000000001</v>
      </c>
      <c r="P316" s="28" t="n">
        <v>0.05172</v>
      </c>
      <c r="Q316" s="28" t="n">
        <v>0.030171</v>
      </c>
      <c r="R316" s="26" t="n">
        <v>35</v>
      </c>
      <c r="S316" s="29" t="n">
        <v>1</v>
      </c>
      <c r="T316" s="24" t="inlineStr">
        <is>
          <t>measured-edge-totals-v2</t>
        </is>
      </c>
      <c r="U316" s="24" t="inlineStr">
        <is>
          <t>open</t>
        </is>
      </c>
      <c r="V316" s="24" t="n"/>
      <c r="W316" s="26" t="n"/>
      <c r="X316" s="26" t="n"/>
      <c r="Y316" s="25" t="n"/>
      <c r="Z316" s="26" t="n"/>
      <c r="AA316" s="28" t="n"/>
      <c r="AB316" s="28" t="n"/>
      <c r="AC316" s="30" t="n"/>
      <c r="AD316" s="24" t="n"/>
      <c r="AE316" s="31" t="inlineStr">
        <is>
          <t>Measured Edge Totals: Trend Engine projected 5.24-4.85; raw selected-side p=0.6077, calibrated p=0.5447.</t>
        </is>
      </c>
      <c r="AF316" s="31" t="inlineStr">
        <is>
          <t>Research-only; lineup, bullpen, park, weather, xFIP, and wRC+ may be neutral fallbacks; market availability and BBO depth may change before first pitch.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model_qualified</t>
        </is>
      </c>
      <c r="AL316" s="26" t="n">
        <v>3</v>
      </c>
      <c r="AM316" s="24" t="inlineStr">
        <is>
          <t>QUALIFIED_SHADOW_CALL</t>
        </is>
      </c>
      <c r="AN316" s="24" t="inlineStr">
        <is>
          <t>CALL</t>
        </is>
      </c>
      <c r="AO316" s="24" t="inlineStr">
        <is>
          <t>QUALIFIED</t>
        </is>
      </c>
      <c r="AP316" s="24" t="inlineStr">
        <is>
          <t>mlb-stl</t>
        </is>
      </c>
      <c r="AQ316" s="24" t="inlineStr">
        <is>
          <t>St. Louis Cardinals</t>
        </is>
      </c>
      <c r="AR316" s="24" t="inlineStr">
        <is>
          <t>St. Louis Cardinals</t>
        </is>
      </c>
      <c r="AS316" s="24" t="inlineStr">
        <is>
          <t>mlb-tor</t>
        </is>
      </c>
      <c r="AT316" s="24" t="inlineStr">
        <is>
          <t>Toronto Blue Jays</t>
        </is>
      </c>
      <c r="AU316" s="24" t="inlineStr">
        <is>
          <t>Toronto Blue Jays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research</t>
        </is>
      </c>
      <c r="BA316" s="24" t="inlineStr">
        <is>
          <t>433578016242b27f9c1c7132cc6b5a2bcc7dd1b0234590c12a944455a88e71bd</t>
        </is>
      </c>
      <c r="BB316" s="24" t="inlineStr">
        <is>
          <t>flat_probability_shrinkage_toward_half</t>
        </is>
      </c>
      <c r="BC316" s="24" t="inlineStr">
        <is>
          <t>measured-edge-totals-v2</t>
        </is>
      </c>
      <c r="BD316" s="24" t="inlineStr">
        <is>
          <t>433578016242b27f9c1c7132cc6b5a2bcc7dd1b0234590c12a944455a88e71bd</t>
        </is>
      </c>
      <c r="BE316" s="24" t="inlineStr">
        <is>
          <t>v3</t>
        </is>
      </c>
      <c r="BF316" s="24" t="inlineStr">
        <is>
          <t>1</t>
        </is>
      </c>
      <c r="BG316" s="24" t="inlineStr">
        <is>
          <t>measured-edge-paired-v1</t>
        </is>
      </c>
      <c r="BH316" s="24" t="inlineStr">
        <is>
          <t>2026-08-02T17:28:55.256054Z</t>
        </is>
      </c>
      <c r="BI316" s="24" t="inlineStr">
        <is>
          <t>["same_event","same_team_same_day","same_league_same_day"]</t>
        </is>
      </c>
      <c r="BJ316" s="25" t="n">
        <v>8.5</v>
      </c>
      <c r="BK316" s="26" t="n">
        <v>-106</v>
      </c>
      <c r="BL316" s="27" t="n">
        <v>1.943396</v>
      </c>
      <c r="BM316" s="28" t="n">
        <v>0.514563</v>
      </c>
      <c r="BN316" s="28" t="n">
        <v>0.5124379999999999</v>
      </c>
      <c r="BO316" s="28" t="n"/>
      <c r="BP316" s="25" t="n"/>
      <c r="BQ316" s="27" t="n"/>
      <c r="BR316" s="28" t="n"/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inlineStr">
        <is>
          <t>True</t>
        </is>
      </c>
    </row>
    <row r="317" ht="36" customHeight="1">
      <c r="A317" s="24" t="inlineStr">
        <is>
          <t>1a5947e15dc34e52</t>
        </is>
      </c>
      <c r="B317" s="24" t="inlineStr">
        <is>
          <t>2026-08-02T17:39:31.703776Z</t>
        </is>
      </c>
      <c r="C317" s="24" t="inlineStr">
        <is>
          <t>2026-08-02T13:40:00-0400</t>
        </is>
      </c>
      <c r="D317" s="24" t="inlineStr">
        <is>
          <t>401816362</t>
        </is>
      </c>
      <c r="E317" s="24" t="inlineStr">
        <is>
          <t>MLB</t>
        </is>
      </c>
      <c r="F317" s="24" t="inlineStr">
        <is>
          <t>Arizona Diamondbacks</t>
        </is>
      </c>
      <c r="G317" s="24" t="inlineStr">
        <is>
          <t>Cleveland Guardians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-167</v>
      </c>
      <c r="M317" s="27" t="n">
        <v>1.598802</v>
      </c>
      <c r="N317" s="28" t="n">
        <v>0.625468</v>
      </c>
      <c r="O317" s="28" t="n">
        <v>0.541975</v>
      </c>
      <c r="P317" s="28" t="n"/>
      <c r="Q317" s="28" t="n">
        <v>-0.083493</v>
      </c>
      <c r="R317" s="26" t="n">
        <v>0</v>
      </c>
      <c r="S317" s="29" t="n">
        <v>1</v>
      </c>
      <c r="T317" s="24" t="inlineStr">
        <is>
          <t>mlb-elo-trend-lr-v7</t>
        </is>
      </c>
      <c r="U317" s="24" t="inlineStr">
        <is>
          <t>open</t>
        </is>
      </c>
      <c r="V317" s="24" t="n"/>
      <c r="W317" s="26" t="n"/>
      <c r="X317" s="26" t="n"/>
      <c r="Y317" s="25" t="n"/>
      <c r="Z317" s="26" t="n"/>
      <c r="AA317" s="28" t="n"/>
      <c r="AB317" s="28" t="n"/>
      <c r="AC317" s="30" t="n"/>
      <c r="AD317" s="24" t="n"/>
      <c r="AE317" s="31" t="inlineStr">
        <is>
          <t>Learned LR call at threshold 0.6242; executable ask 0.6250 (aec-mlb-az-cle-2026-08-02); model edge vs ask -0.0830.</t>
        </is>
      </c>
      <c r="AF317" s="31" t="inlineStr">
        <is>
          <t>Learned model; shadow-qualified via operator override.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model_qualified</t>
        </is>
      </c>
      <c r="AL317" s="26" t="n">
        <v>3</v>
      </c>
      <c r="AM317" s="24" t="inlineStr">
        <is>
          <t>QUALIFIED_SHADOW_CALL</t>
        </is>
      </c>
      <c r="AN317" s="24" t="inlineStr">
        <is>
          <t>CALL</t>
        </is>
      </c>
      <c r="AO317" s="24" t="inlineStr">
        <is>
          <t>QUALIFIED</t>
        </is>
      </c>
      <c r="AP317" s="24" t="inlineStr">
        <is>
          <t>mlb-ari</t>
        </is>
      </c>
      <c r="AQ317" s="24" t="inlineStr">
        <is>
          <t>Arizona Diamondbacks</t>
        </is>
      </c>
      <c r="AR317" s="24" t="inlineStr">
        <is>
          <t>Arizona Diamondbacks</t>
        </is>
      </c>
      <c r="AS317" s="24" t="inlineStr">
        <is>
          <t>mlb-cle</t>
        </is>
      </c>
      <c r="AT317" s="24" t="inlineStr">
        <is>
          <t>Cleveland Guardians</t>
        </is>
      </c>
      <c r="AU317" s="24" t="inlineStr">
        <is>
          <t>Cleveland Guardians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464eef695bfbbdaa819ec6f5e4c5bd1068ed20b92915fb2677220ae91e20d8b6</t>
        </is>
      </c>
      <c r="BB317" s="24" t="inlineStr">
        <is>
          <t>learned_lr</t>
        </is>
      </c>
      <c r="BC317" s="24" t="inlineStr">
        <is>
          <t>mlb-elo-trend-lr-v7</t>
        </is>
      </c>
      <c r="BD317" s="24" t="inlineStr">
        <is>
          <t>464eef695bfbbdaa819ec6f5e4c5bd1068ed20b92915fb2677220ae91e20d8b6</t>
        </is>
      </c>
      <c r="BE317" s="24" t="inlineStr">
        <is>
          <t>3abf364aadf2cd68</t>
        </is>
      </c>
      <c r="BF317" s="24" t="inlineStr">
        <is>
          <t>1</t>
        </is>
      </c>
      <c r="BG317" s="24" t="inlineStr">
        <is>
          <t>mlb-elo-trend-lr-v7</t>
        </is>
      </c>
      <c r="BH317" s="24" t="inlineStr">
        <is>
          <t>2026-08-02T17:38:04.655437Z</t>
        </is>
      </c>
      <c r="BI317" s="24" t="inlineStr">
        <is>
          <t>["same_event","same_team_same_day","same_league_same_day"]</t>
        </is>
      </c>
      <c r="BJ317" s="25" t="n"/>
      <c r="BK317" s="26" t="n">
        <v>-167</v>
      </c>
      <c r="BL317" s="27" t="n">
        <v>1.598802</v>
      </c>
      <c r="BM317" s="28" t="n">
        <v>0.625468</v>
      </c>
      <c r="BN317" s="28" t="n">
        <v>0.621891</v>
      </c>
      <c r="BO317" s="28" t="n"/>
      <c r="BP317" s="25" t="n"/>
      <c r="BQ317" s="27" t="n"/>
      <c r="BR317" s="28" t="n"/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inlineStr">
        <is>
          <t>0.5147263352</t>
        </is>
      </c>
      <c r="CD317" s="24" t="inlineStr">
        <is>
          <t>-1.620545</t>
        </is>
      </c>
      <c r="CE317" s="24" t="inlineStr">
        <is>
          <t>0.966</t>
        </is>
      </c>
      <c r="CF317" s="24" t="inlineStr">
        <is>
          <t>1.012</t>
        </is>
      </c>
      <c r="CG317" s="24" t="inlineStr">
        <is>
          <t>1.0</t>
        </is>
      </c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inlineStr">
        <is>
          <t>0.541975</t>
        </is>
      </c>
      <c r="CQ317" s="24" t="inlineStr">
        <is>
          <t>False</t>
        </is>
      </c>
    </row>
    <row r="318" ht="36" customHeight="1">
      <c r="A318" s="24" t="inlineStr">
        <is>
          <t>c40c23fc56004fd9</t>
        </is>
      </c>
      <c r="B318" s="24" t="inlineStr">
        <is>
          <t>2026-08-02T17:39:31.703776Z</t>
        </is>
      </c>
      <c r="C318" s="24" t="inlineStr">
        <is>
          <t>2026-08-02T13:40:00-0400</t>
        </is>
      </c>
      <c r="D318" s="24" t="inlineStr">
        <is>
          <t>401816363</t>
        </is>
      </c>
      <c r="E318" s="24" t="inlineStr">
        <is>
          <t>MLB</t>
        </is>
      </c>
      <c r="F318" s="24" t="inlineStr">
        <is>
          <t>Chicago White Sox</t>
        </is>
      </c>
      <c r="G318" s="24" t="inlineStr">
        <is>
          <t>Tampa Bay Rays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-138</v>
      </c>
      <c r="M318" s="27" t="n">
        <v>1.724638</v>
      </c>
      <c r="N318" s="28" t="n">
        <v>0.579832</v>
      </c>
      <c r="O318" s="28" t="n">
        <v>0.565508</v>
      </c>
      <c r="P318" s="28" t="n"/>
      <c r="Q318" s="28" t="n">
        <v>-0.014324</v>
      </c>
      <c r="R318" s="26" t="n">
        <v>14</v>
      </c>
      <c r="S318" s="29" t="n">
        <v>1</v>
      </c>
      <c r="T318" s="24" t="inlineStr">
        <is>
          <t>mlb-elo-trend-lr-v7</t>
        </is>
      </c>
      <c r="U318" s="24" t="inlineStr">
        <is>
          <t>open</t>
        </is>
      </c>
      <c r="V318" s="24" t="n"/>
      <c r="W318" s="26" t="n"/>
      <c r="X318" s="26" t="n"/>
      <c r="Y318" s="25" t="n"/>
      <c r="Z318" s="26" t="n"/>
      <c r="AA318" s="28" t="n"/>
      <c r="AB318" s="28" t="n"/>
      <c r="AC318" s="30" t="n"/>
      <c r="AD318" s="24" t="n"/>
      <c r="AE318" s="31" t="inlineStr">
        <is>
          <t>Learned LR call at threshold 0.6242; executable ask 0.5800 (aec-mlb-cws-tb-2026-08-02); model edge vs ask -0.0145.</t>
        </is>
      </c>
      <c r="AF318" s="31" t="inlineStr">
        <is>
          <t>Learned model; shadow-qualified via operator override.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model_qualified</t>
        </is>
      </c>
      <c r="AL318" s="26" t="n">
        <v>3</v>
      </c>
      <c r="AM318" s="24" t="inlineStr">
        <is>
          <t>QUALIFIED_SHADOW_CALL</t>
        </is>
      </c>
      <c r="AN318" s="24" t="inlineStr">
        <is>
          <t>CALL</t>
        </is>
      </c>
      <c r="AO318" s="24" t="inlineStr">
        <is>
          <t>QUALIFIED</t>
        </is>
      </c>
      <c r="AP318" s="24" t="inlineStr">
        <is>
          <t>mlb-cws</t>
        </is>
      </c>
      <c r="AQ318" s="24" t="inlineStr">
        <is>
          <t>Chicago White Sox</t>
        </is>
      </c>
      <c r="AR318" s="24" t="inlineStr">
        <is>
          <t>Chicago White Sox</t>
        </is>
      </c>
      <c r="AS318" s="24" t="inlineStr">
        <is>
          <t>mlb-tb</t>
        </is>
      </c>
      <c r="AT318" s="24" t="inlineStr">
        <is>
          <t>Tampa Bay Rays</t>
        </is>
      </c>
      <c r="AU318" s="24" t="inlineStr">
        <is>
          <t>Tampa Bay Rays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464eef695bfbbdaa819ec6f5e4c5bd1068ed20b92915fb2677220ae91e20d8b6</t>
        </is>
      </c>
      <c r="BB318" s="24" t="inlineStr">
        <is>
          <t>learned_lr</t>
        </is>
      </c>
      <c r="BC318" s="24" t="inlineStr">
        <is>
          <t>mlb-elo-trend-lr-v7</t>
        </is>
      </c>
      <c r="BD318" s="24" t="inlineStr">
        <is>
          <t>464eef695bfbbdaa819ec6f5e4c5bd1068ed20b92915fb2677220ae91e20d8b6</t>
        </is>
      </c>
      <c r="BE318" s="24" t="inlineStr">
        <is>
          <t>adafae297aed5d6c</t>
        </is>
      </c>
      <c r="BF318" s="24" t="inlineStr">
        <is>
          <t>1</t>
        </is>
      </c>
      <c r="BG318" s="24" t="inlineStr">
        <is>
          <t>mlb-elo-trend-lr-v7</t>
        </is>
      </c>
      <c r="BH318" s="24" t="inlineStr">
        <is>
          <t>2026-08-02T17:38:07.328919Z</t>
        </is>
      </c>
      <c r="BI318" s="24" t="inlineStr">
        <is>
          <t>["same_event","same_team_same_day","same_league_same_day"]</t>
        </is>
      </c>
      <c r="BJ318" s="25" t="n"/>
      <c r="BK318" s="26" t="n">
        <v>-138</v>
      </c>
      <c r="BL318" s="27" t="n">
        <v>1.724638</v>
      </c>
      <c r="BM318" s="28" t="n">
        <v>0.579832</v>
      </c>
      <c r="BN318" s="28" t="n">
        <v>0.577114</v>
      </c>
      <c r="BO318" s="28" t="n"/>
      <c r="BP318" s="25" t="n"/>
      <c r="BQ318" s="27" t="n"/>
      <c r="BR318" s="28" t="n"/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inlineStr">
        <is>
          <t>0.5503982216</t>
        </is>
      </c>
      <c r="CD318" s="24" t="inlineStr">
        <is>
          <t>-0.597101</t>
        </is>
      </c>
      <c r="CE318" s="24" t="inlineStr">
        <is>
          <t>0.965</t>
        </is>
      </c>
      <c r="CF318" s="24" t="inlineStr">
        <is>
          <t>1.0</t>
        </is>
      </c>
      <c r="CG318" s="24" t="inlineStr">
        <is>
          <t>0.2</t>
        </is>
      </c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inlineStr">
        <is>
          <t>0.565508</t>
        </is>
      </c>
      <c r="CQ318" s="24" t="inlineStr">
        <is>
          <t>False</t>
        </is>
      </c>
    </row>
    <row r="319" ht="36" customHeight="1">
      <c r="A319" s="24" t="inlineStr">
        <is>
          <t>5f844f505785403d</t>
        </is>
      </c>
      <c r="B319" s="24" t="inlineStr">
        <is>
          <t>2026-08-02T17:39:31.703776Z</t>
        </is>
      </c>
      <c r="C319" s="24" t="inlineStr">
        <is>
          <t>2026-08-02T13:40:00-0400</t>
        </is>
      </c>
      <c r="D319" s="24" t="inlineStr">
        <is>
          <t>401816364</t>
        </is>
      </c>
      <c r="E319" s="24" t="inlineStr">
        <is>
          <t>MLB</t>
        </is>
      </c>
      <c r="F319" s="24" t="inlineStr">
        <is>
          <t>Miami Marlins</t>
        </is>
      </c>
      <c r="G319" s="24" t="inlineStr">
        <is>
          <t>New York Mets</t>
        </is>
      </c>
      <c r="H319" s="24" t="inlineStr">
        <is>
          <t>moneyline</t>
        </is>
      </c>
      <c r="I319" s="24" t="inlineStr">
        <is>
          <t>home</t>
        </is>
      </c>
      <c r="J319" s="25" t="n"/>
      <c r="K319" s="24" t="inlineStr">
        <is>
          <t>polymarket_us</t>
        </is>
      </c>
      <c r="L319" s="26" t="n">
        <v>111</v>
      </c>
      <c r="M319" s="27" t="n">
        <v>2.11</v>
      </c>
      <c r="N319" s="28" t="n">
        <v>0.473934</v>
      </c>
      <c r="O319" s="28" t="n">
        <v>0.519289</v>
      </c>
      <c r="P319" s="28" t="n"/>
      <c r="Q319" s="28" t="n">
        <v>0.045355</v>
      </c>
      <c r="R319" s="26" t="n">
        <v>43</v>
      </c>
      <c r="S319" s="29" t="n">
        <v>1</v>
      </c>
      <c r="T319" s="24" t="inlineStr">
        <is>
          <t>mlb-elo-trend-lr-v7</t>
        </is>
      </c>
      <c r="U319" s="24" t="inlineStr">
        <is>
          <t>open</t>
        </is>
      </c>
      <c r="V319" s="24" t="n"/>
      <c r="W319" s="26" t="n"/>
      <c r="X319" s="26" t="n"/>
      <c r="Y319" s="25" t="n"/>
      <c r="Z319" s="26" t="n"/>
      <c r="AA319" s="28" t="n"/>
      <c r="AB319" s="28" t="n"/>
      <c r="AC319" s="30" t="n"/>
      <c r="AD319" s="24" t="n"/>
      <c r="AE319" s="31" t="inlineStr">
        <is>
          <t>Learned LR call at threshold 0.6242; executable ask 0.4750 (aec-mlb-mia-nym-2026-08-02); model edge vs ask +0.0443.</t>
        </is>
      </c>
      <c r="AF319" s="31" t="inlineStr">
        <is>
          <t>Learned model; shadow-qualified via operator override.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model_qualified</t>
        </is>
      </c>
      <c r="AL319" s="26" t="n">
        <v>3</v>
      </c>
      <c r="AM319" s="24" t="inlineStr">
        <is>
          <t>QUALIFIED_SHADOW_CALL</t>
        </is>
      </c>
      <c r="AN319" s="24" t="inlineStr">
        <is>
          <t>CALL</t>
        </is>
      </c>
      <c r="AO319" s="24" t="inlineStr">
        <is>
          <t>QUALIFIED</t>
        </is>
      </c>
      <c r="AP319" s="24" t="inlineStr">
        <is>
          <t>mlb-mia</t>
        </is>
      </c>
      <c r="AQ319" s="24" t="inlineStr">
        <is>
          <t>Miami Marlins</t>
        </is>
      </c>
      <c r="AR319" s="24" t="inlineStr">
        <is>
          <t>Miami Marlins</t>
        </is>
      </c>
      <c r="AS319" s="24" t="inlineStr">
        <is>
          <t>mlb-nym</t>
        </is>
      </c>
      <c r="AT319" s="24" t="inlineStr">
        <is>
          <t>New York Mets</t>
        </is>
      </c>
      <c r="AU319" s="24" t="inlineStr">
        <is>
          <t>New York Mets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464eef695bfbbdaa819ec6f5e4c5bd1068ed20b92915fb2677220ae91e20d8b6</t>
        </is>
      </c>
      <c r="BB319" s="24" t="inlineStr">
        <is>
          <t>learned_lr</t>
        </is>
      </c>
      <c r="BC319" s="24" t="inlineStr">
        <is>
          <t>mlb-elo-trend-lr-v7</t>
        </is>
      </c>
      <c r="BD319" s="24" t="inlineStr">
        <is>
          <t>464eef695bfbbdaa819ec6f5e4c5bd1068ed20b92915fb2677220ae91e20d8b6</t>
        </is>
      </c>
      <c r="BE319" s="24" t="inlineStr">
        <is>
          <t>4f285de198a5830f</t>
        </is>
      </c>
      <c r="BF319" s="24" t="inlineStr">
        <is>
          <t>1</t>
        </is>
      </c>
      <c r="BG319" s="24" t="inlineStr">
        <is>
          <t>mlb-elo-trend-lr-v7</t>
        </is>
      </c>
      <c r="BH319" s="24" t="inlineStr">
        <is>
          <t>2026-08-02T17:38:06.224274Z</t>
        </is>
      </c>
      <c r="BI319" s="24" t="inlineStr">
        <is>
          <t>["same_event","same_team_same_day","same_league_same_day"]</t>
        </is>
      </c>
      <c r="BJ319" s="25" t="n"/>
      <c r="BK319" s="26" t="n">
        <v>111</v>
      </c>
      <c r="BL319" s="27" t="n">
        <v>2.11</v>
      </c>
      <c r="BM319" s="28" t="n">
        <v>0.473934</v>
      </c>
      <c r="BN319" s="28" t="n">
        <v>0.472637</v>
      </c>
      <c r="BO319" s="28" t="n"/>
      <c r="BP319" s="25" t="n"/>
      <c r="BQ319" s="27" t="n"/>
      <c r="BR319" s="28" t="n"/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inlineStr">
        <is>
          <t>0.4938777222</t>
        </is>
      </c>
      <c r="CD319" s="24" t="inlineStr">
        <is>
          <t>-0.998113</t>
        </is>
      </c>
      <c r="CE319" s="24" t="inlineStr">
        <is>
          <t>0.978</t>
        </is>
      </c>
      <c r="CF319" s="24" t="inlineStr">
        <is>
          <t>1.0209</t>
        </is>
      </c>
      <c r="CG319" s="24" t="inlineStr">
        <is>
          <t>0.4</t>
        </is>
      </c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inlineStr">
        <is>
          <t>0.519289</t>
        </is>
      </c>
      <c r="CQ319" s="24" t="inlineStr">
        <is>
          <t>True</t>
        </is>
      </c>
    </row>
    <row r="320" ht="36" customHeight="1">
      <c r="A320" s="24" t="inlineStr">
        <is>
          <t>f188688d85494d56</t>
        </is>
      </c>
      <c r="B320" s="24" t="inlineStr">
        <is>
          <t>2026-08-02T17:39:31.703776Z</t>
        </is>
      </c>
      <c r="C320" s="24" t="inlineStr">
        <is>
          <t>2026-08-02T13:40:00-0400</t>
        </is>
      </c>
      <c r="D320" s="24" t="inlineStr">
        <is>
          <t>401816366</t>
        </is>
      </c>
      <c r="E320" s="24" t="inlineStr">
        <is>
          <t>MLB</t>
        </is>
      </c>
      <c r="F320" s="24" t="inlineStr">
        <is>
          <t>Pittsburgh Pirates</t>
        </is>
      </c>
      <c r="G320" s="24" t="inlineStr">
        <is>
          <t>Cincinnati Reds</t>
        </is>
      </c>
      <c r="H320" s="24" t="inlineStr">
        <is>
          <t>moneyline</t>
        </is>
      </c>
      <c r="I320" s="24" t="inlineStr">
        <is>
          <t>away</t>
        </is>
      </c>
      <c r="J320" s="25" t="n"/>
      <c r="K320" s="24" t="inlineStr">
        <is>
          <t>polymarket_us</t>
        </is>
      </c>
      <c r="L320" s="26" t="n">
        <v>127</v>
      </c>
      <c r="M320" s="27" t="n">
        <v>2.27</v>
      </c>
      <c r="N320" s="28" t="n">
        <v>0.440529</v>
      </c>
      <c r="O320" s="28" t="n">
        <v>0.518519</v>
      </c>
      <c r="P320" s="28" t="n"/>
      <c r="Q320" s="28" t="n">
        <v>0.07799</v>
      </c>
      <c r="R320" s="26" t="n">
        <v>60</v>
      </c>
      <c r="S320" s="29" t="n">
        <v>1</v>
      </c>
      <c r="T320" s="24" t="inlineStr">
        <is>
          <t>mlb-elo-trend-lr-v7</t>
        </is>
      </c>
      <c r="U320" s="24" t="inlineStr">
        <is>
          <t>open</t>
        </is>
      </c>
      <c r="V320" s="24" t="n"/>
      <c r="W320" s="26" t="n"/>
      <c r="X320" s="26" t="n"/>
      <c r="Y320" s="25" t="n"/>
      <c r="Z320" s="26" t="n"/>
      <c r="AA320" s="28" t="n"/>
      <c r="AB320" s="28" t="n"/>
      <c r="AC320" s="30" t="n"/>
      <c r="AD320" s="24" t="n"/>
      <c r="AE320" s="31" t="inlineStr">
        <is>
          <t>Learned LR call at threshold 0.6242; executable ask 0.4400 (aec-mlb-pit-cin-2026-08-02); model edge vs ask +0.0785.</t>
        </is>
      </c>
      <c r="AF320" s="31" t="inlineStr">
        <is>
          <t>Learned model; shadow-qualified via operator override.</t>
        </is>
      </c>
      <c r="AG320" s="24" t="inlineStr">
        <is>
          <t>not_applicable</t>
        </is>
      </c>
      <c r="AH320" s="24" t="n"/>
      <c r="AI320" s="31" t="n"/>
      <c r="AJ320" s="31" t="n"/>
      <c r="AK320" s="24" t="inlineStr">
        <is>
          <t>model_qualified</t>
        </is>
      </c>
      <c r="AL320" s="26" t="n">
        <v>3</v>
      </c>
      <c r="AM320" s="24" t="inlineStr">
        <is>
          <t>QUALIFIED_SHADOW_CALL</t>
        </is>
      </c>
      <c r="AN320" s="24" t="inlineStr">
        <is>
          <t>CALL</t>
        </is>
      </c>
      <c r="AO320" s="24" t="inlineStr">
        <is>
          <t>QUALIFIED</t>
        </is>
      </c>
      <c r="AP320" s="24" t="inlineStr">
        <is>
          <t>mlb-pit</t>
        </is>
      </c>
      <c r="AQ320" s="24" t="inlineStr">
        <is>
          <t>Pittsburgh Pirates</t>
        </is>
      </c>
      <c r="AR320" s="24" t="inlineStr">
        <is>
          <t>Pittsburgh Pirates</t>
        </is>
      </c>
      <c r="AS320" s="24" t="inlineStr">
        <is>
          <t>mlb-cin</t>
        </is>
      </c>
      <c r="AT320" s="24" t="inlineStr">
        <is>
          <t>Cincinnati Reds</t>
        </is>
      </c>
      <c r="AU320" s="24" t="inlineStr">
        <is>
          <t>Cincinnati Reds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464eef695bfbbdaa819ec6f5e4c5bd1068ed20b92915fb2677220ae91e20d8b6</t>
        </is>
      </c>
      <c r="BB320" s="24" t="inlineStr">
        <is>
          <t>learned_lr</t>
        </is>
      </c>
      <c r="BC320" s="24" t="inlineStr">
        <is>
          <t>mlb-elo-trend-lr-v7</t>
        </is>
      </c>
      <c r="BD320" s="24" t="inlineStr">
        <is>
          <t>464eef695bfbbdaa819ec6f5e4c5bd1068ed20b92915fb2677220ae91e20d8b6</t>
        </is>
      </c>
      <c r="BE320" s="24" t="inlineStr">
        <is>
          <t>2316e9a0ae11b344</t>
        </is>
      </c>
      <c r="BF320" s="24" t="inlineStr">
        <is>
          <t>1</t>
        </is>
      </c>
      <c r="BG320" s="24" t="inlineStr">
        <is>
          <t>mlb-elo-trend-lr-v7</t>
        </is>
      </c>
      <c r="BH320" s="24" t="inlineStr">
        <is>
          <t>2026-08-02T17:38:05.375042Z</t>
        </is>
      </c>
      <c r="BI320" s="24" t="inlineStr">
        <is>
          <t>["same_event","same_team_same_day","same_league_same_day"]</t>
        </is>
      </c>
      <c r="BJ320" s="25" t="n"/>
      <c r="BK320" s="26" t="n">
        <v>127</v>
      </c>
      <c r="BL320" s="27" t="n">
        <v>2.27</v>
      </c>
      <c r="BM320" s="28" t="n">
        <v>0.440529</v>
      </c>
      <c r="BN320" s="28" t="n">
        <v>0.437811</v>
      </c>
      <c r="BO320" s="28" t="n"/>
      <c r="BP320" s="25" t="n"/>
      <c r="BQ320" s="27" t="n"/>
      <c r="BR320" s="28" t="n"/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inlineStr">
        <is>
          <t>0.4891381657</t>
        </is>
      </c>
      <c r="CD320" s="24" t="inlineStr">
        <is>
          <t>0.471311</t>
        </is>
      </c>
      <c r="CE320" s="24" t="inlineStr">
        <is>
          <t>1.036</t>
        </is>
      </c>
      <c r="CF320" s="24" t="inlineStr">
        <is>
          <t>1.0043</t>
        </is>
      </c>
      <c r="CG320" s="24" t="inlineStr">
        <is>
          <t>-0.8</t>
        </is>
      </c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inlineStr">
        <is>
          <t>0.518519</t>
        </is>
      </c>
      <c r="CQ320" s="24" t="inlineStr">
        <is>
          <t>True</t>
        </is>
      </c>
    </row>
    <row r="321" ht="36" customHeight="1">
      <c r="A321" s="24" t="inlineStr">
        <is>
          <t>1e0043463788429d</t>
        </is>
      </c>
      <c r="B321" s="24" t="inlineStr">
        <is>
          <t>2026-08-02T17:48:21.189263Z</t>
        </is>
      </c>
      <c r="C321" s="24" t="inlineStr">
        <is>
          <t>2026-08-02T18:00Z</t>
        </is>
      </c>
      <c r="D321" s="24" t="inlineStr">
        <is>
          <t>401844015</t>
        </is>
      </c>
      <c r="E321" s="24" t="inlineStr">
        <is>
          <t>SOCCER</t>
        </is>
      </c>
      <c r="F321" s="24" t="inlineStr">
        <is>
          <t>Agropecuario</t>
        </is>
      </c>
      <c r="G321" s="24" t="inlineStr">
        <is>
          <t>Chacarita Juniors</t>
        </is>
      </c>
      <c r="H321" s="24" t="inlineStr">
        <is>
          <t>moneyline</t>
        </is>
      </c>
      <c r="I321" s="24" t="inlineStr">
        <is>
          <t>home</t>
        </is>
      </c>
      <c r="J321" s="25" t="n"/>
      <c r="K321" s="24" t="inlineStr">
        <is>
          <t>polymarket_us</t>
        </is>
      </c>
      <c r="L321" s="26" t="n">
        <v>122</v>
      </c>
      <c r="M321" s="27" t="n">
        <v>2.22</v>
      </c>
      <c r="N321" s="28" t="n">
        <v>0.45045</v>
      </c>
      <c r="O321" s="28" t="n">
        <v>0.456135</v>
      </c>
      <c r="P321" s="28" t="n">
        <v>0.2</v>
      </c>
      <c r="Q321" s="28" t="n">
        <v>0.005685</v>
      </c>
      <c r="R321" s="26" t="n">
        <v>0</v>
      </c>
      <c r="S321" s="29" t="n">
        <v>1</v>
      </c>
      <c r="T321" s="24" t="inlineStr">
        <is>
          <t>soccer-poisson-dc-v1</t>
        </is>
      </c>
      <c r="U321" s="24" t="inlineStr">
        <is>
          <t>open</t>
        </is>
      </c>
      <c r="V321" s="24" t="n"/>
      <c r="W321" s="26" t="n"/>
      <c r="X321" s="26" t="n"/>
      <c r="Y321" s="25" t="n"/>
      <c r="Z321" s="26" t="n"/>
      <c r="AA321" s="28" t="n"/>
      <c r="AB321" s="28" t="n"/>
      <c r="AC321" s="30" t="n"/>
      <c r="AD321" s="24" t="n"/>
      <c r="AE321" s="31" t="inlineStr">
        <is>
          <t>Poisson-DC rates 1.64 (home) / 1.24 (away) from EWMA attack/defense strengths. Executable ask 0.4500 (atc-arg2-cjh-caa-2026-08-01-cjh).</t>
        </is>
      </c>
      <c r="AF321" s="31" t="inlineStr">
        <is>
          <t>Research-only soccer score model; draw-aware, but not yet locked-holdout qualified.</t>
        </is>
      </c>
      <c r="AG321" s="24" t="inlineStr">
        <is>
          <t>not_applicable</t>
        </is>
      </c>
      <c r="AH321" s="24" t="n"/>
      <c r="AI321" s="31" t="n"/>
      <c r="AJ321" s="31" t="n"/>
      <c r="AK321" s="24" t="inlineStr">
        <is>
          <t>research_observation</t>
        </is>
      </c>
      <c r="AL321" s="26" t="n">
        <v>3</v>
      </c>
      <c r="AM321" s="24" t="inlineStr">
        <is>
          <t>RESEARCH_OBSERVATION</t>
        </is>
      </c>
      <c r="AN321" s="24" t="inlineStr">
        <is>
          <t>NO_CALL</t>
        </is>
      </c>
      <c r="AO321" s="24" t="inlineStr">
        <is>
          <t>NO_CALL_LOW_EDGE</t>
        </is>
      </c>
      <c r="AP321" s="24" t="inlineStr">
        <is>
          <t>Agropecuario</t>
        </is>
      </c>
      <c r="AQ321" s="24" t="inlineStr">
        <is>
          <t>Agropecuario</t>
        </is>
      </c>
      <c r="AR321" s="24" t="inlineStr">
        <is>
          <t>Agropecuario</t>
        </is>
      </c>
      <c r="AS321" s="24" t="inlineStr">
        <is>
          <t>Chacarita Juniors</t>
        </is>
      </c>
      <c r="AT321" s="24" t="inlineStr">
        <is>
          <t>Chacarita Juniors</t>
        </is>
      </c>
      <c r="AU321" s="24" t="inlineStr">
        <is>
          <t>Chacarita Juniors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34d1568aad0ff11b5db35f118324684f93281e1c21fa7b80be7a4a4e2cb4bb03</t>
        </is>
      </c>
      <c r="BB321" s="24" t="inlineStr">
        <is>
          <t>poisson_dixon_coles</t>
        </is>
      </c>
      <c r="BC321" s="24" t="inlineStr">
        <is>
          <t>soccer-poisson-dc-v1</t>
        </is>
      </c>
      <c r="BD321" s="24" t="inlineStr">
        <is>
          <t>34d1568aad0ff11b5db35f118324684f93281e1c21fa7b80be7a4a4e2cb4bb03</t>
        </is>
      </c>
      <c r="BE321" s="24" t="inlineStr">
        <is>
          <t>soccer-poisson-dc-v1</t>
        </is>
      </c>
      <c r="BF321" s="24" t="inlineStr">
        <is>
          <t>1</t>
        </is>
      </c>
      <c r="BG321" s="24" t="inlineStr">
        <is>
          <t>34d1568aad0ff11b5db35f118324684f93281e1c21fa7b80be7a4a4e2cb4bb03</t>
        </is>
      </c>
      <c r="BH321" s="24" t="inlineStr">
        <is>
          <t>2026-08-02T17:45:16.180196Z</t>
        </is>
      </c>
      <c r="BI321" s="24" t="inlineStr">
        <is>
          <t>["same_event","same_team_same_day","same_league_same_day"]</t>
        </is>
      </c>
      <c r="BJ321" s="25" t="n"/>
      <c r="BK321" s="26" t="n">
        <v>122</v>
      </c>
      <c r="BL321" s="27" t="n">
        <v>2.22</v>
      </c>
      <c r="BM321" s="28" t="n">
        <v>0.45045</v>
      </c>
      <c r="BN321" s="28" t="n"/>
      <c r="BO321" s="28" t="n"/>
      <c r="BP321" s="25" t="n"/>
      <c r="BQ321" s="27" t="n"/>
      <c r="BR321" s="28" t="n"/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inlineStr">
        <is>
          <t>True</t>
        </is>
      </c>
    </row>
    <row r="322" ht="36" customHeight="1">
      <c r="A322" s="24" t="inlineStr">
        <is>
          <t>9235e0cc61a74b68</t>
        </is>
      </c>
      <c r="B322" s="24" t="inlineStr">
        <is>
          <t>2026-08-02T17:48:21.189263Z</t>
        </is>
      </c>
      <c r="C322" s="24" t="inlineStr">
        <is>
          <t>2026-08-02T18:00Z</t>
        </is>
      </c>
      <c r="D322" s="24" t="inlineStr">
        <is>
          <t>401844019</t>
        </is>
      </c>
      <c r="E322" s="24" t="inlineStr">
        <is>
          <t>SOCCER</t>
        </is>
      </c>
      <c r="F322" s="24" t="inlineStr">
        <is>
          <t>San Miguel</t>
        </is>
      </c>
      <c r="G322" s="24" t="inlineStr">
        <is>
          <t>San Telmo</t>
        </is>
      </c>
      <c r="H322" s="24" t="inlineStr">
        <is>
          <t>moneyline</t>
        </is>
      </c>
      <c r="I322" s="24" t="inlineStr">
        <is>
          <t>home</t>
        </is>
      </c>
      <c r="J322" s="25" t="n"/>
      <c r="K322" s="24" t="inlineStr">
        <is>
          <t>polymarket_us</t>
        </is>
      </c>
      <c r="L322" s="26" t="n">
        <v>178</v>
      </c>
      <c r="M322" s="27" t="n">
        <v>2.78</v>
      </c>
      <c r="N322" s="28" t="n">
        <v>0.359712</v>
      </c>
      <c r="O322" s="28" t="n">
        <v>0.456135</v>
      </c>
      <c r="P322" s="28" t="n">
        <v>0.2</v>
      </c>
      <c r="Q322" s="28" t="n">
        <v>0.09642299999999999</v>
      </c>
      <c r="R322" s="26" t="n">
        <v>0</v>
      </c>
      <c r="S322" s="29" t="n">
        <v>1</v>
      </c>
      <c r="T322" s="24" t="inlineStr">
        <is>
          <t>soccer-poisson-dc-v1</t>
        </is>
      </c>
      <c r="U322" s="24" t="inlineStr">
        <is>
          <t>open</t>
        </is>
      </c>
      <c r="V322" s="24" t="n"/>
      <c r="W322" s="26" t="n"/>
      <c r="X322" s="26" t="n"/>
      <c r="Y322" s="25" t="n"/>
      <c r="Z322" s="26" t="n"/>
      <c r="AA322" s="28" t="n"/>
      <c r="AB322" s="28" t="n"/>
      <c r="AC322" s="30" t="n"/>
      <c r="AD322" s="24" t="n"/>
      <c r="AE322" s="31" t="inlineStr">
        <is>
          <t>Poisson-DC rates 1.64 (home) / 1.24 (away) from EWMA attack/defense strengths. Executable ask 0.3600 (atc-arg2-ste-casm-2026-08-02-ste).</t>
        </is>
      </c>
      <c r="AF322" s="31" t="inlineStr">
        <is>
          <t>Research-only soccer score model; draw-aware, but not yet locked-holdout qualified.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model_qualified</t>
        </is>
      </c>
      <c r="AL322" s="26" t="n">
        <v>3</v>
      </c>
      <c r="AM322" s="24" t="inlineStr">
        <is>
          <t>QUALIFIED_SHADOW_CALL</t>
        </is>
      </c>
      <c r="AN322" s="24" t="inlineStr">
        <is>
          <t>CALL</t>
        </is>
      </c>
      <c r="AO322" s="24" t="inlineStr">
        <is>
          <t>QUALIFIED</t>
        </is>
      </c>
      <c r="AP322" s="24" t="inlineStr">
        <is>
          <t>San Miguel</t>
        </is>
      </c>
      <c r="AQ322" s="24" t="inlineStr">
        <is>
          <t>San Miguel</t>
        </is>
      </c>
      <c r="AR322" s="24" t="inlineStr">
        <is>
          <t>San Miguel</t>
        </is>
      </c>
      <c r="AS322" s="24" t="inlineStr">
        <is>
          <t>San Telmo</t>
        </is>
      </c>
      <c r="AT322" s="24" t="inlineStr">
        <is>
          <t>San Telmo</t>
        </is>
      </c>
      <c r="AU322" s="24" t="inlineStr">
        <is>
          <t>San Telmo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34d1568aad0ff11b5db35f118324684f93281e1c21fa7b80be7a4a4e2cb4bb03</t>
        </is>
      </c>
      <c r="BB322" s="24" t="inlineStr">
        <is>
          <t>poisson_dixon_coles</t>
        </is>
      </c>
      <c r="BC322" s="24" t="inlineStr">
        <is>
          <t>soccer-poisson-dc-v1</t>
        </is>
      </c>
      <c r="BD322" s="24" t="inlineStr">
        <is>
          <t>34d1568aad0ff11b5db35f118324684f93281e1c21fa7b80be7a4a4e2cb4bb03</t>
        </is>
      </c>
      <c r="BE322" s="24" t="inlineStr">
        <is>
          <t>soccer-poisson-dc-v1</t>
        </is>
      </c>
      <c r="BF322" s="24" t="inlineStr">
        <is>
          <t>1</t>
        </is>
      </c>
      <c r="BG322" s="24" t="inlineStr">
        <is>
          <t>34d1568aad0ff11b5db35f118324684f93281e1c21fa7b80be7a4a4e2cb4bb03</t>
        </is>
      </c>
      <c r="BH322" s="24" t="inlineStr">
        <is>
          <t>2026-08-02T17:45:16.767102Z</t>
        </is>
      </c>
      <c r="BI322" s="24" t="inlineStr">
        <is>
          <t>["same_event","same_team_same_day","same_league_same_day"]</t>
        </is>
      </c>
      <c r="BJ322" s="25" t="n"/>
      <c r="BK322" s="26" t="n">
        <v>178</v>
      </c>
      <c r="BL322" s="27" t="n">
        <v>2.78</v>
      </c>
      <c r="BM322" s="28" t="n">
        <v>0.359712</v>
      </c>
      <c r="BN322" s="28" t="n"/>
      <c r="BO322" s="28" t="n"/>
      <c r="BP322" s="25" t="n"/>
      <c r="BQ322" s="27" t="n"/>
      <c r="BR322" s="28" t="n"/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inlineStr">
        <is>
          <t>True</t>
        </is>
      </c>
    </row>
    <row r="323" ht="36" customHeight="1">
      <c r="A323" s="24" t="inlineStr">
        <is>
          <t>30c191f8e60e44c2</t>
        </is>
      </c>
      <c r="B323" s="24" t="inlineStr">
        <is>
          <t>2026-08-02T18:08:55.998248Z</t>
        </is>
      </c>
      <c r="C323" s="24" t="inlineStr">
        <is>
          <t>2026-08-02T19:15:00Z</t>
        </is>
      </c>
      <c r="D323" s="24" t="inlineStr">
        <is>
          <t>67577</t>
        </is>
      </c>
      <c r="E323" s="24" t="inlineStr">
        <is>
          <t>CS2</t>
        </is>
      </c>
      <c r="F323" s="24" t="inlineStr">
        <is>
          <t>SNAILKICK Club</t>
        </is>
      </c>
      <c r="G323" s="24" t="inlineStr">
        <is>
          <t>Lixxx Club</t>
        </is>
      </c>
      <c r="H323" s="24" t="inlineStr">
        <is>
          <t>moneyline</t>
        </is>
      </c>
      <c r="I323" s="24" t="inlineStr">
        <is>
          <t>home</t>
        </is>
      </c>
      <c r="J323" s="25" t="n"/>
      <c r="K323" s="24" t="inlineStr">
        <is>
          <t>polymarket_us</t>
        </is>
      </c>
      <c r="L323" s="26" t="n">
        <v>-156</v>
      </c>
      <c r="M323" s="27" t="n">
        <v>1.641026</v>
      </c>
      <c r="N323" s="28" t="n">
        <v>0.609375</v>
      </c>
      <c r="O323" s="28" t="n">
        <v>0.526938</v>
      </c>
      <c r="P323" s="28" t="n"/>
      <c r="Q323" s="28" t="n">
        <v>-0.082437</v>
      </c>
      <c r="R323" s="26" t="n">
        <v>0</v>
      </c>
      <c r="S323" s="29" t="n">
        <v>1</v>
      </c>
      <c r="T323" s="24" t="inlineStr">
        <is>
          <t>cs2-tiered-elo-v5</t>
        </is>
      </c>
      <c r="U323" s="24" t="inlineStr">
        <is>
          <t>open</t>
        </is>
      </c>
      <c r="V323" s="24" t="n"/>
      <c r="W323" s="26" t="n"/>
      <c r="X323" s="26" t="n"/>
      <c r="Y323" s="25" t="n"/>
      <c r="Z323" s="26" t="n"/>
      <c r="AA323" s="28" t="n"/>
      <c r="AB323" s="28" t="n"/>
      <c r="AC323" s="30" t="n"/>
      <c r="AD323" s="24" t="n"/>
      <c r="AE323" s="31" t="inlineStr">
        <is>
          <t>Neutral Elo baseline; executable ask 0.6100 (market_slug=aec-cs2-lci-scn-2026-08-02).</t>
        </is>
      </c>
      <c r="AF323" s="31" t="inlineStr">
        <is>
          <t>Config-promoted esports baseline; gates enforced at log time.</t>
        </is>
      </c>
      <c r="AG323" s="24" t="inlineStr">
        <is>
          <t>not_applicable</t>
        </is>
      </c>
      <c r="AH323" s="24" t="n"/>
      <c r="AI323" s="31" t="n"/>
      <c r="AJ323" s="31" t="n"/>
      <c r="AK323" s="24" t="inlineStr">
        <is>
          <t>research_observation</t>
        </is>
      </c>
      <c r="AL323" s="26" t="n">
        <v>3</v>
      </c>
      <c r="AM323" s="24" t="inlineStr">
        <is>
          <t>RESEARCH_OBSERVATION</t>
        </is>
      </c>
      <c r="AN323" s="24" t="inlineStr">
        <is>
          <t>NO_CALL</t>
        </is>
      </c>
      <c r="AO323" s="24" t="inlineStr">
        <is>
          <t>NO_CALL_MODEL_UNVALIDATED</t>
        </is>
      </c>
      <c r="AP323" s="24" t="inlineStr">
        <is>
          <t>SNAILKICK Club</t>
        </is>
      </c>
      <c r="AQ323" s="24" t="inlineStr">
        <is>
          <t>SNAILKICK Club</t>
        </is>
      </c>
      <c r="AR323" s="24" t="inlineStr">
        <is>
          <t>SNAILKICK Club</t>
        </is>
      </c>
      <c r="AS323" s="24" t="inlineStr">
        <is>
          <t>Lixxx Club</t>
        </is>
      </c>
      <c r="AT323" s="24" t="inlineStr">
        <is>
          <t>Lixxx Club</t>
        </is>
      </c>
      <c r="AU323" s="24" t="inlineStr">
        <is>
          <t>Lixxx Club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d5fa90971ced522e0070399e9eeaba0b323d1e6ef1030b6470d86e8cb482d801</t>
        </is>
      </c>
      <c r="BB323" s="24" t="inlineStr">
        <is>
          <t>neutral_elo</t>
        </is>
      </c>
      <c r="BC323" s="24" t="inlineStr">
        <is>
          <t>cs2-tiered-elo-v5</t>
        </is>
      </c>
      <c r="BD323" s="24" t="inlineStr">
        <is>
          <t>d5fa90971ced522e0070399e9eeaba0b323d1e6ef1030b6470d86e8cb482d801</t>
        </is>
      </c>
      <c r="BE323" s="24" t="inlineStr">
        <is>
          <t>1</t>
        </is>
      </c>
      <c r="BF323" s="24" t="inlineStr">
        <is>
          <t>1</t>
        </is>
      </c>
      <c r="BG323" s="24" t="inlineStr">
        <is>
          <t>cs2-tiered-elo-v5</t>
        </is>
      </c>
      <c r="BH323" s="24" t="inlineStr">
        <is>
          <t>2026-08-02T18:08:43.920209Z</t>
        </is>
      </c>
      <c r="BI323" s="24" t="inlineStr">
        <is>
          <t>["same_event","same_team_same_day","same_league_same_day"]</t>
        </is>
      </c>
      <c r="BJ323" s="25" t="n"/>
      <c r="BK323" s="26" t="n">
        <v>-156</v>
      </c>
      <c r="BL323" s="27" t="n">
        <v>1.641026</v>
      </c>
      <c r="BM323" s="28" t="n">
        <v>0.609375</v>
      </c>
      <c r="BN323" s="28" t="n"/>
      <c r="BO323" s="28" t="n"/>
      <c r="BP323" s="25" t="n"/>
      <c r="BQ323" s="27" t="n"/>
      <c r="BR323" s="28" t="n"/>
      <c r="BS323" s="28" t="n"/>
      <c r="BT323" s="28" t="n"/>
      <c r="BU323" s="25" t="n"/>
      <c r="BV323" s="29" t="n"/>
      <c r="BW323" s="24" t="n"/>
      <c r="BX323" s="30" t="n"/>
      <c r="BY323" s="27" t="n"/>
      <c r="BZ323" s="24" t="n"/>
      <c r="CA323" s="31" t="n"/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inlineStr">
        <is>
          <t>False</t>
        </is>
      </c>
    </row>
    <row r="324" ht="36" customHeight="1">
      <c r="A324" s="24" t="inlineStr">
        <is>
          <t>1ecfc91013db4c44</t>
        </is>
      </c>
      <c r="B324" s="24" t="inlineStr">
        <is>
          <t>2026-08-02T18:08:55.998248Z</t>
        </is>
      </c>
      <c r="C324" s="24" t="inlineStr">
        <is>
          <t>2026-08-03T10:00:00Z</t>
        </is>
      </c>
      <c r="D324" s="24" t="inlineStr">
        <is>
          <t>68289</t>
        </is>
      </c>
      <c r="E324" s="24" t="inlineStr">
        <is>
          <t>CS2</t>
        </is>
      </c>
      <c r="F324" s="24" t="inlineStr">
        <is>
          <t>FURY</t>
        </is>
      </c>
      <c r="G324" s="24" t="inlineStr">
        <is>
          <t>Mindfreak</t>
        </is>
      </c>
      <c r="H324" s="24" t="inlineStr">
        <is>
          <t>moneyline</t>
        </is>
      </c>
      <c r="I324" s="24" t="inlineStr">
        <is>
          <t>home</t>
        </is>
      </c>
      <c r="J324" s="25" t="n"/>
      <c r="K324" s="24" t="inlineStr">
        <is>
          <t>polymarket_us</t>
        </is>
      </c>
      <c r="L324" s="26" t="n">
        <v>-138</v>
      </c>
      <c r="M324" s="27" t="n">
        <v>1.724638</v>
      </c>
      <c r="N324" s="28" t="n">
        <v>0.579832</v>
      </c>
      <c r="O324" s="28" t="n">
        <v>0.599199</v>
      </c>
      <c r="P324" s="28" t="n"/>
      <c r="Q324" s="28" t="n">
        <v>0.019367</v>
      </c>
      <c r="R324" s="26" t="n">
        <v>30</v>
      </c>
      <c r="S324" s="29" t="n">
        <v>1.25</v>
      </c>
      <c r="T324" s="24" t="inlineStr">
        <is>
          <t>cs2-tiered-elo-v5</t>
        </is>
      </c>
      <c r="U324" s="24" t="inlineStr">
        <is>
          <t>open</t>
        </is>
      </c>
      <c r="V324" s="24" t="n"/>
      <c r="W324" s="26" t="n"/>
      <c r="X324" s="26" t="n"/>
      <c r="Y324" s="25" t="n"/>
      <c r="Z324" s="26" t="n"/>
      <c r="AA324" s="28" t="n"/>
      <c r="AB324" s="28" t="n"/>
      <c r="AC324" s="30" t="n"/>
      <c r="AD324" s="24" t="n"/>
      <c r="AE324" s="31" t="inlineStr">
        <is>
          <t>Neutral Elo baseline; executable ask 0.5800 (market_slug=aec-cs2-mf-fury-2026-08-03).</t>
        </is>
      </c>
      <c r="AF324" s="31" t="inlineStr">
        <is>
          <t>Config-promoted esports baseline; gates enforced at log time.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model_qualified</t>
        </is>
      </c>
      <c r="AL324" s="26" t="n">
        <v>3</v>
      </c>
      <c r="AM324" s="24" t="inlineStr">
        <is>
          <t>QUALIFIED_SHADOW_CALL</t>
        </is>
      </c>
      <c r="AN324" s="24" t="inlineStr">
        <is>
          <t>CALL</t>
        </is>
      </c>
      <c r="AO324" s="24" t="inlineStr">
        <is>
          <t>QUALIFIED</t>
        </is>
      </c>
      <c r="AP324" s="24" t="inlineStr">
        <is>
          <t>FURY</t>
        </is>
      </c>
      <c r="AQ324" s="24" t="inlineStr">
        <is>
          <t>FURY</t>
        </is>
      </c>
      <c r="AR324" s="24" t="inlineStr">
        <is>
          <t>FURY</t>
        </is>
      </c>
      <c r="AS324" s="24" t="inlineStr">
        <is>
          <t>Mindfreak</t>
        </is>
      </c>
      <c r="AT324" s="24" t="inlineStr">
        <is>
          <t>Mindfreak</t>
        </is>
      </c>
      <c r="AU324" s="24" t="inlineStr">
        <is>
          <t>Mindfreak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d5fa90971ced522e0070399e9eeaba0b323d1e6ef1030b6470d86e8cb482d801</t>
        </is>
      </c>
      <c r="BB324" s="24" t="inlineStr">
        <is>
          <t>neutral_elo</t>
        </is>
      </c>
      <c r="BC324" s="24" t="inlineStr">
        <is>
          <t>cs2-tiered-elo-v5</t>
        </is>
      </c>
      <c r="BD324" s="24" t="inlineStr">
        <is>
          <t>d5fa90971ced522e0070399e9eeaba0b323d1e6ef1030b6470d86e8cb482d801</t>
        </is>
      </c>
      <c r="BE324" s="24" t="inlineStr">
        <is>
          <t>1</t>
        </is>
      </c>
      <c r="BF324" s="24" t="inlineStr">
        <is>
          <t>1</t>
        </is>
      </c>
      <c r="BG324" s="24" t="inlineStr">
        <is>
          <t>cs2-tiered-elo-v5</t>
        </is>
      </c>
      <c r="BH324" s="24" t="inlineStr">
        <is>
          <t>2026-08-02T18:08:46.352076Z</t>
        </is>
      </c>
      <c r="BI324" s="24" t="inlineStr">
        <is>
          <t>["same_event","same_team_same_day","same_league_same_day"]</t>
        </is>
      </c>
      <c r="BJ324" s="25" t="n"/>
      <c r="BK324" s="26" t="n">
        <v>-138</v>
      </c>
      <c r="BL324" s="27" t="n">
        <v>1.724638</v>
      </c>
      <c r="BM324" s="28" t="n">
        <v>0.579832</v>
      </c>
      <c r="BN324" s="28" t="n"/>
      <c r="BO324" s="28" t="n"/>
      <c r="BP324" s="25" t="n"/>
      <c r="BQ324" s="27" t="n"/>
      <c r="BR324" s="28" t="n"/>
      <c r="BS324" s="28" t="n"/>
      <c r="BT324" s="28" t="n"/>
      <c r="BU324" s="25" t="n"/>
      <c r="BV324" s="29" t="n"/>
      <c r="BW324" s="24" t="n"/>
      <c r="BX324" s="30" t="n"/>
      <c r="BY324" s="27" t="n"/>
      <c r="BZ324" s="24" t="n"/>
      <c r="CA324" s="31" t="n"/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inlineStr">
        <is>
          <t>True</t>
        </is>
      </c>
    </row>
    <row r="325" ht="36" customHeight="1">
      <c r="A325" s="24" t="inlineStr">
        <is>
          <t>7f9a4ecde31a4ac5</t>
        </is>
      </c>
      <c r="B325" s="24" t="inlineStr">
        <is>
          <t>2026-08-02T18:08:55.998248Z</t>
        </is>
      </c>
      <c r="C325" s="24" t="inlineStr">
        <is>
          <t>2026-08-03T10:00:00Z</t>
        </is>
      </c>
      <c r="D325" s="24" t="inlineStr">
        <is>
          <t>67510</t>
        </is>
      </c>
      <c r="E325" s="24" t="inlineStr">
        <is>
          <t>CS2</t>
        </is>
      </c>
      <c r="F325" s="24" t="inlineStr">
        <is>
          <t>Johnny Speeds</t>
        </is>
      </c>
      <c r="G325" s="24" t="inlineStr">
        <is>
          <t>Metizport</t>
        </is>
      </c>
      <c r="H325" s="24" t="inlineStr">
        <is>
          <t>moneyline</t>
        </is>
      </c>
      <c r="I325" s="24" t="inlineStr">
        <is>
          <t>home</t>
        </is>
      </c>
      <c r="J325" s="25" t="n"/>
      <c r="K325" s="24" t="inlineStr">
        <is>
          <t>polymarket_us</t>
        </is>
      </c>
      <c r="L325" s="26" t="n">
        <v>-223</v>
      </c>
      <c r="M325" s="27" t="n">
        <v>1.44843</v>
      </c>
      <c r="N325" s="28" t="n">
        <v>0.690402</v>
      </c>
      <c r="O325" s="28" t="n">
        <v>0.563071</v>
      </c>
      <c r="P325" s="28" t="n"/>
      <c r="Q325" s="28" t="n">
        <v>-0.127331</v>
      </c>
      <c r="R325" s="26" t="n">
        <v>0</v>
      </c>
      <c r="S325" s="29" t="n">
        <v>1</v>
      </c>
      <c r="T325" s="24" t="inlineStr">
        <is>
          <t>cs2-tiered-elo-v5</t>
        </is>
      </c>
      <c r="U325" s="24" t="inlineStr">
        <is>
          <t>open</t>
        </is>
      </c>
      <c r="V325" s="24" t="n"/>
      <c r="W325" s="26" t="n"/>
      <c r="X325" s="26" t="n"/>
      <c r="Y325" s="25" t="n"/>
      <c r="Z325" s="26" t="n"/>
      <c r="AA325" s="28" t="n"/>
      <c r="AB325" s="28" t="n"/>
      <c r="AC325" s="30" t="n"/>
      <c r="AD325" s="24" t="n"/>
      <c r="AE325" s="31" t="inlineStr">
        <is>
          <t>Neutral Elo baseline; executable ask 0.6900 (market_slug=aec-cs2-mzp-js-2026-08-03).</t>
        </is>
      </c>
      <c r="AF325" s="31" t="inlineStr">
        <is>
          <t>Config-promoted esports baseline; gates enforced at log time.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research_observation</t>
        </is>
      </c>
      <c r="AL325" s="26" t="n">
        <v>3</v>
      </c>
      <c r="AM325" s="24" t="inlineStr">
        <is>
          <t>RESEARCH_OBSERVATION</t>
        </is>
      </c>
      <c r="AN325" s="24" t="inlineStr">
        <is>
          <t>NO_CALL</t>
        </is>
      </c>
      <c r="AO325" s="24" t="inlineStr">
        <is>
          <t>NO_CALL_LOW_EDGE</t>
        </is>
      </c>
      <c r="AP325" s="24" t="inlineStr">
        <is>
          <t>Johnny Speeds</t>
        </is>
      </c>
      <c r="AQ325" s="24" t="inlineStr">
        <is>
          <t>Johnny Speeds</t>
        </is>
      </c>
      <c r="AR325" s="24" t="inlineStr">
        <is>
          <t>Johnny Speeds</t>
        </is>
      </c>
      <c r="AS325" s="24" t="inlineStr">
        <is>
          <t>Metizport</t>
        </is>
      </c>
      <c r="AT325" s="24" t="inlineStr">
        <is>
          <t>Metizport</t>
        </is>
      </c>
      <c r="AU325" s="24" t="inlineStr">
        <is>
          <t>Metizport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d5fa90971ced522e0070399e9eeaba0b323d1e6ef1030b6470d86e8cb482d801</t>
        </is>
      </c>
      <c r="BB325" s="24" t="inlineStr">
        <is>
          <t>neutral_elo</t>
        </is>
      </c>
      <c r="BC325" s="24" t="inlineStr">
        <is>
          <t>cs2-tiered-elo-v5</t>
        </is>
      </c>
      <c r="BD325" s="24" t="inlineStr">
        <is>
          <t>d5fa90971ced522e0070399e9eeaba0b323d1e6ef1030b6470d86e8cb482d801</t>
        </is>
      </c>
      <c r="BE325" s="24" t="inlineStr">
        <is>
          <t>1</t>
        </is>
      </c>
      <c r="BF325" s="24" t="inlineStr">
        <is>
          <t>1</t>
        </is>
      </c>
      <c r="BG325" s="24" t="inlineStr">
        <is>
          <t>cs2-tiered-elo-v5</t>
        </is>
      </c>
      <c r="BH325" s="24" t="inlineStr">
        <is>
          <t>2026-08-02T18:08:47.796652Z</t>
        </is>
      </c>
      <c r="BI325" s="24" t="inlineStr">
        <is>
          <t>["same_event","same_team_same_day","same_league_same_day"]</t>
        </is>
      </c>
      <c r="BJ325" s="25" t="n"/>
      <c r="BK325" s="26" t="n">
        <v>-223</v>
      </c>
      <c r="BL325" s="27" t="n">
        <v>1.44843</v>
      </c>
      <c r="BM325" s="28" t="n">
        <v>0.690402</v>
      </c>
      <c r="BN325" s="28" t="n"/>
      <c r="BO325" s="28" t="n"/>
      <c r="BP325" s="25" t="n"/>
      <c r="BQ325" s="27" t="n"/>
      <c r="BR325" s="28" t="n"/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inlineStr">
        <is>
          <t>False</t>
        </is>
      </c>
    </row>
    <row r="326" ht="36" customHeight="1">
      <c r="A326" s="24" t="inlineStr">
        <is>
          <t>50af1e1e93084738</t>
        </is>
      </c>
      <c r="B326" s="24" t="inlineStr">
        <is>
          <t>2026-08-02T18:08:55.998248Z</t>
        </is>
      </c>
      <c r="C326" s="24" t="inlineStr">
        <is>
          <t>2026-08-03T10:30:00Z</t>
        </is>
      </c>
      <c r="D326" s="24" t="inlineStr">
        <is>
          <t>67514</t>
        </is>
      </c>
      <c r="E326" s="24" t="inlineStr">
        <is>
          <t>CS2</t>
        </is>
      </c>
      <c r="F326" s="24" t="inlineStr">
        <is>
          <t>Passion Academy</t>
        </is>
      </c>
      <c r="G326" s="24" t="inlineStr">
        <is>
          <t>EAC Rising</t>
        </is>
      </c>
      <c r="H326" s="24" t="inlineStr">
        <is>
          <t>moneyline</t>
        </is>
      </c>
      <c r="I326" s="24" t="inlineStr">
        <is>
          <t>home</t>
        </is>
      </c>
      <c r="J326" s="25" t="n"/>
      <c r="K326" s="24" t="inlineStr">
        <is>
          <t>polymarket_us</t>
        </is>
      </c>
      <c r="L326" s="26" t="n">
        <v>-163</v>
      </c>
      <c r="M326" s="27" t="n">
        <v>1.613497</v>
      </c>
      <c r="N326" s="28" t="n">
        <v>0.619772</v>
      </c>
      <c r="O326" s="28" t="n">
        <v>0.639896</v>
      </c>
      <c r="P326" s="28" t="n"/>
      <c r="Q326" s="28" t="n">
        <v>0.020124</v>
      </c>
      <c r="R326" s="26" t="n">
        <v>30</v>
      </c>
      <c r="S326" s="29" t="n">
        <v>1.5</v>
      </c>
      <c r="T326" s="24" t="inlineStr">
        <is>
          <t>cs2-tiered-elo-v5</t>
        </is>
      </c>
      <c r="U326" s="24" t="inlineStr">
        <is>
          <t>open</t>
        </is>
      </c>
      <c r="V326" s="24" t="n"/>
      <c r="W326" s="26" t="n"/>
      <c r="X326" s="26" t="n"/>
      <c r="Y326" s="25" t="n"/>
      <c r="Z326" s="26" t="n"/>
      <c r="AA326" s="28" t="n"/>
      <c r="AB326" s="28" t="n"/>
      <c r="AC326" s="30" t="n"/>
      <c r="AD326" s="24" t="n"/>
      <c r="AE326" s="31" t="inlineStr">
        <is>
          <t>Neutral Elo baseline; executable ask 0.6200 (market_slug=aec-cs2-era-psna-2026-08-03).</t>
        </is>
      </c>
      <c r="AF326" s="31" t="inlineStr">
        <is>
          <t>Config-promoted esports baseline; gates enforced at log time.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model_qualified</t>
        </is>
      </c>
      <c r="AL326" s="26" t="n">
        <v>3</v>
      </c>
      <c r="AM326" s="24" t="inlineStr">
        <is>
          <t>QUALIFIED_SHADOW_CALL</t>
        </is>
      </c>
      <c r="AN326" s="24" t="inlineStr">
        <is>
          <t>CALL</t>
        </is>
      </c>
      <c r="AO326" s="24" t="inlineStr">
        <is>
          <t>QUALIFIED</t>
        </is>
      </c>
      <c r="AP326" s="24" t="inlineStr">
        <is>
          <t>Passion Academy</t>
        </is>
      </c>
      <c r="AQ326" s="24" t="inlineStr">
        <is>
          <t>Passion Academy</t>
        </is>
      </c>
      <c r="AR326" s="24" t="inlineStr">
        <is>
          <t>Passion Academy</t>
        </is>
      </c>
      <c r="AS326" s="24" t="inlineStr">
        <is>
          <t>EAC Rising</t>
        </is>
      </c>
      <c r="AT326" s="24" t="inlineStr">
        <is>
          <t>EAC Rising</t>
        </is>
      </c>
      <c r="AU326" s="24" t="inlineStr">
        <is>
          <t>EAC Rising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d5fa90971ced522e0070399e9eeaba0b323d1e6ef1030b6470d86e8cb482d801</t>
        </is>
      </c>
      <c r="BB326" s="24" t="inlineStr">
        <is>
          <t>neutral_elo</t>
        </is>
      </c>
      <c r="BC326" s="24" t="inlineStr">
        <is>
          <t>cs2-tiered-elo-v5</t>
        </is>
      </c>
      <c r="BD326" s="24" t="inlineStr">
        <is>
          <t>d5fa90971ced522e0070399e9eeaba0b323d1e6ef1030b6470d86e8cb482d801</t>
        </is>
      </c>
      <c r="BE326" s="24" t="inlineStr">
        <is>
          <t>1</t>
        </is>
      </c>
      <c r="BF326" s="24" t="inlineStr">
        <is>
          <t>1</t>
        </is>
      </c>
      <c r="BG326" s="24" t="inlineStr">
        <is>
          <t>cs2-tiered-elo-v5</t>
        </is>
      </c>
      <c r="BH326" s="24" t="inlineStr">
        <is>
          <t>2026-08-02T18:08:48.789246Z</t>
        </is>
      </c>
      <c r="BI326" s="24" t="inlineStr">
        <is>
          <t>["same_event","same_team_same_day","same_league_same_day"]</t>
        </is>
      </c>
      <c r="BJ326" s="25" t="n"/>
      <c r="BK326" s="26" t="n">
        <v>-163</v>
      </c>
      <c r="BL326" s="27" t="n">
        <v>1.613497</v>
      </c>
      <c r="BM326" s="28" t="n">
        <v>0.619772</v>
      </c>
      <c r="BN326" s="28" t="n"/>
      <c r="BO326" s="28" t="n"/>
      <c r="BP326" s="25" t="n"/>
      <c r="BQ326" s="27" t="n"/>
      <c r="BR326" s="28" t="n"/>
      <c r="BS326" s="28" t="n"/>
      <c r="BT326" s="28" t="n"/>
      <c r="BU326" s="25" t="n"/>
      <c r="BV326" s="29" t="n"/>
      <c r="BW326" s="24" t="n"/>
      <c r="BX326" s="30" t="n"/>
      <c r="BY326" s="27" t="n"/>
      <c r="BZ326" s="24" t="n"/>
      <c r="CA326" s="31" t="n"/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inlineStr">
        <is>
          <t>True</t>
        </is>
      </c>
    </row>
    <row r="327" ht="36" customHeight="1">
      <c r="A327" s="24" t="inlineStr">
        <is>
          <t>51b63af9a38f4ab9</t>
        </is>
      </c>
      <c r="B327" s="24" t="inlineStr">
        <is>
          <t>2026-08-02T18:08:55.998248Z</t>
        </is>
      </c>
      <c r="C327" s="24" t="inlineStr">
        <is>
          <t>2026-08-03T11:00:00Z</t>
        </is>
      </c>
      <c r="D327" s="24" t="inlineStr">
        <is>
          <t>69135</t>
        </is>
      </c>
      <c r="E327" s="24" t="inlineStr">
        <is>
          <t>CS2</t>
        </is>
      </c>
      <c r="F327" s="24" t="inlineStr">
        <is>
          <t>ex-RUBY</t>
        </is>
      </c>
      <c r="G327" s="24" t="inlineStr">
        <is>
          <t>1WIN</t>
        </is>
      </c>
      <c r="H327" s="24" t="inlineStr">
        <is>
          <t>moneyline</t>
        </is>
      </c>
      <c r="I327" s="24" t="inlineStr">
        <is>
          <t>home</t>
        </is>
      </c>
      <c r="J327" s="25" t="n"/>
      <c r="K327" s="24" t="inlineStr">
        <is>
          <t>polymarket_us</t>
        </is>
      </c>
      <c r="L327" s="26" t="n">
        <v>-163</v>
      </c>
      <c r="M327" s="27" t="n">
        <v>1.613497</v>
      </c>
      <c r="N327" s="28" t="n">
        <v>0.619772</v>
      </c>
      <c r="O327" s="28" t="n">
        <v>0.527201</v>
      </c>
      <c r="P327" s="28" t="n"/>
      <c r="Q327" s="28" t="n">
        <v>-0.092571</v>
      </c>
      <c r="R327" s="26" t="n">
        <v>0</v>
      </c>
      <c r="S327" s="29" t="n">
        <v>1</v>
      </c>
      <c r="T327" s="24" t="inlineStr">
        <is>
          <t>cs2-tiered-elo-v5</t>
        </is>
      </c>
      <c r="U327" s="24" t="inlineStr">
        <is>
          <t>open</t>
        </is>
      </c>
      <c r="V327" s="24" t="n"/>
      <c r="W327" s="26" t="n"/>
      <c r="X327" s="26" t="n"/>
      <c r="Y327" s="25" t="n"/>
      <c r="Z327" s="26" t="n"/>
      <c r="AA327" s="28" t="n"/>
      <c r="AB327" s="28" t="n"/>
      <c r="AC327" s="30" t="n"/>
      <c r="AD327" s="24" t="n"/>
      <c r="AE327" s="31" t="inlineStr">
        <is>
          <t>Neutral Elo baseline; executable ask 0.6200 (market_slug=aec-cs2-1win-exruby-2026-08-03).</t>
        </is>
      </c>
      <c r="AF327" s="31" t="inlineStr">
        <is>
          <t>Config-promoted esports baseline; gates enforced at log time.</t>
        </is>
      </c>
      <c r="AG327" s="24" t="inlineStr">
        <is>
          <t>not_applicable</t>
        </is>
      </c>
      <c r="AH327" s="24" t="n"/>
      <c r="AI327" s="31" t="n"/>
      <c r="AJ327" s="31" t="n"/>
      <c r="AK327" s="24" t="inlineStr">
        <is>
          <t>research_observation</t>
        </is>
      </c>
      <c r="AL327" s="26" t="n">
        <v>3</v>
      </c>
      <c r="AM327" s="24" t="inlineStr">
        <is>
          <t>RESEARCH_OBSERVATION</t>
        </is>
      </c>
      <c r="AN327" s="24" t="inlineStr">
        <is>
          <t>NO_CALL</t>
        </is>
      </c>
      <c r="AO327" s="24" t="inlineStr">
        <is>
          <t>NO_CALL_LOW_EDGE</t>
        </is>
      </c>
      <c r="AP327" s="24" t="inlineStr">
        <is>
          <t>ex-RUBY</t>
        </is>
      </c>
      <c r="AQ327" s="24" t="inlineStr">
        <is>
          <t>ex-RUBY</t>
        </is>
      </c>
      <c r="AR327" s="24" t="inlineStr">
        <is>
          <t>ex-RUBY</t>
        </is>
      </c>
      <c r="AS327" s="24" t="inlineStr">
        <is>
          <t>1WIN</t>
        </is>
      </c>
      <c r="AT327" s="24" t="inlineStr">
        <is>
          <t>1WIN</t>
        </is>
      </c>
      <c r="AU327" s="24" t="inlineStr">
        <is>
          <t>1WIN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d5fa90971ced522e0070399e9eeaba0b323d1e6ef1030b6470d86e8cb482d801</t>
        </is>
      </c>
      <c r="BB327" s="24" t="inlineStr">
        <is>
          <t>neutral_elo</t>
        </is>
      </c>
      <c r="BC327" s="24" t="inlineStr">
        <is>
          <t>cs2-tiered-elo-v5</t>
        </is>
      </c>
      <c r="BD327" s="24" t="inlineStr">
        <is>
          <t>d5fa90971ced522e0070399e9eeaba0b323d1e6ef1030b6470d86e8cb482d801</t>
        </is>
      </c>
      <c r="BE327" s="24" t="inlineStr">
        <is>
          <t>1</t>
        </is>
      </c>
      <c r="BF327" s="24" t="inlineStr">
        <is>
          <t>1</t>
        </is>
      </c>
      <c r="BG327" s="24" t="inlineStr">
        <is>
          <t>cs2-tiered-elo-v5</t>
        </is>
      </c>
      <c r="BH327" s="24" t="inlineStr">
        <is>
          <t>2026-08-02T18:08:49.284497Z</t>
        </is>
      </c>
      <c r="BI327" s="24" t="inlineStr">
        <is>
          <t>["same_event","same_team_same_day","same_league_same_day"]</t>
        </is>
      </c>
      <c r="BJ327" s="25" t="n"/>
      <c r="BK327" s="26" t="n">
        <v>-163</v>
      </c>
      <c r="BL327" s="27" t="n">
        <v>1.613497</v>
      </c>
      <c r="BM327" s="28" t="n">
        <v>0.619772</v>
      </c>
      <c r="BN327" s="28" t="n"/>
      <c r="BO327" s="28" t="n"/>
      <c r="BP327" s="25" t="n"/>
      <c r="BQ327" s="27" t="n"/>
      <c r="BR327" s="28" t="n"/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inlineStr">
        <is>
          <t>False</t>
        </is>
      </c>
    </row>
    <row r="328" ht="36" customHeight="1">
      <c r="A328" s="24" t="inlineStr">
        <is>
          <t>10771577fe1b4c53</t>
        </is>
      </c>
      <c r="B328" s="24" t="inlineStr">
        <is>
          <t>2026-08-02T18:08:55.998248Z</t>
        </is>
      </c>
      <c r="C328" s="24" t="inlineStr">
        <is>
          <t>2026-08-03T11:00:00Z</t>
        </is>
      </c>
      <c r="D328" s="24" t="inlineStr">
        <is>
          <t>69267</t>
        </is>
      </c>
      <c r="E328" s="24" t="inlineStr">
        <is>
          <t>CS2</t>
        </is>
      </c>
      <c r="F328" s="24" t="inlineStr">
        <is>
          <t>los kogutos</t>
        </is>
      </c>
      <c r="G328" s="24" t="inlineStr">
        <is>
          <t>Just Players</t>
        </is>
      </c>
      <c r="H328" s="24" t="inlineStr">
        <is>
          <t>moneyline</t>
        </is>
      </c>
      <c r="I328" s="24" t="inlineStr">
        <is>
          <t>home</t>
        </is>
      </c>
      <c r="J328" s="25" t="n"/>
      <c r="K328" s="24" t="inlineStr">
        <is>
          <t>polymarket_us</t>
        </is>
      </c>
      <c r="L328" s="26" t="n">
        <v>-213</v>
      </c>
      <c r="M328" s="27" t="n">
        <v>1.469484</v>
      </c>
      <c r="N328" s="28" t="n">
        <v>0.680511</v>
      </c>
      <c r="O328" s="28" t="n">
        <v>0.628836</v>
      </c>
      <c r="P328" s="28" t="n"/>
      <c r="Q328" s="28" t="n">
        <v>-0.051675</v>
      </c>
      <c r="R328" s="26" t="n">
        <v>0</v>
      </c>
      <c r="S328" s="29" t="n">
        <v>1.5</v>
      </c>
      <c r="T328" s="24" t="inlineStr">
        <is>
          <t>cs2-tiered-elo-v5</t>
        </is>
      </c>
      <c r="U328" s="24" t="inlineStr">
        <is>
          <t>open</t>
        </is>
      </c>
      <c r="V328" s="24" t="n"/>
      <c r="W328" s="26" t="n"/>
      <c r="X328" s="26" t="n"/>
      <c r="Y328" s="25" t="n"/>
      <c r="Z328" s="26" t="n"/>
      <c r="AA328" s="28" t="n"/>
      <c r="AB328" s="28" t="n"/>
      <c r="AC328" s="30" t="n"/>
      <c r="AD328" s="24" t="n"/>
      <c r="AE328" s="31" t="inlineStr">
        <is>
          <t>Neutral Elo baseline; executable ask 0.6800 (market_slug=aec-cs2-jpu-lk-2026-08-03).</t>
        </is>
      </c>
      <c r="AF328" s="31" t="inlineStr">
        <is>
          <t>Config-promoted esports baseline; gates enforced at log time.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research_observation</t>
        </is>
      </c>
      <c r="AL328" s="26" t="n">
        <v>3</v>
      </c>
      <c r="AM328" s="24" t="inlineStr">
        <is>
          <t>RESEARCH_OBSERVATION</t>
        </is>
      </c>
      <c r="AN328" s="24" t="inlineStr">
        <is>
          <t>NO_CALL</t>
        </is>
      </c>
      <c r="AO328" s="24" t="inlineStr">
        <is>
          <t>NO_CALL_LOW_EDGE</t>
        </is>
      </c>
      <c r="AP328" s="24" t="inlineStr">
        <is>
          <t>los kogutos</t>
        </is>
      </c>
      <c r="AQ328" s="24" t="inlineStr">
        <is>
          <t>los kogutos</t>
        </is>
      </c>
      <c r="AR328" s="24" t="inlineStr">
        <is>
          <t>los kogutos</t>
        </is>
      </c>
      <c r="AS328" s="24" t="inlineStr">
        <is>
          <t>Just Players</t>
        </is>
      </c>
      <c r="AT328" s="24" t="inlineStr">
        <is>
          <t>Just Players</t>
        </is>
      </c>
      <c r="AU328" s="24" t="inlineStr">
        <is>
          <t>Just Players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d5fa90971ced522e0070399e9eeaba0b323d1e6ef1030b6470d86e8cb482d801</t>
        </is>
      </c>
      <c r="BB328" s="24" t="inlineStr">
        <is>
          <t>neutral_elo</t>
        </is>
      </c>
      <c r="BC328" s="24" t="inlineStr">
        <is>
          <t>cs2-tiered-elo-v5</t>
        </is>
      </c>
      <c r="BD328" s="24" t="inlineStr">
        <is>
          <t>d5fa90971ced522e0070399e9eeaba0b323d1e6ef1030b6470d86e8cb482d801</t>
        </is>
      </c>
      <c r="BE328" s="24" t="inlineStr">
        <is>
          <t>1</t>
        </is>
      </c>
      <c r="BF328" s="24" t="inlineStr">
        <is>
          <t>1</t>
        </is>
      </c>
      <c r="BG328" s="24" t="inlineStr">
        <is>
          <t>cs2-tiered-elo-v5</t>
        </is>
      </c>
      <c r="BH328" s="24" t="inlineStr">
        <is>
          <t>2026-08-02T18:08:49.833473Z</t>
        </is>
      </c>
      <c r="BI328" s="24" t="inlineStr">
        <is>
          <t>["same_event","same_team_same_day","same_league_same_day"]</t>
        </is>
      </c>
      <c r="BJ328" s="25" t="n"/>
      <c r="BK328" s="26" t="n">
        <v>-213</v>
      </c>
      <c r="BL328" s="27" t="n">
        <v>1.469484</v>
      </c>
      <c r="BM328" s="28" t="n">
        <v>0.680511</v>
      </c>
      <c r="BN328" s="28" t="n"/>
      <c r="BO328" s="28" t="n"/>
      <c r="BP328" s="25" t="n"/>
      <c r="BQ328" s="27" t="n"/>
      <c r="BR328" s="28" t="n"/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inlineStr">
        <is>
          <t>False</t>
        </is>
      </c>
    </row>
    <row r="329" ht="36" customHeight="1">
      <c r="A329" s="24" t="inlineStr">
        <is>
          <t>17ea9f4df5944d00</t>
        </is>
      </c>
      <c r="B329" s="24" t="inlineStr">
        <is>
          <t>2026-08-02T18:08:55.998248Z</t>
        </is>
      </c>
      <c r="C329" s="24" t="inlineStr">
        <is>
          <t>2026-08-03T11:00:00Z</t>
        </is>
      </c>
      <c r="D329" s="24" t="inlineStr">
        <is>
          <t>67578</t>
        </is>
      </c>
      <c r="E329" s="24" t="inlineStr">
        <is>
          <t>CS2</t>
        </is>
      </c>
      <c r="F329" s="24" t="inlineStr">
        <is>
          <t>Perfecto Club</t>
        </is>
      </c>
      <c r="G329" s="24" t="inlineStr">
        <is>
          <t>Recrent Club</t>
        </is>
      </c>
      <c r="H329" s="24" t="inlineStr">
        <is>
          <t>moneyline</t>
        </is>
      </c>
      <c r="I329" s="24" t="inlineStr">
        <is>
          <t>home</t>
        </is>
      </c>
      <c r="J329" s="25" t="n"/>
      <c r="K329" s="24" t="inlineStr">
        <is>
          <t>polymarket_us</t>
        </is>
      </c>
      <c r="L329" s="26" t="n">
        <v>-150</v>
      </c>
      <c r="M329" s="27" t="n">
        <v>1.666667</v>
      </c>
      <c r="N329" s="28" t="n">
        <v>0.6</v>
      </c>
      <c r="O329" s="28" t="n">
        <v>0.526938</v>
      </c>
      <c r="P329" s="28" t="n"/>
      <c r="Q329" s="28" t="n">
        <v>-0.073062</v>
      </c>
      <c r="R329" s="26" t="n">
        <v>0</v>
      </c>
      <c r="S329" s="29" t="n">
        <v>1</v>
      </c>
      <c r="T329" s="24" t="inlineStr">
        <is>
          <t>cs2-tiered-elo-v5</t>
        </is>
      </c>
      <c r="U329" s="24" t="inlineStr">
        <is>
          <t>open</t>
        </is>
      </c>
      <c r="V329" s="24" t="n"/>
      <c r="W329" s="26" t="n"/>
      <c r="X329" s="26" t="n"/>
      <c r="Y329" s="25" t="n"/>
      <c r="Z329" s="26" t="n"/>
      <c r="AA329" s="28" t="n"/>
      <c r="AB329" s="28" t="n"/>
      <c r="AC329" s="30" t="n"/>
      <c r="AD329" s="24" t="n"/>
      <c r="AE329" s="31" t="inlineStr">
        <is>
          <t>Neutral Elo baseline; executable ask 0.6000 (market_slug=aec-cs2-rce-pce-2026-08-03).</t>
        </is>
      </c>
      <c r="AF329" s="31" t="inlineStr">
        <is>
          <t>Config-promoted esports baseline; gates enforced at log time.</t>
        </is>
      </c>
      <c r="AG329" s="24" t="inlineStr">
        <is>
          <t>not_applicable</t>
        </is>
      </c>
      <c r="AH329" s="24" t="n"/>
      <c r="AI329" s="31" t="n"/>
      <c r="AJ329" s="31" t="n"/>
      <c r="AK329" s="24" t="inlineStr">
        <is>
          <t>research_observation</t>
        </is>
      </c>
      <c r="AL329" s="26" t="n">
        <v>3</v>
      </c>
      <c r="AM329" s="24" t="inlineStr">
        <is>
          <t>RESEARCH_OBSERVATION</t>
        </is>
      </c>
      <c r="AN329" s="24" t="inlineStr">
        <is>
          <t>NO_CALL</t>
        </is>
      </c>
      <c r="AO329" s="24" t="inlineStr">
        <is>
          <t>NO_CALL_MODEL_UNVALIDATED</t>
        </is>
      </c>
      <c r="AP329" s="24" t="inlineStr">
        <is>
          <t>Perfecto Club</t>
        </is>
      </c>
      <c r="AQ329" s="24" t="inlineStr">
        <is>
          <t>Perfecto Club</t>
        </is>
      </c>
      <c r="AR329" s="24" t="inlineStr">
        <is>
          <t>Perfecto Club</t>
        </is>
      </c>
      <c r="AS329" s="24" t="inlineStr">
        <is>
          <t>Recrent Club</t>
        </is>
      </c>
      <c r="AT329" s="24" t="inlineStr">
        <is>
          <t>Recrent Club</t>
        </is>
      </c>
      <c r="AU329" s="24" t="inlineStr">
        <is>
          <t>Recrent Club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d5fa90971ced522e0070399e9eeaba0b323d1e6ef1030b6470d86e8cb482d801</t>
        </is>
      </c>
      <c r="BB329" s="24" t="inlineStr">
        <is>
          <t>neutral_elo</t>
        </is>
      </c>
      <c r="BC329" s="24" t="inlineStr">
        <is>
          <t>cs2-tiered-elo-v5</t>
        </is>
      </c>
      <c r="BD329" s="24" t="inlineStr">
        <is>
          <t>d5fa90971ced522e0070399e9eeaba0b323d1e6ef1030b6470d86e8cb482d801</t>
        </is>
      </c>
      <c r="BE329" s="24" t="inlineStr">
        <is>
          <t>1</t>
        </is>
      </c>
      <c r="BF329" s="24" t="inlineStr">
        <is>
          <t>1</t>
        </is>
      </c>
      <c r="BG329" s="24" t="inlineStr">
        <is>
          <t>cs2-tiered-elo-v5</t>
        </is>
      </c>
      <c r="BH329" s="24" t="inlineStr">
        <is>
          <t>2026-08-02T18:08:50.485383Z</t>
        </is>
      </c>
      <c r="BI329" s="24" t="inlineStr">
        <is>
          <t>["same_event","same_team_same_day","same_league_same_day"]</t>
        </is>
      </c>
      <c r="BJ329" s="25" t="n"/>
      <c r="BK329" s="26" t="n">
        <v>-150</v>
      </c>
      <c r="BL329" s="27" t="n">
        <v>1.666667</v>
      </c>
      <c r="BM329" s="28" t="n">
        <v>0.6</v>
      </c>
      <c r="BN329" s="28" t="n"/>
      <c r="BO329" s="28" t="n"/>
      <c r="BP329" s="25" t="n"/>
      <c r="BQ329" s="27" t="n"/>
      <c r="BR329" s="28" t="n"/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inlineStr">
        <is>
          <t>False</t>
        </is>
      </c>
    </row>
    <row r="330" ht="36" customHeight="1">
      <c r="A330" s="24" t="inlineStr">
        <is>
          <t>5c264972e83344de</t>
        </is>
      </c>
      <c r="B330" s="24" t="inlineStr">
        <is>
          <t>2026-08-02T18:08:55.998248Z</t>
        </is>
      </c>
      <c r="C330" s="24" t="inlineStr">
        <is>
          <t>2026-08-03T13:45:00Z</t>
        </is>
      </c>
      <c r="D330" s="24" t="inlineStr">
        <is>
          <t>67579</t>
        </is>
      </c>
      <c r="E330" s="24" t="inlineStr">
        <is>
          <t>CS2</t>
        </is>
      </c>
      <c r="F330" s="24" t="inlineStr">
        <is>
          <t>Morphilina Club</t>
        </is>
      </c>
      <c r="G330" s="24" t="inlineStr">
        <is>
          <t>Perfecto Club</t>
        </is>
      </c>
      <c r="H330" s="24" t="inlineStr">
        <is>
          <t>moneyline</t>
        </is>
      </c>
      <c r="I330" s="24" t="inlineStr">
        <is>
          <t>away</t>
        </is>
      </c>
      <c r="J330" s="25" t="n"/>
      <c r="K330" s="24" t="inlineStr">
        <is>
          <t>polymarket_us</t>
        </is>
      </c>
      <c r="L330" s="26" t="n">
        <v>194</v>
      </c>
      <c r="M330" s="27" t="n">
        <v>2.94</v>
      </c>
      <c r="N330" s="28" t="n">
        <v>0.340136</v>
      </c>
      <c r="O330" s="28" t="n">
        <v>0.526281</v>
      </c>
      <c r="P330" s="28" t="n"/>
      <c r="Q330" s="28" t="n">
        <v>0.186145</v>
      </c>
      <c r="R330" s="26" t="n">
        <v>100</v>
      </c>
      <c r="S330" s="29" t="n">
        <v>1</v>
      </c>
      <c r="T330" s="24" t="inlineStr">
        <is>
          <t>cs2-tiered-elo-v5</t>
        </is>
      </c>
      <c r="U330" s="24" t="inlineStr">
        <is>
          <t>open</t>
        </is>
      </c>
      <c r="V330" s="24" t="n"/>
      <c r="W330" s="26" t="n"/>
      <c r="X330" s="26" t="n"/>
      <c r="Y330" s="25" t="n"/>
      <c r="Z330" s="26" t="n"/>
      <c r="AA330" s="28" t="n"/>
      <c r="AB330" s="28" t="n"/>
      <c r="AC330" s="30" t="n"/>
      <c r="AD330" s="24" t="n"/>
      <c r="AE330" s="31" t="inlineStr">
        <is>
          <t>Neutral Elo baseline; executable ask 0.3400 (market_slug=aec-cs2-pce-mcor-2026-08-03).</t>
        </is>
      </c>
      <c r="AF330" s="31" t="inlineStr">
        <is>
          <t>Config-promoted esports baseline; gates enforced at log time.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research_observation</t>
        </is>
      </c>
      <c r="AL330" s="26" t="n">
        <v>3</v>
      </c>
      <c r="AM330" s="24" t="inlineStr">
        <is>
          <t>RESEARCH_OBSERVATION</t>
        </is>
      </c>
      <c r="AN330" s="24" t="inlineStr">
        <is>
          <t>NO_CALL</t>
        </is>
      </c>
      <c r="AO330" s="24" t="inlineStr">
        <is>
          <t>NO_CALL_MODEL_UNVALIDATED</t>
        </is>
      </c>
      <c r="AP330" s="24" t="inlineStr">
        <is>
          <t>Morphilina Club</t>
        </is>
      </c>
      <c r="AQ330" s="24" t="inlineStr">
        <is>
          <t>Morphilina Club</t>
        </is>
      </c>
      <c r="AR330" s="24" t="inlineStr">
        <is>
          <t>Morphilina Club</t>
        </is>
      </c>
      <c r="AS330" s="24" t="inlineStr">
        <is>
          <t>Perfecto Club</t>
        </is>
      </c>
      <c r="AT330" s="24" t="inlineStr">
        <is>
          <t>Perfecto Club</t>
        </is>
      </c>
      <c r="AU330" s="24" t="inlineStr">
        <is>
          <t>Perfecto Club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d5fa90971ced522e0070399e9eeaba0b323d1e6ef1030b6470d86e8cb482d801</t>
        </is>
      </c>
      <c r="BB330" s="24" t="inlineStr">
        <is>
          <t>neutral_elo</t>
        </is>
      </c>
      <c r="BC330" s="24" t="inlineStr">
        <is>
          <t>cs2-tiered-elo-v5</t>
        </is>
      </c>
      <c r="BD330" s="24" t="inlineStr">
        <is>
          <t>d5fa90971ced522e0070399e9eeaba0b323d1e6ef1030b6470d86e8cb482d801</t>
        </is>
      </c>
      <c r="BE330" s="24" t="inlineStr">
        <is>
          <t>1</t>
        </is>
      </c>
      <c r="BF330" s="24" t="inlineStr">
        <is>
          <t>1</t>
        </is>
      </c>
      <c r="BG330" s="24" t="inlineStr">
        <is>
          <t>cs2-tiered-elo-v5</t>
        </is>
      </c>
      <c r="BH330" s="24" t="inlineStr">
        <is>
          <t>2026-08-02T18:08:50.962336Z</t>
        </is>
      </c>
      <c r="BI330" s="24" t="inlineStr">
        <is>
          <t>["same_event","same_team_same_day","same_league_same_day"]</t>
        </is>
      </c>
      <c r="BJ330" s="25" t="n"/>
      <c r="BK330" s="26" t="n">
        <v>194</v>
      </c>
      <c r="BL330" s="27" t="n">
        <v>2.94</v>
      </c>
      <c r="BM330" s="28" t="n">
        <v>0.340136</v>
      </c>
      <c r="BN330" s="28" t="n"/>
      <c r="BO330" s="28" t="n"/>
      <c r="BP330" s="25" t="n"/>
      <c r="BQ330" s="27" t="n"/>
      <c r="BR330" s="28" t="n"/>
      <c r="BS330" s="28" t="n"/>
      <c r="BT330" s="28" t="n"/>
      <c r="BU330" s="25" t="n"/>
      <c r="BV330" s="29" t="n"/>
      <c r="BW330" s="24" t="n"/>
      <c r="BX330" s="30" t="n"/>
      <c r="BY330" s="27" t="n"/>
      <c r="BZ330" s="24" t="n"/>
      <c r="CA330" s="31" t="n"/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inlineStr">
        <is>
          <t>True</t>
        </is>
      </c>
    </row>
    <row r="331" ht="36" customHeight="1">
      <c r="A331" s="24" t="inlineStr">
        <is>
          <t>b6fa181a4a644fa0</t>
        </is>
      </c>
      <c r="B331" s="24" t="inlineStr">
        <is>
          <t>2026-08-02T18:08:55.998248Z</t>
        </is>
      </c>
      <c r="C331" s="24" t="inlineStr">
        <is>
          <t>2026-08-03T14:00:00Z</t>
        </is>
      </c>
      <c r="D331" s="24" t="inlineStr">
        <is>
          <t>69268</t>
        </is>
      </c>
      <c r="E331" s="24" t="inlineStr">
        <is>
          <t>CS2</t>
        </is>
      </c>
      <c r="F331" s="24" t="inlineStr">
        <is>
          <t>ex-Young Ninjas</t>
        </is>
      </c>
      <c r="G331" s="24" t="inlineStr">
        <is>
          <t>SPARTA</t>
        </is>
      </c>
      <c r="H331" s="24" t="inlineStr">
        <is>
          <t>moneyline</t>
        </is>
      </c>
      <c r="I331" s="24" t="inlineStr">
        <is>
          <t>home</t>
        </is>
      </c>
      <c r="J331" s="25" t="n"/>
      <c r="K331" s="24" t="inlineStr">
        <is>
          <t>polymarket_us</t>
        </is>
      </c>
      <c r="L331" s="26" t="n">
        <v>-178</v>
      </c>
      <c r="M331" s="27" t="n">
        <v>1.561798</v>
      </c>
      <c r="N331" s="28" t="n">
        <v>0.640288</v>
      </c>
      <c r="O331" s="28" t="n">
        <v>0.663041</v>
      </c>
      <c r="P331" s="28" t="n"/>
      <c r="Q331" s="28" t="n">
        <v>0.022753</v>
      </c>
      <c r="R331" s="26" t="n">
        <v>31</v>
      </c>
      <c r="S331" s="29" t="n">
        <v>1.75</v>
      </c>
      <c r="T331" s="24" t="inlineStr">
        <is>
          <t>cs2-tiered-elo-v5</t>
        </is>
      </c>
      <c r="U331" s="24" t="inlineStr">
        <is>
          <t>open</t>
        </is>
      </c>
      <c r="V331" s="24" t="n"/>
      <c r="W331" s="26" t="n"/>
      <c r="X331" s="26" t="n"/>
      <c r="Y331" s="25" t="n"/>
      <c r="Z331" s="26" t="n"/>
      <c r="AA331" s="28" t="n"/>
      <c r="AB331" s="28" t="n"/>
      <c r="AC331" s="30" t="n"/>
      <c r="AD331" s="24" t="n"/>
      <c r="AE331" s="31" t="inlineStr">
        <is>
          <t>Neutral Elo baseline; executable ask 0.6400 (market_slug=aec-cs2-sparta-eyn-2026-08-03).</t>
        </is>
      </c>
      <c r="AF331" s="31" t="inlineStr">
        <is>
          <t>Config-promoted esports baseline; gates enforced at log time.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model_qualified</t>
        </is>
      </c>
      <c r="AL331" s="26" t="n">
        <v>3</v>
      </c>
      <c r="AM331" s="24" t="inlineStr">
        <is>
          <t>QUALIFIED_SHADOW_CALL</t>
        </is>
      </c>
      <c r="AN331" s="24" t="inlineStr">
        <is>
          <t>CALL</t>
        </is>
      </c>
      <c r="AO331" s="24" t="inlineStr">
        <is>
          <t>QUALIFIED</t>
        </is>
      </c>
      <c r="AP331" s="24" t="inlineStr">
        <is>
          <t>ex-Young Ninjas</t>
        </is>
      </c>
      <c r="AQ331" s="24" t="inlineStr">
        <is>
          <t>ex-Young Ninjas</t>
        </is>
      </c>
      <c r="AR331" s="24" t="inlineStr">
        <is>
          <t>ex-Young Ninjas</t>
        </is>
      </c>
      <c r="AS331" s="24" t="inlineStr">
        <is>
          <t>SPARTA</t>
        </is>
      </c>
      <c r="AT331" s="24" t="inlineStr">
        <is>
          <t>SPARTA</t>
        </is>
      </c>
      <c r="AU331" s="24" t="inlineStr">
        <is>
          <t>SPARTA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d5fa90971ced522e0070399e9eeaba0b323d1e6ef1030b6470d86e8cb482d801</t>
        </is>
      </c>
      <c r="BB331" s="24" t="inlineStr">
        <is>
          <t>neutral_elo</t>
        </is>
      </c>
      <c r="BC331" s="24" t="inlineStr">
        <is>
          <t>cs2-tiered-elo-v5</t>
        </is>
      </c>
      <c r="BD331" s="24" t="inlineStr">
        <is>
          <t>d5fa90971ced522e0070399e9eeaba0b323d1e6ef1030b6470d86e8cb482d801</t>
        </is>
      </c>
      <c r="BE331" s="24" t="inlineStr">
        <is>
          <t>1</t>
        </is>
      </c>
      <c r="BF331" s="24" t="inlineStr">
        <is>
          <t>1</t>
        </is>
      </c>
      <c r="BG331" s="24" t="inlineStr">
        <is>
          <t>cs2-tiered-elo-v5</t>
        </is>
      </c>
      <c r="BH331" s="24" t="inlineStr">
        <is>
          <t>2026-08-02T18:08:51.418739Z</t>
        </is>
      </c>
      <c r="BI331" s="24" t="inlineStr">
        <is>
          <t>["same_event","same_team_same_day","same_league_same_day"]</t>
        </is>
      </c>
      <c r="BJ331" s="25" t="n"/>
      <c r="BK331" s="26" t="n">
        <v>-178</v>
      </c>
      <c r="BL331" s="27" t="n">
        <v>1.561798</v>
      </c>
      <c r="BM331" s="28" t="n">
        <v>0.640288</v>
      </c>
      <c r="BN331" s="28" t="n"/>
      <c r="BO331" s="28" t="n"/>
      <c r="BP331" s="25" t="n"/>
      <c r="BQ331" s="27" t="n"/>
      <c r="BR331" s="28" t="n"/>
      <c r="BS331" s="28" t="n"/>
      <c r="BT331" s="28" t="n"/>
      <c r="BU331" s="25" t="n"/>
      <c r="BV331" s="29" t="n"/>
      <c r="BW331" s="24" t="n"/>
      <c r="BX331" s="30" t="n"/>
      <c r="BY331" s="27" t="n"/>
      <c r="BZ331" s="24" t="n"/>
      <c r="CA331" s="31" t="n"/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inlineStr">
        <is>
          <t>True</t>
        </is>
      </c>
    </row>
    <row r="332" ht="36" customHeight="1">
      <c r="A332" s="24" t="inlineStr">
        <is>
          <t>4b10938734d54870</t>
        </is>
      </c>
      <c r="B332" s="24" t="inlineStr">
        <is>
          <t>2026-08-02T18:08:55.998248Z</t>
        </is>
      </c>
      <c r="C332" s="24" t="inlineStr">
        <is>
          <t>2026-08-03T14:00:00Z</t>
        </is>
      </c>
      <c r="D332" s="24" t="inlineStr">
        <is>
          <t>68292</t>
        </is>
      </c>
      <c r="E332" s="24" t="inlineStr">
        <is>
          <t>CS2</t>
        </is>
      </c>
      <c r="F332" s="24" t="inlineStr">
        <is>
          <t>Butterfly</t>
        </is>
      </c>
      <c r="G332" s="24" t="inlineStr">
        <is>
          <t>ARCRED</t>
        </is>
      </c>
      <c r="H332" s="24" t="inlineStr">
        <is>
          <t>moneyline</t>
        </is>
      </c>
      <c r="I332" s="24" t="inlineStr">
        <is>
          <t>home</t>
        </is>
      </c>
      <c r="J332" s="25" t="n"/>
      <c r="K332" s="24" t="inlineStr">
        <is>
          <t>polymarket_us</t>
        </is>
      </c>
      <c r="L332" s="26" t="n">
        <v>-178</v>
      </c>
      <c r="M332" s="27" t="n">
        <v>1.561798</v>
      </c>
      <c r="N332" s="28" t="n">
        <v>0.640288</v>
      </c>
      <c r="O332" s="28" t="n">
        <v>0.613913</v>
      </c>
      <c r="P332" s="28" t="n"/>
      <c r="Q332" s="28" t="n">
        <v>-0.026375</v>
      </c>
      <c r="R332" s="26" t="n">
        <v>7</v>
      </c>
      <c r="S332" s="29" t="n">
        <v>1.5</v>
      </c>
      <c r="T332" s="24" t="inlineStr">
        <is>
          <t>cs2-tiered-elo-v5</t>
        </is>
      </c>
      <c r="U332" s="24" t="inlineStr">
        <is>
          <t>open</t>
        </is>
      </c>
      <c r="V332" s="24" t="n"/>
      <c r="W332" s="26" t="n"/>
      <c r="X332" s="26" t="n"/>
      <c r="Y332" s="25" t="n"/>
      <c r="Z332" s="26" t="n"/>
      <c r="AA332" s="28" t="n"/>
      <c r="AB332" s="28" t="n"/>
      <c r="AC332" s="30" t="n"/>
      <c r="AD332" s="24" t="n"/>
      <c r="AE332" s="31" t="inlineStr">
        <is>
          <t>Neutral Elo baseline; executable ask 0.6400 (market_slug=aec-cs2-arc-btf-2026-08-03).</t>
        </is>
      </c>
      <c r="AF332" s="31" t="inlineStr">
        <is>
          <t>Config-promoted esports baseline; gates enforced at log time.</t>
        </is>
      </c>
      <c r="AG332" s="24" t="inlineStr">
        <is>
          <t>not_applicable</t>
        </is>
      </c>
      <c r="AH332" s="24" t="n"/>
      <c r="AI332" s="31" t="n"/>
      <c r="AJ332" s="31" t="n"/>
      <c r="AK332" s="24" t="inlineStr">
        <is>
          <t>research_observation</t>
        </is>
      </c>
      <c r="AL332" s="26" t="n">
        <v>3</v>
      </c>
      <c r="AM332" s="24" t="inlineStr">
        <is>
          <t>RESEARCH_OBSERVATION</t>
        </is>
      </c>
      <c r="AN332" s="24" t="inlineStr">
        <is>
          <t>NO_CALL</t>
        </is>
      </c>
      <c r="AO332" s="24" t="inlineStr">
        <is>
          <t>NO_CALL_LOW_EDGE</t>
        </is>
      </c>
      <c r="AP332" s="24" t="inlineStr">
        <is>
          <t>Butterfly</t>
        </is>
      </c>
      <c r="AQ332" s="24" t="inlineStr">
        <is>
          <t>Butterfly</t>
        </is>
      </c>
      <c r="AR332" s="24" t="inlineStr">
        <is>
          <t>Butterfly</t>
        </is>
      </c>
      <c r="AS332" s="24" t="inlineStr">
        <is>
          <t>ARCRED</t>
        </is>
      </c>
      <c r="AT332" s="24" t="inlineStr">
        <is>
          <t>ARCRED</t>
        </is>
      </c>
      <c r="AU332" s="24" t="inlineStr">
        <is>
          <t>ARCRED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d5fa90971ced522e0070399e9eeaba0b323d1e6ef1030b6470d86e8cb482d801</t>
        </is>
      </c>
      <c r="BB332" s="24" t="inlineStr">
        <is>
          <t>neutral_elo</t>
        </is>
      </c>
      <c r="BC332" s="24" t="inlineStr">
        <is>
          <t>cs2-tiered-elo-v5</t>
        </is>
      </c>
      <c r="BD332" s="24" t="inlineStr">
        <is>
          <t>d5fa90971ced522e0070399e9eeaba0b323d1e6ef1030b6470d86e8cb482d801</t>
        </is>
      </c>
      <c r="BE332" s="24" t="inlineStr">
        <is>
          <t>1</t>
        </is>
      </c>
      <c r="BF332" s="24" t="inlineStr">
        <is>
          <t>1</t>
        </is>
      </c>
      <c r="BG332" s="24" t="inlineStr">
        <is>
          <t>cs2-tiered-elo-v5</t>
        </is>
      </c>
      <c r="BH332" s="24" t="inlineStr">
        <is>
          <t>2026-08-02T18:08:51.886373Z</t>
        </is>
      </c>
      <c r="BI332" s="24" t="inlineStr">
        <is>
          <t>["same_event","same_team_same_day","same_league_same_day"]</t>
        </is>
      </c>
      <c r="BJ332" s="25" t="n"/>
      <c r="BK332" s="26" t="n">
        <v>-178</v>
      </c>
      <c r="BL332" s="27" t="n">
        <v>1.561798</v>
      </c>
      <c r="BM332" s="28" t="n">
        <v>0.640288</v>
      </c>
      <c r="BN332" s="28" t="n"/>
      <c r="BO332" s="28" t="n"/>
      <c r="BP332" s="25" t="n"/>
      <c r="BQ332" s="27" t="n"/>
      <c r="BR332" s="28" t="n"/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inlineStr">
        <is>
          <t>False</t>
        </is>
      </c>
    </row>
    <row r="333" ht="36" customHeight="1">
      <c r="A333" s="24" t="inlineStr">
        <is>
          <t>5cedabf938574ec3</t>
        </is>
      </c>
      <c r="B333" s="24" t="inlineStr">
        <is>
          <t>2026-08-02T18:08:55.998248Z</t>
        </is>
      </c>
      <c r="C333" s="24" t="inlineStr">
        <is>
          <t>2026-08-03T23:00:00Z</t>
        </is>
      </c>
      <c r="D333" s="24" t="inlineStr">
        <is>
          <t>68043</t>
        </is>
      </c>
      <c r="E333" s="24" t="inlineStr">
        <is>
          <t>CS2</t>
        </is>
      </c>
      <c r="F333" s="24" t="inlineStr">
        <is>
          <t>paiN Academy</t>
        </is>
      </c>
      <c r="G333" s="24" t="inlineStr">
        <is>
          <t>Grêmio Esports</t>
        </is>
      </c>
      <c r="H333" s="24" t="inlineStr">
        <is>
          <t>moneyline</t>
        </is>
      </c>
      <c r="I333" s="24" t="inlineStr">
        <is>
          <t>home</t>
        </is>
      </c>
      <c r="J333" s="25" t="n"/>
      <c r="K333" s="24" t="inlineStr">
        <is>
          <t>polymarket_us</t>
        </is>
      </c>
      <c r="L333" s="26" t="n">
        <v>122</v>
      </c>
      <c r="M333" s="27" t="n">
        <v>2.22</v>
      </c>
      <c r="N333" s="28" t="n">
        <v>0.45045</v>
      </c>
      <c r="O333" s="28" t="n">
        <v>0.569636</v>
      </c>
      <c r="P333" s="28" t="n"/>
      <c r="Q333" s="28" t="n">
        <v>0.119186</v>
      </c>
      <c r="R333" s="26" t="n">
        <v>80</v>
      </c>
      <c r="S333" s="29" t="n">
        <v>1.25</v>
      </c>
      <c r="T333" s="24" t="inlineStr">
        <is>
          <t>cs2-tiered-elo-v5</t>
        </is>
      </c>
      <c r="U333" s="24" t="inlineStr">
        <is>
          <t>open</t>
        </is>
      </c>
      <c r="V333" s="24" t="n"/>
      <c r="W333" s="26" t="n"/>
      <c r="X333" s="26" t="n"/>
      <c r="Y333" s="25" t="n"/>
      <c r="Z333" s="26" t="n"/>
      <c r="AA333" s="28" t="n"/>
      <c r="AB333" s="28" t="n"/>
      <c r="AC333" s="30" t="n"/>
      <c r="AD333" s="24" t="n"/>
      <c r="AE333" s="31" t="inlineStr">
        <is>
          <t>Neutral Elo baseline; executable ask 0.4500 (market_slug=aec-cs2-ger-paina-2026-08-03).</t>
        </is>
      </c>
      <c r="AF333" s="31" t="inlineStr">
        <is>
          <t>Config-promoted esports baseline; gates enforced at log time.</t>
        </is>
      </c>
      <c r="AG333" s="24" t="inlineStr">
        <is>
          <t>not_applicable</t>
        </is>
      </c>
      <c r="AH333" s="24" t="n"/>
      <c r="AI333" s="31" t="n"/>
      <c r="AJ333" s="31" t="n"/>
      <c r="AK333" s="24" t="inlineStr">
        <is>
          <t>research_observation</t>
        </is>
      </c>
      <c r="AL333" s="26" t="n">
        <v>3</v>
      </c>
      <c r="AM333" s="24" t="inlineStr">
        <is>
          <t>RESEARCH_OBSERVATION</t>
        </is>
      </c>
      <c r="AN333" s="24" t="inlineStr">
        <is>
          <t>NO_CALL</t>
        </is>
      </c>
      <c r="AO333" s="24" t="inlineStr">
        <is>
          <t>NO_CALL_MODEL_UNVALIDATED</t>
        </is>
      </c>
      <c r="AP333" s="24" t="inlineStr">
        <is>
          <t>paiN Academy</t>
        </is>
      </c>
      <c r="AQ333" s="24" t="inlineStr">
        <is>
          <t>paiN Academy</t>
        </is>
      </c>
      <c r="AR333" s="24" t="inlineStr">
        <is>
          <t>paiN Academy</t>
        </is>
      </c>
      <c r="AS333" s="24" t="inlineStr">
        <is>
          <t>Grêmio Esports</t>
        </is>
      </c>
      <c r="AT333" s="24" t="inlineStr">
        <is>
          <t>Grêmio Esports</t>
        </is>
      </c>
      <c r="AU333" s="24" t="inlineStr">
        <is>
          <t>Grêmio Esports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d5fa90971ced522e0070399e9eeaba0b323d1e6ef1030b6470d86e8cb482d801</t>
        </is>
      </c>
      <c r="BB333" s="24" t="inlineStr">
        <is>
          <t>neutral_elo</t>
        </is>
      </c>
      <c r="BC333" s="24" t="inlineStr">
        <is>
          <t>cs2-tiered-elo-v5</t>
        </is>
      </c>
      <c r="BD333" s="24" t="inlineStr">
        <is>
          <t>d5fa90971ced522e0070399e9eeaba0b323d1e6ef1030b6470d86e8cb482d801</t>
        </is>
      </c>
      <c r="BE333" s="24" t="inlineStr">
        <is>
          <t>1</t>
        </is>
      </c>
      <c r="BF333" s="24" t="inlineStr">
        <is>
          <t>1</t>
        </is>
      </c>
      <c r="BG333" s="24" t="inlineStr">
        <is>
          <t>cs2-tiered-elo-v5</t>
        </is>
      </c>
      <c r="BH333" s="24" t="inlineStr">
        <is>
          <t>2026-08-02T18:08:55.995920Z</t>
        </is>
      </c>
      <c r="BI333" s="24" t="inlineStr">
        <is>
          <t>["same_event","same_team_same_day","same_league_same_day"]</t>
        </is>
      </c>
      <c r="BJ333" s="25" t="n"/>
      <c r="BK333" s="26" t="n">
        <v>122</v>
      </c>
      <c r="BL333" s="27" t="n">
        <v>2.22</v>
      </c>
      <c r="BM333" s="28" t="n">
        <v>0.45045</v>
      </c>
      <c r="BN333" s="28" t="n"/>
      <c r="BO333" s="28" t="n"/>
      <c r="BP333" s="25" t="n"/>
      <c r="BQ333" s="27" t="n"/>
      <c r="BR333" s="28" t="n"/>
      <c r="BS333" s="28" t="n"/>
      <c r="BT333" s="28" t="n"/>
      <c r="BU333" s="25" t="n"/>
      <c r="BV333" s="29" t="n"/>
      <c r="BW333" s="24" t="n"/>
      <c r="BX333" s="30" t="n"/>
      <c r="BY333" s="27" t="n"/>
      <c r="BZ333" s="24" t="n"/>
      <c r="CA333" s="31" t="n"/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inlineStr">
        <is>
          <t>True</t>
        </is>
      </c>
    </row>
    <row r="334" ht="36" customHeight="1">
      <c r="A334" s="24" t="inlineStr">
        <is>
          <t>08d0ede8dece4ca8</t>
        </is>
      </c>
      <c r="B334" s="24" t="inlineStr">
        <is>
          <t>2026-08-02T18:09:15.539608Z</t>
        </is>
      </c>
      <c r="C334" s="24" t="inlineStr">
        <is>
          <t>2026-08-03T05:00:00Z</t>
        </is>
      </c>
      <c r="D334" s="24" t="inlineStr">
        <is>
          <t>69530</t>
        </is>
      </c>
      <c r="E334" s="24" t="inlineStr">
        <is>
          <t>DOTA2</t>
        </is>
      </c>
      <c r="F334" s="24" t="inlineStr">
        <is>
          <t>GLYPH</t>
        </is>
      </c>
      <c r="G334" s="24" t="inlineStr">
        <is>
          <t>PlayTime</t>
        </is>
      </c>
      <c r="H334" s="24" t="inlineStr">
        <is>
          <t>moneyline</t>
        </is>
      </c>
      <c r="I334" s="24" t="inlineStr">
        <is>
          <t>home</t>
        </is>
      </c>
      <c r="J334" s="25" t="n"/>
      <c r="K334" s="24" t="inlineStr">
        <is>
          <t>polymarket_us</t>
        </is>
      </c>
      <c r="L334" s="26" t="n">
        <v>-127</v>
      </c>
      <c r="M334" s="27" t="n">
        <v>1.787402</v>
      </c>
      <c r="N334" s="28" t="n">
        <v>0.5594710000000001</v>
      </c>
      <c r="O334" s="28" t="n">
        <v>0.687866</v>
      </c>
      <c r="P334" s="28" t="n"/>
      <c r="Q334" s="28" t="n">
        <v>0.128395</v>
      </c>
      <c r="R334" s="26" t="n">
        <v>84</v>
      </c>
      <c r="S334" s="29" t="n">
        <v>2</v>
      </c>
      <c r="T334" s="24" t="inlineStr">
        <is>
          <t>dota2-tiered-elo-v5</t>
        </is>
      </c>
      <c r="U334" s="24" t="inlineStr">
        <is>
          <t>open</t>
        </is>
      </c>
      <c r="V334" s="24" t="n"/>
      <c r="W334" s="26" t="n"/>
      <c r="X334" s="26" t="n"/>
      <c r="Y334" s="25" t="n"/>
      <c r="Z334" s="26" t="n"/>
      <c r="AA334" s="28" t="n"/>
      <c r="AB334" s="28" t="n"/>
      <c r="AC334" s="30" t="n"/>
      <c r="AD334" s="24" t="n"/>
      <c r="AE334" s="31" t="inlineStr">
        <is>
          <t>Neutral Elo baseline; executable ask 0.5600 (market_slug=aec-dota2-pla-glyph-2026-08-03).</t>
        </is>
      </c>
      <c r="AF334" s="31" t="inlineStr">
        <is>
          <t>Config-promoted esports baseline; gates enforced at log time.</t>
        </is>
      </c>
      <c r="AG334" s="24" t="inlineStr">
        <is>
          <t>not_applicable</t>
        </is>
      </c>
      <c r="AH334" s="24" t="n"/>
      <c r="AI334" s="31" t="n"/>
      <c r="AJ334" s="31" t="n"/>
      <c r="AK334" s="24" t="inlineStr">
        <is>
          <t>model_qualified</t>
        </is>
      </c>
      <c r="AL334" s="26" t="n">
        <v>3</v>
      </c>
      <c r="AM334" s="24" t="inlineStr">
        <is>
          <t>QUALIFIED_SHADOW_CALL</t>
        </is>
      </c>
      <c r="AN334" s="24" t="inlineStr">
        <is>
          <t>CALL</t>
        </is>
      </c>
      <c r="AO334" s="24" t="inlineStr">
        <is>
          <t>QUALIFIED</t>
        </is>
      </c>
      <c r="AP334" s="24" t="inlineStr">
        <is>
          <t>GLYPH</t>
        </is>
      </c>
      <c r="AQ334" s="24" t="inlineStr">
        <is>
          <t>GLYPH</t>
        </is>
      </c>
      <c r="AR334" s="24" t="inlineStr">
        <is>
          <t>GLYPH</t>
        </is>
      </c>
      <c r="AS334" s="24" t="inlineStr">
        <is>
          <t>PlayTime</t>
        </is>
      </c>
      <c r="AT334" s="24" t="inlineStr">
        <is>
          <t>PlayTime</t>
        </is>
      </c>
      <c r="AU334" s="24" t="inlineStr">
        <is>
          <t>PlayTime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8e17bc625b6f663721d0cd0b27f30cf8017a2cbaa61c81881824fbb2600f16d7</t>
        </is>
      </c>
      <c r="BB334" s="24" t="inlineStr">
        <is>
          <t>neutral_elo</t>
        </is>
      </c>
      <c r="BC334" s="24" t="inlineStr">
        <is>
          <t>dota2-tiered-elo-v5</t>
        </is>
      </c>
      <c r="BD334" s="24" t="inlineStr">
        <is>
          <t>8e17bc625b6f663721d0cd0b27f30cf8017a2cbaa61c81881824fbb2600f16d7</t>
        </is>
      </c>
      <c r="BE334" s="24" t="inlineStr">
        <is>
          <t>1</t>
        </is>
      </c>
      <c r="BF334" s="24" t="inlineStr">
        <is>
          <t>1</t>
        </is>
      </c>
      <c r="BG334" s="24" t="inlineStr">
        <is>
          <t>dota2-tiered-elo-v5</t>
        </is>
      </c>
      <c r="BH334" s="24" t="inlineStr">
        <is>
          <t>2026-08-02T18:09:15.062801Z</t>
        </is>
      </c>
      <c r="BI334" s="24" t="inlineStr">
        <is>
          <t>["same_event","same_team_same_day","same_league_same_day"]</t>
        </is>
      </c>
      <c r="BJ334" s="25" t="n"/>
      <c r="BK334" s="26" t="n">
        <v>-127</v>
      </c>
      <c r="BL334" s="27" t="n">
        <v>1.787402</v>
      </c>
      <c r="BM334" s="28" t="n">
        <v>0.5594710000000001</v>
      </c>
      <c r="BN334" s="28" t="n"/>
      <c r="BO334" s="28" t="n"/>
      <c r="BP334" s="25" t="n"/>
      <c r="BQ334" s="27" t="n"/>
      <c r="BR334" s="28" t="n"/>
      <c r="BS334" s="28" t="n"/>
      <c r="BT334" s="28" t="n"/>
      <c r="BU334" s="25" t="n"/>
      <c r="BV334" s="29" t="n"/>
      <c r="BW334" s="24" t="n"/>
      <c r="BX334" s="30" t="n"/>
      <c r="BY334" s="27" t="n"/>
      <c r="BZ334" s="24" t="n"/>
      <c r="CA334" s="31" t="n"/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inlineStr">
        <is>
          <t>True</t>
        </is>
      </c>
    </row>
    <row r="335" ht="36" customHeight="1">
      <c r="A335" s="24" t="inlineStr">
        <is>
          <t>fabdce59c2ab4922</t>
        </is>
      </c>
      <c r="B335" s="24" t="inlineStr">
        <is>
          <t>2026-08-02T18:09:00.555377Z</t>
        </is>
      </c>
      <c r="C335" s="24" t="inlineStr">
        <is>
          <t>2026-08-02T15:30:00-0400</t>
        </is>
      </c>
      <c r="D335" s="24" t="inlineStr">
        <is>
          <t>401857108</t>
        </is>
      </c>
      <c r="E335" s="24" t="inlineStr">
        <is>
          <t>WNBA</t>
        </is>
      </c>
      <c r="F335" s="24" t="inlineStr">
        <is>
          <t>Los Angeles Sparks</t>
        </is>
      </c>
      <c r="G335" s="24" t="inlineStr">
        <is>
          <t>Portland Fire</t>
        </is>
      </c>
      <c r="H335" s="24" t="inlineStr">
        <is>
          <t>moneyline</t>
        </is>
      </c>
      <c r="I335" s="24" t="inlineStr">
        <is>
          <t>home</t>
        </is>
      </c>
      <c r="J335" s="25" t="n"/>
      <c r="K335" s="24" t="inlineStr">
        <is>
          <t>polymarket_us</t>
        </is>
      </c>
      <c r="L335" s="26" t="n">
        <v>100</v>
      </c>
      <c r="M335" s="27" t="n">
        <v>2</v>
      </c>
      <c r="N335" s="28" t="n">
        <v>0.5</v>
      </c>
      <c r="O335" s="28" t="n">
        <v>0.57112</v>
      </c>
      <c r="P335" s="28" t="n"/>
      <c r="Q335" s="28" t="n">
        <v>0.07112</v>
      </c>
      <c r="R335" s="26" t="n">
        <v>58</v>
      </c>
      <c r="S335" s="29" t="n">
        <v>1.25</v>
      </c>
      <c r="T335" s="24" t="inlineStr">
        <is>
          <t>wnba-elo-trend-lr-v4</t>
        </is>
      </c>
      <c r="U335" s="24" t="inlineStr">
        <is>
          <t>open</t>
        </is>
      </c>
      <c r="V335" s="24" t="n"/>
      <c r="W335" s="26" t="n"/>
      <c r="X335" s="26" t="n"/>
      <c r="Y335" s="25" t="n"/>
      <c r="Z335" s="26" t="n"/>
      <c r="AA335" s="28" t="n"/>
      <c r="AB335" s="28" t="n"/>
      <c r="AC335" s="30" t="n"/>
      <c r="AD335" s="24" t="n"/>
      <c r="AE335" s="31" t="inlineStr">
        <is>
          <t>Learned LR call at threshold 0.5001; executable ask 0.5000 (aec-wnba-la-por-2026-08-02); model edge vs ask +0.0711. NOTE: NO_CALL_AVAILABILITY_PLAYER_UNMAPPED unavailable for this game — defaulted to neutral, other features used normally.</t>
        </is>
      </c>
      <c r="AF335" s="31" t="inlineStr">
        <is>
          <t>Learned model; shadow-qualified via operator override.</t>
        </is>
      </c>
      <c r="AG335" s="24" t="inlineStr">
        <is>
          <t>not_applicable</t>
        </is>
      </c>
      <c r="AH335" s="24" t="n"/>
      <c r="AI335" s="31" t="n"/>
      <c r="AJ335" s="31" t="n"/>
      <c r="AK335" s="24" t="inlineStr">
        <is>
          <t>model_qualified</t>
        </is>
      </c>
      <c r="AL335" s="26" t="n">
        <v>3</v>
      </c>
      <c r="AM335" s="24" t="inlineStr">
        <is>
          <t>QUALIFIED_SHADOW_CALL</t>
        </is>
      </c>
      <c r="AN335" s="24" t="inlineStr">
        <is>
          <t>CALL</t>
        </is>
      </c>
      <c r="AO335" s="24" t="inlineStr">
        <is>
          <t>QUALIFIED</t>
        </is>
      </c>
      <c r="AP335" s="24" t="inlineStr">
        <is>
          <t>wnba-las</t>
        </is>
      </c>
      <c r="AQ335" s="24" t="inlineStr">
        <is>
          <t>Los Angeles Sparks</t>
        </is>
      </c>
      <c r="AR335" s="24" t="inlineStr">
        <is>
          <t>Los Angeles Sparks</t>
        </is>
      </c>
      <c r="AS335" s="24" t="inlineStr">
        <is>
          <t>wnba-por</t>
        </is>
      </c>
      <c r="AT335" s="24" t="inlineStr">
        <is>
          <t>Portland Fire</t>
        </is>
      </c>
      <c r="AU335" s="24" t="inlineStr">
        <is>
          <t>Portland Fire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7afd5274214b58b7efd7f7febc7be3ab33b92351cda5cc6403c0a39faea0cc8c</t>
        </is>
      </c>
      <c r="BB335" s="24" t="inlineStr">
        <is>
          <t>learned_lr</t>
        </is>
      </c>
      <c r="BC335" s="24" t="inlineStr">
        <is>
          <t>wnba-elo-trend-lr-v4</t>
        </is>
      </c>
      <c r="BD335" s="24" t="inlineStr">
        <is>
          <t>7afd5274214b58b7efd7f7febc7be3ab33b92351cda5cc6403c0a39faea0cc8c</t>
        </is>
      </c>
      <c r="BE335" s="24" t="inlineStr">
        <is>
          <t>58d7c01d51192db8</t>
        </is>
      </c>
      <c r="BF335" s="24" t="inlineStr">
        <is>
          <t>1</t>
        </is>
      </c>
      <c r="BG335" s="24" t="inlineStr">
        <is>
          <t>wnba-elo-trend-lr-v4</t>
        </is>
      </c>
      <c r="BH335" s="24" t="inlineStr">
        <is>
          <t>2026-08-02T18:07:47.789373Z</t>
        </is>
      </c>
      <c r="BI335" s="24" t="inlineStr">
        <is>
          <t>["same_event","same_team_same_day","same_league_same_day"]</t>
        </is>
      </c>
      <c r="BJ335" s="25" t="n"/>
      <c r="BK335" s="26" t="n">
        <v>100</v>
      </c>
      <c r="BL335" s="27" t="n">
        <v>2</v>
      </c>
      <c r="BM335" s="28" t="n">
        <v>0.5</v>
      </c>
      <c r="BN335" s="28" t="n">
        <v>0.49505</v>
      </c>
      <c r="BO335" s="28" t="n"/>
      <c r="BP335" s="25" t="n"/>
      <c r="BQ335" s="27" t="n"/>
      <c r="BR335" s="28" t="n"/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inlineStr">
        <is>
          <t>0.5937045717</t>
        </is>
      </c>
      <c r="CD335" s="24" t="inlineStr">
        <is>
          <t>-1.420483</t>
        </is>
      </c>
      <c r="CE335" s="24" t="n"/>
      <c r="CF335" s="24" t="n"/>
      <c r="CG335" s="24" t="n"/>
      <c r="CH335" s="24" t="n"/>
      <c r="CI335" s="24" t="inlineStr">
        <is>
          <t>NO_CALL_AVAILABILITY_PLAYER_UNMAPPED</t>
        </is>
      </c>
      <c r="CJ335" s="24" t="n"/>
      <c r="CK335" s="24" t="n"/>
      <c r="CL335" s="24" t="n"/>
      <c r="CM335" s="24" t="n"/>
      <c r="CN335" s="24" t="n"/>
      <c r="CO335" s="24" t="n"/>
      <c r="CP335" s="24" t="inlineStr">
        <is>
          <t>0.57112</t>
        </is>
      </c>
      <c r="CQ335" s="24" t="inlineStr">
        <is>
          <t>True</t>
        </is>
      </c>
    </row>
    <row r="336" ht="36" customHeight="1">
      <c r="A336" s="24" t="inlineStr">
        <is>
          <t>af4a64dfc1ca4135</t>
        </is>
      </c>
      <c r="B336" s="24" t="inlineStr">
        <is>
          <t>2026-08-02T18:09:00.555377Z</t>
        </is>
      </c>
      <c r="C336" s="24" t="inlineStr">
        <is>
          <t>2026-08-02T14:10:00-0400</t>
        </is>
      </c>
      <c r="D336" s="24" t="inlineStr">
        <is>
          <t>401816370</t>
        </is>
      </c>
      <c r="E336" s="24" t="inlineStr">
        <is>
          <t>MLB</t>
        </is>
      </c>
      <c r="F336" s="24" t="inlineStr">
        <is>
          <t>Texas Rangers</t>
        </is>
      </c>
      <c r="G336" s="24" t="inlineStr">
        <is>
          <t>Houston Astros</t>
        </is>
      </c>
      <c r="H336" s="24" t="inlineStr">
        <is>
          <t>moneyline</t>
        </is>
      </c>
      <c r="I336" s="24" t="inlineStr">
        <is>
          <t>home</t>
        </is>
      </c>
      <c r="J336" s="25" t="n"/>
      <c r="K336" s="24" t="inlineStr">
        <is>
          <t>polymarket_us</t>
        </is>
      </c>
      <c r="L336" s="26" t="n">
        <v>-127</v>
      </c>
      <c r="M336" s="27" t="n">
        <v>1.787402</v>
      </c>
      <c r="N336" s="28" t="n">
        <v>0.5594710000000001</v>
      </c>
      <c r="O336" s="28" t="n">
        <v>0.538187</v>
      </c>
      <c r="P336" s="28" t="n"/>
      <c r="Q336" s="28" t="n">
        <v>-0.021284</v>
      </c>
      <c r="R336" s="26" t="n">
        <v>10</v>
      </c>
      <c r="S336" s="29" t="n">
        <v>1</v>
      </c>
      <c r="T336" s="24" t="inlineStr">
        <is>
          <t>mlb-elo-trend-lr-v7</t>
        </is>
      </c>
      <c r="U336" s="24" t="inlineStr">
        <is>
          <t>open</t>
        </is>
      </c>
      <c r="V336" s="24" t="n"/>
      <c r="W336" s="26" t="n"/>
      <c r="X336" s="26" t="n"/>
      <c r="Y336" s="25" t="n"/>
      <c r="Z336" s="26" t="n"/>
      <c r="AA336" s="28" t="n"/>
      <c r="AB336" s="28" t="n"/>
      <c r="AC336" s="30" t="n"/>
      <c r="AD336" s="24" t="n"/>
      <c r="AE336" s="31" t="inlineStr">
        <is>
          <t>Learned LR call at threshold 0.6242; executable ask 0.5600 (aec-mlb-tex-hou-2026-08-02); model edge vs ask -0.0218.</t>
        </is>
      </c>
      <c r="AF336" s="31" t="inlineStr">
        <is>
          <t>Learned model; shadow-qualified via operator override.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model_qualified</t>
        </is>
      </c>
      <c r="AL336" s="26" t="n">
        <v>3</v>
      </c>
      <c r="AM336" s="24" t="inlineStr">
        <is>
          <t>QUALIFIED_SHADOW_CALL</t>
        </is>
      </c>
      <c r="AN336" s="24" t="inlineStr">
        <is>
          <t>CALL</t>
        </is>
      </c>
      <c r="AO336" s="24" t="inlineStr">
        <is>
          <t>QUALIFIED</t>
        </is>
      </c>
      <c r="AP336" s="24" t="inlineStr">
        <is>
          <t>mlb-tex</t>
        </is>
      </c>
      <c r="AQ336" s="24" t="inlineStr">
        <is>
          <t>Texas Rangers</t>
        </is>
      </c>
      <c r="AR336" s="24" t="inlineStr">
        <is>
          <t>Texas Rangers</t>
        </is>
      </c>
      <c r="AS336" s="24" t="inlineStr">
        <is>
          <t>mlb-hou</t>
        </is>
      </c>
      <c r="AT336" s="24" t="inlineStr">
        <is>
          <t>Houston Astros</t>
        </is>
      </c>
      <c r="AU336" s="24" t="inlineStr">
        <is>
          <t>Houston Astros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464eef695bfbbdaa819ec6f5e4c5bd1068ed20b92915fb2677220ae91e20d8b6</t>
        </is>
      </c>
      <c r="BB336" s="24" t="inlineStr">
        <is>
          <t>learned_lr</t>
        </is>
      </c>
      <c r="BC336" s="24" t="inlineStr">
        <is>
          <t>mlb-elo-trend-lr-v7</t>
        </is>
      </c>
      <c r="BD336" s="24" t="inlineStr">
        <is>
          <t>464eef695bfbbdaa819ec6f5e4c5bd1068ed20b92915fb2677220ae91e20d8b6</t>
        </is>
      </c>
      <c r="BE336" s="24" t="inlineStr">
        <is>
          <t>2d42dfba300c1668</t>
        </is>
      </c>
      <c r="BF336" s="24" t="inlineStr">
        <is>
          <t>1</t>
        </is>
      </c>
      <c r="BG336" s="24" t="inlineStr">
        <is>
          <t>mlb-elo-trend-lr-v7</t>
        </is>
      </c>
      <c r="BH336" s="24" t="inlineStr">
        <is>
          <t>2026-08-02T18:07:38.400166Z</t>
        </is>
      </c>
      <c r="BI336" s="24" t="inlineStr">
        <is>
          <t>["same_event","same_team_same_day","same_league_same_day"]</t>
        </is>
      </c>
      <c r="BJ336" s="25" t="n"/>
      <c r="BK336" s="26" t="n">
        <v>-127</v>
      </c>
      <c r="BL336" s="27" t="n">
        <v>1.787402</v>
      </c>
      <c r="BM336" s="28" t="n">
        <v>0.5594710000000001</v>
      </c>
      <c r="BN336" s="28" t="n">
        <v>0.557214</v>
      </c>
      <c r="BO336" s="28" t="n"/>
      <c r="BP336" s="25" t="n"/>
      <c r="BQ336" s="27" t="n"/>
      <c r="BR336" s="28" t="n"/>
      <c r="BS336" s="28" t="n"/>
      <c r="BT336" s="28" t="n"/>
      <c r="BU336" s="25" t="n"/>
      <c r="BV336" s="29" t="n"/>
      <c r="BW336" s="24" t="n"/>
      <c r="BX336" s="30" t="n"/>
      <c r="BY336" s="27" t="n"/>
      <c r="BZ336" s="24" t="n"/>
      <c r="CA336" s="31" t="n"/>
      <c r="CB336" s="24" t="n"/>
      <c r="CC336" s="24" t="inlineStr">
        <is>
          <t>0.5570987062</t>
        </is>
      </c>
      <c r="CD336" s="24" t="inlineStr">
        <is>
          <t>1.976345</t>
        </is>
      </c>
      <c r="CE336" s="24" t="inlineStr">
        <is>
          <t>0.956</t>
        </is>
      </c>
      <c r="CF336" s="24" t="inlineStr">
        <is>
          <t>1.0</t>
        </is>
      </c>
      <c r="CG336" s="24" t="inlineStr">
        <is>
          <t>-1.4</t>
        </is>
      </c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inlineStr">
        <is>
          <t>0.538187</t>
        </is>
      </c>
      <c r="CQ336" s="24" t="inlineStr">
        <is>
          <t>False</t>
        </is>
      </c>
    </row>
    <row r="337" ht="36" customHeight="1">
      <c r="A337" s="24" t="inlineStr">
        <is>
          <t>bdd029d04dba4dd2</t>
        </is>
      </c>
      <c r="B337" s="24" t="inlineStr">
        <is>
          <t>2026-08-02T18:09:00.555377Z</t>
        </is>
      </c>
      <c r="C337" s="24" t="inlineStr">
        <is>
          <t>2026-08-02T19:00:00-0400</t>
        </is>
      </c>
      <c r="D337" s="24" t="inlineStr">
        <is>
          <t>401857109</t>
        </is>
      </c>
      <c r="E337" s="24" t="inlineStr">
        <is>
          <t>WNBA</t>
        </is>
      </c>
      <c r="F337" s="24" t="inlineStr">
        <is>
          <t>Connecticut Sun</t>
        </is>
      </c>
      <c r="G337" s="24" t="inlineStr">
        <is>
          <t>Dallas Wings</t>
        </is>
      </c>
      <c r="H337" s="24" t="inlineStr">
        <is>
          <t>moneyline</t>
        </is>
      </c>
      <c r="I337" s="24" t="inlineStr">
        <is>
          <t>home</t>
        </is>
      </c>
      <c r="J337" s="25" t="n"/>
      <c r="K337" s="24" t="inlineStr">
        <is>
          <t>polymarket_us</t>
        </is>
      </c>
      <c r="L337" s="26" t="n">
        <v>-525</v>
      </c>
      <c r="M337" s="27" t="n">
        <v>1.190476</v>
      </c>
      <c r="N337" s="28" t="n">
        <v>0.84</v>
      </c>
      <c r="O337" s="28" t="n">
        <v>0.758559</v>
      </c>
      <c r="P337" s="28" t="n"/>
      <c r="Q337" s="28" t="n">
        <v>-0.081441</v>
      </c>
      <c r="R337" s="26" t="n">
        <v>0</v>
      </c>
      <c r="S337" s="29" t="n">
        <v>2</v>
      </c>
      <c r="T337" s="24" t="inlineStr">
        <is>
          <t>wnba-elo-trend-lr-v4</t>
        </is>
      </c>
      <c r="U337" s="24" t="inlineStr">
        <is>
          <t>open</t>
        </is>
      </c>
      <c r="V337" s="24" t="n"/>
      <c r="W337" s="26" t="n"/>
      <c r="X337" s="26" t="n"/>
      <c r="Y337" s="25" t="n"/>
      <c r="Z337" s="26" t="n"/>
      <c r="AA337" s="28" t="n"/>
      <c r="AB337" s="28" t="n"/>
      <c r="AC337" s="30" t="n"/>
      <c r="AD337" s="24" t="n"/>
      <c r="AE337" s="31" t="inlineStr">
        <is>
          <t>Learned LR call at threshold 0.5001; executable ask 0.8400 (aec-wnba-conn-dal-2026-08-02); model edge vs ask -0.0814. NOTE: NO_CALL_AVAILABILITY_PLAYER_UNMAPPED unavailable for this game — defaulted to neutral, other features used normally.</t>
        </is>
      </c>
      <c r="AF337" s="31" t="inlineStr">
        <is>
          <t>Learned model; shadow-qualified via operator override.</t>
        </is>
      </c>
      <c r="AG337" s="24" t="inlineStr">
        <is>
          <t>not_applicable</t>
        </is>
      </c>
      <c r="AH337" s="24" t="n"/>
      <c r="AI337" s="31" t="n"/>
      <c r="AJ337" s="31" t="n"/>
      <c r="AK337" s="24" t="inlineStr">
        <is>
          <t>model_qualified</t>
        </is>
      </c>
      <c r="AL337" s="26" t="n">
        <v>3</v>
      </c>
      <c r="AM337" s="24" t="inlineStr">
        <is>
          <t>QUALIFIED_SHADOW_CALL</t>
        </is>
      </c>
      <c r="AN337" s="24" t="inlineStr">
        <is>
          <t>CALL</t>
        </is>
      </c>
      <c r="AO337" s="24" t="inlineStr">
        <is>
          <t>QUALIFIED</t>
        </is>
      </c>
      <c r="AP337" s="24" t="inlineStr">
        <is>
          <t>wnba-con</t>
        </is>
      </c>
      <c r="AQ337" s="24" t="inlineStr">
        <is>
          <t>Connecticut Sun</t>
        </is>
      </c>
      <c r="AR337" s="24" t="inlineStr">
        <is>
          <t>Connecticut Sun</t>
        </is>
      </c>
      <c r="AS337" s="24" t="inlineStr">
        <is>
          <t>wnba-dal</t>
        </is>
      </c>
      <c r="AT337" s="24" t="inlineStr">
        <is>
          <t>Dallas Wings</t>
        </is>
      </c>
      <c r="AU337" s="24" t="inlineStr">
        <is>
          <t>Dallas Wings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7afd5274214b58b7efd7f7febc7be3ab33b92351cda5cc6403c0a39faea0cc8c</t>
        </is>
      </c>
      <c r="BB337" s="24" t="inlineStr">
        <is>
          <t>learned_lr</t>
        </is>
      </c>
      <c r="BC337" s="24" t="inlineStr">
        <is>
          <t>wnba-elo-trend-lr-v4</t>
        </is>
      </c>
      <c r="BD337" s="24" t="inlineStr">
        <is>
          <t>7afd5274214b58b7efd7f7febc7be3ab33b92351cda5cc6403c0a39faea0cc8c</t>
        </is>
      </c>
      <c r="BE337" s="24" t="inlineStr">
        <is>
          <t>9c0c7cfe02317de7</t>
        </is>
      </c>
      <c r="BF337" s="24" t="inlineStr">
        <is>
          <t>1</t>
        </is>
      </c>
      <c r="BG337" s="24" t="inlineStr">
        <is>
          <t>wnba-elo-trend-lr-v4</t>
        </is>
      </c>
      <c r="BH337" s="24" t="inlineStr">
        <is>
          <t>2026-08-02T18:07:48.876519Z</t>
        </is>
      </c>
      <c r="BI337" s="24" t="inlineStr">
        <is>
          <t>["same_event","same_team_same_day","same_league_same_day"]</t>
        </is>
      </c>
      <c r="BJ337" s="25" t="n"/>
      <c r="BK337" s="26" t="n">
        <v>-525</v>
      </c>
      <c r="BL337" s="27" t="n">
        <v>1.190476</v>
      </c>
      <c r="BM337" s="28" t="n">
        <v>0.84</v>
      </c>
      <c r="BN337" s="28" t="n">
        <v>0.831683</v>
      </c>
      <c r="BO337" s="28" t="n"/>
      <c r="BP337" s="25" t="n"/>
      <c r="BQ337" s="27" t="n"/>
      <c r="BR337" s="28" t="n"/>
      <c r="BS337" s="28" t="n"/>
      <c r="BT337" s="28" t="n"/>
      <c r="BU337" s="25" t="n"/>
      <c r="BV337" s="29" t="n"/>
      <c r="BW337" s="24" t="n"/>
      <c r="BX337" s="30" t="n"/>
      <c r="BY337" s="27" t="n"/>
      <c r="BZ337" s="24" t="n"/>
      <c r="CA337" s="31" t="n"/>
      <c r="CB337" s="24" t="n"/>
      <c r="CC337" s="24" t="inlineStr">
        <is>
          <t>0.8648169599</t>
        </is>
      </c>
      <c r="CD337" s="24" t="inlineStr">
        <is>
          <t>-2.14749</t>
        </is>
      </c>
      <c r="CE337" s="24" t="n"/>
      <c r="CF337" s="24" t="n"/>
      <c r="CG337" s="24" t="n"/>
      <c r="CH337" s="24" t="n"/>
      <c r="CI337" s="24" t="inlineStr">
        <is>
          <t>NO_CALL_AVAILABILITY_PLAYER_UNMAPPED</t>
        </is>
      </c>
      <c r="CJ337" s="24" t="n"/>
      <c r="CK337" s="24" t="n"/>
      <c r="CL337" s="24" t="n"/>
      <c r="CM337" s="24" t="n"/>
      <c r="CN337" s="24" t="n"/>
      <c r="CO337" s="24" t="n"/>
      <c r="CP337" s="24" t="inlineStr">
        <is>
          <t>0.758559</t>
        </is>
      </c>
      <c r="CQ337" s="24" t="inlineStr">
        <is>
          <t>False</t>
        </is>
      </c>
    </row>
    <row r="338" ht="36" customHeight="1">
      <c r="A338" s="24" t="inlineStr">
        <is>
          <t>952aed5c390d427c</t>
        </is>
      </c>
      <c r="B338" s="24" t="inlineStr">
        <is>
          <t>2026-08-02T18:09:00.555377Z</t>
        </is>
      </c>
      <c r="C338" s="24" t="inlineStr">
        <is>
          <t>2026-08-02T14:20:00-0400</t>
        </is>
      </c>
      <c r="D338" s="24" t="inlineStr">
        <is>
          <t>401816369</t>
        </is>
      </c>
      <c r="E338" s="24" t="inlineStr">
        <is>
          <t>MLB</t>
        </is>
      </c>
      <c r="F338" s="24" t="inlineStr">
        <is>
          <t>New York Yankees</t>
        </is>
      </c>
      <c r="G338" s="24" t="inlineStr">
        <is>
          <t>Chicago Cubs</t>
        </is>
      </c>
      <c r="H338" s="24" t="inlineStr">
        <is>
          <t>moneyline</t>
        </is>
      </c>
      <c r="I338" s="24" t="inlineStr">
        <is>
          <t>home</t>
        </is>
      </c>
      <c r="J338" s="25" t="n"/>
      <c r="K338" s="24" t="inlineStr">
        <is>
          <t>polymarket_us</t>
        </is>
      </c>
      <c r="L338" s="26" t="n">
        <v>108</v>
      </c>
      <c r="M338" s="27" t="n">
        <v>2.08</v>
      </c>
      <c r="N338" s="28" t="n">
        <v>0.480769</v>
      </c>
      <c r="O338" s="28" t="n">
        <v>0.549522</v>
      </c>
      <c r="P338" s="28" t="n"/>
      <c r="Q338" s="28" t="n">
        <v>0.06875299999999999</v>
      </c>
      <c r="R338" s="26" t="n">
        <v>56</v>
      </c>
      <c r="S338" s="29" t="n">
        <v>1</v>
      </c>
      <c r="T338" s="24" t="inlineStr">
        <is>
          <t>mlb-elo-trend-lr-v7</t>
        </is>
      </c>
      <c r="U338" s="24" t="inlineStr">
        <is>
          <t>open</t>
        </is>
      </c>
      <c r="V338" s="24" t="n"/>
      <c r="W338" s="26" t="n"/>
      <c r="X338" s="26" t="n"/>
      <c r="Y338" s="25" t="n"/>
      <c r="Z338" s="26" t="n"/>
      <c r="AA338" s="28" t="n"/>
      <c r="AB338" s="28" t="n"/>
      <c r="AC338" s="30" t="n"/>
      <c r="AD338" s="24" t="n"/>
      <c r="AE338" s="31" t="inlineStr">
        <is>
          <t>Learned LR call at threshold 0.6242; executable ask 0.4800 (aec-mlb-nyy-chc-2026-08-02); model edge vs ask +0.0695.</t>
        </is>
      </c>
      <c r="AF338" s="31" t="inlineStr">
        <is>
          <t>Learned model; shadow-qualified via operator override.</t>
        </is>
      </c>
      <c r="AG338" s="24" t="inlineStr">
        <is>
          <t>not_applicable</t>
        </is>
      </c>
      <c r="AH338" s="24" t="n"/>
      <c r="AI338" s="31" t="n"/>
      <c r="AJ338" s="31" t="n"/>
      <c r="AK338" s="24" t="inlineStr">
        <is>
          <t>model_qualified</t>
        </is>
      </c>
      <c r="AL338" s="26" t="n">
        <v>3</v>
      </c>
      <c r="AM338" s="24" t="inlineStr">
        <is>
          <t>QUALIFIED_SHADOW_CALL</t>
        </is>
      </c>
      <c r="AN338" s="24" t="inlineStr">
        <is>
          <t>CALL</t>
        </is>
      </c>
      <c r="AO338" s="24" t="inlineStr">
        <is>
          <t>QUALIFIED</t>
        </is>
      </c>
      <c r="AP338" s="24" t="inlineStr">
        <is>
          <t>mlb-nyy</t>
        </is>
      </c>
      <c r="AQ338" s="24" t="inlineStr">
        <is>
          <t>New York Yankees</t>
        </is>
      </c>
      <c r="AR338" s="24" t="inlineStr">
        <is>
          <t>New York Yankees</t>
        </is>
      </c>
      <c r="AS338" s="24" t="inlineStr">
        <is>
          <t>mlb-chc</t>
        </is>
      </c>
      <c r="AT338" s="24" t="inlineStr">
        <is>
          <t>Chicago Cubs</t>
        </is>
      </c>
      <c r="AU338" s="24" t="inlineStr">
        <is>
          <t>Chicago Cubs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shadow_qualified</t>
        </is>
      </c>
      <c r="BA338" s="24" t="inlineStr">
        <is>
          <t>464eef695bfbbdaa819ec6f5e4c5bd1068ed20b92915fb2677220ae91e20d8b6</t>
        </is>
      </c>
      <c r="BB338" s="24" t="inlineStr">
        <is>
          <t>learned_lr</t>
        </is>
      </c>
      <c r="BC338" s="24" t="inlineStr">
        <is>
          <t>mlb-elo-trend-lr-v7</t>
        </is>
      </c>
      <c r="BD338" s="24" t="inlineStr">
        <is>
          <t>464eef695bfbbdaa819ec6f5e4c5bd1068ed20b92915fb2677220ae91e20d8b6</t>
        </is>
      </c>
      <c r="BE338" s="24" t="inlineStr">
        <is>
          <t>6803e5ed5586b9a1</t>
        </is>
      </c>
      <c r="BF338" s="24" t="inlineStr">
        <is>
          <t>1</t>
        </is>
      </c>
      <c r="BG338" s="24" t="inlineStr">
        <is>
          <t>mlb-elo-trend-lr-v7</t>
        </is>
      </c>
      <c r="BH338" s="24" t="inlineStr">
        <is>
          <t>2026-08-02T18:07:39.064650Z</t>
        </is>
      </c>
      <c r="BI338" s="24" t="inlineStr">
        <is>
          <t>["same_event","same_team_same_day","same_league_same_day"]</t>
        </is>
      </c>
      <c r="BJ338" s="25" t="n"/>
      <c r="BK338" s="26" t="n">
        <v>108</v>
      </c>
      <c r="BL338" s="27" t="n">
        <v>2.08</v>
      </c>
      <c r="BM338" s="28" t="n">
        <v>0.480769</v>
      </c>
      <c r="BN338" s="28" t="n">
        <v>0.477612</v>
      </c>
      <c r="BO338" s="28" t="n"/>
      <c r="BP338" s="25" t="n"/>
      <c r="BQ338" s="27" t="n"/>
      <c r="BR338" s="28" t="n"/>
      <c r="BS338" s="28" t="n"/>
      <c r="BT338" s="28" t="n"/>
      <c r="BU338" s="25" t="n"/>
      <c r="BV338" s="29" t="n"/>
      <c r="BW338" s="24" t="n"/>
      <c r="BX338" s="30" t="n"/>
      <c r="BY338" s="27" t="n"/>
      <c r="BZ338" s="24" t="n"/>
      <c r="CA338" s="31" t="n"/>
      <c r="CB338" s="24" t="n"/>
      <c r="CC338" s="24" t="inlineStr">
        <is>
          <t>0.5479631024</t>
        </is>
      </c>
      <c r="CD338" s="24" t="inlineStr">
        <is>
          <t>0.358864</t>
        </is>
      </c>
      <c r="CE338" s="24" t="inlineStr">
        <is>
          <t>0.986</t>
        </is>
      </c>
      <c r="CF338" s="24" t="inlineStr">
        <is>
          <t>1.0082</t>
        </is>
      </c>
      <c r="CG338" s="24" t="inlineStr">
        <is>
          <t>-0.8</t>
        </is>
      </c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inlineStr">
        <is>
          <t>0.549522</t>
        </is>
      </c>
      <c r="CQ338" s="24" t="inlineStr">
        <is>
          <t>True</t>
        </is>
      </c>
    </row>
    <row r="339" ht="36" customHeight="1">
      <c r="A339" s="24" t="inlineStr">
        <is>
          <t>a27a9520efd143d4</t>
        </is>
      </c>
      <c r="B339" s="24" t="inlineStr">
        <is>
          <t>2026-08-02T18:09:00.555377Z</t>
        </is>
      </c>
      <c r="C339" s="24" t="inlineStr">
        <is>
          <t>2026-08-02T20:30:00-0400</t>
        </is>
      </c>
      <c r="D339" s="24" t="inlineStr">
        <is>
          <t>401857110</t>
        </is>
      </c>
      <c r="E339" s="24" t="inlineStr">
        <is>
          <t>WNBA</t>
        </is>
      </c>
      <c r="F339" s="24" t="inlineStr">
        <is>
          <t>Toronto Tempo</t>
        </is>
      </c>
      <c r="G339" s="24" t="inlineStr">
        <is>
          <t>Golden State Valkyries</t>
        </is>
      </c>
      <c r="H339" s="24" t="inlineStr">
        <is>
          <t>moneyline</t>
        </is>
      </c>
      <c r="I339" s="24" t="inlineStr">
        <is>
          <t>home</t>
        </is>
      </c>
      <c r="J339" s="25" t="n"/>
      <c r="K339" s="24" t="inlineStr">
        <is>
          <t>polymarket_us</t>
        </is>
      </c>
      <c r="L339" s="26" t="n">
        <v>-669</v>
      </c>
      <c r="M339" s="27" t="n">
        <v>1.149477</v>
      </c>
      <c r="N339" s="28" t="n">
        <v>0.869961</v>
      </c>
      <c r="O339" s="28" t="n">
        <v>0.772803</v>
      </c>
      <c r="P339" s="28" t="n"/>
      <c r="Q339" s="28" t="n">
        <v>-0.09715799999999999</v>
      </c>
      <c r="R339" s="26" t="n">
        <v>0</v>
      </c>
      <c r="S339" s="29" t="n">
        <v>2</v>
      </c>
      <c r="T339" s="24" t="inlineStr">
        <is>
          <t>wnba-elo-trend-lr-v4</t>
        </is>
      </c>
      <c r="U339" s="24" t="inlineStr">
        <is>
          <t>open</t>
        </is>
      </c>
      <c r="V339" s="24" t="n"/>
      <c r="W339" s="26" t="n"/>
      <c r="X339" s="26" t="n"/>
      <c r="Y339" s="25" t="n"/>
      <c r="Z339" s="26" t="n"/>
      <c r="AA339" s="28" t="n"/>
      <c r="AB339" s="28" t="n"/>
      <c r="AC339" s="30" t="n"/>
      <c r="AD339" s="24" t="n"/>
      <c r="AE339" s="31" t="inlineStr">
        <is>
          <t>Learned LR call at threshold 0.5001; executable ask 0.8700 (aec-wnba-tor-gsv-2026-08-02); model edge vs ask -0.0972. NOTE: NO_CALL_AVAILABILITY_PLAYER_UNMAPPED unavailable for this game — defaulted to neutral, other features used normally.</t>
        </is>
      </c>
      <c r="AF339" s="31" t="inlineStr">
        <is>
          <t>Learned model; shadow-qualified via operator override.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model_qualified</t>
        </is>
      </c>
      <c r="AL339" s="26" t="n">
        <v>3</v>
      </c>
      <c r="AM339" s="24" t="inlineStr">
        <is>
          <t>QUALIFIED_SHADOW_CALL</t>
        </is>
      </c>
      <c r="AN339" s="24" t="inlineStr">
        <is>
          <t>CALL</t>
        </is>
      </c>
      <c r="AO339" s="24" t="inlineStr">
        <is>
          <t>QUALIFIED</t>
        </is>
      </c>
      <c r="AP339" s="24" t="inlineStr">
        <is>
          <t>wnba-tor</t>
        </is>
      </c>
      <c r="AQ339" s="24" t="inlineStr">
        <is>
          <t>Toronto Tempo</t>
        </is>
      </c>
      <c r="AR339" s="24" t="inlineStr">
        <is>
          <t>Toronto Tempo</t>
        </is>
      </c>
      <c r="AS339" s="24" t="inlineStr">
        <is>
          <t>wnba-gsv</t>
        </is>
      </c>
      <c r="AT339" s="24" t="inlineStr">
        <is>
          <t>Golden State Valkyries</t>
        </is>
      </c>
      <c r="AU339" s="24" t="inlineStr">
        <is>
          <t>Golden State Valkyries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shadow_qualified</t>
        </is>
      </c>
      <c r="BA339" s="24" t="inlineStr">
        <is>
          <t>7afd5274214b58b7efd7f7febc7be3ab33b92351cda5cc6403c0a39faea0cc8c</t>
        </is>
      </c>
      <c r="BB339" s="24" t="inlineStr">
        <is>
          <t>learned_lr</t>
        </is>
      </c>
      <c r="BC339" s="24" t="inlineStr">
        <is>
          <t>wnba-elo-trend-lr-v4</t>
        </is>
      </c>
      <c r="BD339" s="24" t="inlineStr">
        <is>
          <t>7afd5274214b58b7efd7f7febc7be3ab33b92351cda5cc6403c0a39faea0cc8c</t>
        </is>
      </c>
      <c r="BE339" s="24" t="inlineStr">
        <is>
          <t>c1ef9fc1d2a3714a</t>
        </is>
      </c>
      <c r="BF339" s="24" t="inlineStr">
        <is>
          <t>1</t>
        </is>
      </c>
      <c r="BG339" s="24" t="inlineStr">
        <is>
          <t>wnba-elo-trend-lr-v4</t>
        </is>
      </c>
      <c r="BH339" s="24" t="inlineStr">
        <is>
          <t>2026-08-02T18:07:50.111575Z</t>
        </is>
      </c>
      <c r="BI339" s="24" t="inlineStr">
        <is>
          <t>["same_event","same_team_same_day","same_league_same_day"]</t>
        </is>
      </c>
      <c r="BJ339" s="25" t="n"/>
      <c r="BK339" s="26" t="n">
        <v>-669</v>
      </c>
      <c r="BL339" s="27" t="n">
        <v>1.149477</v>
      </c>
      <c r="BM339" s="28" t="n">
        <v>0.869961</v>
      </c>
      <c r="BN339" s="28" t="n">
        <v>0.861386</v>
      </c>
      <c r="BO339" s="28" t="n"/>
      <c r="BP339" s="25" t="n"/>
      <c r="BQ339" s="27" t="n"/>
      <c r="BR339" s="28" t="n"/>
      <c r="BS339" s="28" t="n"/>
      <c r="BT339" s="28" t="n"/>
      <c r="BU339" s="25" t="n"/>
      <c r="BV339" s="29" t="n"/>
      <c r="BW339" s="24" t="n"/>
      <c r="BX339" s="30" t="n"/>
      <c r="BY339" s="27" t="n"/>
      <c r="BZ339" s="24" t="n"/>
      <c r="CA339" s="31" t="n"/>
      <c r="CB339" s="24" t="n"/>
      <c r="CC339" s="24" t="inlineStr">
        <is>
          <t>0.8973864278</t>
        </is>
      </c>
      <c r="CD339" s="24" t="inlineStr">
        <is>
          <t>2.248193</t>
        </is>
      </c>
      <c r="CE339" s="24" t="n"/>
      <c r="CF339" s="24" t="n"/>
      <c r="CG339" s="24" t="n"/>
      <c r="CH339" s="24" t="n"/>
      <c r="CI339" s="24" t="inlineStr">
        <is>
          <t>NO_CALL_AVAILABILITY_PLAYER_UNMAPPED</t>
        </is>
      </c>
      <c r="CJ339" s="24" t="n"/>
      <c r="CK339" s="24" t="n"/>
      <c r="CL339" s="24" t="n"/>
      <c r="CM339" s="24" t="n"/>
      <c r="CN339" s="24" t="n"/>
      <c r="CO339" s="24" t="n"/>
      <c r="CP339" s="24" t="inlineStr">
        <is>
          <t>0.772803</t>
        </is>
      </c>
      <c r="CQ339" s="24" t="inlineStr">
        <is>
          <t>False</t>
        </is>
      </c>
    </row>
    <row r="340" ht="36" customHeight="1">
      <c r="A340" s="24" t="inlineStr">
        <is>
          <t>e18fc29cc18c40a1</t>
        </is>
      </c>
      <c r="B340" s="24" t="inlineStr">
        <is>
          <t>2026-08-02T18:09:00.555377Z</t>
        </is>
      </c>
      <c r="C340" s="24" t="inlineStr">
        <is>
          <t>2026-08-02T15:10:00-0400</t>
        </is>
      </c>
      <c r="D340" s="24" t="inlineStr">
        <is>
          <t>401816371</t>
        </is>
      </c>
      <c r="E340" s="24" t="inlineStr">
        <is>
          <t>MLB</t>
        </is>
      </c>
      <c r="F340" s="24" t="inlineStr">
        <is>
          <t>Kansas City Royals</t>
        </is>
      </c>
      <c r="G340" s="24" t="inlineStr">
        <is>
          <t>Colorado Rockies</t>
        </is>
      </c>
      <c r="H340" s="24" t="inlineStr">
        <is>
          <t>moneyline</t>
        </is>
      </c>
      <c r="I340" s="24" t="inlineStr">
        <is>
          <t>away</t>
        </is>
      </c>
      <c r="J340" s="25" t="n"/>
      <c r="K340" s="24" t="inlineStr">
        <is>
          <t>polymarket_us</t>
        </is>
      </c>
      <c r="L340" s="26" t="n">
        <v>115</v>
      </c>
      <c r="M340" s="27" t="n">
        <v>2.15</v>
      </c>
      <c r="N340" s="28" t="n">
        <v>0.465116</v>
      </c>
      <c r="O340" s="28" t="n">
        <v>0.60003</v>
      </c>
      <c r="P340" s="28" t="n"/>
      <c r="Q340" s="28" t="n">
        <v>0.134914</v>
      </c>
      <c r="R340" s="26" t="n">
        <v>89</v>
      </c>
      <c r="S340" s="29" t="n">
        <v>1.25</v>
      </c>
      <c r="T340" s="24" t="inlineStr">
        <is>
          <t>mlb-elo-trend-lr-v7</t>
        </is>
      </c>
      <c r="U340" s="24" t="inlineStr">
        <is>
          <t>open</t>
        </is>
      </c>
      <c r="V340" s="24" t="n"/>
      <c r="W340" s="26" t="n"/>
      <c r="X340" s="26" t="n"/>
      <c r="Y340" s="25" t="n"/>
      <c r="Z340" s="26" t="n"/>
      <c r="AA340" s="28" t="n"/>
      <c r="AB340" s="28" t="n"/>
      <c r="AC340" s="30" t="n"/>
      <c r="AD340" s="24" t="n"/>
      <c r="AE340" s="31" t="inlineStr">
        <is>
          <t>Learned LR call at threshold 0.6242; executable ask 0.4650 (aec-mlb-kc-col-2026-08-02); model edge vs ask +0.1350.</t>
        </is>
      </c>
      <c r="AF340" s="31" t="inlineStr">
        <is>
          <t>Learned model; shadow-qualified via operator override.</t>
        </is>
      </c>
      <c r="AG340" s="24" t="inlineStr">
        <is>
          <t>not_applicable</t>
        </is>
      </c>
      <c r="AH340" s="24" t="n"/>
      <c r="AI340" s="31" t="n"/>
      <c r="AJ340" s="31" t="n"/>
      <c r="AK340" s="24" t="inlineStr">
        <is>
          <t>model_qualified</t>
        </is>
      </c>
      <c r="AL340" s="26" t="n">
        <v>3</v>
      </c>
      <c r="AM340" s="24" t="inlineStr">
        <is>
          <t>QUALIFIED_SHADOW_CALL</t>
        </is>
      </c>
      <c r="AN340" s="24" t="inlineStr">
        <is>
          <t>CALL</t>
        </is>
      </c>
      <c r="AO340" s="24" t="inlineStr">
        <is>
          <t>QUALIFIED</t>
        </is>
      </c>
      <c r="AP340" s="24" t="inlineStr">
        <is>
          <t>mlb-kc</t>
        </is>
      </c>
      <c r="AQ340" s="24" t="inlineStr">
        <is>
          <t>Kansas City Royals</t>
        </is>
      </c>
      <c r="AR340" s="24" t="inlineStr">
        <is>
          <t>Kansas City Royals</t>
        </is>
      </c>
      <c r="AS340" s="24" t="inlineStr">
        <is>
          <t>mlb-col</t>
        </is>
      </c>
      <c r="AT340" s="24" t="inlineStr">
        <is>
          <t>Colorado Rockies</t>
        </is>
      </c>
      <c r="AU340" s="24" t="inlineStr">
        <is>
          <t>Colorado Rockies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inlineStr">
        <is>
          <t>464eef695bfbbdaa819ec6f5e4c5bd1068ed20b92915fb2677220ae91e20d8b6</t>
        </is>
      </c>
      <c r="BB340" s="24" t="inlineStr">
        <is>
          <t>learned_lr</t>
        </is>
      </c>
      <c r="BC340" s="24" t="inlineStr">
        <is>
          <t>mlb-elo-trend-lr-v7</t>
        </is>
      </c>
      <c r="BD340" s="24" t="inlineStr">
        <is>
          <t>464eef695bfbbdaa819ec6f5e4c5bd1068ed20b92915fb2677220ae91e20d8b6</t>
        </is>
      </c>
      <c r="BE340" s="24" t="inlineStr">
        <is>
          <t>07cce04c03d59f93</t>
        </is>
      </c>
      <c r="BF340" s="24" t="inlineStr">
        <is>
          <t>1</t>
        </is>
      </c>
      <c r="BG340" s="24" t="inlineStr">
        <is>
          <t>mlb-elo-trend-lr-v7</t>
        </is>
      </c>
      <c r="BH340" s="24" t="inlineStr">
        <is>
          <t>2026-08-02T18:07:40.668390Z</t>
        </is>
      </c>
      <c r="BI340" s="24" t="inlineStr">
        <is>
          <t>["same_event","same_team_same_day","same_league_same_day"]</t>
        </is>
      </c>
      <c r="BJ340" s="25" t="n"/>
      <c r="BK340" s="26" t="n">
        <v>115</v>
      </c>
      <c r="BL340" s="27" t="n">
        <v>2.15</v>
      </c>
      <c r="BM340" s="28" t="n">
        <v>0.465116</v>
      </c>
      <c r="BN340" s="28" t="n">
        <v>0.462687</v>
      </c>
      <c r="BO340" s="28" t="n"/>
      <c r="BP340" s="25" t="n"/>
      <c r="BQ340" s="27" t="n"/>
      <c r="BR340" s="28" t="n"/>
      <c r="BS340" s="28" t="n"/>
      <c r="BT340" s="28" t="n"/>
      <c r="BU340" s="25" t="n"/>
      <c r="BV340" s="29" t="n"/>
      <c r="BW340" s="24" t="n"/>
      <c r="BX340" s="30" t="n"/>
      <c r="BY340" s="27" t="n"/>
      <c r="BZ340" s="24" t="n"/>
      <c r="CA340" s="31" t="n"/>
      <c r="CB340" s="24" t="n"/>
      <c r="CC340" s="24" t="inlineStr">
        <is>
          <t>0.4463973804</t>
        </is>
      </c>
      <c r="CD340" s="24" t="inlineStr">
        <is>
          <t>1.55286</t>
        </is>
      </c>
      <c r="CE340" s="24" t="inlineStr">
        <is>
          <t>1.193</t>
        </is>
      </c>
      <c r="CF340" s="24" t="inlineStr">
        <is>
          <t>1.0309</t>
        </is>
      </c>
      <c r="CG340" s="24" t="inlineStr">
        <is>
          <t>1.4</t>
        </is>
      </c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inlineStr">
        <is>
          <t>0.60003</t>
        </is>
      </c>
      <c r="CQ340" s="24" t="inlineStr">
        <is>
          <t>True</t>
        </is>
      </c>
    </row>
    <row r="341" ht="36" customHeight="1">
      <c r="A341" s="24" t="inlineStr">
        <is>
          <t>a5b6e95363ba40f6</t>
        </is>
      </c>
      <c r="B341" s="24" t="inlineStr">
        <is>
          <t>2026-08-02T18:09:00.555377Z</t>
        </is>
      </c>
      <c r="C341" s="24" t="inlineStr">
        <is>
          <t>2026-08-02T15:15:00-0400</t>
        </is>
      </c>
      <c r="D341" s="24" t="inlineStr">
        <is>
          <t>401816374</t>
        </is>
      </c>
      <c r="E341" s="24" t="inlineStr">
        <is>
          <t>MLB</t>
        </is>
      </c>
      <c r="F341" s="24" t="inlineStr">
        <is>
          <t>Milwaukee Brewers</t>
        </is>
      </c>
      <c r="G341" s="24" t="inlineStr">
        <is>
          <t>Los Angeles Angels</t>
        </is>
      </c>
      <c r="H341" s="24" t="inlineStr">
        <is>
          <t>moneyline</t>
        </is>
      </c>
      <c r="I341" s="24" t="inlineStr">
        <is>
          <t>away</t>
        </is>
      </c>
      <c r="J341" s="25" t="n"/>
      <c r="K341" s="24" t="inlineStr">
        <is>
          <t>polymarket_us</t>
        </is>
      </c>
      <c r="L341" s="26" t="n">
        <v>-208</v>
      </c>
      <c r="M341" s="27" t="n">
        <v>1.480769</v>
      </c>
      <c r="N341" s="28" t="n">
        <v>0.675325</v>
      </c>
      <c r="O341" s="28" t="n">
        <v>0.625602</v>
      </c>
      <c r="P341" s="28" t="n"/>
      <c r="Q341" s="28" t="n">
        <v>-0.049723</v>
      </c>
      <c r="R341" s="26" t="n">
        <v>0</v>
      </c>
      <c r="S341" s="29" t="n">
        <v>1.5</v>
      </c>
      <c r="T341" s="24" t="inlineStr">
        <is>
          <t>mlb-elo-trend-lr-v7</t>
        </is>
      </c>
      <c r="U341" s="24" t="inlineStr">
        <is>
          <t>open</t>
        </is>
      </c>
      <c r="V341" s="24" t="n"/>
      <c r="W341" s="26" t="n"/>
      <c r="X341" s="26" t="n"/>
      <c r="Y341" s="25" t="n"/>
      <c r="Z341" s="26" t="n"/>
      <c r="AA341" s="28" t="n"/>
      <c r="AB341" s="28" t="n"/>
      <c r="AC341" s="30" t="n"/>
      <c r="AD341" s="24" t="n"/>
      <c r="AE341" s="31" t="inlineStr">
        <is>
          <t>Learned LR call at threshold 0.6242; executable ask 0.6750 (aec-mlb-mil-laa-2026-08-02); model edge vs ask -0.0494.</t>
        </is>
      </c>
      <c r="AF341" s="31" t="inlineStr">
        <is>
          <t>Learned model; shadow-qualified via operator override.</t>
        </is>
      </c>
      <c r="AG341" s="24" t="inlineStr">
        <is>
          <t>not_applicable</t>
        </is>
      </c>
      <c r="AH341" s="24" t="n"/>
      <c r="AI341" s="31" t="n"/>
      <c r="AJ341" s="31" t="n"/>
      <c r="AK341" s="24" t="inlineStr">
        <is>
          <t>model_qualified</t>
        </is>
      </c>
      <c r="AL341" s="26" t="n">
        <v>3</v>
      </c>
      <c r="AM341" s="24" t="inlineStr">
        <is>
          <t>QUALIFIED_SHADOW_CALL</t>
        </is>
      </c>
      <c r="AN341" s="24" t="inlineStr">
        <is>
          <t>CALL</t>
        </is>
      </c>
      <c r="AO341" s="24" t="inlineStr">
        <is>
          <t>QUALIFIED</t>
        </is>
      </c>
      <c r="AP341" s="24" t="inlineStr">
        <is>
          <t>mlb-mil</t>
        </is>
      </c>
      <c r="AQ341" s="24" t="inlineStr">
        <is>
          <t>Milwaukee Brewers</t>
        </is>
      </c>
      <c r="AR341" s="24" t="inlineStr">
        <is>
          <t>Milwaukee Brewers</t>
        </is>
      </c>
      <c r="AS341" s="24" t="inlineStr">
        <is>
          <t>mlb-laa</t>
        </is>
      </c>
      <c r="AT341" s="24" t="inlineStr">
        <is>
          <t>Los Angeles Angels</t>
        </is>
      </c>
      <c r="AU341" s="24" t="inlineStr">
        <is>
          <t>Los Angeles Angels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inlineStr">
        <is>
          <t>464eef695bfbbdaa819ec6f5e4c5bd1068ed20b92915fb2677220ae91e20d8b6</t>
        </is>
      </c>
      <c r="BB341" s="24" t="inlineStr">
        <is>
          <t>learned_lr</t>
        </is>
      </c>
      <c r="BC341" s="24" t="inlineStr">
        <is>
          <t>mlb-elo-trend-lr-v7</t>
        </is>
      </c>
      <c r="BD341" s="24" t="inlineStr">
        <is>
          <t>464eef695bfbbdaa819ec6f5e4c5bd1068ed20b92915fb2677220ae91e20d8b6</t>
        </is>
      </c>
      <c r="BE341" s="24" t="inlineStr">
        <is>
          <t>6989455cd566cbdd</t>
        </is>
      </c>
      <c r="BF341" s="24" t="inlineStr">
        <is>
          <t>1</t>
        </is>
      </c>
      <c r="BG341" s="24" t="inlineStr">
        <is>
          <t>mlb-elo-trend-lr-v7</t>
        </is>
      </c>
      <c r="BH341" s="24" t="inlineStr">
        <is>
          <t>2026-08-02T18:07:41.223543Z</t>
        </is>
      </c>
      <c r="BI341" s="24" t="inlineStr">
        <is>
          <t>["same_event","same_team_same_day","same_league_same_day"]</t>
        </is>
      </c>
      <c r="BJ341" s="25" t="n"/>
      <c r="BK341" s="26" t="n">
        <v>-208</v>
      </c>
      <c r="BL341" s="27" t="n">
        <v>1.480769</v>
      </c>
      <c r="BM341" s="28" t="n">
        <v>0.675325</v>
      </c>
      <c r="BN341" s="28" t="n">
        <v>0.671642</v>
      </c>
      <c r="BO341" s="28" t="n"/>
      <c r="BP341" s="25" t="n"/>
      <c r="BQ341" s="27" t="n"/>
      <c r="BR341" s="28" t="n"/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inlineStr">
        <is>
          <t>0.3268450055</t>
        </is>
      </c>
      <c r="CD341" s="24" t="inlineStr">
        <is>
          <t>-0.59379</t>
        </is>
      </c>
      <c r="CE341" s="24" t="inlineStr">
        <is>
          <t>1.01</t>
        </is>
      </c>
      <c r="CF341" s="24" t="inlineStr">
        <is>
          <t>1.0174</t>
        </is>
      </c>
      <c r="CG341" s="24" t="inlineStr">
        <is>
          <t>0.2</t>
        </is>
      </c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inlineStr">
        <is>
          <t>0.625602</t>
        </is>
      </c>
      <c r="CQ341" s="24" t="inlineStr">
        <is>
          <t>False</t>
        </is>
      </c>
    </row>
    <row r="342" ht="36" customHeight="1">
      <c r="A342" s="24" t="inlineStr">
        <is>
          <t>3eff8fc3f1a143e5</t>
        </is>
      </c>
      <c r="B342" s="24" t="inlineStr">
        <is>
          <t>2026-08-02T18:09:00.555377Z</t>
        </is>
      </c>
      <c r="C342" s="24" t="inlineStr">
        <is>
          <t>2026-08-02T16:05:00-0400</t>
        </is>
      </c>
      <c r="D342" s="24" t="inlineStr">
        <is>
          <t>401816373</t>
        </is>
      </c>
      <c r="E342" s="24" t="inlineStr">
        <is>
          <t>MLB</t>
        </is>
      </c>
      <c r="F342" s="24" t="inlineStr">
        <is>
          <t>Detroit Tigers</t>
        </is>
      </c>
      <c r="G342" s="24" t="inlineStr">
        <is>
          <t>Athletics</t>
        </is>
      </c>
      <c r="H342" s="24" t="inlineStr">
        <is>
          <t>moneyline</t>
        </is>
      </c>
      <c r="I342" s="24" t="inlineStr">
        <is>
          <t>away</t>
        </is>
      </c>
      <c r="J342" s="25" t="n"/>
      <c r="K342" s="24" t="inlineStr">
        <is>
          <t>polymarket_us</t>
        </is>
      </c>
      <c r="L342" s="26" t="n">
        <v>-113</v>
      </c>
      <c r="M342" s="27" t="n">
        <v>1.884956</v>
      </c>
      <c r="N342" s="28" t="n">
        <v>0.530516</v>
      </c>
      <c r="O342" s="28" t="n">
        <v>0.5593939999999999</v>
      </c>
      <c r="P342" s="28" t="n"/>
      <c r="Q342" s="28" t="n">
        <v>0.028878</v>
      </c>
      <c r="R342" s="26" t="n">
        <v>36</v>
      </c>
      <c r="S342" s="29" t="n">
        <v>1</v>
      </c>
      <c r="T342" s="24" t="inlineStr">
        <is>
          <t>mlb-elo-trend-lr-v7</t>
        </is>
      </c>
      <c r="U342" s="24" t="inlineStr">
        <is>
          <t>open</t>
        </is>
      </c>
      <c r="V342" s="24" t="n"/>
      <c r="W342" s="26" t="n"/>
      <c r="X342" s="26" t="n"/>
      <c r="Y342" s="25" t="n"/>
      <c r="Z342" s="26" t="n"/>
      <c r="AA342" s="28" t="n"/>
      <c r="AB342" s="28" t="n"/>
      <c r="AC342" s="30" t="n"/>
      <c r="AD342" s="24" t="n"/>
      <c r="AE342" s="31" t="inlineStr">
        <is>
          <t>Learned LR call at threshold 0.6242; executable ask 0.5300 (aec-mlb-det-ath-2026-08-02); model edge vs ask +0.0294.</t>
        </is>
      </c>
      <c r="AF342" s="31" t="inlineStr">
        <is>
          <t>Learned model; shadow-qualified via operator override.</t>
        </is>
      </c>
      <c r="AG342" s="24" t="inlineStr">
        <is>
          <t>not_applicable</t>
        </is>
      </c>
      <c r="AH342" s="24" t="n"/>
      <c r="AI342" s="31" t="n"/>
      <c r="AJ342" s="31" t="n"/>
      <c r="AK342" s="24" t="inlineStr">
        <is>
          <t>model_qualified</t>
        </is>
      </c>
      <c r="AL342" s="26" t="n">
        <v>3</v>
      </c>
      <c r="AM342" s="24" t="inlineStr">
        <is>
          <t>QUALIFIED_SHADOW_CALL</t>
        </is>
      </c>
      <c r="AN342" s="24" t="inlineStr">
        <is>
          <t>CALL</t>
        </is>
      </c>
      <c r="AO342" s="24" t="inlineStr">
        <is>
          <t>QUALIFIED</t>
        </is>
      </c>
      <c r="AP342" s="24" t="inlineStr">
        <is>
          <t>mlb-det</t>
        </is>
      </c>
      <c r="AQ342" s="24" t="inlineStr">
        <is>
          <t>Detroit Tigers</t>
        </is>
      </c>
      <c r="AR342" s="24" t="inlineStr">
        <is>
          <t>Detroit Tigers</t>
        </is>
      </c>
      <c r="AS342" s="24" t="inlineStr">
        <is>
          <t>mlb-ath</t>
        </is>
      </c>
      <c r="AT342" s="24" t="inlineStr">
        <is>
          <t>Athletics</t>
        </is>
      </c>
      <c r="AU342" s="24" t="inlineStr">
        <is>
          <t>Athletics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inlineStr">
        <is>
          <t>464eef695bfbbdaa819ec6f5e4c5bd1068ed20b92915fb2677220ae91e20d8b6</t>
        </is>
      </c>
      <c r="BB342" s="24" t="inlineStr">
        <is>
          <t>learned_lr</t>
        </is>
      </c>
      <c r="BC342" s="24" t="inlineStr">
        <is>
          <t>mlb-elo-trend-lr-v7</t>
        </is>
      </c>
      <c r="BD342" s="24" t="inlineStr">
        <is>
          <t>464eef695bfbbdaa819ec6f5e4c5bd1068ed20b92915fb2677220ae91e20d8b6</t>
        </is>
      </c>
      <c r="BE342" s="24" t="inlineStr">
        <is>
          <t>23be85c1ab78fadc</t>
        </is>
      </c>
      <c r="BF342" s="24" t="inlineStr">
        <is>
          <t>1</t>
        </is>
      </c>
      <c r="BG342" s="24" t="inlineStr">
        <is>
          <t>mlb-elo-trend-lr-v7</t>
        </is>
      </c>
      <c r="BH342" s="24" t="inlineStr">
        <is>
          <t>2026-08-02T18:07:42.235150Z</t>
        </is>
      </c>
      <c r="BI342" s="24" t="inlineStr">
        <is>
          <t>["same_event","same_team_same_day","same_league_same_day"]</t>
        </is>
      </c>
      <c r="BJ342" s="25" t="n"/>
      <c r="BK342" s="26" t="n">
        <v>-113</v>
      </c>
      <c r="BL342" s="27" t="n">
        <v>1.884956</v>
      </c>
      <c r="BM342" s="28" t="n">
        <v>0.530516</v>
      </c>
      <c r="BN342" s="28" t="n">
        <v>0.527363</v>
      </c>
      <c r="BO342" s="28" t="n"/>
      <c r="BP342" s="25" t="n"/>
      <c r="BQ342" s="27" t="n"/>
      <c r="BR342" s="28" t="n"/>
      <c r="BS342" s="28" t="n"/>
      <c r="BT342" s="28" t="n"/>
      <c r="BU342" s="25" t="n"/>
      <c r="BV342" s="29" t="n"/>
      <c r="BW342" s="24" t="n"/>
      <c r="BX342" s="30" t="n"/>
      <c r="BY342" s="27" t="n"/>
      <c r="BZ342" s="24" t="n"/>
      <c r="CA342" s="31" t="n"/>
      <c r="CB342" s="24" t="n"/>
      <c r="CC342" s="24" t="inlineStr">
        <is>
          <t>0.4182489247</t>
        </is>
      </c>
      <c r="CD342" s="24" t="inlineStr">
        <is>
          <t>-3.449013</t>
        </is>
      </c>
      <c r="CE342" s="24" t="inlineStr">
        <is>
          <t>1.153</t>
        </is>
      </c>
      <c r="CF342" s="24" t="inlineStr">
        <is>
          <t>1.0279</t>
        </is>
      </c>
      <c r="CG342" s="24" t="inlineStr">
        <is>
          <t>1.0</t>
        </is>
      </c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inlineStr">
        <is>
          <t>0.559394</t>
        </is>
      </c>
      <c r="CQ342" s="24" t="inlineStr">
        <is>
          <t>True</t>
        </is>
      </c>
    </row>
    <row r="343" ht="36" customHeight="1">
      <c r="A343" s="24" t="inlineStr">
        <is>
          <t>725db1e8f7dd443f</t>
        </is>
      </c>
      <c r="B343" s="24" t="inlineStr">
        <is>
          <t>2026-08-02T18:09:24.902767Z</t>
        </is>
      </c>
      <c r="C343" s="24" t="inlineStr">
        <is>
          <t>2026-08-02T21:00:00Z</t>
        </is>
      </c>
      <c r="D343" s="24" t="inlineStr">
        <is>
          <t>67311</t>
        </is>
      </c>
      <c r="E343" s="24" t="inlineStr">
        <is>
          <t>VALORANT</t>
        </is>
      </c>
      <c r="F343" s="24" t="inlineStr">
        <is>
          <t>KRÜ Esports</t>
        </is>
      </c>
      <c r="G343" s="24" t="inlineStr">
        <is>
          <t>Cloud9</t>
        </is>
      </c>
      <c r="H343" s="24" t="inlineStr">
        <is>
          <t>moneyline</t>
        </is>
      </c>
      <c r="I343" s="24" t="inlineStr">
        <is>
          <t>home</t>
        </is>
      </c>
      <c r="J343" s="25" t="n"/>
      <c r="K343" s="24" t="inlineStr">
        <is>
          <t>polymarket_us</t>
        </is>
      </c>
      <c r="L343" s="26" t="n">
        <v>138</v>
      </c>
      <c r="M343" s="27" t="n">
        <v>2.38</v>
      </c>
      <c r="N343" s="28" t="n">
        <v>0.420168</v>
      </c>
      <c r="O343" s="28" t="n">
        <v>0.518775</v>
      </c>
      <c r="P343" s="28" t="n"/>
      <c r="Q343" s="28" t="n">
        <v>0.098607</v>
      </c>
      <c r="R343" s="26" t="n">
        <v>69</v>
      </c>
      <c r="S343" s="29" t="n">
        <v>1</v>
      </c>
      <c r="T343" s="24" t="inlineStr">
        <is>
          <t>valorant-tiered-elo-v5</t>
        </is>
      </c>
      <c r="U343" s="24" t="inlineStr">
        <is>
          <t>open</t>
        </is>
      </c>
      <c r="V343" s="24" t="n"/>
      <c r="W343" s="26" t="n"/>
      <c r="X343" s="26" t="n"/>
      <c r="Y343" s="25" t="n"/>
      <c r="Z343" s="26" t="n"/>
      <c r="AA343" s="28" t="n"/>
      <c r="AB343" s="28" t="n"/>
      <c r="AC343" s="30" t="n"/>
      <c r="AD343" s="24" t="n"/>
      <c r="AE343" s="31" t="inlineStr">
        <is>
          <t>Neutral Elo baseline; executable ask 0.4200 (market_slug=aec-valorant-c9-kr-2026-08-02).</t>
        </is>
      </c>
      <c r="AF343" s="31" t="inlineStr">
        <is>
          <t>Config-promoted esports baseline; gates enforced at log time.</t>
        </is>
      </c>
      <c r="AG343" s="24" t="inlineStr">
        <is>
          <t>not_applicable</t>
        </is>
      </c>
      <c r="AH343" s="24" t="n"/>
      <c r="AI343" s="31" t="n"/>
      <c r="AJ343" s="31" t="n"/>
      <c r="AK343" s="24" t="inlineStr">
        <is>
          <t>research_observation</t>
        </is>
      </c>
      <c r="AL343" s="26" t="n">
        <v>3</v>
      </c>
      <c r="AM343" s="24" t="inlineStr">
        <is>
          <t>RESEARCH_OBSERVATION</t>
        </is>
      </c>
      <c r="AN343" s="24" t="inlineStr">
        <is>
          <t>NO_CALL</t>
        </is>
      </c>
      <c r="AO343" s="24" t="inlineStr">
        <is>
          <t>NO_CALL_LOW_EDGE</t>
        </is>
      </c>
      <c r="AP343" s="24" t="inlineStr">
        <is>
          <t>KRÜ Esports</t>
        </is>
      </c>
      <c r="AQ343" s="24" t="inlineStr">
        <is>
          <t>KRÜ Esports</t>
        </is>
      </c>
      <c r="AR343" s="24" t="inlineStr">
        <is>
          <t>KRÜ Esports</t>
        </is>
      </c>
      <c r="AS343" s="24" t="inlineStr">
        <is>
          <t>Cloud9</t>
        </is>
      </c>
      <c r="AT343" s="24" t="inlineStr">
        <is>
          <t>Cloud9</t>
        </is>
      </c>
      <c r="AU343" s="24" t="inlineStr">
        <is>
          <t>Cloud9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inlineStr">
        <is>
          <t>7b357ebf15fdd8ef9fd17ea55a79657deb8605877a4ca2b29d2bc94bcaa6b578</t>
        </is>
      </c>
      <c r="BB343" s="24" t="inlineStr">
        <is>
          <t>neutral_elo</t>
        </is>
      </c>
      <c r="BC343" s="24" t="inlineStr">
        <is>
          <t>valorant-tiered-elo-v5</t>
        </is>
      </c>
      <c r="BD343" s="24" t="inlineStr">
        <is>
          <t>7b357ebf15fdd8ef9fd17ea55a79657deb8605877a4ca2b29d2bc94bcaa6b578</t>
        </is>
      </c>
      <c r="BE343" s="24" t="inlineStr">
        <is>
          <t>1</t>
        </is>
      </c>
      <c r="BF343" s="24" t="inlineStr">
        <is>
          <t>1</t>
        </is>
      </c>
      <c r="BG343" s="24" t="inlineStr">
        <is>
          <t>valorant-tiered-elo-v5</t>
        </is>
      </c>
      <c r="BH343" s="24" t="inlineStr">
        <is>
          <t>2026-08-02T18:09:18.656978Z</t>
        </is>
      </c>
      <c r="BI343" s="24" t="inlineStr">
        <is>
          <t>["same_event","same_team_same_day","same_league_same_day"]</t>
        </is>
      </c>
      <c r="BJ343" s="25" t="n"/>
      <c r="BK343" s="26" t="n">
        <v>138</v>
      </c>
      <c r="BL343" s="27" t="n">
        <v>2.38</v>
      </c>
      <c r="BM343" s="28" t="n">
        <v>0.420168</v>
      </c>
      <c r="BN343" s="28" t="n"/>
      <c r="BO343" s="28" t="n"/>
      <c r="BP343" s="25" t="n"/>
      <c r="BQ343" s="27" t="n"/>
      <c r="BR343" s="28" t="n"/>
      <c r="BS343" s="28" t="n"/>
      <c r="BT343" s="28" t="n"/>
      <c r="BU343" s="25" t="n"/>
      <c r="BV343" s="29" t="n"/>
      <c r="BW343" s="24" t="n"/>
      <c r="BX343" s="30" t="n"/>
      <c r="BY343" s="27" t="n"/>
      <c r="BZ343" s="24" t="n"/>
      <c r="CA343" s="31" t="n"/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inlineStr">
        <is>
          <t>True</t>
        </is>
      </c>
    </row>
    <row r="344" ht="36" customHeight="1">
      <c r="A344" s="24" t="inlineStr">
        <is>
          <t>8e2050b62e9449e6</t>
        </is>
      </c>
      <c r="B344" s="24" t="inlineStr">
        <is>
          <t>2026-08-02T18:09:00.555377Z</t>
        </is>
      </c>
      <c r="C344" s="24" t="inlineStr">
        <is>
          <t>2026-08-02T16:10:00-0400</t>
        </is>
      </c>
      <c r="D344" s="24" t="inlineStr">
        <is>
          <t>401816375</t>
        </is>
      </c>
      <c r="E344" s="24" t="inlineStr">
        <is>
          <t>MLB</t>
        </is>
      </c>
      <c r="F344" s="24" t="inlineStr">
        <is>
          <t>Minnesota Twins</t>
        </is>
      </c>
      <c r="G344" s="24" t="inlineStr">
        <is>
          <t>Seattle Mariners</t>
        </is>
      </c>
      <c r="H344" s="24" t="inlineStr">
        <is>
          <t>moneyline</t>
        </is>
      </c>
      <c r="I344" s="24" t="inlineStr">
        <is>
          <t>home</t>
        </is>
      </c>
      <c r="J344" s="25" t="n"/>
      <c r="K344" s="24" t="inlineStr">
        <is>
          <t>polymarket_us</t>
        </is>
      </c>
      <c r="L344" s="26" t="n">
        <v>-130</v>
      </c>
      <c r="M344" s="27" t="n">
        <v>1.769231</v>
      </c>
      <c r="N344" s="28" t="n">
        <v>0.565217</v>
      </c>
      <c r="O344" s="28" t="n">
        <v>0.596425</v>
      </c>
      <c r="P344" s="28" t="n"/>
      <c r="Q344" s="28" t="n">
        <v>0.031208</v>
      </c>
      <c r="R344" s="26" t="n">
        <v>37</v>
      </c>
      <c r="S344" s="29" t="n">
        <v>1.25</v>
      </c>
      <c r="T344" s="24" t="inlineStr">
        <is>
          <t>mlb-elo-trend-lr-v7</t>
        </is>
      </c>
      <c r="U344" s="24" t="inlineStr">
        <is>
          <t>open</t>
        </is>
      </c>
      <c r="V344" s="24" t="n"/>
      <c r="W344" s="26" t="n"/>
      <c r="X344" s="26" t="n"/>
      <c r="Y344" s="25" t="n"/>
      <c r="Z344" s="26" t="n"/>
      <c r="AA344" s="28" t="n"/>
      <c r="AB344" s="28" t="n"/>
      <c r="AC344" s="30" t="n"/>
      <c r="AD344" s="24" t="n"/>
      <c r="AE344" s="31" t="inlineStr">
        <is>
          <t>Learned LR call at threshold 0.6242; executable ask 0.5650 (aec-mlb-min-sea-2026-08-02); model edge vs ask +0.0314.</t>
        </is>
      </c>
      <c r="AF344" s="31" t="inlineStr">
        <is>
          <t>Learned model; shadow-qualified via operator override.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model_qualified</t>
        </is>
      </c>
      <c r="AL344" s="26" t="n">
        <v>3</v>
      </c>
      <c r="AM344" s="24" t="inlineStr">
        <is>
          <t>QUALIFIED_SHADOW_CALL</t>
        </is>
      </c>
      <c r="AN344" s="24" t="inlineStr">
        <is>
          <t>CALL</t>
        </is>
      </c>
      <c r="AO344" s="24" t="inlineStr">
        <is>
          <t>QUALIFIED</t>
        </is>
      </c>
      <c r="AP344" s="24" t="inlineStr">
        <is>
          <t>mlb-min</t>
        </is>
      </c>
      <c r="AQ344" s="24" t="inlineStr">
        <is>
          <t>Minnesota Twins</t>
        </is>
      </c>
      <c r="AR344" s="24" t="inlineStr">
        <is>
          <t>Minnesota Twins</t>
        </is>
      </c>
      <c r="AS344" s="24" t="inlineStr">
        <is>
          <t>mlb-sea</t>
        </is>
      </c>
      <c r="AT344" s="24" t="inlineStr">
        <is>
          <t>Seattle Mariners</t>
        </is>
      </c>
      <c r="AU344" s="24" t="inlineStr">
        <is>
          <t>Seattle Mariners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inlineStr">
        <is>
          <t>464eef695bfbbdaa819ec6f5e4c5bd1068ed20b92915fb2677220ae91e20d8b6</t>
        </is>
      </c>
      <c r="BB344" s="24" t="inlineStr">
        <is>
          <t>learned_lr</t>
        </is>
      </c>
      <c r="BC344" s="24" t="inlineStr">
        <is>
          <t>mlb-elo-trend-lr-v7</t>
        </is>
      </c>
      <c r="BD344" s="24" t="inlineStr">
        <is>
          <t>464eef695bfbbdaa819ec6f5e4c5bd1068ed20b92915fb2677220ae91e20d8b6</t>
        </is>
      </c>
      <c r="BE344" s="24" t="inlineStr">
        <is>
          <t>e58bfb84888a3f7a</t>
        </is>
      </c>
      <c r="BF344" s="24" t="inlineStr">
        <is>
          <t>1</t>
        </is>
      </c>
      <c r="BG344" s="24" t="inlineStr">
        <is>
          <t>mlb-elo-trend-lr-v7</t>
        </is>
      </c>
      <c r="BH344" s="24" t="inlineStr">
        <is>
          <t>2026-08-02T18:07:44.221098Z</t>
        </is>
      </c>
      <c r="BI344" s="24" t="inlineStr">
        <is>
          <t>["same_event","same_team_same_day","same_league_same_day"]</t>
        </is>
      </c>
      <c r="BJ344" s="25" t="n"/>
      <c r="BK344" s="26" t="n">
        <v>-130</v>
      </c>
      <c r="BL344" s="27" t="n">
        <v>1.769231</v>
      </c>
      <c r="BM344" s="28" t="n">
        <v>0.565217</v>
      </c>
      <c r="BN344" s="28" t="n">
        <v>0.562189</v>
      </c>
      <c r="BO344" s="28" t="n"/>
      <c r="BP344" s="25" t="n"/>
      <c r="BQ344" s="27" t="n"/>
      <c r="BR344" s="28" t="n"/>
      <c r="BS344" s="28" t="n"/>
      <c r="BT344" s="28" t="n"/>
      <c r="BU344" s="25" t="n"/>
      <c r="BV344" s="29" t="n"/>
      <c r="BW344" s="24" t="n"/>
      <c r="BX344" s="30" t="n"/>
      <c r="BY344" s="27" t="n"/>
      <c r="BZ344" s="24" t="n"/>
      <c r="CA344" s="31" t="n"/>
      <c r="CB344" s="24" t="n"/>
      <c r="CC344" s="24" t="inlineStr">
        <is>
          <t>0.5819178739</t>
        </is>
      </c>
      <c r="CD344" s="24" t="inlineStr">
        <is>
          <t>0.703281</t>
        </is>
      </c>
      <c r="CE344" s="24" t="inlineStr">
        <is>
          <t>0.936</t>
        </is>
      </c>
      <c r="CF344" s="24" t="inlineStr">
        <is>
          <t>1.0</t>
        </is>
      </c>
      <c r="CG344" s="24" t="inlineStr">
        <is>
          <t>1.8</t>
        </is>
      </c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inlineStr">
        <is>
          <t>0.596425</t>
        </is>
      </c>
      <c r="CQ344" s="24" t="inlineStr">
        <is>
          <t>True</t>
        </is>
      </c>
    </row>
    <row r="345" ht="36" customHeight="1">
      <c r="A345" s="24" t="inlineStr">
        <is>
          <t>dad28a0de4bc4d2c</t>
        </is>
      </c>
      <c r="B345" s="24" t="inlineStr">
        <is>
          <t>2026-08-02T18:09:24.902767Z</t>
        </is>
      </c>
      <c r="C345" s="24" t="inlineStr">
        <is>
          <t>2026-08-03T00:00:00Z</t>
        </is>
      </c>
      <c r="D345" s="24" t="inlineStr">
        <is>
          <t>67386</t>
        </is>
      </c>
      <c r="E345" s="24" t="inlineStr">
        <is>
          <t>VALORANT</t>
        </is>
      </c>
      <c r="F345" s="24" t="inlineStr">
        <is>
          <t>Sentinels</t>
        </is>
      </c>
      <c r="G345" s="24" t="inlineStr">
        <is>
          <t>G2 Esports</t>
        </is>
      </c>
      <c r="H345" s="24" t="inlineStr">
        <is>
          <t>moneyline</t>
        </is>
      </c>
      <c r="I345" s="24" t="inlineStr">
        <is>
          <t>home</t>
        </is>
      </c>
      <c r="J345" s="25" t="n"/>
      <c r="K345" s="24" t="inlineStr">
        <is>
          <t>polymarket_us</t>
        </is>
      </c>
      <c r="L345" s="26" t="n">
        <v>-178</v>
      </c>
      <c r="M345" s="27" t="n">
        <v>1.561798</v>
      </c>
      <c r="N345" s="28" t="n">
        <v>0.640288</v>
      </c>
      <c r="O345" s="28" t="n">
        <v>0.626621</v>
      </c>
      <c r="P345" s="28" t="n"/>
      <c r="Q345" s="28" t="n">
        <v>-0.013667</v>
      </c>
      <c r="R345" s="26" t="n">
        <v>13</v>
      </c>
      <c r="S345" s="29" t="n">
        <v>1.5</v>
      </c>
      <c r="T345" s="24" t="inlineStr">
        <is>
          <t>valorant-tiered-elo-v5</t>
        </is>
      </c>
      <c r="U345" s="24" t="inlineStr">
        <is>
          <t>open</t>
        </is>
      </c>
      <c r="V345" s="24" t="n"/>
      <c r="W345" s="26" t="n"/>
      <c r="X345" s="26" t="n"/>
      <c r="Y345" s="25" t="n"/>
      <c r="Z345" s="26" t="n"/>
      <c r="AA345" s="28" t="n"/>
      <c r="AB345" s="28" t="n"/>
      <c r="AC345" s="30" t="n"/>
      <c r="AD345" s="24" t="n"/>
      <c r="AE345" s="31" t="inlineStr">
        <is>
          <t>Neutral Elo baseline; executable ask 0.6400 (market_slug=aec-valorant-g2-sen-2026-08-03).</t>
        </is>
      </c>
      <c r="AF345" s="31" t="inlineStr">
        <is>
          <t>Config-promoted esports baseline; gates enforced at log time.</t>
        </is>
      </c>
      <c r="AG345" s="24" t="inlineStr">
        <is>
          <t>not_applicable</t>
        </is>
      </c>
      <c r="AH345" s="24" t="n"/>
      <c r="AI345" s="31" t="n"/>
      <c r="AJ345" s="31" t="n"/>
      <c r="AK345" s="24" t="inlineStr">
        <is>
          <t>research_observation</t>
        </is>
      </c>
      <c r="AL345" s="26" t="n">
        <v>3</v>
      </c>
      <c r="AM345" s="24" t="inlineStr">
        <is>
          <t>RESEARCH_OBSERVATION</t>
        </is>
      </c>
      <c r="AN345" s="24" t="inlineStr">
        <is>
          <t>NO_CALL</t>
        </is>
      </c>
      <c r="AO345" s="24" t="inlineStr">
        <is>
          <t>NO_CALL_LOW_EDGE</t>
        </is>
      </c>
      <c r="AP345" s="24" t="inlineStr">
        <is>
          <t>Sentinels</t>
        </is>
      </c>
      <c r="AQ345" s="24" t="inlineStr">
        <is>
          <t>Sentinels</t>
        </is>
      </c>
      <c r="AR345" s="24" t="inlineStr">
        <is>
          <t>Sentinels</t>
        </is>
      </c>
      <c r="AS345" s="24" t="inlineStr">
        <is>
          <t>G2 Esports</t>
        </is>
      </c>
      <c r="AT345" s="24" t="inlineStr">
        <is>
          <t>G2 Esports</t>
        </is>
      </c>
      <c r="AU345" s="24" t="inlineStr">
        <is>
          <t>G2 Esports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inlineStr">
        <is>
          <t>7b357ebf15fdd8ef9fd17ea55a79657deb8605877a4ca2b29d2bc94bcaa6b578</t>
        </is>
      </c>
      <c r="BB345" s="24" t="inlineStr">
        <is>
          <t>neutral_elo</t>
        </is>
      </c>
      <c r="BC345" s="24" t="inlineStr">
        <is>
          <t>valorant-tiered-elo-v5</t>
        </is>
      </c>
      <c r="BD345" s="24" t="inlineStr">
        <is>
          <t>7b357ebf15fdd8ef9fd17ea55a79657deb8605877a4ca2b29d2bc94bcaa6b578</t>
        </is>
      </c>
      <c r="BE345" s="24" t="inlineStr">
        <is>
          <t>1</t>
        </is>
      </c>
      <c r="BF345" s="24" t="inlineStr">
        <is>
          <t>1</t>
        </is>
      </c>
      <c r="BG345" s="24" t="inlineStr">
        <is>
          <t>valorant-tiered-elo-v5</t>
        </is>
      </c>
      <c r="BH345" s="24" t="inlineStr">
        <is>
          <t>2026-08-02T18:09:19.194193Z</t>
        </is>
      </c>
      <c r="BI345" s="24" t="inlineStr">
        <is>
          <t>["same_event","same_team_same_day","same_league_same_day"]</t>
        </is>
      </c>
      <c r="BJ345" s="25" t="n"/>
      <c r="BK345" s="26" t="n">
        <v>-178</v>
      </c>
      <c r="BL345" s="27" t="n">
        <v>1.561798</v>
      </c>
      <c r="BM345" s="28" t="n">
        <v>0.640288</v>
      </c>
      <c r="BN345" s="28" t="n"/>
      <c r="BO345" s="28" t="n"/>
      <c r="BP345" s="25" t="n"/>
      <c r="BQ345" s="27" t="n"/>
      <c r="BR345" s="28" t="n"/>
      <c r="BS345" s="28" t="n"/>
      <c r="BT345" s="28" t="n"/>
      <c r="BU345" s="25" t="n"/>
      <c r="BV345" s="29" t="n"/>
      <c r="BW345" s="24" t="n"/>
      <c r="BX345" s="30" t="n"/>
      <c r="BY345" s="27" t="n"/>
      <c r="BZ345" s="24" t="n"/>
      <c r="CA345" s="31" t="n"/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inlineStr">
        <is>
          <t>False</t>
        </is>
      </c>
    </row>
    <row r="346" ht="36" customHeight="1">
      <c r="A346" s="24" t="inlineStr">
        <is>
          <t>777b4df6fdca45b1</t>
        </is>
      </c>
      <c r="B346" s="24" t="inlineStr">
        <is>
          <t>2026-08-02T18:09:00.555377Z</t>
        </is>
      </c>
      <c r="C346" s="24" t="inlineStr">
        <is>
          <t>2026-08-02T16:10:00-0400</t>
        </is>
      </c>
      <c r="D346" s="24" t="inlineStr">
        <is>
          <t>401816376</t>
        </is>
      </c>
      <c r="E346" s="24" t="inlineStr">
        <is>
          <t>MLB</t>
        </is>
      </c>
      <c r="F346" s="24" t="inlineStr">
        <is>
          <t>San Francisco Giants</t>
        </is>
      </c>
      <c r="G346" s="24" t="inlineStr">
        <is>
          <t>San Diego Padres</t>
        </is>
      </c>
      <c r="H346" s="24" t="inlineStr">
        <is>
          <t>moneyline</t>
        </is>
      </c>
      <c r="I346" s="24" t="inlineStr">
        <is>
          <t>home</t>
        </is>
      </c>
      <c r="J346" s="25" t="n"/>
      <c r="K346" s="24" t="inlineStr">
        <is>
          <t>polymarket_us</t>
        </is>
      </c>
      <c r="L346" s="26" t="n">
        <v>-120</v>
      </c>
      <c r="M346" s="27" t="n">
        <v>1.833333</v>
      </c>
      <c r="N346" s="28" t="n">
        <v>0.545455</v>
      </c>
      <c r="O346" s="28" t="n">
        <v>0.5891999999999999</v>
      </c>
      <c r="P346" s="28" t="n"/>
      <c r="Q346" s="28" t="n">
        <v>0.043745</v>
      </c>
      <c r="R346" s="26" t="n">
        <v>43</v>
      </c>
      <c r="S346" s="29" t="n">
        <v>1.25</v>
      </c>
      <c r="T346" s="24" t="inlineStr">
        <is>
          <t>mlb-elo-trend-lr-v7</t>
        </is>
      </c>
      <c r="U346" s="24" t="inlineStr">
        <is>
          <t>open</t>
        </is>
      </c>
      <c r="V346" s="24" t="n"/>
      <c r="W346" s="26" t="n"/>
      <c r="X346" s="26" t="n"/>
      <c r="Y346" s="25" t="n"/>
      <c r="Z346" s="26" t="n"/>
      <c r="AA346" s="28" t="n"/>
      <c r="AB346" s="28" t="n"/>
      <c r="AC346" s="30" t="n"/>
      <c r="AD346" s="24" t="n"/>
      <c r="AE346" s="31" t="inlineStr">
        <is>
          <t>Learned LR call at threshold 0.6242; executable ask 0.5450 (aec-mlb-sf-sd-2026-08-02); model edge vs ask +0.0442.</t>
        </is>
      </c>
      <c r="AF346" s="31" t="inlineStr">
        <is>
          <t>Learned model; shadow-qualified via operator override.</t>
        </is>
      </c>
      <c r="AG346" s="24" t="inlineStr">
        <is>
          <t>not_applicable</t>
        </is>
      </c>
      <c r="AH346" s="24" t="n"/>
      <c r="AI346" s="31" t="n"/>
      <c r="AJ346" s="31" t="n"/>
      <c r="AK346" s="24" t="inlineStr">
        <is>
          <t>model_qualified</t>
        </is>
      </c>
      <c r="AL346" s="26" t="n">
        <v>3</v>
      </c>
      <c r="AM346" s="24" t="inlineStr">
        <is>
          <t>QUALIFIED_SHADOW_CALL</t>
        </is>
      </c>
      <c r="AN346" s="24" t="inlineStr">
        <is>
          <t>CALL</t>
        </is>
      </c>
      <c r="AO346" s="24" t="inlineStr">
        <is>
          <t>QUALIFIED</t>
        </is>
      </c>
      <c r="AP346" s="24" t="inlineStr">
        <is>
          <t>mlb-sf</t>
        </is>
      </c>
      <c r="AQ346" s="24" t="inlineStr">
        <is>
          <t>San Francisco Giants</t>
        </is>
      </c>
      <c r="AR346" s="24" t="inlineStr">
        <is>
          <t>San Francisco Giants</t>
        </is>
      </c>
      <c r="AS346" s="24" t="inlineStr">
        <is>
          <t>mlb-sd</t>
        </is>
      </c>
      <c r="AT346" s="24" t="inlineStr">
        <is>
          <t>San Diego Padres</t>
        </is>
      </c>
      <c r="AU346" s="24" t="inlineStr">
        <is>
          <t>San Diego Padres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inlineStr">
        <is>
          <t>464eef695bfbbdaa819ec6f5e4c5bd1068ed20b92915fb2677220ae91e20d8b6</t>
        </is>
      </c>
      <c r="BB346" s="24" t="inlineStr">
        <is>
          <t>learned_lr</t>
        </is>
      </c>
      <c r="BC346" s="24" t="inlineStr">
        <is>
          <t>mlb-elo-trend-lr-v7</t>
        </is>
      </c>
      <c r="BD346" s="24" t="inlineStr">
        <is>
          <t>464eef695bfbbdaa819ec6f5e4c5bd1068ed20b92915fb2677220ae91e20d8b6</t>
        </is>
      </c>
      <c r="BE346" s="24" t="inlineStr">
        <is>
          <t>271d9df1881144a7</t>
        </is>
      </c>
      <c r="BF346" s="24" t="inlineStr">
        <is>
          <t>1</t>
        </is>
      </c>
      <c r="BG346" s="24" t="inlineStr">
        <is>
          <t>mlb-elo-trend-lr-v7</t>
        </is>
      </c>
      <c r="BH346" s="24" t="inlineStr">
        <is>
          <t>2026-08-02T18:07:43.252471Z</t>
        </is>
      </c>
      <c r="BI346" s="24" t="inlineStr">
        <is>
          <t>["same_event","same_team_same_day","same_league_same_day"]</t>
        </is>
      </c>
      <c r="BJ346" s="25" t="n"/>
      <c r="BK346" s="26" t="n">
        <v>-120</v>
      </c>
      <c r="BL346" s="27" t="n">
        <v>1.833333</v>
      </c>
      <c r="BM346" s="28" t="n">
        <v>0.545455</v>
      </c>
      <c r="BN346" s="28" t="n">
        <v>0.542289</v>
      </c>
      <c r="BO346" s="28" t="n"/>
      <c r="BP346" s="25" t="n"/>
      <c r="BQ346" s="27" t="n"/>
      <c r="BR346" s="28" t="n"/>
      <c r="BS346" s="28" t="n"/>
      <c r="BT346" s="28" t="n"/>
      <c r="BU346" s="25" t="n"/>
      <c r="BV346" s="29" t="n"/>
      <c r="BW346" s="24" t="n"/>
      <c r="BX346" s="30" t="n"/>
      <c r="BY346" s="27" t="n"/>
      <c r="BZ346" s="24" t="n"/>
      <c r="CA346" s="31" t="n"/>
      <c r="CB346" s="24" t="n"/>
      <c r="CC346" s="24" t="inlineStr">
        <is>
          <t>0.5952401601</t>
        </is>
      </c>
      <c r="CD346" s="24" t="inlineStr">
        <is>
          <t>0.046644</t>
        </is>
      </c>
      <c r="CE346" s="24" t="inlineStr">
        <is>
          <t>0.945</t>
        </is>
      </c>
      <c r="CF346" s="24" t="inlineStr">
        <is>
          <t>1.0086</t>
        </is>
      </c>
      <c r="CG346" s="24" t="inlineStr">
        <is>
          <t>-1.6</t>
        </is>
      </c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inlineStr">
        <is>
          <t>0.5892</t>
        </is>
      </c>
      <c r="CQ346" s="24" t="inlineStr">
        <is>
          <t>True</t>
        </is>
      </c>
    </row>
    <row r="347" ht="36" customHeight="1">
      <c r="A347" s="24" t="inlineStr">
        <is>
          <t>1ca5f209493147e7</t>
        </is>
      </c>
      <c r="B347" s="24" t="inlineStr">
        <is>
          <t>2026-08-02T18:09:24.902767Z</t>
        </is>
      </c>
      <c r="C347" s="24" t="inlineStr">
        <is>
          <t>2026-08-03T15:00:00Z</t>
        </is>
      </c>
      <c r="D347" s="24" t="inlineStr">
        <is>
          <t>67569</t>
        </is>
      </c>
      <c r="E347" s="24" t="inlineStr">
        <is>
          <t>VALORANT</t>
        </is>
      </c>
      <c r="F347" s="24" t="inlineStr">
        <is>
          <t>FOKUS Sakura</t>
        </is>
      </c>
      <c r="G347" s="24" t="inlineStr">
        <is>
          <t>SK Nebula</t>
        </is>
      </c>
      <c r="H347" s="24" t="inlineStr">
        <is>
          <t>moneyline</t>
        </is>
      </c>
      <c r="I347" s="24" t="inlineStr">
        <is>
          <t>home</t>
        </is>
      </c>
      <c r="J347" s="25" t="n"/>
      <c r="K347" s="24" t="inlineStr">
        <is>
          <t>polymarket_us</t>
        </is>
      </c>
      <c r="L347" s="26" t="n">
        <v>-223</v>
      </c>
      <c r="M347" s="27" t="n">
        <v>1.44843</v>
      </c>
      <c r="N347" s="28" t="n">
        <v>0.690402</v>
      </c>
      <c r="O347" s="28" t="n">
        <v>0.765342</v>
      </c>
      <c r="P347" s="28" t="n"/>
      <c r="Q347" s="28" t="n">
        <v>0.07494000000000001</v>
      </c>
      <c r="R347" s="26" t="n">
        <v>57</v>
      </c>
      <c r="S347" s="29" t="n">
        <v>2</v>
      </c>
      <c r="T347" s="24" t="inlineStr">
        <is>
          <t>valorant-tiered-elo-v5</t>
        </is>
      </c>
      <c r="U347" s="24" t="inlineStr">
        <is>
          <t>open</t>
        </is>
      </c>
      <c r="V347" s="24" t="n"/>
      <c r="W347" s="26" t="n"/>
      <c r="X347" s="26" t="n"/>
      <c r="Y347" s="25" t="n"/>
      <c r="Z347" s="26" t="n"/>
      <c r="AA347" s="28" t="n"/>
      <c r="AB347" s="28" t="n"/>
      <c r="AC347" s="30" t="n"/>
      <c r="AD347" s="24" t="n"/>
      <c r="AE347" s="31" t="inlineStr">
        <is>
          <t>Neutral Elo baseline; executable ask 0.6900 (market_slug=aec-valorant-skn-fso-2026-08-03).</t>
        </is>
      </c>
      <c r="AF347" s="31" t="inlineStr">
        <is>
          <t>Config-promoted esports baseline; gates enforced at log time.</t>
        </is>
      </c>
      <c r="AG347" s="24" t="inlineStr">
        <is>
          <t>not_applicable</t>
        </is>
      </c>
      <c r="AH347" s="24" t="n"/>
      <c r="AI347" s="31" t="n"/>
      <c r="AJ347" s="31" t="n"/>
      <c r="AK347" s="24" t="inlineStr">
        <is>
          <t>model_qualified</t>
        </is>
      </c>
      <c r="AL347" s="26" t="n">
        <v>3</v>
      </c>
      <c r="AM347" s="24" t="inlineStr">
        <is>
          <t>QUALIFIED_SHADOW_CALL</t>
        </is>
      </c>
      <c r="AN347" s="24" t="inlineStr">
        <is>
          <t>CALL</t>
        </is>
      </c>
      <c r="AO347" s="24" t="inlineStr">
        <is>
          <t>QUALIFIED</t>
        </is>
      </c>
      <c r="AP347" s="24" t="inlineStr">
        <is>
          <t>FOKUS Sakura</t>
        </is>
      </c>
      <c r="AQ347" s="24" t="inlineStr">
        <is>
          <t>FOKUS Sakura</t>
        </is>
      </c>
      <c r="AR347" s="24" t="inlineStr">
        <is>
          <t>FOKUS Sakura</t>
        </is>
      </c>
      <c r="AS347" s="24" t="inlineStr">
        <is>
          <t>SK Nebula</t>
        </is>
      </c>
      <c r="AT347" s="24" t="inlineStr">
        <is>
          <t>SK Nebula</t>
        </is>
      </c>
      <c r="AU347" s="24" t="inlineStr">
        <is>
          <t>SK Nebula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inlineStr">
        <is>
          <t>7b357ebf15fdd8ef9fd17ea55a79657deb8605877a4ca2b29d2bc94bcaa6b578</t>
        </is>
      </c>
      <c r="BB347" s="24" t="inlineStr">
        <is>
          <t>neutral_elo</t>
        </is>
      </c>
      <c r="BC347" s="24" t="inlineStr">
        <is>
          <t>valorant-tiered-elo-v5</t>
        </is>
      </c>
      <c r="BD347" s="24" t="inlineStr">
        <is>
          <t>7b357ebf15fdd8ef9fd17ea55a79657deb8605877a4ca2b29d2bc94bcaa6b578</t>
        </is>
      </c>
      <c r="BE347" s="24" t="inlineStr">
        <is>
          <t>1</t>
        </is>
      </c>
      <c r="BF347" s="24" t="inlineStr">
        <is>
          <t>1</t>
        </is>
      </c>
      <c r="BG347" s="24" t="inlineStr">
        <is>
          <t>valorant-tiered-elo-v5</t>
        </is>
      </c>
      <c r="BH347" s="24" t="inlineStr">
        <is>
          <t>2026-08-02T18:09:20.414393Z</t>
        </is>
      </c>
      <c r="BI347" s="24" t="inlineStr">
        <is>
          <t>["same_event","same_team_same_day","same_league_same_day"]</t>
        </is>
      </c>
      <c r="BJ347" s="25" t="n"/>
      <c r="BK347" s="26" t="n">
        <v>-223</v>
      </c>
      <c r="BL347" s="27" t="n">
        <v>1.44843</v>
      </c>
      <c r="BM347" s="28" t="n">
        <v>0.690402</v>
      </c>
      <c r="BN347" s="28" t="n"/>
      <c r="BO347" s="28" t="n"/>
      <c r="BP347" s="25" t="n"/>
      <c r="BQ347" s="27" t="n"/>
      <c r="BR347" s="28" t="n"/>
      <c r="BS347" s="28" t="n"/>
      <c r="BT347" s="28" t="n"/>
      <c r="BU347" s="25" t="n"/>
      <c r="BV347" s="29" t="n"/>
      <c r="BW347" s="24" t="n"/>
      <c r="BX347" s="30" t="n"/>
      <c r="BY347" s="27" t="n"/>
      <c r="BZ347" s="24" t="n"/>
      <c r="CA347" s="31" t="n"/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inlineStr">
        <is>
          <t>True</t>
        </is>
      </c>
    </row>
    <row r="348" ht="36" customHeight="1">
      <c r="A348" s="24" t="inlineStr">
        <is>
          <t>7a9bb3dc598a4350</t>
        </is>
      </c>
      <c r="B348" s="24" t="inlineStr">
        <is>
          <t>2026-08-02T18:09:00.555377Z</t>
        </is>
      </c>
      <c r="C348" s="24" t="inlineStr">
        <is>
          <t>2026-08-02T19:20:00-0400</t>
        </is>
      </c>
      <c r="D348" s="24" t="inlineStr">
        <is>
          <t>401816372</t>
        </is>
      </c>
      <c r="E348" s="24" t="inlineStr">
        <is>
          <t>MLB</t>
        </is>
      </c>
      <c r="F348" s="24" t="inlineStr">
        <is>
          <t>Boston Red Sox</t>
        </is>
      </c>
      <c r="G348" s="24" t="inlineStr">
        <is>
          <t>Los Angeles Dodgers</t>
        </is>
      </c>
      <c r="H348" s="24" t="inlineStr">
        <is>
          <t>moneyline</t>
        </is>
      </c>
      <c r="I348" s="24" t="inlineStr">
        <is>
          <t>home</t>
        </is>
      </c>
      <c r="J348" s="25" t="n"/>
      <c r="K348" s="24" t="inlineStr">
        <is>
          <t>polymarket_us</t>
        </is>
      </c>
      <c r="L348" s="26" t="n">
        <v>-167</v>
      </c>
      <c r="M348" s="27" t="n">
        <v>1.598802</v>
      </c>
      <c r="N348" s="28" t="n">
        <v>0.625468</v>
      </c>
      <c r="O348" s="28" t="n">
        <v>0.5594749999999999</v>
      </c>
      <c r="P348" s="28" t="n"/>
      <c r="Q348" s="28" t="n">
        <v>-0.065993</v>
      </c>
      <c r="R348" s="26" t="n">
        <v>0</v>
      </c>
      <c r="S348" s="29" t="n">
        <v>1</v>
      </c>
      <c r="T348" s="24" t="inlineStr">
        <is>
          <t>mlb-elo-trend-lr-v7</t>
        </is>
      </c>
      <c r="U348" s="24" t="inlineStr">
        <is>
          <t>open</t>
        </is>
      </c>
      <c r="V348" s="24" t="n"/>
      <c r="W348" s="26" t="n"/>
      <c r="X348" s="26" t="n"/>
      <c r="Y348" s="25" t="n"/>
      <c r="Z348" s="26" t="n"/>
      <c r="AA348" s="28" t="n"/>
      <c r="AB348" s="28" t="n"/>
      <c r="AC348" s="30" t="n"/>
      <c r="AD348" s="24" t="n"/>
      <c r="AE348" s="31" t="inlineStr">
        <is>
          <t>Learned LR call at threshold 0.6242; executable ask 0.6250 (aec-mlb-bos-lad-2026-08-02); model edge vs ask -0.0655.</t>
        </is>
      </c>
      <c r="AF348" s="31" t="inlineStr">
        <is>
          <t>Learned model; shadow-qualified via operator override.</t>
        </is>
      </c>
      <c r="AG348" s="24" t="inlineStr">
        <is>
          <t>not_applicable</t>
        </is>
      </c>
      <c r="AH348" s="24" t="n"/>
      <c r="AI348" s="31" t="n"/>
      <c r="AJ348" s="31" t="n"/>
      <c r="AK348" s="24" t="inlineStr">
        <is>
          <t>model_qualified</t>
        </is>
      </c>
      <c r="AL348" s="26" t="n">
        <v>3</v>
      </c>
      <c r="AM348" s="24" t="inlineStr">
        <is>
          <t>QUALIFIED_SHADOW_CALL</t>
        </is>
      </c>
      <c r="AN348" s="24" t="inlineStr">
        <is>
          <t>CALL</t>
        </is>
      </c>
      <c r="AO348" s="24" t="inlineStr">
        <is>
          <t>QUALIFIED</t>
        </is>
      </c>
      <c r="AP348" s="24" t="inlineStr">
        <is>
          <t>mlb-bos</t>
        </is>
      </c>
      <c r="AQ348" s="24" t="inlineStr">
        <is>
          <t>Boston Red Sox</t>
        </is>
      </c>
      <c r="AR348" s="24" t="inlineStr">
        <is>
          <t>Boston Red Sox</t>
        </is>
      </c>
      <c r="AS348" s="24" t="inlineStr">
        <is>
          <t>mlb-lad</t>
        </is>
      </c>
      <c r="AT348" s="24" t="inlineStr">
        <is>
          <t>Los Angeles Dodgers</t>
        </is>
      </c>
      <c r="AU348" s="24" t="inlineStr">
        <is>
          <t>Los Angeles Dodgers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inlineStr">
        <is>
          <t>464eef695bfbbdaa819ec6f5e4c5bd1068ed20b92915fb2677220ae91e20d8b6</t>
        </is>
      </c>
      <c r="BB348" s="24" t="inlineStr">
        <is>
          <t>learned_lr</t>
        </is>
      </c>
      <c r="BC348" s="24" t="inlineStr">
        <is>
          <t>mlb-elo-trend-lr-v7</t>
        </is>
      </c>
      <c r="BD348" s="24" t="inlineStr">
        <is>
          <t>464eef695bfbbdaa819ec6f5e4c5bd1068ed20b92915fb2677220ae91e20d8b6</t>
        </is>
      </c>
      <c r="BE348" s="24" t="inlineStr">
        <is>
          <t>c5bf60384c9800b8</t>
        </is>
      </c>
      <c r="BF348" s="24" t="inlineStr">
        <is>
          <t>1</t>
        </is>
      </c>
      <c r="BG348" s="24" t="inlineStr">
        <is>
          <t>mlb-elo-trend-lr-v7</t>
        </is>
      </c>
      <c r="BH348" s="24" t="inlineStr">
        <is>
          <t>2026-08-02T18:07:45.446041Z</t>
        </is>
      </c>
      <c r="BI348" s="24" t="inlineStr">
        <is>
          <t>["same_event","same_team_same_day","same_league_same_day"]</t>
        </is>
      </c>
      <c r="BJ348" s="25" t="n"/>
      <c r="BK348" s="26" t="n">
        <v>-167</v>
      </c>
      <c r="BL348" s="27" t="n">
        <v>1.598802</v>
      </c>
      <c r="BM348" s="28" t="n">
        <v>0.625468</v>
      </c>
      <c r="BN348" s="28" t="n">
        <v>0.621891</v>
      </c>
      <c r="BO348" s="28" t="n"/>
      <c r="BP348" s="25" t="n"/>
      <c r="BQ348" s="27" t="n"/>
      <c r="BR348" s="28" t="n"/>
      <c r="BS348" s="28" t="n"/>
      <c r="BT348" s="28" t="n"/>
      <c r="BU348" s="25" t="n"/>
      <c r="BV348" s="29" t="n"/>
      <c r="BW348" s="24" t="n"/>
      <c r="BX348" s="30" t="n"/>
      <c r="BY348" s="27" t="n"/>
      <c r="BZ348" s="24" t="n"/>
      <c r="CA348" s="31" t="n"/>
      <c r="CB348" s="24" t="n"/>
      <c r="CC348" s="24" t="inlineStr">
        <is>
          <t>0.5465616607</t>
        </is>
      </c>
      <c r="CD348" s="24" t="inlineStr">
        <is>
          <t>-0.812713</t>
        </is>
      </c>
      <c r="CE348" s="24" t="inlineStr">
        <is>
          <t>1.026</t>
        </is>
      </c>
      <c r="CF348" s="24" t="inlineStr">
        <is>
          <t>1.0154</t>
        </is>
      </c>
      <c r="CG348" s="24" t="inlineStr">
        <is>
          <t>2.6</t>
        </is>
      </c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inlineStr">
        <is>
          <t>0.559475</t>
        </is>
      </c>
      <c r="CQ348" s="24" t="inlineStr">
        <is>
          <t>False</t>
        </is>
      </c>
    </row>
    <row r="349" ht="36" customHeight="1">
      <c r="A349" s="24" t="inlineStr">
        <is>
          <t>2e1d7942c81f4202</t>
        </is>
      </c>
      <c r="B349" s="24" t="inlineStr">
        <is>
          <t>2026-08-02T18:09:24.902767Z</t>
        </is>
      </c>
      <c r="C349" s="24" t="inlineStr">
        <is>
          <t>2026-08-03T21:00:00Z</t>
        </is>
      </c>
      <c r="D349" s="24" t="inlineStr">
        <is>
          <t>67987</t>
        </is>
      </c>
      <c r="E349" s="24" t="inlineStr">
        <is>
          <t>VALORANT</t>
        </is>
      </c>
      <c r="F349" s="24" t="inlineStr">
        <is>
          <t>The Spiders</t>
        </is>
      </c>
      <c r="G349" s="24" t="inlineStr">
        <is>
          <t>HIMMERS</t>
        </is>
      </c>
      <c r="H349" s="24" t="inlineStr">
        <is>
          <t>moneyline</t>
        </is>
      </c>
      <c r="I349" s="24" t="inlineStr">
        <is>
          <t>home</t>
        </is>
      </c>
      <c r="J349" s="25" t="n"/>
      <c r="K349" s="24" t="inlineStr">
        <is>
          <t>polymarket_us</t>
        </is>
      </c>
      <c r="L349" s="26" t="n">
        <v>144</v>
      </c>
      <c r="M349" s="27" t="n">
        <v>2.44</v>
      </c>
      <c r="N349" s="28" t="n">
        <v>0.409836</v>
      </c>
      <c r="O349" s="28" t="n">
        <v>0.520495</v>
      </c>
      <c r="P349" s="28" t="n"/>
      <c r="Q349" s="28" t="n">
        <v>0.110659</v>
      </c>
      <c r="R349" s="26" t="n">
        <v>75</v>
      </c>
      <c r="S349" s="29" t="n">
        <v>1</v>
      </c>
      <c r="T349" s="24" t="inlineStr">
        <is>
          <t>valorant-tiered-elo-v5</t>
        </is>
      </c>
      <c r="U349" s="24" t="inlineStr">
        <is>
          <t>open</t>
        </is>
      </c>
      <c r="V349" s="24" t="n"/>
      <c r="W349" s="26" t="n"/>
      <c r="X349" s="26" t="n"/>
      <c r="Y349" s="25" t="n"/>
      <c r="Z349" s="26" t="n"/>
      <c r="AA349" s="28" t="n"/>
      <c r="AB349" s="28" t="n"/>
      <c r="AC349" s="30" t="n"/>
      <c r="AD349" s="24" t="n"/>
      <c r="AE349" s="31" t="inlineStr">
        <is>
          <t>Neutral Elo baseline; executable ask 0.4100 (market_slug=aec-valorant-him-spi-2026-08-03).</t>
        </is>
      </c>
      <c r="AF349" s="31" t="inlineStr">
        <is>
          <t>Config-promoted esports baseline; gates enforced at log time.</t>
        </is>
      </c>
      <c r="AG349" s="24" t="inlineStr">
        <is>
          <t>not_applicable</t>
        </is>
      </c>
      <c r="AH349" s="24" t="n"/>
      <c r="AI349" s="31" t="n"/>
      <c r="AJ349" s="31" t="n"/>
      <c r="AK349" s="24" t="inlineStr">
        <is>
          <t>research_observation</t>
        </is>
      </c>
      <c r="AL349" s="26" t="n">
        <v>3</v>
      </c>
      <c r="AM349" s="24" t="inlineStr">
        <is>
          <t>RESEARCH_OBSERVATION</t>
        </is>
      </c>
      <c r="AN349" s="24" t="inlineStr">
        <is>
          <t>NO_CALL</t>
        </is>
      </c>
      <c r="AO349" s="24" t="inlineStr">
        <is>
          <t>NO_CALL_LOW_EDGE</t>
        </is>
      </c>
      <c r="AP349" s="24" t="inlineStr">
        <is>
          <t>The Spiders</t>
        </is>
      </c>
      <c r="AQ349" s="24" t="inlineStr">
        <is>
          <t>The Spiders</t>
        </is>
      </c>
      <c r="AR349" s="24" t="inlineStr">
        <is>
          <t>The Spiders</t>
        </is>
      </c>
      <c r="AS349" s="24" t="inlineStr">
        <is>
          <t>HIMMERS</t>
        </is>
      </c>
      <c r="AT349" s="24" t="inlineStr">
        <is>
          <t>HIMMERS</t>
        </is>
      </c>
      <c r="AU349" s="24" t="inlineStr">
        <is>
          <t>HIMMERS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inlineStr">
        <is>
          <t>7b357ebf15fdd8ef9fd17ea55a79657deb8605877a4ca2b29d2bc94bcaa6b578</t>
        </is>
      </c>
      <c r="BB349" s="24" t="inlineStr">
        <is>
          <t>neutral_elo</t>
        </is>
      </c>
      <c r="BC349" s="24" t="inlineStr">
        <is>
          <t>valorant-tiered-elo-v5</t>
        </is>
      </c>
      <c r="BD349" s="24" t="inlineStr">
        <is>
          <t>7b357ebf15fdd8ef9fd17ea55a79657deb8605877a4ca2b29d2bc94bcaa6b578</t>
        </is>
      </c>
      <c r="BE349" s="24" t="inlineStr">
        <is>
          <t>1</t>
        </is>
      </c>
      <c r="BF349" s="24" t="inlineStr">
        <is>
          <t>1</t>
        </is>
      </c>
      <c r="BG349" s="24" t="inlineStr">
        <is>
          <t>valorant-tiered-elo-v5</t>
        </is>
      </c>
      <c r="BH349" s="24" t="inlineStr">
        <is>
          <t>2026-08-02T18:09:21.952693Z</t>
        </is>
      </c>
      <c r="BI349" s="24" t="inlineStr">
        <is>
          <t>["same_event","same_team_same_day","same_league_same_day"]</t>
        </is>
      </c>
      <c r="BJ349" s="25" t="n"/>
      <c r="BK349" s="26" t="n">
        <v>144</v>
      </c>
      <c r="BL349" s="27" t="n">
        <v>2.44</v>
      </c>
      <c r="BM349" s="28" t="n">
        <v>0.409836</v>
      </c>
      <c r="BN349" s="28" t="n"/>
      <c r="BO349" s="28" t="n"/>
      <c r="BP349" s="25" t="n"/>
      <c r="BQ349" s="27" t="n"/>
      <c r="BR349" s="28" t="n"/>
      <c r="BS349" s="28" t="n"/>
      <c r="BT349" s="28" t="n"/>
      <c r="BU349" s="25" t="n"/>
      <c r="BV349" s="29" t="n"/>
      <c r="BW349" s="24" t="n"/>
      <c r="BX349" s="30" t="n"/>
      <c r="BY349" s="27" t="n"/>
      <c r="BZ349" s="24" t="n"/>
      <c r="CA349" s="31" t="n"/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inlineStr">
        <is>
          <t>True</t>
        </is>
      </c>
    </row>
    <row r="350" ht="36" customHeight="1">
      <c r="A350" s="24" t="inlineStr">
        <is>
          <t>483d6106e98d4a21</t>
        </is>
      </c>
      <c r="B350" s="24" t="inlineStr">
        <is>
          <t>2026-08-02T18:09:24.902767Z</t>
        </is>
      </c>
      <c r="C350" s="24" t="inlineStr">
        <is>
          <t>2026-08-03T21:00:00Z</t>
        </is>
      </c>
      <c r="D350" s="24" t="inlineStr">
        <is>
          <t>67989</t>
        </is>
      </c>
      <c r="E350" s="24" t="inlineStr">
        <is>
          <t>VALORANT</t>
        </is>
      </c>
      <c r="F350" s="24" t="inlineStr">
        <is>
          <t>SwimTrek Blue</t>
        </is>
      </c>
      <c r="G350" s="24" t="inlineStr">
        <is>
          <t>FlyQuest RED</t>
        </is>
      </c>
      <c r="H350" s="24" t="inlineStr">
        <is>
          <t>moneyline</t>
        </is>
      </c>
      <c r="I350" s="24" t="inlineStr">
        <is>
          <t>away</t>
        </is>
      </c>
      <c r="J350" s="25" t="n"/>
      <c r="K350" s="24" t="inlineStr">
        <is>
          <t>polymarket_us</t>
        </is>
      </c>
      <c r="L350" s="26" t="n">
        <v>-194</v>
      </c>
      <c r="M350" s="27" t="n">
        <v>1.515464</v>
      </c>
      <c r="N350" s="28" t="n">
        <v>0.659864</v>
      </c>
      <c r="O350" s="28" t="n">
        <v>0.569339</v>
      </c>
      <c r="P350" s="28" t="n"/>
      <c r="Q350" s="28" t="n">
        <v>-0.09052499999999999</v>
      </c>
      <c r="R350" s="26" t="n">
        <v>0</v>
      </c>
      <c r="S350" s="29" t="n">
        <v>1.25</v>
      </c>
      <c r="T350" s="24" t="inlineStr">
        <is>
          <t>valorant-tiered-elo-v5</t>
        </is>
      </c>
      <c r="U350" s="24" t="inlineStr">
        <is>
          <t>open</t>
        </is>
      </c>
      <c r="V350" s="24" t="n"/>
      <c r="W350" s="26" t="n"/>
      <c r="X350" s="26" t="n"/>
      <c r="Y350" s="25" t="n"/>
      <c r="Z350" s="26" t="n"/>
      <c r="AA350" s="28" t="n"/>
      <c r="AB350" s="28" t="n"/>
      <c r="AC350" s="30" t="n"/>
      <c r="AD350" s="24" t="n"/>
      <c r="AE350" s="31" t="inlineStr">
        <is>
          <t>Neutral Elo baseline; executable ask 0.6600 (market_slug=aec-valorant-flyr-swim-2026-08-03).</t>
        </is>
      </c>
      <c r="AF350" s="31" t="inlineStr">
        <is>
          <t>Config-promoted esports baseline; gates enforced at log time.</t>
        </is>
      </c>
      <c r="AG350" s="24" t="inlineStr">
        <is>
          <t>not_applicable</t>
        </is>
      </c>
      <c r="AH350" s="24" t="n"/>
      <c r="AI350" s="31" t="n"/>
      <c r="AJ350" s="31" t="n"/>
      <c r="AK350" s="24" t="inlineStr">
        <is>
          <t>research_observation</t>
        </is>
      </c>
      <c r="AL350" s="26" t="n">
        <v>3</v>
      </c>
      <c r="AM350" s="24" t="inlineStr">
        <is>
          <t>RESEARCH_OBSERVATION</t>
        </is>
      </c>
      <c r="AN350" s="24" t="inlineStr">
        <is>
          <t>NO_CALL</t>
        </is>
      </c>
      <c r="AO350" s="24" t="inlineStr">
        <is>
          <t>NO_CALL_LOW_EDGE</t>
        </is>
      </c>
      <c r="AP350" s="24" t="inlineStr">
        <is>
          <t>SwimTrek Blue</t>
        </is>
      </c>
      <c r="AQ350" s="24" t="inlineStr">
        <is>
          <t>SwimTrek Blue</t>
        </is>
      </c>
      <c r="AR350" s="24" t="inlineStr">
        <is>
          <t>SwimTrek Blue</t>
        </is>
      </c>
      <c r="AS350" s="24" t="inlineStr">
        <is>
          <t>FlyQuest RED</t>
        </is>
      </c>
      <c r="AT350" s="24" t="inlineStr">
        <is>
          <t>FlyQuest RED</t>
        </is>
      </c>
      <c r="AU350" s="24" t="inlineStr">
        <is>
          <t>FlyQuest RED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7b357ebf15fdd8ef9fd17ea55a79657deb8605877a4ca2b29d2bc94bcaa6b578</t>
        </is>
      </c>
      <c r="BB350" s="24" t="inlineStr">
        <is>
          <t>neutral_elo</t>
        </is>
      </c>
      <c r="BC350" s="24" t="inlineStr">
        <is>
          <t>valorant-tiered-elo-v5</t>
        </is>
      </c>
      <c r="BD350" s="24" t="inlineStr">
        <is>
          <t>7b357ebf15fdd8ef9fd17ea55a79657deb8605877a4ca2b29d2bc94bcaa6b578</t>
        </is>
      </c>
      <c r="BE350" s="24" t="inlineStr">
        <is>
          <t>1</t>
        </is>
      </c>
      <c r="BF350" s="24" t="inlineStr">
        <is>
          <t>1</t>
        </is>
      </c>
      <c r="BG350" s="24" t="inlineStr">
        <is>
          <t>valorant-tiered-elo-v5</t>
        </is>
      </c>
      <c r="BH350" s="24" t="inlineStr">
        <is>
          <t>2026-08-02T18:09:22.943314Z</t>
        </is>
      </c>
      <c r="BI350" s="24" t="inlineStr">
        <is>
          <t>["same_event","same_team_same_day","same_league_same_day"]</t>
        </is>
      </c>
      <c r="BJ350" s="25" t="n"/>
      <c r="BK350" s="26" t="n">
        <v>-194</v>
      </c>
      <c r="BL350" s="27" t="n">
        <v>1.515464</v>
      </c>
      <c r="BM350" s="28" t="n">
        <v>0.659864</v>
      </c>
      <c r="BN350" s="28" t="n"/>
      <c r="BO350" s="28" t="n"/>
      <c r="BP350" s="25" t="n"/>
      <c r="BQ350" s="27" t="n"/>
      <c r="BR350" s="28" t="n"/>
      <c r="BS350" s="28" t="n"/>
      <c r="BT350" s="28" t="n"/>
      <c r="BU350" s="25" t="n"/>
      <c r="BV350" s="29" t="n"/>
      <c r="BW350" s="24" t="n"/>
      <c r="BX350" s="30" t="n"/>
      <c r="BY350" s="27" t="n"/>
      <c r="BZ350" s="24" t="n"/>
      <c r="CA350" s="31" t="n"/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inlineStr">
        <is>
          <t>False</t>
        </is>
      </c>
    </row>
    <row r="351" ht="36" customHeight="1">
      <c r="A351" s="24" t="inlineStr">
        <is>
          <t>a12aac9891f14cce</t>
        </is>
      </c>
      <c r="B351" s="24" t="inlineStr">
        <is>
          <t>2026-08-02T18:09:24.902767Z</t>
        </is>
      </c>
      <c r="C351" s="24" t="inlineStr">
        <is>
          <t>2026-08-03T23:30:00Z</t>
        </is>
      </c>
      <c r="D351" s="24" t="inlineStr">
        <is>
          <t>68095</t>
        </is>
      </c>
      <c r="E351" s="24" t="inlineStr">
        <is>
          <t>VALORANT</t>
        </is>
      </c>
      <c r="F351" s="24" t="inlineStr">
        <is>
          <t>MVSK Secret</t>
        </is>
      </c>
      <c r="G351" s="24" t="inlineStr">
        <is>
          <t>ROSO GC</t>
        </is>
      </c>
      <c r="H351" s="24" t="inlineStr">
        <is>
          <t>moneyline</t>
        </is>
      </c>
      <c r="I351" s="24" t="inlineStr">
        <is>
          <t>home</t>
        </is>
      </c>
      <c r="J351" s="25" t="n"/>
      <c r="K351" s="24" t="inlineStr">
        <is>
          <t>polymarket_us</t>
        </is>
      </c>
      <c r="L351" s="26" t="n">
        <v>170</v>
      </c>
      <c r="M351" s="27" t="n">
        <v>2.7</v>
      </c>
      <c r="N351" s="28" t="n">
        <v>0.37037</v>
      </c>
      <c r="O351" s="28" t="n">
        <v>0.519652</v>
      </c>
      <c r="P351" s="28" t="n"/>
      <c r="Q351" s="28" t="n">
        <v>0.149282</v>
      </c>
      <c r="R351" s="26" t="n">
        <v>95</v>
      </c>
      <c r="S351" s="29" t="n">
        <v>1</v>
      </c>
      <c r="T351" s="24" t="inlineStr">
        <is>
          <t>valorant-tiered-elo-v5</t>
        </is>
      </c>
      <c r="U351" s="24" t="inlineStr">
        <is>
          <t>open</t>
        </is>
      </c>
      <c r="V351" s="24" t="n"/>
      <c r="W351" s="26" t="n"/>
      <c r="X351" s="26" t="n"/>
      <c r="Y351" s="25" t="n"/>
      <c r="Z351" s="26" t="n"/>
      <c r="AA351" s="28" t="n"/>
      <c r="AB351" s="28" t="n"/>
      <c r="AC351" s="30" t="n"/>
      <c r="AD351" s="24" t="n"/>
      <c r="AE351" s="31" t="inlineStr">
        <is>
          <t>Neutral Elo baseline; executable ask 0.3700 (market_slug=aec-valorant-roso-mvs-2026-08-03).</t>
        </is>
      </c>
      <c r="AF351" s="31" t="inlineStr">
        <is>
          <t>Config-promoted esports baseline; gates enforced at log time.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research_observation</t>
        </is>
      </c>
      <c r="AL351" s="26" t="n">
        <v>3</v>
      </c>
      <c r="AM351" s="24" t="inlineStr">
        <is>
          <t>RESEARCH_OBSERVATION</t>
        </is>
      </c>
      <c r="AN351" s="24" t="inlineStr">
        <is>
          <t>NO_CALL</t>
        </is>
      </c>
      <c r="AO351" s="24" t="inlineStr">
        <is>
          <t>NO_CALL_LOW_EDGE</t>
        </is>
      </c>
      <c r="AP351" s="24" t="inlineStr">
        <is>
          <t>MVSK Secret</t>
        </is>
      </c>
      <c r="AQ351" s="24" t="inlineStr">
        <is>
          <t>MVSK Secret</t>
        </is>
      </c>
      <c r="AR351" s="24" t="inlineStr">
        <is>
          <t>MVSK Secret</t>
        </is>
      </c>
      <c r="AS351" s="24" t="inlineStr">
        <is>
          <t>ROSO GC</t>
        </is>
      </c>
      <c r="AT351" s="24" t="inlineStr">
        <is>
          <t>ROSO GC</t>
        </is>
      </c>
      <c r="AU351" s="24" t="inlineStr">
        <is>
          <t>ROSO GC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7b357ebf15fdd8ef9fd17ea55a79657deb8605877a4ca2b29d2bc94bcaa6b578</t>
        </is>
      </c>
      <c r="BB351" s="24" t="inlineStr">
        <is>
          <t>neutral_elo</t>
        </is>
      </c>
      <c r="BC351" s="24" t="inlineStr">
        <is>
          <t>valorant-tiered-elo-v5</t>
        </is>
      </c>
      <c r="BD351" s="24" t="inlineStr">
        <is>
          <t>7b357ebf15fdd8ef9fd17ea55a79657deb8605877a4ca2b29d2bc94bcaa6b578</t>
        </is>
      </c>
      <c r="BE351" s="24" t="inlineStr">
        <is>
          <t>1</t>
        </is>
      </c>
      <c r="BF351" s="24" t="inlineStr">
        <is>
          <t>1</t>
        </is>
      </c>
      <c r="BG351" s="24" t="inlineStr">
        <is>
          <t>valorant-tiered-elo-v5</t>
        </is>
      </c>
      <c r="BH351" s="24" t="inlineStr">
        <is>
          <t>2026-08-02T18:09:23.897138Z</t>
        </is>
      </c>
      <c r="BI351" s="24" t="inlineStr">
        <is>
          <t>["same_event","same_team_same_day","same_league_same_day"]</t>
        </is>
      </c>
      <c r="BJ351" s="25" t="n"/>
      <c r="BK351" s="26" t="n">
        <v>170</v>
      </c>
      <c r="BL351" s="27" t="n">
        <v>2.7</v>
      </c>
      <c r="BM351" s="28" t="n">
        <v>0.37037</v>
      </c>
      <c r="BN351" s="28" t="n"/>
      <c r="BO351" s="28" t="n"/>
      <c r="BP351" s="25" t="n"/>
      <c r="BQ351" s="27" t="n"/>
      <c r="BR351" s="28" t="n"/>
      <c r="BS351" s="28" t="n"/>
      <c r="BT351" s="28" t="n"/>
      <c r="BU351" s="25" t="n"/>
      <c r="BV351" s="29" t="n"/>
      <c r="BW351" s="24" t="n"/>
      <c r="BX351" s="30" t="n"/>
      <c r="BY351" s="27" t="n"/>
      <c r="BZ351" s="24" t="n"/>
      <c r="CA351" s="31" t="n"/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inlineStr">
        <is>
          <t>True</t>
        </is>
      </c>
    </row>
    <row r="352" ht="36" customHeight="1">
      <c r="A352" s="24" t="inlineStr">
        <is>
          <t>ac87eb76de434213</t>
        </is>
      </c>
      <c r="B352" s="24" t="inlineStr">
        <is>
          <t>2026-08-02T18:09:31.256815Z</t>
        </is>
      </c>
      <c r="C352" s="24" t="inlineStr">
        <is>
          <t>2026-08-02T18:10Z</t>
        </is>
      </c>
      <c r="D352" s="24" t="inlineStr">
        <is>
          <t>401816370</t>
        </is>
      </c>
      <c r="E352" s="24" t="inlineStr">
        <is>
          <t>MLB</t>
        </is>
      </c>
      <c r="F352" s="24" t="inlineStr">
        <is>
          <t>Texas Rangers</t>
        </is>
      </c>
      <c r="G352" s="24" t="inlineStr">
        <is>
          <t>Houston Astros</t>
        </is>
      </c>
      <c r="H352" s="24" t="inlineStr">
        <is>
          <t>spread</t>
        </is>
      </c>
      <c r="I352" s="24" t="inlineStr">
        <is>
          <t>away</t>
        </is>
      </c>
      <c r="J352" s="25" t="n">
        <v>1.5</v>
      </c>
      <c r="K352" s="24" t="inlineStr">
        <is>
          <t>polymarket_us</t>
        </is>
      </c>
      <c r="L352" s="26" t="n">
        <v>-167</v>
      </c>
      <c r="M352" s="27" t="n">
        <v>1.598802</v>
      </c>
      <c r="N352" s="28" t="n">
        <v>0.625468</v>
      </c>
      <c r="O352" s="28" t="n">
        <v>0.580882</v>
      </c>
      <c r="P352" s="28" t="n">
        <v>0.042131</v>
      </c>
      <c r="Q352" s="28" t="n">
        <v>-0.044586</v>
      </c>
      <c r="R352" s="26" t="n">
        <v>4</v>
      </c>
      <c r="S352" s="29" t="n">
        <v>1.25</v>
      </c>
      <c r="T352" s="24" t="inlineStr">
        <is>
          <t>measured-edge-margin-v2</t>
        </is>
      </c>
      <c r="U352" s="24" t="inlineStr">
        <is>
          <t>open</t>
        </is>
      </c>
      <c r="V352" s="24" t="n"/>
      <c r="W352" s="26" t="n"/>
      <c r="X352" s="26" t="n"/>
      <c r="Y352" s="25" t="n"/>
      <c r="Z352" s="26" t="n"/>
      <c r="AA352" s="28" t="n"/>
      <c r="AB352" s="28" t="n"/>
      <c r="AC352" s="30" t="n"/>
      <c r="AD352" s="24" t="n"/>
      <c r="AE352" s="31" t="inlineStr">
        <is>
          <t>Measured Edge Margin: Trend Engine projected 4.10-4.64; raw selected-side p=0.6232, calibrated p=0.5809.</t>
        </is>
      </c>
      <c r="AF352" s="31" t="inlineStr">
        <is>
          <t>Research-only; lineup, bullpen, park, weather, xFIP, and wRC+ may be neutral fallbacks; market availability and BBO depth may change before first pitch.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model_qualified</t>
        </is>
      </c>
      <c r="AL352" s="26" t="n">
        <v>3</v>
      </c>
      <c r="AM352" s="24" t="inlineStr">
        <is>
          <t>QUALIFIED_SHADOW_CALL</t>
        </is>
      </c>
      <c r="AN352" s="24" t="inlineStr">
        <is>
          <t>CALL</t>
        </is>
      </c>
      <c r="AO352" s="24" t="inlineStr">
        <is>
          <t>QUALIFIED</t>
        </is>
      </c>
      <c r="AP352" s="24" t="inlineStr">
        <is>
          <t>mlb-tex</t>
        </is>
      </c>
      <c r="AQ352" s="24" t="inlineStr">
        <is>
          <t>Texas Rangers</t>
        </is>
      </c>
      <c r="AR352" s="24" t="inlineStr">
        <is>
          <t>Texas Rangers</t>
        </is>
      </c>
      <c r="AS352" s="24" t="inlineStr">
        <is>
          <t>mlb-hou</t>
        </is>
      </c>
      <c r="AT352" s="24" t="inlineStr">
        <is>
          <t>Houston Astros</t>
        </is>
      </c>
      <c r="AU352" s="24" t="inlineStr">
        <is>
          <t>Houston Astros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research</t>
        </is>
      </c>
      <c r="BA352" s="24" t="inlineStr">
        <is>
          <t>8360b122264b796b0fb193095cfe4506c7e064e5f3f8c0a659aec41efd08dd25</t>
        </is>
      </c>
      <c r="BB352" s="24" t="inlineStr">
        <is>
          <t>flat_probability_shrinkage_toward_half</t>
        </is>
      </c>
      <c r="BC352" s="24" t="inlineStr">
        <is>
          <t>measured-edge-margin-v2</t>
        </is>
      </c>
      <c r="BD352" s="24" t="inlineStr">
        <is>
          <t>8360b122264b796b0fb193095cfe4506c7e064e5f3f8c0a659aec41efd08dd25</t>
        </is>
      </c>
      <c r="BE352" s="24" t="inlineStr">
        <is>
          <t>v3</t>
        </is>
      </c>
      <c r="BF352" s="24" t="inlineStr">
        <is>
          <t>1</t>
        </is>
      </c>
      <c r="BG352" s="24" t="inlineStr">
        <is>
          <t>measured-edge-paired-v1</t>
        </is>
      </c>
      <c r="BH352" s="24" t="inlineStr">
        <is>
          <t>2026-08-02T18:09:31.256815Z</t>
        </is>
      </c>
      <c r="BI352" s="24" t="inlineStr">
        <is>
          <t>["same_event","same_team_same_day","same_league_same_day"]</t>
        </is>
      </c>
      <c r="BJ352" s="25" t="n">
        <v>1.5</v>
      </c>
      <c r="BK352" s="26" t="n">
        <v>-167</v>
      </c>
      <c r="BL352" s="27" t="n">
        <v>1.598802</v>
      </c>
      <c r="BM352" s="28" t="n">
        <v>0.625468</v>
      </c>
      <c r="BN352" s="28" t="n">
        <v>0.621891</v>
      </c>
      <c r="BO352" s="28" t="n"/>
      <c r="BP352" s="25" t="n"/>
      <c r="BQ352" s="27" t="n"/>
      <c r="BR352" s="28" t="n"/>
      <c r="BS352" s="28" t="n"/>
      <c r="BT352" s="28" t="n"/>
      <c r="BU352" s="25" t="n"/>
      <c r="BV352" s="29" t="n"/>
      <c r="BW352" s="24" t="n"/>
      <c r="BX352" s="30" t="n"/>
      <c r="BY352" s="27" t="n"/>
      <c r="BZ352" s="24" t="n"/>
      <c r="CA352" s="31" t="n"/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inlineStr">
        <is>
          <t>False</t>
        </is>
      </c>
    </row>
    <row r="353" ht="36" customHeight="1">
      <c r="A353" s="24" t="inlineStr">
        <is>
          <t>cb4e24c3081d483a</t>
        </is>
      </c>
      <c r="B353" s="24" t="inlineStr">
        <is>
          <t>2026-08-02T18:09:31.256815Z</t>
        </is>
      </c>
      <c r="C353" s="24" t="inlineStr">
        <is>
          <t>2026-08-02T18:10Z</t>
        </is>
      </c>
      <c r="D353" s="24" t="inlineStr">
        <is>
          <t>401816370</t>
        </is>
      </c>
      <c r="E353" s="24" t="inlineStr">
        <is>
          <t>MLB</t>
        </is>
      </c>
      <c r="F353" s="24" t="inlineStr">
        <is>
          <t>Texas Rangers</t>
        </is>
      </c>
      <c r="G353" s="24" t="inlineStr">
        <is>
          <t>Houston Astros</t>
        </is>
      </c>
      <c r="H353" s="24" t="inlineStr">
        <is>
          <t>total</t>
        </is>
      </c>
      <c r="I353" s="24" t="inlineStr">
        <is>
          <t>under</t>
        </is>
      </c>
      <c r="J353" s="25" t="n">
        <v>8.5</v>
      </c>
      <c r="K353" s="24" t="inlineStr">
        <is>
          <t>polymarket_us</t>
        </is>
      </c>
      <c r="L353" s="26" t="n">
        <v>-102</v>
      </c>
      <c r="M353" s="27" t="n">
        <v>1.980392</v>
      </c>
      <c r="N353" s="28" t="n">
        <v>0.50495</v>
      </c>
      <c r="O353" s="28" t="n">
        <v>0.511521</v>
      </c>
      <c r="P353" s="28" t="n">
        <v>0.042131</v>
      </c>
      <c r="Q353" s="28" t="n">
        <v>0.006571</v>
      </c>
      <c r="R353" s="26" t="n">
        <v>29</v>
      </c>
      <c r="S353" s="29" t="n">
        <v>1</v>
      </c>
      <c r="T353" s="24" t="inlineStr">
        <is>
          <t>measured-edge-totals-v2</t>
        </is>
      </c>
      <c r="U353" s="24" t="inlineStr">
        <is>
          <t>open</t>
        </is>
      </c>
      <c r="V353" s="24" t="n"/>
      <c r="W353" s="26" t="n"/>
      <c r="X353" s="26" t="n"/>
      <c r="Y353" s="25" t="n"/>
      <c r="Z353" s="26" t="n"/>
      <c r="AA353" s="28" t="n"/>
      <c r="AB353" s="28" t="n"/>
      <c r="AC353" s="30" t="n"/>
      <c r="AD353" s="24" t="n"/>
      <c r="AE353" s="31" t="inlineStr">
        <is>
          <t>Measured Edge Totals: Trend Engine projected 4.10-4.64; raw selected-side p=0.5104, calibrated p=0.5115.</t>
        </is>
      </c>
      <c r="AF353" s="31" t="inlineStr">
        <is>
          <t>Research-only; lineup, bullpen, park, weather, xFIP, and wRC+ may be neutral fallbacks; market availability and BBO depth may change before first pitch.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model_qualified</t>
        </is>
      </c>
      <c r="AL353" s="26" t="n">
        <v>3</v>
      </c>
      <c r="AM353" s="24" t="inlineStr">
        <is>
          <t>QUALIFIED_SHADOW_CALL</t>
        </is>
      </c>
      <c r="AN353" s="24" t="inlineStr">
        <is>
          <t>CALL</t>
        </is>
      </c>
      <c r="AO353" s="24" t="inlineStr">
        <is>
          <t>QUALIFIED</t>
        </is>
      </c>
      <c r="AP353" s="24" t="inlineStr">
        <is>
          <t>mlb-tex</t>
        </is>
      </c>
      <c r="AQ353" s="24" t="inlineStr">
        <is>
          <t>Texas Rangers</t>
        </is>
      </c>
      <c r="AR353" s="24" t="inlineStr">
        <is>
          <t>Texas Rangers</t>
        </is>
      </c>
      <c r="AS353" s="24" t="inlineStr">
        <is>
          <t>mlb-hou</t>
        </is>
      </c>
      <c r="AT353" s="24" t="inlineStr">
        <is>
          <t>Houston Astros</t>
        </is>
      </c>
      <c r="AU353" s="24" t="inlineStr">
        <is>
          <t>Houston Astros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research</t>
        </is>
      </c>
      <c r="BA353" s="24" t="inlineStr">
        <is>
          <t>433578016242b27f9c1c7132cc6b5a2bcc7dd1b0234590c12a944455a88e71bd</t>
        </is>
      </c>
      <c r="BB353" s="24" t="inlineStr">
        <is>
          <t>flat_probability_shrinkage_toward_half</t>
        </is>
      </c>
      <c r="BC353" s="24" t="inlineStr">
        <is>
          <t>measured-edge-totals-v2</t>
        </is>
      </c>
      <c r="BD353" s="24" t="inlineStr">
        <is>
          <t>433578016242b27f9c1c7132cc6b5a2bcc7dd1b0234590c12a944455a88e71bd</t>
        </is>
      </c>
      <c r="BE353" s="24" t="inlineStr">
        <is>
          <t>v3</t>
        </is>
      </c>
      <c r="BF353" s="24" t="inlineStr">
        <is>
          <t>1</t>
        </is>
      </c>
      <c r="BG353" s="24" t="inlineStr">
        <is>
          <t>measured-edge-paired-v1</t>
        </is>
      </c>
      <c r="BH353" s="24" t="inlineStr">
        <is>
          <t>2026-08-02T18:09:31.256815Z</t>
        </is>
      </c>
      <c r="BI353" s="24" t="inlineStr">
        <is>
          <t>["same_event","same_team_same_day","same_league_same_day"]</t>
        </is>
      </c>
      <c r="BJ353" s="25" t="n">
        <v>8.5</v>
      </c>
      <c r="BK353" s="26" t="n">
        <v>-102</v>
      </c>
      <c r="BL353" s="27" t="n">
        <v>1.980392</v>
      </c>
      <c r="BM353" s="28" t="n">
        <v>0.50495</v>
      </c>
      <c r="BN353" s="28" t="n">
        <v>0.502488</v>
      </c>
      <c r="BO353" s="28" t="n"/>
      <c r="BP353" s="25" t="n"/>
      <c r="BQ353" s="27" t="n"/>
      <c r="BR353" s="28" t="n"/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inlineStr">
        <is>
          <t>True</t>
        </is>
      </c>
    </row>
    <row r="354" ht="36" customHeight="1">
      <c r="A354" s="24" t="inlineStr">
        <is>
          <t>ac690661b6a74444</t>
        </is>
      </c>
      <c r="B354" s="24" t="inlineStr">
        <is>
          <t>2026-08-02T18:09:31.256815Z</t>
        </is>
      </c>
      <c r="C354" s="24" t="inlineStr">
        <is>
          <t>2026-08-02T18:20Z</t>
        </is>
      </c>
      <c r="D354" s="24" t="inlineStr">
        <is>
          <t>401816369</t>
        </is>
      </c>
      <c r="E354" s="24" t="inlineStr">
        <is>
          <t>MLB</t>
        </is>
      </c>
      <c r="F354" s="24" t="inlineStr">
        <is>
          <t>New York Yankees</t>
        </is>
      </c>
      <c r="G354" s="24" t="inlineStr">
        <is>
          <t>Chicago Cubs</t>
        </is>
      </c>
      <c r="H354" s="24" t="inlineStr">
        <is>
          <t>spread</t>
        </is>
      </c>
      <c r="I354" s="24" t="inlineStr">
        <is>
          <t>home</t>
        </is>
      </c>
      <c r="J354" s="25" t="n">
        <v>1.5</v>
      </c>
      <c r="K354" s="24" t="inlineStr">
        <is>
          <t>polymarket_us</t>
        </is>
      </c>
      <c r="L354" s="26" t="n">
        <v>-167</v>
      </c>
      <c r="M354" s="27" t="n">
        <v>1.598802</v>
      </c>
      <c r="N354" s="28" t="n">
        <v>0.625468</v>
      </c>
      <c r="O354" s="28" t="n">
        <v>0.605256</v>
      </c>
      <c r="P354" s="28" t="n">
        <v>0.042131</v>
      </c>
      <c r="Q354" s="28" t="n">
        <v>-0.020212</v>
      </c>
      <c r="R354" s="26" t="n">
        <v>16</v>
      </c>
      <c r="S354" s="29" t="n">
        <v>1.5</v>
      </c>
      <c r="T354" s="24" t="inlineStr">
        <is>
          <t>measured-edge-margin-v2</t>
        </is>
      </c>
      <c r="U354" s="24" t="inlineStr">
        <is>
          <t>open</t>
        </is>
      </c>
      <c r="V354" s="24" t="n"/>
      <c r="W354" s="26" t="n"/>
      <c r="X354" s="26" t="n"/>
      <c r="Y354" s="25" t="n"/>
      <c r="Z354" s="26" t="n"/>
      <c r="AA354" s="28" t="n"/>
      <c r="AB354" s="28" t="n"/>
      <c r="AC354" s="30" t="n"/>
      <c r="AD354" s="24" t="n"/>
      <c r="AE354" s="31" t="inlineStr">
        <is>
          <t>Measured Edge Margin: Trend Engine projected 4.57-4.52; raw selected-side p=0.6603, calibrated p=0.6053.</t>
        </is>
      </c>
      <c r="AF354" s="31" t="inlineStr">
        <is>
          <t>Research-only; lineup, bullpen, park, weather, xFIP, and wRC+ may be neutral fallbacks; market availability and BBO depth may change before first pitch.</t>
        </is>
      </c>
      <c r="AG354" s="24" t="inlineStr">
        <is>
          <t>not_applicable</t>
        </is>
      </c>
      <c r="AH354" s="24" t="n"/>
      <c r="AI354" s="31" t="n"/>
      <c r="AJ354" s="31" t="n"/>
      <c r="AK354" s="24" t="inlineStr">
        <is>
          <t>model_qualified</t>
        </is>
      </c>
      <c r="AL354" s="26" t="n">
        <v>3</v>
      </c>
      <c r="AM354" s="24" t="inlineStr">
        <is>
          <t>QUALIFIED_SHADOW_CALL</t>
        </is>
      </c>
      <c r="AN354" s="24" t="inlineStr">
        <is>
          <t>CALL</t>
        </is>
      </c>
      <c r="AO354" s="24" t="inlineStr">
        <is>
          <t>QUALIFIED</t>
        </is>
      </c>
      <c r="AP354" s="24" t="inlineStr">
        <is>
          <t>mlb-nyy</t>
        </is>
      </c>
      <c r="AQ354" s="24" t="inlineStr">
        <is>
          <t>New York Yankees</t>
        </is>
      </c>
      <c r="AR354" s="24" t="inlineStr">
        <is>
          <t>New York Yankees</t>
        </is>
      </c>
      <c r="AS354" s="24" t="inlineStr">
        <is>
          <t>mlb-chc</t>
        </is>
      </c>
      <c r="AT354" s="24" t="inlineStr">
        <is>
          <t>Chicago Cubs</t>
        </is>
      </c>
      <c r="AU354" s="24" t="inlineStr">
        <is>
          <t>Chicago Cubs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research</t>
        </is>
      </c>
      <c r="BA354" s="24" t="inlineStr">
        <is>
          <t>8360b122264b796b0fb193095cfe4506c7e064e5f3f8c0a659aec41efd08dd25</t>
        </is>
      </c>
      <c r="BB354" s="24" t="inlineStr">
        <is>
          <t>flat_probability_shrinkage_toward_half</t>
        </is>
      </c>
      <c r="BC354" s="24" t="inlineStr">
        <is>
          <t>measured-edge-margin-v2</t>
        </is>
      </c>
      <c r="BD354" s="24" t="inlineStr">
        <is>
          <t>8360b122264b796b0fb193095cfe4506c7e064e5f3f8c0a659aec41efd08dd25</t>
        </is>
      </c>
      <c r="BE354" s="24" t="inlineStr">
        <is>
          <t>v3</t>
        </is>
      </c>
      <c r="BF354" s="24" t="inlineStr">
        <is>
          <t>1</t>
        </is>
      </c>
      <c r="BG354" s="24" t="inlineStr">
        <is>
          <t>measured-edge-paired-v1</t>
        </is>
      </c>
      <c r="BH354" s="24" t="inlineStr">
        <is>
          <t>2026-08-02T18:09:31.256815Z</t>
        </is>
      </c>
      <c r="BI354" s="24" t="inlineStr">
        <is>
          <t>["same_event","same_team_same_day","same_league_same_day"]</t>
        </is>
      </c>
      <c r="BJ354" s="25" t="n">
        <v>1.5</v>
      </c>
      <c r="BK354" s="26" t="n">
        <v>-167</v>
      </c>
      <c r="BL354" s="27" t="n">
        <v>1.598802</v>
      </c>
      <c r="BM354" s="28" t="n">
        <v>0.625468</v>
      </c>
      <c r="BN354" s="28" t="n">
        <v>0.621891</v>
      </c>
      <c r="BO354" s="28" t="n"/>
      <c r="BP354" s="25" t="n"/>
      <c r="BQ354" s="27" t="n"/>
      <c r="BR354" s="28" t="n"/>
      <c r="BS354" s="28" t="n"/>
      <c r="BT354" s="28" t="n"/>
      <c r="BU354" s="25" t="n"/>
      <c r="BV354" s="29" t="n"/>
      <c r="BW354" s="24" t="n"/>
      <c r="BX354" s="30" t="n"/>
      <c r="BY354" s="27" t="n"/>
      <c r="BZ354" s="24" t="n"/>
      <c r="CA354" s="31" t="n"/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inlineStr">
        <is>
          <t>False</t>
        </is>
      </c>
    </row>
    <row r="355" ht="36" customHeight="1">
      <c r="A355" s="24" t="inlineStr">
        <is>
          <t>ce34ac3954c145e3</t>
        </is>
      </c>
      <c r="B355" s="24" t="inlineStr">
        <is>
          <t>2026-08-02T18:09:31.256815Z</t>
        </is>
      </c>
      <c r="C355" s="24" t="inlineStr">
        <is>
          <t>2026-08-02T18:20Z</t>
        </is>
      </c>
      <c r="D355" s="24" t="inlineStr">
        <is>
          <t>401816369</t>
        </is>
      </c>
      <c r="E355" s="24" t="inlineStr">
        <is>
          <t>MLB</t>
        </is>
      </c>
      <c r="F355" s="24" t="inlineStr">
        <is>
          <t>New York Yankees</t>
        </is>
      </c>
      <c r="G355" s="24" t="inlineStr">
        <is>
          <t>Chicago Cubs</t>
        </is>
      </c>
      <c r="H355" s="24" t="inlineStr">
        <is>
          <t>total</t>
        </is>
      </c>
      <c r="I355" s="24" t="inlineStr">
        <is>
          <t>over</t>
        </is>
      </c>
      <c r="J355" s="25" t="n">
        <v>6.5</v>
      </c>
      <c r="K355" s="24" t="inlineStr">
        <is>
          <t>polymarket_us</t>
        </is>
      </c>
      <c r="L355" s="26" t="n">
        <v>-113</v>
      </c>
      <c r="M355" s="27" t="n">
        <v>1.884956</v>
      </c>
      <c r="N355" s="28" t="n">
        <v>0.530516</v>
      </c>
      <c r="O355" s="28" t="n">
        <v>0.584337</v>
      </c>
      <c r="P355" s="28" t="n">
        <v>0.042131</v>
      </c>
      <c r="Q355" s="28" t="n">
        <v>0.053821</v>
      </c>
      <c r="R355" s="26" t="n">
        <v>53</v>
      </c>
      <c r="S355" s="29" t="n">
        <v>1.25</v>
      </c>
      <c r="T355" s="24" t="inlineStr">
        <is>
          <t>measured-edge-totals-v2</t>
        </is>
      </c>
      <c r="U355" s="24" t="inlineStr">
        <is>
          <t>open</t>
        </is>
      </c>
      <c r="V355" s="24" t="n"/>
      <c r="W355" s="26" t="n"/>
      <c r="X355" s="26" t="n"/>
      <c r="Y355" s="25" t="n"/>
      <c r="Z355" s="26" t="n"/>
      <c r="AA355" s="28" t="n"/>
      <c r="AB355" s="28" t="n"/>
      <c r="AC355" s="30" t="n"/>
      <c r="AD355" s="24" t="n"/>
      <c r="AE355" s="31" t="inlineStr">
        <is>
          <t>Measured Edge Totals: Trend Engine projected 4.57-4.52; raw selected-side p=0.7236, calibrated p=0.5843.</t>
        </is>
      </c>
      <c r="AF355" s="31" t="inlineStr">
        <is>
          <t>Research-only; lineup, bullpen, park, weather, xFIP, and wRC+ may be neutral fallbacks; market availability and BBO depth may change before first pitch.</t>
        </is>
      </c>
      <c r="AG355" s="24" t="inlineStr">
        <is>
          <t>not_applicable</t>
        </is>
      </c>
      <c r="AH355" s="24" t="n"/>
      <c r="AI355" s="31" t="n"/>
      <c r="AJ355" s="31" t="n"/>
      <c r="AK355" s="24" t="inlineStr">
        <is>
          <t>model_qualified</t>
        </is>
      </c>
      <c r="AL355" s="26" t="n">
        <v>3</v>
      </c>
      <c r="AM355" s="24" t="inlineStr">
        <is>
          <t>QUALIFIED_SHADOW_CALL</t>
        </is>
      </c>
      <c r="AN355" s="24" t="inlineStr">
        <is>
          <t>CALL</t>
        </is>
      </c>
      <c r="AO355" s="24" t="inlineStr">
        <is>
          <t>QUALIFIED</t>
        </is>
      </c>
      <c r="AP355" s="24" t="inlineStr">
        <is>
          <t>mlb-nyy</t>
        </is>
      </c>
      <c r="AQ355" s="24" t="inlineStr">
        <is>
          <t>New York Yankees</t>
        </is>
      </c>
      <c r="AR355" s="24" t="inlineStr">
        <is>
          <t>New York Yankees</t>
        </is>
      </c>
      <c r="AS355" s="24" t="inlineStr">
        <is>
          <t>mlb-chc</t>
        </is>
      </c>
      <c r="AT355" s="24" t="inlineStr">
        <is>
          <t>Chicago Cubs</t>
        </is>
      </c>
      <c r="AU355" s="24" t="inlineStr">
        <is>
          <t>Chicago Cubs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research</t>
        </is>
      </c>
      <c r="BA355" s="24" t="inlineStr">
        <is>
          <t>433578016242b27f9c1c7132cc6b5a2bcc7dd1b0234590c12a944455a88e71bd</t>
        </is>
      </c>
      <c r="BB355" s="24" t="inlineStr">
        <is>
          <t>flat_probability_shrinkage_toward_half</t>
        </is>
      </c>
      <c r="BC355" s="24" t="inlineStr">
        <is>
          <t>measured-edge-totals-v2</t>
        </is>
      </c>
      <c r="BD355" s="24" t="inlineStr">
        <is>
          <t>433578016242b27f9c1c7132cc6b5a2bcc7dd1b0234590c12a944455a88e71bd</t>
        </is>
      </c>
      <c r="BE355" s="24" t="inlineStr">
        <is>
          <t>v3</t>
        </is>
      </c>
      <c r="BF355" s="24" t="inlineStr">
        <is>
          <t>1</t>
        </is>
      </c>
      <c r="BG355" s="24" t="inlineStr">
        <is>
          <t>measured-edge-paired-v1</t>
        </is>
      </c>
      <c r="BH355" s="24" t="inlineStr">
        <is>
          <t>2026-08-02T18:09:31.256815Z</t>
        </is>
      </c>
      <c r="BI355" s="24" t="inlineStr">
        <is>
          <t>["same_event","same_team_same_day","same_league_same_day"]</t>
        </is>
      </c>
      <c r="BJ355" s="25" t="n">
        <v>6.5</v>
      </c>
      <c r="BK355" s="26" t="n">
        <v>-113</v>
      </c>
      <c r="BL355" s="27" t="n">
        <v>1.884956</v>
      </c>
      <c r="BM355" s="28" t="n">
        <v>0.530516</v>
      </c>
      <c r="BN355" s="28" t="n">
        <v>0.527363</v>
      </c>
      <c r="BO355" s="28" t="n"/>
      <c r="BP355" s="25" t="n"/>
      <c r="BQ355" s="27" t="n"/>
      <c r="BR355" s="28" t="n"/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inlineStr">
        <is>
          <t>True</t>
        </is>
      </c>
    </row>
    <row r="356" ht="36" customHeight="1">
      <c r="A356" s="24" t="inlineStr">
        <is>
          <t>b647c66532f34ccb</t>
        </is>
      </c>
      <c r="B356" s="24" t="inlineStr">
        <is>
          <t>2026-08-02T18:09:31.256815Z</t>
        </is>
      </c>
      <c r="C356" s="24" t="inlineStr">
        <is>
          <t>2026-08-02T19:10Z</t>
        </is>
      </c>
      <c r="D356" s="24" t="inlineStr">
        <is>
          <t>401816371</t>
        </is>
      </c>
      <c r="E356" s="24" t="inlineStr">
        <is>
          <t>MLB</t>
        </is>
      </c>
      <c r="F356" s="24" t="inlineStr">
        <is>
          <t>Kansas City Royals</t>
        </is>
      </c>
      <c r="G356" s="24" t="inlineStr">
        <is>
          <t>Colorado Rockies</t>
        </is>
      </c>
      <c r="H356" s="24" t="inlineStr">
        <is>
          <t>spread</t>
        </is>
      </c>
      <c r="I356" s="24" t="inlineStr">
        <is>
          <t>away</t>
        </is>
      </c>
      <c r="J356" s="25" t="n">
        <v>1.5</v>
      </c>
      <c r="K356" s="24" t="inlineStr">
        <is>
          <t>polymarket_us</t>
        </is>
      </c>
      <c r="L356" s="26" t="n">
        <v>-163</v>
      </c>
      <c r="M356" s="27" t="n">
        <v>1.613497</v>
      </c>
      <c r="N356" s="28" t="n">
        <v>0.619772</v>
      </c>
      <c r="O356" s="28" t="n">
        <v>0.620018</v>
      </c>
      <c r="P356" s="28" t="n">
        <v>0.042131</v>
      </c>
      <c r="Q356" s="28" t="n">
        <v>0.000246</v>
      </c>
      <c r="R356" s="26" t="n">
        <v>26</v>
      </c>
      <c r="S356" s="29" t="n">
        <v>1.5</v>
      </c>
      <c r="T356" s="24" t="inlineStr">
        <is>
          <t>measured-edge-margin-v2</t>
        </is>
      </c>
      <c r="U356" s="24" t="inlineStr">
        <is>
          <t>open</t>
        </is>
      </c>
      <c r="V356" s="24" t="n"/>
      <c r="W356" s="26" t="n"/>
      <c r="X356" s="26" t="n"/>
      <c r="Y356" s="25" t="n"/>
      <c r="Z356" s="26" t="n"/>
      <c r="AA356" s="28" t="n"/>
      <c r="AB356" s="28" t="n"/>
      <c r="AC356" s="30" t="n"/>
      <c r="AD356" s="24" t="n"/>
      <c r="AE356" s="31" t="inlineStr">
        <is>
          <t>Measured Edge Margin: Trend Engine projected 5.19-4.94; raw selected-side p=0.6828, calibrated p=0.6200.</t>
        </is>
      </c>
      <c r="AF356" s="31" t="inlineStr">
        <is>
          <t>Research-only; lineup, bullpen, park, weather, xFIP, and wRC+ may be neutral fallbacks; market availability and BBO depth may change before first pitch.</t>
        </is>
      </c>
      <c r="AG356" s="24" t="inlineStr">
        <is>
          <t>not_applicable</t>
        </is>
      </c>
      <c r="AH356" s="24" t="n"/>
      <c r="AI356" s="31" t="n"/>
      <c r="AJ356" s="31" t="n"/>
      <c r="AK356" s="24" t="inlineStr">
        <is>
          <t>model_qualified</t>
        </is>
      </c>
      <c r="AL356" s="26" t="n">
        <v>3</v>
      </c>
      <c r="AM356" s="24" t="inlineStr">
        <is>
          <t>QUALIFIED_SHADOW_CALL</t>
        </is>
      </c>
      <c r="AN356" s="24" t="inlineStr">
        <is>
          <t>CALL</t>
        </is>
      </c>
      <c r="AO356" s="24" t="inlineStr">
        <is>
          <t>QUALIFIED</t>
        </is>
      </c>
      <c r="AP356" s="24" t="inlineStr">
        <is>
          <t>mlb-kc</t>
        </is>
      </c>
      <c r="AQ356" s="24" t="inlineStr">
        <is>
          <t>Kansas City Royals</t>
        </is>
      </c>
      <c r="AR356" s="24" t="inlineStr">
        <is>
          <t>Kansas City Royals</t>
        </is>
      </c>
      <c r="AS356" s="24" t="inlineStr">
        <is>
          <t>mlb-col</t>
        </is>
      </c>
      <c r="AT356" s="24" t="inlineStr">
        <is>
          <t>Colorado Rockies</t>
        </is>
      </c>
      <c r="AU356" s="24" t="inlineStr">
        <is>
          <t>Colorado Rockies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research</t>
        </is>
      </c>
      <c r="BA356" s="24" t="inlineStr">
        <is>
          <t>8360b122264b796b0fb193095cfe4506c7e064e5f3f8c0a659aec41efd08dd25</t>
        </is>
      </c>
      <c r="BB356" s="24" t="inlineStr">
        <is>
          <t>flat_probability_shrinkage_toward_half</t>
        </is>
      </c>
      <c r="BC356" s="24" t="inlineStr">
        <is>
          <t>measured-edge-margin-v2</t>
        </is>
      </c>
      <c r="BD356" s="24" t="inlineStr">
        <is>
          <t>8360b122264b796b0fb193095cfe4506c7e064e5f3f8c0a659aec41efd08dd25</t>
        </is>
      </c>
      <c r="BE356" s="24" t="inlineStr">
        <is>
          <t>v3</t>
        </is>
      </c>
      <c r="BF356" s="24" t="inlineStr">
        <is>
          <t>1</t>
        </is>
      </c>
      <c r="BG356" s="24" t="inlineStr">
        <is>
          <t>measured-edge-paired-v1</t>
        </is>
      </c>
      <c r="BH356" s="24" t="inlineStr">
        <is>
          <t>2026-08-02T18:09:31.256815Z</t>
        </is>
      </c>
      <c r="BI356" s="24" t="inlineStr">
        <is>
          <t>["same_event","same_team_same_day","same_league_same_day"]</t>
        </is>
      </c>
      <c r="BJ356" s="25" t="n">
        <v>1.5</v>
      </c>
      <c r="BK356" s="26" t="n">
        <v>-163</v>
      </c>
      <c r="BL356" s="27" t="n">
        <v>1.613497</v>
      </c>
      <c r="BM356" s="28" t="n">
        <v>0.619772</v>
      </c>
      <c r="BN356" s="28" t="n">
        <v>0.616915</v>
      </c>
      <c r="BO356" s="28" t="n"/>
      <c r="BP356" s="25" t="n"/>
      <c r="BQ356" s="27" t="n"/>
      <c r="BR356" s="28" t="n"/>
      <c r="BS356" s="28" t="n"/>
      <c r="BT356" s="28" t="n"/>
      <c r="BU356" s="25" t="n"/>
      <c r="BV356" s="29" t="n"/>
      <c r="BW356" s="24" t="n"/>
      <c r="BX356" s="30" t="n"/>
      <c r="BY356" s="27" t="n"/>
      <c r="BZ356" s="24" t="n"/>
      <c r="CA356" s="31" t="n"/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inlineStr">
        <is>
          <t>True</t>
        </is>
      </c>
    </row>
    <row r="357" ht="36" customHeight="1">
      <c r="A357" s="24" t="inlineStr">
        <is>
          <t>691cda97ec004a4a</t>
        </is>
      </c>
      <c r="B357" s="24" t="inlineStr">
        <is>
          <t>2026-08-02T18:09:31.256815Z</t>
        </is>
      </c>
      <c r="C357" s="24" t="inlineStr">
        <is>
          <t>2026-08-02T19:10Z</t>
        </is>
      </c>
      <c r="D357" s="24" t="inlineStr">
        <is>
          <t>401816371</t>
        </is>
      </c>
      <c r="E357" s="24" t="inlineStr">
        <is>
          <t>MLB</t>
        </is>
      </c>
      <c r="F357" s="24" t="inlineStr">
        <is>
          <t>Kansas City Royals</t>
        </is>
      </c>
      <c r="G357" s="24" t="inlineStr">
        <is>
          <t>Colorado Rockies</t>
        </is>
      </c>
      <c r="H357" s="24" t="inlineStr">
        <is>
          <t>total</t>
        </is>
      </c>
      <c r="I357" s="24" t="inlineStr">
        <is>
          <t>under</t>
        </is>
      </c>
      <c r="J357" s="25" t="n">
        <v>11.5</v>
      </c>
      <c r="K357" s="24" t="inlineStr">
        <is>
          <t>polymarket_us</t>
        </is>
      </c>
      <c r="L357" s="26" t="n">
        <v>-104</v>
      </c>
      <c r="M357" s="27" t="n">
        <v>1.961538</v>
      </c>
      <c r="N357" s="28" t="n">
        <v>0.509804</v>
      </c>
      <c r="O357" s="28" t="n">
        <v>0.56416</v>
      </c>
      <c r="P357" s="28" t="n">
        <v>0.042131</v>
      </c>
      <c r="Q357" s="28" t="n">
        <v>0.054356</v>
      </c>
      <c r="R357" s="26" t="n">
        <v>53</v>
      </c>
      <c r="S357" s="29" t="n">
        <v>1.25</v>
      </c>
      <c r="T357" s="24" t="inlineStr">
        <is>
          <t>measured-edge-totals-v2</t>
        </is>
      </c>
      <c r="U357" s="24" t="inlineStr">
        <is>
          <t>open</t>
        </is>
      </c>
      <c r="V357" s="24" t="n"/>
      <c r="W357" s="26" t="n"/>
      <c r="X357" s="26" t="n"/>
      <c r="Y357" s="25" t="n"/>
      <c r="Z357" s="26" t="n"/>
      <c r="AA357" s="28" t="n"/>
      <c r="AB357" s="28" t="n"/>
      <c r="AC357" s="30" t="n"/>
      <c r="AD357" s="24" t="n"/>
      <c r="AE357" s="31" t="inlineStr">
        <is>
          <t>Measured Edge Totals: Trend Engine projected 5.19-4.94; raw selected-side p=0.6645, calibrated p=0.5642.</t>
        </is>
      </c>
      <c r="AF357" s="31" t="inlineStr">
        <is>
          <t>Research-only; lineup, bullpen, park, weather, xFIP, and wRC+ may be neutral fallbacks; market availability and BBO depth may change before first pitch.</t>
        </is>
      </c>
      <c r="AG357" s="24" t="inlineStr">
        <is>
          <t>not_applicable</t>
        </is>
      </c>
      <c r="AH357" s="24" t="n"/>
      <c r="AI357" s="31" t="n"/>
      <c r="AJ357" s="31" t="n"/>
      <c r="AK357" s="24" t="inlineStr">
        <is>
          <t>model_qualified</t>
        </is>
      </c>
      <c r="AL357" s="26" t="n">
        <v>3</v>
      </c>
      <c r="AM357" s="24" t="inlineStr">
        <is>
          <t>QUALIFIED_SHADOW_CALL</t>
        </is>
      </c>
      <c r="AN357" s="24" t="inlineStr">
        <is>
          <t>CALL</t>
        </is>
      </c>
      <c r="AO357" s="24" t="inlineStr">
        <is>
          <t>QUALIFIED</t>
        </is>
      </c>
      <c r="AP357" s="24" t="inlineStr">
        <is>
          <t>mlb-kc</t>
        </is>
      </c>
      <c r="AQ357" s="24" t="inlineStr">
        <is>
          <t>Kansas City Royals</t>
        </is>
      </c>
      <c r="AR357" s="24" t="inlineStr">
        <is>
          <t>Kansas City Royals</t>
        </is>
      </c>
      <c r="AS357" s="24" t="inlineStr">
        <is>
          <t>mlb-col</t>
        </is>
      </c>
      <c r="AT357" s="24" t="inlineStr">
        <is>
          <t>Colorado Rockies</t>
        </is>
      </c>
      <c r="AU357" s="24" t="inlineStr">
        <is>
          <t>Colorado Rockies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research</t>
        </is>
      </c>
      <c r="BA357" s="24" t="inlineStr">
        <is>
          <t>433578016242b27f9c1c7132cc6b5a2bcc7dd1b0234590c12a944455a88e71bd</t>
        </is>
      </c>
      <c r="BB357" s="24" t="inlineStr">
        <is>
          <t>flat_probability_shrinkage_toward_half</t>
        </is>
      </c>
      <c r="BC357" s="24" t="inlineStr">
        <is>
          <t>measured-edge-totals-v2</t>
        </is>
      </c>
      <c r="BD357" s="24" t="inlineStr">
        <is>
          <t>433578016242b27f9c1c7132cc6b5a2bcc7dd1b0234590c12a944455a88e71bd</t>
        </is>
      </c>
      <c r="BE357" s="24" t="inlineStr">
        <is>
          <t>v3</t>
        </is>
      </c>
      <c r="BF357" s="24" t="inlineStr">
        <is>
          <t>1</t>
        </is>
      </c>
      <c r="BG357" s="24" t="inlineStr">
        <is>
          <t>measured-edge-paired-v1</t>
        </is>
      </c>
      <c r="BH357" s="24" t="inlineStr">
        <is>
          <t>2026-08-02T18:09:31.256815Z</t>
        </is>
      </c>
      <c r="BI357" s="24" t="inlineStr">
        <is>
          <t>["same_event","same_team_same_day","same_league_same_day"]</t>
        </is>
      </c>
      <c r="BJ357" s="25" t="n">
        <v>11.5</v>
      </c>
      <c r="BK357" s="26" t="n">
        <v>-104</v>
      </c>
      <c r="BL357" s="27" t="n">
        <v>1.961538</v>
      </c>
      <c r="BM357" s="28" t="n">
        <v>0.509804</v>
      </c>
      <c r="BN357" s="28" t="n">
        <v>0.507463</v>
      </c>
      <c r="BO357" s="28" t="n"/>
      <c r="BP357" s="25" t="n"/>
      <c r="BQ357" s="27" t="n"/>
      <c r="BR357" s="28" t="n"/>
      <c r="BS357" s="28" t="n"/>
      <c r="BT357" s="28" t="n"/>
      <c r="BU357" s="25" t="n"/>
      <c r="BV357" s="29" t="n"/>
      <c r="BW357" s="24" t="n"/>
      <c r="BX357" s="30" t="n"/>
      <c r="BY357" s="27" t="n"/>
      <c r="BZ357" s="24" t="n"/>
      <c r="CA357" s="31" t="n"/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inlineStr">
        <is>
          <t>True</t>
        </is>
      </c>
    </row>
    <row r="358" ht="36" customHeight="1">
      <c r="A358" s="24" t="inlineStr">
        <is>
          <t>aceb376757e745f9</t>
        </is>
      </c>
      <c r="B358" s="24" t="inlineStr">
        <is>
          <t>2026-08-02T18:09:31.256815Z</t>
        </is>
      </c>
      <c r="C358" s="24" t="inlineStr">
        <is>
          <t>2026-08-02T19:15Z</t>
        </is>
      </c>
      <c r="D358" s="24" t="inlineStr">
        <is>
          <t>401816374</t>
        </is>
      </c>
      <c r="E358" s="24" t="inlineStr">
        <is>
          <t>MLB</t>
        </is>
      </c>
      <c r="F358" s="24" t="inlineStr">
        <is>
          <t>Milwaukee Brewers</t>
        </is>
      </c>
      <c r="G358" s="24" t="inlineStr">
        <is>
          <t>Los Angeles Angels</t>
        </is>
      </c>
      <c r="H358" s="24" t="inlineStr">
        <is>
          <t>spread</t>
        </is>
      </c>
      <c r="I358" s="24" t="inlineStr">
        <is>
          <t>home</t>
        </is>
      </c>
      <c r="J358" s="25" t="n">
        <v>1.5</v>
      </c>
      <c r="K358" s="24" t="inlineStr">
        <is>
          <t>polymarket_us</t>
        </is>
      </c>
      <c r="L358" s="26" t="n">
        <v>117</v>
      </c>
      <c r="M358" s="27" t="n">
        <v>2.17</v>
      </c>
      <c r="N358" s="28" t="n">
        <v>0.460829</v>
      </c>
      <c r="O358" s="28" t="n">
        <v>0.600925</v>
      </c>
      <c r="P358" s="28" t="n">
        <v>0.042131</v>
      </c>
      <c r="Q358" s="28" t="n">
        <v>0.140096</v>
      </c>
      <c r="R358" s="26" t="n">
        <v>96</v>
      </c>
      <c r="S358" s="29" t="n">
        <v>1.5</v>
      </c>
      <c r="T358" s="24" t="inlineStr">
        <is>
          <t>measured-edge-margin-v2</t>
        </is>
      </c>
      <c r="U358" s="24" t="inlineStr">
        <is>
          <t>open</t>
        </is>
      </c>
      <c r="V358" s="24" t="n"/>
      <c r="W358" s="26" t="n"/>
      <c r="X358" s="26" t="n"/>
      <c r="Y358" s="25" t="n"/>
      <c r="Z358" s="26" t="n"/>
      <c r="AA358" s="28" t="n"/>
      <c r="AB358" s="28" t="n"/>
      <c r="AC358" s="30" t="n"/>
      <c r="AD358" s="24" t="n"/>
      <c r="AE358" s="31" t="inlineStr">
        <is>
          <t>Measured Edge Margin: Trend Engine projected 4.33-4.07; raw selected-side p=0.6538, calibrated p=0.6009.</t>
        </is>
      </c>
      <c r="AF358" s="31" t="inlineStr">
        <is>
          <t>Research-only; lineup, bullpen, park, weather, xFIP, and wRC+ may be neutral fallbacks; market availability and BBO depth may change before first pitch.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model_qualified</t>
        </is>
      </c>
      <c r="AL358" s="26" t="n">
        <v>3</v>
      </c>
      <c r="AM358" s="24" t="inlineStr">
        <is>
          <t>QUALIFIED_SHADOW_CALL</t>
        </is>
      </c>
      <c r="AN358" s="24" t="inlineStr">
        <is>
          <t>CALL</t>
        </is>
      </c>
      <c r="AO358" s="24" t="inlineStr">
        <is>
          <t>QUALIFIED</t>
        </is>
      </c>
      <c r="AP358" s="24" t="inlineStr">
        <is>
          <t>mlb-mil</t>
        </is>
      </c>
      <c r="AQ358" s="24" t="inlineStr">
        <is>
          <t>Milwaukee Brewers</t>
        </is>
      </c>
      <c r="AR358" s="24" t="inlineStr">
        <is>
          <t>Milwaukee Brewers</t>
        </is>
      </c>
      <c r="AS358" s="24" t="inlineStr">
        <is>
          <t>mlb-laa</t>
        </is>
      </c>
      <c r="AT358" s="24" t="inlineStr">
        <is>
          <t>Los Angeles Angels</t>
        </is>
      </c>
      <c r="AU358" s="24" t="inlineStr">
        <is>
          <t>Los Angeles Angels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research</t>
        </is>
      </c>
      <c r="BA358" s="24" t="inlineStr">
        <is>
          <t>8360b122264b796b0fb193095cfe4506c7e064e5f3f8c0a659aec41efd08dd25</t>
        </is>
      </c>
      <c r="BB358" s="24" t="inlineStr">
        <is>
          <t>flat_probability_shrinkage_toward_half</t>
        </is>
      </c>
      <c r="BC358" s="24" t="inlineStr">
        <is>
          <t>measured-edge-margin-v2</t>
        </is>
      </c>
      <c r="BD358" s="24" t="inlineStr">
        <is>
          <t>8360b122264b796b0fb193095cfe4506c7e064e5f3f8c0a659aec41efd08dd25</t>
        </is>
      </c>
      <c r="BE358" s="24" t="inlineStr">
        <is>
          <t>v3</t>
        </is>
      </c>
      <c r="BF358" s="24" t="inlineStr">
        <is>
          <t>1</t>
        </is>
      </c>
      <c r="BG358" s="24" t="inlineStr">
        <is>
          <t>measured-edge-paired-v1</t>
        </is>
      </c>
      <c r="BH358" s="24" t="inlineStr">
        <is>
          <t>2026-08-02T18:09:31.256815Z</t>
        </is>
      </c>
      <c r="BI358" s="24" t="inlineStr">
        <is>
          <t>["same_event","same_team_same_day","same_league_same_day"]</t>
        </is>
      </c>
      <c r="BJ358" s="25" t="n">
        <v>1.5</v>
      </c>
      <c r="BK358" s="26" t="n">
        <v>117</v>
      </c>
      <c r="BL358" s="27" t="n">
        <v>2.17</v>
      </c>
      <c r="BM358" s="28" t="n">
        <v>0.460829</v>
      </c>
      <c r="BN358" s="28" t="n">
        <v>0.457711</v>
      </c>
      <c r="BO358" s="28" t="n"/>
      <c r="BP358" s="25" t="n"/>
      <c r="BQ358" s="27" t="n"/>
      <c r="BR358" s="28" t="n"/>
      <c r="BS358" s="28" t="n"/>
      <c r="BT358" s="28" t="n"/>
      <c r="BU358" s="25" t="n"/>
      <c r="BV358" s="29" t="n"/>
      <c r="BW358" s="24" t="n"/>
      <c r="BX358" s="30" t="n"/>
      <c r="BY358" s="27" t="n"/>
      <c r="BZ358" s="24" t="n"/>
      <c r="CA358" s="31" t="n"/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inlineStr">
        <is>
          <t>True</t>
        </is>
      </c>
    </row>
    <row r="359" ht="36" customHeight="1">
      <c r="A359" s="24" t="inlineStr">
        <is>
          <t>cfb3fe246d5a4b62</t>
        </is>
      </c>
      <c r="B359" s="24" t="inlineStr">
        <is>
          <t>2026-08-02T18:09:31.256815Z</t>
        </is>
      </c>
      <c r="C359" s="24" t="inlineStr">
        <is>
          <t>2026-08-02T19:15Z</t>
        </is>
      </c>
      <c r="D359" s="24" t="inlineStr">
        <is>
          <t>401816374</t>
        </is>
      </c>
      <c r="E359" s="24" t="inlineStr">
        <is>
          <t>MLB</t>
        </is>
      </c>
      <c r="F359" s="24" t="inlineStr">
        <is>
          <t>Milwaukee Brewers</t>
        </is>
      </c>
      <c r="G359" s="24" t="inlineStr">
        <is>
          <t>Los Angeles Angels</t>
        </is>
      </c>
      <c r="H359" s="24" t="inlineStr">
        <is>
          <t>total</t>
        </is>
      </c>
      <c r="I359" s="24" t="inlineStr">
        <is>
          <t>over</t>
        </is>
      </c>
      <c r="J359" s="25" t="n">
        <v>7.5</v>
      </c>
      <c r="K359" s="24" t="inlineStr">
        <is>
          <t>polymarket_us</t>
        </is>
      </c>
      <c r="L359" s="26" t="n">
        <v>104</v>
      </c>
      <c r="M359" s="27" t="n">
        <v>2.04</v>
      </c>
      <c r="N359" s="28" t="n">
        <v>0.490196</v>
      </c>
      <c r="O359" s="28" t="n">
        <v>0.519875</v>
      </c>
      <c r="P359" s="28" t="n">
        <v>0.042131</v>
      </c>
      <c r="Q359" s="28" t="n">
        <v>0.029679</v>
      </c>
      <c r="R359" s="26" t="n">
        <v>41</v>
      </c>
      <c r="S359" s="29" t="n">
        <v>1</v>
      </c>
      <c r="T359" s="24" t="inlineStr">
        <is>
          <t>measured-edge-totals-v2</t>
        </is>
      </c>
      <c r="U359" s="24" t="inlineStr">
        <is>
          <t>open</t>
        </is>
      </c>
      <c r="V359" s="24" t="n"/>
      <c r="W359" s="26" t="n"/>
      <c r="X359" s="26" t="n"/>
      <c r="Y359" s="25" t="n"/>
      <c r="Z359" s="26" t="n"/>
      <c r="AA359" s="28" t="n"/>
      <c r="AB359" s="28" t="n"/>
      <c r="AC359" s="30" t="n"/>
      <c r="AD359" s="24" t="n"/>
      <c r="AE359" s="31" t="inlineStr">
        <is>
          <t>Measured Edge Totals: Trend Engine projected 4.33-4.07; raw selected-side p=0.5349, calibrated p=0.5199.</t>
        </is>
      </c>
      <c r="AF359" s="31" t="inlineStr">
        <is>
          <t>Research-only; lineup, bullpen, park, weather, xFIP, and wRC+ may be neutral fallbacks; market availability and BBO depth may change before first pitch.</t>
        </is>
      </c>
      <c r="AG359" s="24" t="inlineStr">
        <is>
          <t>not_applicable</t>
        </is>
      </c>
      <c r="AH359" s="24" t="n"/>
      <c r="AI359" s="31" t="n"/>
      <c r="AJ359" s="31" t="n"/>
      <c r="AK359" s="24" t="inlineStr">
        <is>
          <t>model_qualified</t>
        </is>
      </c>
      <c r="AL359" s="26" t="n">
        <v>3</v>
      </c>
      <c r="AM359" s="24" t="inlineStr">
        <is>
          <t>QUALIFIED_SHADOW_CALL</t>
        </is>
      </c>
      <c r="AN359" s="24" t="inlineStr">
        <is>
          <t>CALL</t>
        </is>
      </c>
      <c r="AO359" s="24" t="inlineStr">
        <is>
          <t>QUALIFIED</t>
        </is>
      </c>
      <c r="AP359" s="24" t="inlineStr">
        <is>
          <t>mlb-mil</t>
        </is>
      </c>
      <c r="AQ359" s="24" t="inlineStr">
        <is>
          <t>Milwaukee Brewers</t>
        </is>
      </c>
      <c r="AR359" s="24" t="inlineStr">
        <is>
          <t>Milwaukee Brewers</t>
        </is>
      </c>
      <c r="AS359" s="24" t="inlineStr">
        <is>
          <t>mlb-laa</t>
        </is>
      </c>
      <c r="AT359" s="24" t="inlineStr">
        <is>
          <t>Los Angeles Angels</t>
        </is>
      </c>
      <c r="AU359" s="24" t="inlineStr">
        <is>
          <t>Los Angeles Angels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research</t>
        </is>
      </c>
      <c r="BA359" s="24" t="inlineStr">
        <is>
          <t>433578016242b27f9c1c7132cc6b5a2bcc7dd1b0234590c12a944455a88e71bd</t>
        </is>
      </c>
      <c r="BB359" s="24" t="inlineStr">
        <is>
          <t>flat_probability_shrinkage_toward_half</t>
        </is>
      </c>
      <c r="BC359" s="24" t="inlineStr">
        <is>
          <t>measured-edge-totals-v2</t>
        </is>
      </c>
      <c r="BD359" s="24" t="inlineStr">
        <is>
          <t>433578016242b27f9c1c7132cc6b5a2bcc7dd1b0234590c12a944455a88e71bd</t>
        </is>
      </c>
      <c r="BE359" s="24" t="inlineStr">
        <is>
          <t>v3</t>
        </is>
      </c>
      <c r="BF359" s="24" t="inlineStr">
        <is>
          <t>1</t>
        </is>
      </c>
      <c r="BG359" s="24" t="inlineStr">
        <is>
          <t>measured-edge-paired-v1</t>
        </is>
      </c>
      <c r="BH359" s="24" t="inlineStr">
        <is>
          <t>2026-08-02T18:09:31.256815Z</t>
        </is>
      </c>
      <c r="BI359" s="24" t="inlineStr">
        <is>
          <t>["same_event","same_team_same_day","same_league_same_day"]</t>
        </is>
      </c>
      <c r="BJ359" s="25" t="n">
        <v>7.5</v>
      </c>
      <c r="BK359" s="26" t="n">
        <v>104</v>
      </c>
      <c r="BL359" s="27" t="n">
        <v>2.04</v>
      </c>
      <c r="BM359" s="28" t="n">
        <v>0.490196</v>
      </c>
      <c r="BN359" s="28" t="n">
        <v>0.487562</v>
      </c>
      <c r="BO359" s="28" t="n"/>
      <c r="BP359" s="25" t="n"/>
      <c r="BQ359" s="27" t="n"/>
      <c r="BR359" s="28" t="n"/>
      <c r="BS359" s="28" t="n"/>
      <c r="BT359" s="28" t="n"/>
      <c r="BU359" s="25" t="n"/>
      <c r="BV359" s="29" t="n"/>
      <c r="BW359" s="24" t="n"/>
      <c r="BX359" s="30" t="n"/>
      <c r="BY359" s="27" t="n"/>
      <c r="BZ359" s="24" t="n"/>
      <c r="CA359" s="31" t="n"/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inlineStr">
        <is>
          <t>True</t>
        </is>
      </c>
    </row>
    <row r="360" ht="36" customHeight="1">
      <c r="A360" s="24" t="inlineStr">
        <is>
          <t>f4a95c2edd8e4014</t>
        </is>
      </c>
      <c r="B360" s="24" t="inlineStr">
        <is>
          <t>2026-08-02T18:09:31.256815Z</t>
        </is>
      </c>
      <c r="C360" s="24" t="inlineStr">
        <is>
          <t>2026-08-02T20:05Z</t>
        </is>
      </c>
      <c r="D360" s="24" t="inlineStr">
        <is>
          <t>401816373</t>
        </is>
      </c>
      <c r="E360" s="24" t="inlineStr">
        <is>
          <t>MLB</t>
        </is>
      </c>
      <c r="F360" s="24" t="inlineStr">
        <is>
          <t>Detroit Tigers</t>
        </is>
      </c>
      <c r="G360" s="24" t="inlineStr">
        <is>
          <t>Athletics</t>
        </is>
      </c>
      <c r="H360" s="24" t="inlineStr">
        <is>
          <t>spread</t>
        </is>
      </c>
      <c r="I360" s="24" t="inlineStr">
        <is>
          <t>home</t>
        </is>
      </c>
      <c r="J360" s="25" t="n">
        <v>1.5</v>
      </c>
      <c r="K360" s="24" t="inlineStr">
        <is>
          <t>polymarket_us</t>
        </is>
      </c>
      <c r="L360" s="26" t="n">
        <v>-141</v>
      </c>
      <c r="M360" s="27" t="n">
        <v>1.70922</v>
      </c>
      <c r="N360" s="28" t="n">
        <v>0.585062</v>
      </c>
      <c r="O360" s="28" t="n">
        <v>0.600105</v>
      </c>
      <c r="P360" s="28" t="n">
        <v>0.042131</v>
      </c>
      <c r="Q360" s="28" t="n">
        <v>0.015043</v>
      </c>
      <c r="R360" s="26" t="n">
        <v>34</v>
      </c>
      <c r="S360" s="29" t="n">
        <v>1.5</v>
      </c>
      <c r="T360" s="24" t="inlineStr">
        <is>
          <t>measured-edge-margin-v2</t>
        </is>
      </c>
      <c r="U360" s="24" t="inlineStr">
        <is>
          <t>open</t>
        </is>
      </c>
      <c r="V360" s="24" t="n"/>
      <c r="W360" s="26" t="n"/>
      <c r="X360" s="26" t="n"/>
      <c r="Y360" s="25" t="n"/>
      <c r="Z360" s="26" t="n"/>
      <c r="AA360" s="28" t="n"/>
      <c r="AB360" s="28" t="n"/>
      <c r="AC360" s="30" t="n"/>
      <c r="AD360" s="24" t="n"/>
      <c r="AE360" s="31" t="inlineStr">
        <is>
          <t>Measured Edge Margin: Trend Engine projected 4.86-4.74; raw selected-side p=0.6525, calibrated p=0.6001.</t>
        </is>
      </c>
      <c r="AF360" s="31" t="inlineStr">
        <is>
          <t>Research-only; lineup, bullpen, park, weather, xFIP, and wRC+ may be neutral fallbacks; market availability and BBO depth may change before first pitch.</t>
        </is>
      </c>
      <c r="AG360" s="24" t="inlineStr">
        <is>
          <t>not_applicable</t>
        </is>
      </c>
      <c r="AH360" s="24" t="n"/>
      <c r="AI360" s="31" t="n"/>
      <c r="AJ360" s="31" t="n"/>
      <c r="AK360" s="24" t="inlineStr">
        <is>
          <t>model_qualified</t>
        </is>
      </c>
      <c r="AL360" s="26" t="n">
        <v>3</v>
      </c>
      <c r="AM360" s="24" t="inlineStr">
        <is>
          <t>QUALIFIED_SHADOW_CALL</t>
        </is>
      </c>
      <c r="AN360" s="24" t="inlineStr">
        <is>
          <t>CALL</t>
        </is>
      </c>
      <c r="AO360" s="24" t="inlineStr">
        <is>
          <t>QUALIFIED</t>
        </is>
      </c>
      <c r="AP360" s="24" t="inlineStr">
        <is>
          <t>mlb-det</t>
        </is>
      </c>
      <c r="AQ360" s="24" t="inlineStr">
        <is>
          <t>Detroit Tigers</t>
        </is>
      </c>
      <c r="AR360" s="24" t="inlineStr">
        <is>
          <t>Detroit Tigers</t>
        </is>
      </c>
      <c r="AS360" s="24" t="inlineStr">
        <is>
          <t>mlb-ath</t>
        </is>
      </c>
      <c r="AT360" s="24" t="inlineStr">
        <is>
          <t>Athletics</t>
        </is>
      </c>
      <c r="AU360" s="24" t="inlineStr">
        <is>
          <t>Athletics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research</t>
        </is>
      </c>
      <c r="BA360" s="24" t="inlineStr">
        <is>
          <t>8360b122264b796b0fb193095cfe4506c7e064e5f3f8c0a659aec41efd08dd25</t>
        </is>
      </c>
      <c r="BB360" s="24" t="inlineStr">
        <is>
          <t>flat_probability_shrinkage_toward_half</t>
        </is>
      </c>
      <c r="BC360" s="24" t="inlineStr">
        <is>
          <t>measured-edge-margin-v2</t>
        </is>
      </c>
      <c r="BD360" s="24" t="inlineStr">
        <is>
          <t>8360b122264b796b0fb193095cfe4506c7e064e5f3f8c0a659aec41efd08dd25</t>
        </is>
      </c>
      <c r="BE360" s="24" t="inlineStr">
        <is>
          <t>v3</t>
        </is>
      </c>
      <c r="BF360" s="24" t="inlineStr">
        <is>
          <t>1</t>
        </is>
      </c>
      <c r="BG360" s="24" t="inlineStr">
        <is>
          <t>measured-edge-paired-v1</t>
        </is>
      </c>
      <c r="BH360" s="24" t="inlineStr">
        <is>
          <t>2026-08-02T18:09:31.256815Z</t>
        </is>
      </c>
      <c r="BI360" s="24" t="inlineStr">
        <is>
          <t>["same_event","same_team_same_day","same_league_same_day"]</t>
        </is>
      </c>
      <c r="BJ360" s="25" t="n">
        <v>1.5</v>
      </c>
      <c r="BK360" s="26" t="n">
        <v>-141</v>
      </c>
      <c r="BL360" s="27" t="n">
        <v>1.70922</v>
      </c>
      <c r="BM360" s="28" t="n">
        <v>0.585062</v>
      </c>
      <c r="BN360" s="28" t="n">
        <v>0.58209</v>
      </c>
      <c r="BO360" s="28" t="n"/>
      <c r="BP360" s="25" t="n"/>
      <c r="BQ360" s="27" t="n"/>
      <c r="BR360" s="28" t="n"/>
      <c r="BS360" s="28" t="n"/>
      <c r="BT360" s="28" t="n"/>
      <c r="BU360" s="25" t="n"/>
      <c r="BV360" s="29" t="n"/>
      <c r="BW360" s="24" t="n"/>
      <c r="BX360" s="30" t="n"/>
      <c r="BY360" s="27" t="n"/>
      <c r="BZ360" s="24" t="n"/>
      <c r="CA360" s="31" t="n"/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inlineStr">
        <is>
          <t>True</t>
        </is>
      </c>
    </row>
    <row r="361" ht="36" customHeight="1">
      <c r="A361" s="24" t="inlineStr">
        <is>
          <t>97f256bc8ada4167</t>
        </is>
      </c>
      <c r="B361" s="24" t="inlineStr">
        <is>
          <t>2026-08-02T18:09:31.256815Z</t>
        </is>
      </c>
      <c r="C361" s="24" t="inlineStr">
        <is>
          <t>2026-08-02T20:05Z</t>
        </is>
      </c>
      <c r="D361" s="24" t="inlineStr">
        <is>
          <t>401816373</t>
        </is>
      </c>
      <c r="E361" s="24" t="inlineStr">
        <is>
          <t>MLB</t>
        </is>
      </c>
      <c r="F361" s="24" t="inlineStr">
        <is>
          <t>Detroit Tigers</t>
        </is>
      </c>
      <c r="G361" s="24" t="inlineStr">
        <is>
          <t>Athletics</t>
        </is>
      </c>
      <c r="H361" s="24" t="inlineStr">
        <is>
          <t>total</t>
        </is>
      </c>
      <c r="I361" s="24" t="inlineStr">
        <is>
          <t>under</t>
        </is>
      </c>
      <c r="J361" s="25" t="n">
        <v>10.5</v>
      </c>
      <c r="K361" s="24" t="inlineStr">
        <is>
          <t>polymarket_us</t>
        </is>
      </c>
      <c r="L361" s="26" t="n">
        <v>-113</v>
      </c>
      <c r="M361" s="27" t="n">
        <v>1.884956</v>
      </c>
      <c r="N361" s="28" t="n">
        <v>0.530516</v>
      </c>
      <c r="O361" s="28" t="n">
        <v>0.546767</v>
      </c>
      <c r="P361" s="28" t="n">
        <v>0.042131</v>
      </c>
      <c r="Q361" s="28" t="n">
        <v>0.016251</v>
      </c>
      <c r="R361" s="26" t="n">
        <v>34</v>
      </c>
      <c r="S361" s="29" t="n">
        <v>1</v>
      </c>
      <c r="T361" s="24" t="inlineStr">
        <is>
          <t>measured-edge-totals-v2</t>
        </is>
      </c>
      <c r="U361" s="24" t="inlineStr">
        <is>
          <t>open</t>
        </is>
      </c>
      <c r="V361" s="24" t="n"/>
      <c r="W361" s="26" t="n"/>
      <c r="X361" s="26" t="n"/>
      <c r="Y361" s="25" t="n"/>
      <c r="Z361" s="26" t="n"/>
      <c r="AA361" s="28" t="n"/>
      <c r="AB361" s="28" t="n"/>
      <c r="AC361" s="30" t="n"/>
      <c r="AD361" s="24" t="n"/>
      <c r="AE361" s="31" t="inlineStr">
        <is>
          <t>Measured Edge Totals: Trend Engine projected 4.86-4.74; raw selected-side p=0.6136, calibrated p=0.5468.</t>
        </is>
      </c>
      <c r="AF361" s="31" t="inlineStr">
        <is>
          <t>Research-only; lineup, bullpen, park, weather, xFIP, and wRC+ may be neutral fallbacks; market availability and BBO depth may change before first pitch.</t>
        </is>
      </c>
      <c r="AG361" s="24" t="inlineStr">
        <is>
          <t>not_applicable</t>
        </is>
      </c>
      <c r="AH361" s="24" t="n"/>
      <c r="AI361" s="31" t="n"/>
      <c r="AJ361" s="31" t="n"/>
      <c r="AK361" s="24" t="inlineStr">
        <is>
          <t>model_qualified</t>
        </is>
      </c>
      <c r="AL361" s="26" t="n">
        <v>3</v>
      </c>
      <c r="AM361" s="24" t="inlineStr">
        <is>
          <t>QUALIFIED_SHADOW_CALL</t>
        </is>
      </c>
      <c r="AN361" s="24" t="inlineStr">
        <is>
          <t>CALL</t>
        </is>
      </c>
      <c r="AO361" s="24" t="inlineStr">
        <is>
          <t>QUALIFIED</t>
        </is>
      </c>
      <c r="AP361" s="24" t="inlineStr">
        <is>
          <t>mlb-det</t>
        </is>
      </c>
      <c r="AQ361" s="24" t="inlineStr">
        <is>
          <t>Detroit Tigers</t>
        </is>
      </c>
      <c r="AR361" s="24" t="inlineStr">
        <is>
          <t>Detroit Tigers</t>
        </is>
      </c>
      <c r="AS361" s="24" t="inlineStr">
        <is>
          <t>mlb-ath</t>
        </is>
      </c>
      <c r="AT361" s="24" t="inlineStr">
        <is>
          <t>Athletics</t>
        </is>
      </c>
      <c r="AU361" s="24" t="inlineStr">
        <is>
          <t>Athletics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research</t>
        </is>
      </c>
      <c r="BA361" s="24" t="inlineStr">
        <is>
          <t>433578016242b27f9c1c7132cc6b5a2bcc7dd1b0234590c12a944455a88e71bd</t>
        </is>
      </c>
      <c r="BB361" s="24" t="inlineStr">
        <is>
          <t>flat_probability_shrinkage_toward_half</t>
        </is>
      </c>
      <c r="BC361" s="24" t="inlineStr">
        <is>
          <t>measured-edge-totals-v2</t>
        </is>
      </c>
      <c r="BD361" s="24" t="inlineStr">
        <is>
          <t>433578016242b27f9c1c7132cc6b5a2bcc7dd1b0234590c12a944455a88e71bd</t>
        </is>
      </c>
      <c r="BE361" s="24" t="inlineStr">
        <is>
          <t>v3</t>
        </is>
      </c>
      <c r="BF361" s="24" t="inlineStr">
        <is>
          <t>1</t>
        </is>
      </c>
      <c r="BG361" s="24" t="inlineStr">
        <is>
          <t>measured-edge-paired-v1</t>
        </is>
      </c>
      <c r="BH361" s="24" t="inlineStr">
        <is>
          <t>2026-08-02T18:09:31.256815Z</t>
        </is>
      </c>
      <c r="BI361" s="24" t="inlineStr">
        <is>
          <t>["same_event","same_team_same_day","same_league_same_day"]</t>
        </is>
      </c>
      <c r="BJ361" s="25" t="n">
        <v>10.5</v>
      </c>
      <c r="BK361" s="26" t="n">
        <v>-113</v>
      </c>
      <c r="BL361" s="27" t="n">
        <v>1.884956</v>
      </c>
      <c r="BM361" s="28" t="n">
        <v>0.530516</v>
      </c>
      <c r="BN361" s="28" t="n">
        <v>0.527363</v>
      </c>
      <c r="BO361" s="28" t="n"/>
      <c r="BP361" s="25" t="n"/>
      <c r="BQ361" s="27" t="n"/>
      <c r="BR361" s="28" t="n"/>
      <c r="BS361" s="28" t="n"/>
      <c r="BT361" s="28" t="n"/>
      <c r="BU361" s="25" t="n"/>
      <c r="BV361" s="29" t="n"/>
      <c r="BW361" s="24" t="n"/>
      <c r="BX361" s="30" t="n"/>
      <c r="BY361" s="27" t="n"/>
      <c r="BZ361" s="24" t="n"/>
      <c r="CA361" s="31" t="n"/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inlineStr">
        <is>
          <t>True</t>
        </is>
      </c>
    </row>
    <row r="362" ht="36" customHeight="1">
      <c r="A362" s="24" t="inlineStr">
        <is>
          <t>d720bd8ce8714862</t>
        </is>
      </c>
      <c r="B362" s="24" t="inlineStr">
        <is>
          <t>2026-08-02T18:09:31.256815Z</t>
        </is>
      </c>
      <c r="C362" s="24" t="inlineStr">
        <is>
          <t>2026-08-02T20:10Z</t>
        </is>
      </c>
      <c r="D362" s="24" t="inlineStr">
        <is>
          <t>401816375</t>
        </is>
      </c>
      <c r="E362" s="24" t="inlineStr">
        <is>
          <t>MLB</t>
        </is>
      </c>
      <c r="F362" s="24" t="inlineStr">
        <is>
          <t>Minnesota Twins</t>
        </is>
      </c>
      <c r="G362" s="24" t="inlineStr">
        <is>
          <t>Seattle Mariners</t>
        </is>
      </c>
      <c r="H362" s="24" t="inlineStr">
        <is>
          <t>spread</t>
        </is>
      </c>
      <c r="I362" s="24" t="inlineStr">
        <is>
          <t>away</t>
        </is>
      </c>
      <c r="J362" s="25" t="n">
        <v>1.5</v>
      </c>
      <c r="K362" s="24" t="inlineStr">
        <is>
          <t>polymarket_us</t>
        </is>
      </c>
      <c r="L362" s="26" t="n">
        <v>-174</v>
      </c>
      <c r="M362" s="27" t="n">
        <v>1.574713</v>
      </c>
      <c r="N362" s="28" t="n">
        <v>0.635036</v>
      </c>
      <c r="O362" s="28" t="n">
        <v>0.60601</v>
      </c>
      <c r="P362" s="28" t="n">
        <v>0.042131</v>
      </c>
      <c r="Q362" s="28" t="n">
        <v>-0.029026</v>
      </c>
      <c r="R362" s="26" t="n">
        <v>12</v>
      </c>
      <c r="S362" s="29" t="n">
        <v>1.5</v>
      </c>
      <c r="T362" s="24" t="inlineStr">
        <is>
          <t>measured-edge-margin-v2</t>
        </is>
      </c>
      <c r="U362" s="24" t="inlineStr">
        <is>
          <t>open</t>
        </is>
      </c>
      <c r="V362" s="24" t="n"/>
      <c r="W362" s="26" t="n"/>
      <c r="X362" s="26" t="n"/>
      <c r="Y362" s="25" t="n"/>
      <c r="Z362" s="26" t="n"/>
      <c r="AA362" s="28" t="n"/>
      <c r="AB362" s="28" t="n"/>
      <c r="AC362" s="30" t="n"/>
      <c r="AD362" s="24" t="n"/>
      <c r="AE362" s="31" t="inlineStr">
        <is>
          <t>Measured Edge Margin: Trend Engine projected 4.39-4.46; raw selected-side p=0.6615, calibrated p=0.6060.</t>
        </is>
      </c>
      <c r="AF362" s="31" t="inlineStr">
        <is>
          <t>Research-only; lineup, bullpen, park, weather, xFIP, and wRC+ may be neutral fallbacks; market availability and BBO depth may change before first pitch.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model_qualified</t>
        </is>
      </c>
      <c r="AL362" s="26" t="n">
        <v>3</v>
      </c>
      <c r="AM362" s="24" t="inlineStr">
        <is>
          <t>QUALIFIED_SHADOW_CALL</t>
        </is>
      </c>
      <c r="AN362" s="24" t="inlineStr">
        <is>
          <t>CALL</t>
        </is>
      </c>
      <c r="AO362" s="24" t="inlineStr">
        <is>
          <t>QUALIFIED</t>
        </is>
      </c>
      <c r="AP362" s="24" t="inlineStr">
        <is>
          <t>mlb-min</t>
        </is>
      </c>
      <c r="AQ362" s="24" t="inlineStr">
        <is>
          <t>Minnesota Twins</t>
        </is>
      </c>
      <c r="AR362" s="24" t="inlineStr">
        <is>
          <t>Minnesota Twins</t>
        </is>
      </c>
      <c r="AS362" s="24" t="inlineStr">
        <is>
          <t>mlb-sea</t>
        </is>
      </c>
      <c r="AT362" s="24" t="inlineStr">
        <is>
          <t>Seattle Mariners</t>
        </is>
      </c>
      <c r="AU362" s="24" t="inlineStr">
        <is>
          <t>Seattle Mariners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research</t>
        </is>
      </c>
      <c r="BA362" s="24" t="inlineStr">
        <is>
          <t>8360b122264b796b0fb193095cfe4506c7e064e5f3f8c0a659aec41efd08dd25</t>
        </is>
      </c>
      <c r="BB362" s="24" t="inlineStr">
        <is>
          <t>flat_probability_shrinkage_toward_half</t>
        </is>
      </c>
      <c r="BC362" s="24" t="inlineStr">
        <is>
          <t>measured-edge-margin-v2</t>
        </is>
      </c>
      <c r="BD362" s="24" t="inlineStr">
        <is>
          <t>8360b122264b796b0fb193095cfe4506c7e064e5f3f8c0a659aec41efd08dd25</t>
        </is>
      </c>
      <c r="BE362" s="24" t="inlineStr">
        <is>
          <t>v3</t>
        </is>
      </c>
      <c r="BF362" s="24" t="inlineStr">
        <is>
          <t>1</t>
        </is>
      </c>
      <c r="BG362" s="24" t="inlineStr">
        <is>
          <t>measured-edge-paired-v1</t>
        </is>
      </c>
      <c r="BH362" s="24" t="inlineStr">
        <is>
          <t>2026-08-02T18:09:31.256815Z</t>
        </is>
      </c>
      <c r="BI362" s="24" t="inlineStr">
        <is>
          <t>["same_event","same_team_same_day","same_league_same_day"]</t>
        </is>
      </c>
      <c r="BJ362" s="25" t="n">
        <v>1.5</v>
      </c>
      <c r="BK362" s="26" t="n">
        <v>-174</v>
      </c>
      <c r="BL362" s="27" t="n">
        <v>1.574713</v>
      </c>
      <c r="BM362" s="28" t="n">
        <v>0.635036</v>
      </c>
      <c r="BN362" s="28" t="n">
        <v>0.631841</v>
      </c>
      <c r="BO362" s="28" t="n"/>
      <c r="BP362" s="25" t="n"/>
      <c r="BQ362" s="27" t="n"/>
      <c r="BR362" s="28" t="n"/>
      <c r="BS362" s="28" t="n"/>
      <c r="BT362" s="28" t="n"/>
      <c r="BU362" s="25" t="n"/>
      <c r="BV362" s="29" t="n"/>
      <c r="BW362" s="24" t="n"/>
      <c r="BX362" s="30" t="n"/>
      <c r="BY362" s="27" t="n"/>
      <c r="BZ362" s="24" t="n"/>
      <c r="CA362" s="31" t="n"/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inlineStr">
        <is>
          <t>False</t>
        </is>
      </c>
    </row>
    <row r="363" ht="36" customHeight="1">
      <c r="A363" s="24" t="inlineStr">
        <is>
          <t>2f5b33c76c4a405d</t>
        </is>
      </c>
      <c r="B363" s="24" t="inlineStr">
        <is>
          <t>2026-08-02T18:09:31.256815Z</t>
        </is>
      </c>
      <c r="C363" s="24" t="inlineStr">
        <is>
          <t>2026-08-02T20:10Z</t>
        </is>
      </c>
      <c r="D363" s="24" t="inlineStr">
        <is>
          <t>401816375</t>
        </is>
      </c>
      <c r="E363" s="24" t="inlineStr">
        <is>
          <t>MLB</t>
        </is>
      </c>
      <c r="F363" s="24" t="inlineStr">
        <is>
          <t>Minnesota Twins</t>
        </is>
      </c>
      <c r="G363" s="24" t="inlineStr">
        <is>
          <t>Seattle Mariners</t>
        </is>
      </c>
      <c r="H363" s="24" t="inlineStr">
        <is>
          <t>total</t>
        </is>
      </c>
      <c r="I363" s="24" t="inlineStr">
        <is>
          <t>over</t>
        </is>
      </c>
      <c r="J363" s="25" t="n">
        <v>6.5</v>
      </c>
      <c r="K363" s="24" t="inlineStr">
        <is>
          <t>polymarket_us</t>
        </is>
      </c>
      <c r="L363" s="26" t="n">
        <v>-130</v>
      </c>
      <c r="M363" s="27" t="n">
        <v>1.769231</v>
      </c>
      <c r="N363" s="28" t="n">
        <v>0.565217</v>
      </c>
      <c r="O363" s="28" t="n">
        <v>0.576888</v>
      </c>
      <c r="P363" s="28" t="n">
        <v>0.042131</v>
      </c>
      <c r="Q363" s="28" t="n">
        <v>0.011671</v>
      </c>
      <c r="R363" s="26" t="n">
        <v>32</v>
      </c>
      <c r="S363" s="29" t="n">
        <v>1.25</v>
      </c>
      <c r="T363" s="24" t="inlineStr">
        <is>
          <t>measured-edge-totals-v2</t>
        </is>
      </c>
      <c r="U363" s="24" t="inlineStr">
        <is>
          <t>open</t>
        </is>
      </c>
      <c r="V363" s="24" t="n"/>
      <c r="W363" s="26" t="n"/>
      <c r="X363" s="26" t="n"/>
      <c r="Y363" s="25" t="n"/>
      <c r="Z363" s="26" t="n"/>
      <c r="AA363" s="28" t="n"/>
      <c r="AB363" s="28" t="n"/>
      <c r="AC363" s="30" t="n"/>
      <c r="AD363" s="24" t="n"/>
      <c r="AE363" s="31" t="inlineStr">
        <is>
          <t>Measured Edge Totals: Trend Engine projected 4.39-4.46; raw selected-side p=0.7017, calibrated p=0.5769.</t>
        </is>
      </c>
      <c r="AF363" s="31" t="inlineStr">
        <is>
          <t>Research-only; lineup, bullpen, park, weather, xFIP, and wRC+ may be neutral fallbacks; market availability and BBO depth may change before first pitch.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model_qualified</t>
        </is>
      </c>
      <c r="AL363" s="26" t="n">
        <v>3</v>
      </c>
      <c r="AM363" s="24" t="inlineStr">
        <is>
          <t>QUALIFIED_SHADOW_CALL</t>
        </is>
      </c>
      <c r="AN363" s="24" t="inlineStr">
        <is>
          <t>CALL</t>
        </is>
      </c>
      <c r="AO363" s="24" t="inlineStr">
        <is>
          <t>QUALIFIED</t>
        </is>
      </c>
      <c r="AP363" s="24" t="inlineStr">
        <is>
          <t>mlb-min</t>
        </is>
      </c>
      <c r="AQ363" s="24" t="inlineStr">
        <is>
          <t>Minnesota Twins</t>
        </is>
      </c>
      <c r="AR363" s="24" t="inlineStr">
        <is>
          <t>Minnesota Twins</t>
        </is>
      </c>
      <c r="AS363" s="24" t="inlineStr">
        <is>
          <t>mlb-sea</t>
        </is>
      </c>
      <c r="AT363" s="24" t="inlineStr">
        <is>
          <t>Seattle Mariners</t>
        </is>
      </c>
      <c r="AU363" s="24" t="inlineStr">
        <is>
          <t>Seattle Mariners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research</t>
        </is>
      </c>
      <c r="BA363" s="24" t="inlineStr">
        <is>
          <t>433578016242b27f9c1c7132cc6b5a2bcc7dd1b0234590c12a944455a88e71bd</t>
        </is>
      </c>
      <c r="BB363" s="24" t="inlineStr">
        <is>
          <t>flat_probability_shrinkage_toward_half</t>
        </is>
      </c>
      <c r="BC363" s="24" t="inlineStr">
        <is>
          <t>measured-edge-totals-v2</t>
        </is>
      </c>
      <c r="BD363" s="24" t="inlineStr">
        <is>
          <t>433578016242b27f9c1c7132cc6b5a2bcc7dd1b0234590c12a944455a88e71bd</t>
        </is>
      </c>
      <c r="BE363" s="24" t="inlineStr">
        <is>
          <t>v3</t>
        </is>
      </c>
      <c r="BF363" s="24" t="inlineStr">
        <is>
          <t>1</t>
        </is>
      </c>
      <c r="BG363" s="24" t="inlineStr">
        <is>
          <t>measured-edge-paired-v1</t>
        </is>
      </c>
      <c r="BH363" s="24" t="inlineStr">
        <is>
          <t>2026-08-02T18:09:31.256815Z</t>
        </is>
      </c>
      <c r="BI363" s="24" t="inlineStr">
        <is>
          <t>["same_event","same_team_same_day","same_league_same_day"]</t>
        </is>
      </c>
      <c r="BJ363" s="25" t="n">
        <v>6.5</v>
      </c>
      <c r="BK363" s="26" t="n">
        <v>-130</v>
      </c>
      <c r="BL363" s="27" t="n">
        <v>1.769231</v>
      </c>
      <c r="BM363" s="28" t="n">
        <v>0.565217</v>
      </c>
      <c r="BN363" s="28" t="n">
        <v>0.562189</v>
      </c>
      <c r="BO363" s="28" t="n"/>
      <c r="BP363" s="25" t="n"/>
      <c r="BQ363" s="27" t="n"/>
      <c r="BR363" s="28" t="n"/>
      <c r="BS363" s="28" t="n"/>
      <c r="BT363" s="28" t="n"/>
      <c r="BU363" s="25" t="n"/>
      <c r="BV363" s="29" t="n"/>
      <c r="BW363" s="24" t="n"/>
      <c r="BX363" s="30" t="n"/>
      <c r="BY363" s="27" t="n"/>
      <c r="BZ363" s="24" t="n"/>
      <c r="CA363" s="31" t="n"/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inlineStr">
        <is>
          <t>True</t>
        </is>
      </c>
    </row>
    <row r="364" ht="36" customHeight="1">
      <c r="A364" s="24" t="inlineStr">
        <is>
          <t>ff5bedb96a6e40fc</t>
        </is>
      </c>
      <c r="B364" s="24" t="inlineStr">
        <is>
          <t>2026-08-02T18:09:31.256815Z</t>
        </is>
      </c>
      <c r="C364" s="24" t="inlineStr">
        <is>
          <t>2026-08-02T20:10Z</t>
        </is>
      </c>
      <c r="D364" s="24" t="inlineStr">
        <is>
          <t>401816376</t>
        </is>
      </c>
      <c r="E364" s="24" t="inlineStr">
        <is>
          <t>MLB</t>
        </is>
      </c>
      <c r="F364" s="24" t="inlineStr">
        <is>
          <t>San Francisco Giants</t>
        </is>
      </c>
      <c r="G364" s="24" t="inlineStr">
        <is>
          <t>San Diego Padres</t>
        </is>
      </c>
      <c r="H364" s="24" t="inlineStr">
        <is>
          <t>spread</t>
        </is>
      </c>
      <c r="I364" s="24" t="inlineStr">
        <is>
          <t>away</t>
        </is>
      </c>
      <c r="J364" s="25" t="n">
        <v>1.5</v>
      </c>
      <c r="K364" s="24" t="inlineStr">
        <is>
          <t>polymarket_us</t>
        </is>
      </c>
      <c r="L364" s="26" t="n">
        <v>-178</v>
      </c>
      <c r="M364" s="27" t="n">
        <v>1.561798</v>
      </c>
      <c r="N364" s="28" t="n">
        <v>0.640288</v>
      </c>
      <c r="O364" s="28" t="n">
        <v>0.600761</v>
      </c>
      <c r="P364" s="28" t="n">
        <v>0.042131</v>
      </c>
      <c r="Q364" s="28" t="n">
        <v>-0.039527</v>
      </c>
      <c r="R364" s="26" t="n">
        <v>7</v>
      </c>
      <c r="S364" s="29" t="n">
        <v>1.5</v>
      </c>
      <c r="T364" s="24" t="inlineStr">
        <is>
          <t>measured-edge-margin-v2</t>
        </is>
      </c>
      <c r="U364" s="24" t="inlineStr">
        <is>
          <t>open</t>
        </is>
      </c>
      <c r="V364" s="24" t="n"/>
      <c r="W364" s="26" t="n"/>
      <c r="X364" s="26" t="n"/>
      <c r="Y364" s="25" t="n"/>
      <c r="Z364" s="26" t="n"/>
      <c r="AA364" s="28" t="n"/>
      <c r="AB364" s="28" t="n"/>
      <c r="AC364" s="30" t="n"/>
      <c r="AD364" s="24" t="n"/>
      <c r="AE364" s="31" t="inlineStr">
        <is>
          <t>Measured Edge Margin: Trend Engine projected 4.55-4.69; raw selected-side p=0.6535, calibrated p=0.6008.</t>
        </is>
      </c>
      <c r="AF364" s="31" t="inlineStr">
        <is>
          <t>Research-only; lineup, bullpen, park, weather, xFIP, and wRC+ may be neutral fallbacks; market availability and BBO depth may change before first pitch.</t>
        </is>
      </c>
      <c r="AG364" s="24" t="inlineStr">
        <is>
          <t>not_applicable</t>
        </is>
      </c>
      <c r="AH364" s="24" t="n"/>
      <c r="AI364" s="31" t="n"/>
      <c r="AJ364" s="31" t="n"/>
      <c r="AK364" s="24" t="inlineStr">
        <is>
          <t>model_qualified</t>
        </is>
      </c>
      <c r="AL364" s="26" t="n">
        <v>3</v>
      </c>
      <c r="AM364" s="24" t="inlineStr">
        <is>
          <t>QUALIFIED_SHADOW_CALL</t>
        </is>
      </c>
      <c r="AN364" s="24" t="inlineStr">
        <is>
          <t>CALL</t>
        </is>
      </c>
      <c r="AO364" s="24" t="inlineStr">
        <is>
          <t>QUALIFIED</t>
        </is>
      </c>
      <c r="AP364" s="24" t="inlineStr">
        <is>
          <t>mlb-sf</t>
        </is>
      </c>
      <c r="AQ364" s="24" t="inlineStr">
        <is>
          <t>San Francisco Giants</t>
        </is>
      </c>
      <c r="AR364" s="24" t="inlineStr">
        <is>
          <t>San Francisco Giants</t>
        </is>
      </c>
      <c r="AS364" s="24" t="inlineStr">
        <is>
          <t>mlb-sd</t>
        </is>
      </c>
      <c r="AT364" s="24" t="inlineStr">
        <is>
          <t>San Diego Padres</t>
        </is>
      </c>
      <c r="AU364" s="24" t="inlineStr">
        <is>
          <t>San Diego Padres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research</t>
        </is>
      </c>
      <c r="BA364" s="24" t="inlineStr">
        <is>
          <t>8360b122264b796b0fb193095cfe4506c7e064e5f3f8c0a659aec41efd08dd25</t>
        </is>
      </c>
      <c r="BB364" s="24" t="inlineStr">
        <is>
          <t>flat_probability_shrinkage_toward_half</t>
        </is>
      </c>
      <c r="BC364" s="24" t="inlineStr">
        <is>
          <t>measured-edge-margin-v2</t>
        </is>
      </c>
      <c r="BD364" s="24" t="inlineStr">
        <is>
          <t>8360b122264b796b0fb193095cfe4506c7e064e5f3f8c0a659aec41efd08dd25</t>
        </is>
      </c>
      <c r="BE364" s="24" t="inlineStr">
        <is>
          <t>v3</t>
        </is>
      </c>
      <c r="BF364" s="24" t="inlineStr">
        <is>
          <t>1</t>
        </is>
      </c>
      <c r="BG364" s="24" t="inlineStr">
        <is>
          <t>measured-edge-paired-v1</t>
        </is>
      </c>
      <c r="BH364" s="24" t="inlineStr">
        <is>
          <t>2026-08-02T18:09:31.256815Z</t>
        </is>
      </c>
      <c r="BI364" s="24" t="inlineStr">
        <is>
          <t>["same_event","same_team_same_day","same_league_same_day"]</t>
        </is>
      </c>
      <c r="BJ364" s="25" t="n">
        <v>1.5</v>
      </c>
      <c r="BK364" s="26" t="n">
        <v>-178</v>
      </c>
      <c r="BL364" s="27" t="n">
        <v>1.561798</v>
      </c>
      <c r="BM364" s="28" t="n">
        <v>0.640288</v>
      </c>
      <c r="BN364" s="28" t="n">
        <v>0.636816</v>
      </c>
      <c r="BO364" s="28" t="n"/>
      <c r="BP364" s="25" t="n"/>
      <c r="BQ364" s="27" t="n"/>
      <c r="BR364" s="28" t="n"/>
      <c r="BS364" s="28" t="n"/>
      <c r="BT364" s="28" t="n"/>
      <c r="BU364" s="25" t="n"/>
      <c r="BV364" s="29" t="n"/>
      <c r="BW364" s="24" t="n"/>
      <c r="BX364" s="30" t="n"/>
      <c r="BY364" s="27" t="n"/>
      <c r="BZ364" s="24" t="n"/>
      <c r="CA364" s="31" t="n"/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inlineStr">
        <is>
          <t>False</t>
        </is>
      </c>
    </row>
    <row r="365" ht="36" customHeight="1">
      <c r="A365" s="24" t="inlineStr">
        <is>
          <t>7e936d8342344e50</t>
        </is>
      </c>
      <c r="B365" s="24" t="inlineStr">
        <is>
          <t>2026-08-02T18:09:31.256815Z</t>
        </is>
      </c>
      <c r="C365" s="24" t="inlineStr">
        <is>
          <t>2026-08-02T20:10Z</t>
        </is>
      </c>
      <c r="D365" s="24" t="inlineStr">
        <is>
          <t>401816376</t>
        </is>
      </c>
      <c r="E365" s="24" t="inlineStr">
        <is>
          <t>MLB</t>
        </is>
      </c>
      <c r="F365" s="24" t="inlineStr">
        <is>
          <t>San Francisco Giants</t>
        </is>
      </c>
      <c r="G365" s="24" t="inlineStr">
        <is>
          <t>San Diego Padres</t>
        </is>
      </c>
      <c r="H365" s="24" t="inlineStr">
        <is>
          <t>total</t>
        </is>
      </c>
      <c r="I365" s="24" t="inlineStr">
        <is>
          <t>over</t>
        </is>
      </c>
      <c r="J365" s="25" t="n">
        <v>7.5</v>
      </c>
      <c r="K365" s="24" t="inlineStr">
        <is>
          <t>polymarket_us</t>
        </is>
      </c>
      <c r="L365" s="26" t="n">
        <v>-120</v>
      </c>
      <c r="M365" s="27" t="n">
        <v>1.833333</v>
      </c>
      <c r="N365" s="28" t="n">
        <v>0.545455</v>
      </c>
      <c r="O365" s="28" t="n">
        <v>0.544478</v>
      </c>
      <c r="P365" s="28" t="n">
        <v>0.042131</v>
      </c>
      <c r="Q365" s="28" t="n">
        <v>-0.000977</v>
      </c>
      <c r="R365" s="26" t="n">
        <v>26</v>
      </c>
      <c r="S365" s="29" t="n">
        <v>1</v>
      </c>
      <c r="T365" s="24" t="inlineStr">
        <is>
          <t>measured-edge-totals-v2</t>
        </is>
      </c>
      <c r="U365" s="24" t="inlineStr">
        <is>
          <t>open</t>
        </is>
      </c>
      <c r="V365" s="24" t="n"/>
      <c r="W365" s="26" t="n"/>
      <c r="X365" s="26" t="n"/>
      <c r="Y365" s="25" t="n"/>
      <c r="Z365" s="26" t="n"/>
      <c r="AA365" s="28" t="n"/>
      <c r="AB365" s="28" t="n"/>
      <c r="AC365" s="30" t="n"/>
      <c r="AD365" s="24" t="n"/>
      <c r="AE365" s="31" t="inlineStr">
        <is>
          <t>Measured Edge Totals: Trend Engine projected 4.55-4.69; raw selected-side p=0.6069, calibrated p=0.5445.</t>
        </is>
      </c>
      <c r="AF365" s="31" t="inlineStr">
        <is>
          <t>Research-only; lineup, bullpen, park, weather, xFIP, and wRC+ may be neutral fallbacks; market availability and BBO depth may change before first pitch.</t>
        </is>
      </c>
      <c r="AG365" s="24" t="inlineStr">
        <is>
          <t>not_applicable</t>
        </is>
      </c>
      <c r="AH365" s="24" t="n"/>
      <c r="AI365" s="31" t="n"/>
      <c r="AJ365" s="31" t="n"/>
      <c r="AK365" s="24" t="inlineStr">
        <is>
          <t>model_qualified</t>
        </is>
      </c>
      <c r="AL365" s="26" t="n">
        <v>3</v>
      </c>
      <c r="AM365" s="24" t="inlineStr">
        <is>
          <t>QUALIFIED_SHADOW_CALL</t>
        </is>
      </c>
      <c r="AN365" s="24" t="inlineStr">
        <is>
          <t>CALL</t>
        </is>
      </c>
      <c r="AO365" s="24" t="inlineStr">
        <is>
          <t>QUALIFIED</t>
        </is>
      </c>
      <c r="AP365" s="24" t="inlineStr">
        <is>
          <t>mlb-sf</t>
        </is>
      </c>
      <c r="AQ365" s="24" t="inlineStr">
        <is>
          <t>San Francisco Giants</t>
        </is>
      </c>
      <c r="AR365" s="24" t="inlineStr">
        <is>
          <t>San Francisco Giants</t>
        </is>
      </c>
      <c r="AS365" s="24" t="inlineStr">
        <is>
          <t>mlb-sd</t>
        </is>
      </c>
      <c r="AT365" s="24" t="inlineStr">
        <is>
          <t>San Diego Padres</t>
        </is>
      </c>
      <c r="AU365" s="24" t="inlineStr">
        <is>
          <t>San Diego Padres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research</t>
        </is>
      </c>
      <c r="BA365" s="24" t="inlineStr">
        <is>
          <t>433578016242b27f9c1c7132cc6b5a2bcc7dd1b0234590c12a944455a88e71bd</t>
        </is>
      </c>
      <c r="BB365" s="24" t="inlineStr">
        <is>
          <t>flat_probability_shrinkage_toward_half</t>
        </is>
      </c>
      <c r="BC365" s="24" t="inlineStr">
        <is>
          <t>measured-edge-totals-v2</t>
        </is>
      </c>
      <c r="BD365" s="24" t="inlineStr">
        <is>
          <t>433578016242b27f9c1c7132cc6b5a2bcc7dd1b0234590c12a944455a88e71bd</t>
        </is>
      </c>
      <c r="BE365" s="24" t="inlineStr">
        <is>
          <t>v3</t>
        </is>
      </c>
      <c r="BF365" s="24" t="inlineStr">
        <is>
          <t>1</t>
        </is>
      </c>
      <c r="BG365" s="24" t="inlineStr">
        <is>
          <t>measured-edge-paired-v1</t>
        </is>
      </c>
      <c r="BH365" s="24" t="inlineStr">
        <is>
          <t>2026-08-02T18:09:31.256815Z</t>
        </is>
      </c>
      <c r="BI365" s="24" t="inlineStr">
        <is>
          <t>["same_event","same_team_same_day","same_league_same_day"]</t>
        </is>
      </c>
      <c r="BJ365" s="25" t="n">
        <v>7.5</v>
      </c>
      <c r="BK365" s="26" t="n">
        <v>-120</v>
      </c>
      <c r="BL365" s="27" t="n">
        <v>1.833333</v>
      </c>
      <c r="BM365" s="28" t="n">
        <v>0.545455</v>
      </c>
      <c r="BN365" s="28" t="n">
        <v>0.542289</v>
      </c>
      <c r="BO365" s="28" t="n"/>
      <c r="BP365" s="25" t="n"/>
      <c r="BQ365" s="27" t="n"/>
      <c r="BR365" s="28" t="n"/>
      <c r="BS365" s="28" t="n"/>
      <c r="BT365" s="28" t="n"/>
      <c r="BU365" s="25" t="n"/>
      <c r="BV365" s="29" t="n"/>
      <c r="BW365" s="24" t="n"/>
      <c r="BX365" s="30" t="n"/>
      <c r="BY365" s="27" t="n"/>
      <c r="BZ365" s="24" t="n"/>
      <c r="CA365" s="31" t="n"/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inlineStr">
        <is>
          <t>False</t>
        </is>
      </c>
    </row>
    <row r="366" ht="36" customHeight="1">
      <c r="A366" s="24" t="inlineStr">
        <is>
          <t>c08c5e58b95d4239</t>
        </is>
      </c>
      <c r="B366" s="24" t="inlineStr">
        <is>
          <t>2026-08-02T18:09:31.256815Z</t>
        </is>
      </c>
      <c r="C366" s="24" t="inlineStr">
        <is>
          <t>2026-08-02T23:20Z</t>
        </is>
      </c>
      <c r="D366" s="24" t="inlineStr">
        <is>
          <t>401816372</t>
        </is>
      </c>
      <c r="E366" s="24" t="inlineStr">
        <is>
          <t>MLB</t>
        </is>
      </c>
      <c r="F366" s="24" t="inlineStr">
        <is>
          <t>Boston Red Sox</t>
        </is>
      </c>
      <c r="G366" s="24" t="inlineStr">
        <is>
          <t>Los Angeles Dodgers</t>
        </is>
      </c>
      <c r="H366" s="24" t="inlineStr">
        <is>
          <t>spread</t>
        </is>
      </c>
      <c r="I366" s="24" t="inlineStr">
        <is>
          <t>away</t>
        </is>
      </c>
      <c r="J366" s="25" t="n">
        <v>1.5</v>
      </c>
      <c r="K366" s="24" t="inlineStr">
        <is>
          <t>polymarket_us</t>
        </is>
      </c>
      <c r="L366" s="26" t="n">
        <v>-130</v>
      </c>
      <c r="M366" s="27" t="n">
        <v>1.769231</v>
      </c>
      <c r="N366" s="28" t="n">
        <v>0.565217</v>
      </c>
      <c r="O366" s="28" t="n">
        <v>0.627005</v>
      </c>
      <c r="P366" s="28" t="n">
        <v>0.042131</v>
      </c>
      <c r="Q366" s="28" t="n">
        <v>0.061788</v>
      </c>
      <c r="R366" s="26" t="n">
        <v>57</v>
      </c>
      <c r="S366" s="29" t="n">
        <v>1.5</v>
      </c>
      <c r="T366" s="24" t="inlineStr">
        <is>
          <t>measured-edge-margin-v2</t>
        </is>
      </c>
      <c r="U366" s="24" t="inlineStr">
        <is>
          <t>open</t>
        </is>
      </c>
      <c r="V366" s="24" t="n"/>
      <c r="W366" s="26" t="n"/>
      <c r="X366" s="26" t="n"/>
      <c r="Y366" s="25" t="n"/>
      <c r="Z366" s="26" t="n"/>
      <c r="AA366" s="28" t="n"/>
      <c r="AB366" s="28" t="n"/>
      <c r="AC366" s="30" t="n"/>
      <c r="AD366" s="24" t="n"/>
      <c r="AE366" s="31" t="inlineStr">
        <is>
          <t>Measured Edge Margin: Trend Engine projected 4.62-4.38; raw selected-side p=0.6935, calibrated p=0.6270.</t>
        </is>
      </c>
      <c r="AF366" s="31" t="inlineStr">
        <is>
          <t>Research-only; lineup, bullpen, park, weather, xFIP, and wRC+ may be neutral fallbacks; market availability and BBO depth may change before first pitch.</t>
        </is>
      </c>
      <c r="AG366" s="24" t="inlineStr">
        <is>
          <t>not_applicable</t>
        </is>
      </c>
      <c r="AH366" s="24" t="n"/>
      <c r="AI366" s="31" t="n"/>
      <c r="AJ366" s="31" t="n"/>
      <c r="AK366" s="24" t="inlineStr">
        <is>
          <t>model_qualified</t>
        </is>
      </c>
      <c r="AL366" s="26" t="n">
        <v>3</v>
      </c>
      <c r="AM366" s="24" t="inlineStr">
        <is>
          <t>QUALIFIED_SHADOW_CALL</t>
        </is>
      </c>
      <c r="AN366" s="24" t="inlineStr">
        <is>
          <t>CALL</t>
        </is>
      </c>
      <c r="AO366" s="24" t="inlineStr">
        <is>
          <t>QUALIFIED</t>
        </is>
      </c>
      <c r="AP366" s="24" t="inlineStr">
        <is>
          <t>mlb-bos</t>
        </is>
      </c>
      <c r="AQ366" s="24" t="inlineStr">
        <is>
          <t>Boston Red Sox</t>
        </is>
      </c>
      <c r="AR366" s="24" t="inlineStr">
        <is>
          <t>Boston Red Sox</t>
        </is>
      </c>
      <c r="AS366" s="24" t="inlineStr">
        <is>
          <t>mlb-lad</t>
        </is>
      </c>
      <c r="AT366" s="24" t="inlineStr">
        <is>
          <t>Los Angeles Dodgers</t>
        </is>
      </c>
      <c r="AU366" s="24" t="inlineStr">
        <is>
          <t>Los Angeles Dodgers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research</t>
        </is>
      </c>
      <c r="BA366" s="24" t="inlineStr">
        <is>
          <t>8360b122264b796b0fb193095cfe4506c7e064e5f3f8c0a659aec41efd08dd25</t>
        </is>
      </c>
      <c r="BB366" s="24" t="inlineStr">
        <is>
          <t>flat_probability_shrinkage_toward_half</t>
        </is>
      </c>
      <c r="BC366" s="24" t="inlineStr">
        <is>
          <t>measured-edge-margin-v2</t>
        </is>
      </c>
      <c r="BD366" s="24" t="inlineStr">
        <is>
          <t>8360b122264b796b0fb193095cfe4506c7e064e5f3f8c0a659aec41efd08dd25</t>
        </is>
      </c>
      <c r="BE366" s="24" t="inlineStr">
        <is>
          <t>v3</t>
        </is>
      </c>
      <c r="BF366" s="24" t="inlineStr">
        <is>
          <t>1</t>
        </is>
      </c>
      <c r="BG366" s="24" t="inlineStr">
        <is>
          <t>measured-edge-paired-v1</t>
        </is>
      </c>
      <c r="BH366" s="24" t="inlineStr">
        <is>
          <t>2026-08-02T18:09:31.256815Z</t>
        </is>
      </c>
      <c r="BI366" s="24" t="inlineStr">
        <is>
          <t>["same_event","same_team_same_day","same_league_same_day"]</t>
        </is>
      </c>
      <c r="BJ366" s="25" t="n">
        <v>1.5</v>
      </c>
      <c r="BK366" s="26" t="n">
        <v>-130</v>
      </c>
      <c r="BL366" s="27" t="n">
        <v>1.769231</v>
      </c>
      <c r="BM366" s="28" t="n">
        <v>0.565217</v>
      </c>
      <c r="BN366" s="28" t="n">
        <v>0.562189</v>
      </c>
      <c r="BO366" s="28" t="n"/>
      <c r="BP366" s="25" t="n"/>
      <c r="BQ366" s="27" t="n"/>
      <c r="BR366" s="28" t="n"/>
      <c r="BS366" s="28" t="n"/>
      <c r="BT366" s="28" t="n"/>
      <c r="BU366" s="25" t="n"/>
      <c r="BV366" s="29" t="n"/>
      <c r="BW366" s="24" t="n"/>
      <c r="BX366" s="30" t="n"/>
      <c r="BY366" s="27" t="n"/>
      <c r="BZ366" s="24" t="n"/>
      <c r="CA366" s="31" t="n"/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inlineStr">
        <is>
          <t>True</t>
        </is>
      </c>
    </row>
    <row r="367" ht="36" customHeight="1">
      <c r="A367" s="24" t="inlineStr">
        <is>
          <t>b2b8bc15a556461f</t>
        </is>
      </c>
      <c r="B367" s="24" t="inlineStr">
        <is>
          <t>2026-08-02T18:09:31.256815Z</t>
        </is>
      </c>
      <c r="C367" s="24" t="inlineStr">
        <is>
          <t>2026-08-02T23:20Z</t>
        </is>
      </c>
      <c r="D367" s="24" t="inlineStr">
        <is>
          <t>401816372</t>
        </is>
      </c>
      <c r="E367" s="24" t="inlineStr">
        <is>
          <t>MLB</t>
        </is>
      </c>
      <c r="F367" s="24" t="inlineStr">
        <is>
          <t>Boston Red Sox</t>
        </is>
      </c>
      <c r="G367" s="24" t="inlineStr">
        <is>
          <t>Los Angeles Dodgers</t>
        </is>
      </c>
      <c r="H367" s="24" t="inlineStr">
        <is>
          <t>total</t>
        </is>
      </c>
      <c r="I367" s="24" t="inlineStr">
        <is>
          <t>over</t>
        </is>
      </c>
      <c r="J367" s="25" t="n">
        <v>8.5</v>
      </c>
      <c r="K367" s="24" t="inlineStr">
        <is>
          <t>polymarket_us</t>
        </is>
      </c>
      <c r="L367" s="26" t="n">
        <v>102</v>
      </c>
      <c r="M367" s="27" t="n">
        <v>2.02</v>
      </c>
      <c r="N367" s="28" t="n">
        <v>0.49505</v>
      </c>
      <c r="O367" s="28" t="n">
        <v>0.512341</v>
      </c>
      <c r="P367" s="28" t="n">
        <v>0.042131</v>
      </c>
      <c r="Q367" s="28" t="n">
        <v>0.017291</v>
      </c>
      <c r="R367" s="26" t="n">
        <v>35</v>
      </c>
      <c r="S367" s="29" t="n">
        <v>1</v>
      </c>
      <c r="T367" s="24" t="inlineStr">
        <is>
          <t>measured-edge-totals-v2</t>
        </is>
      </c>
      <c r="U367" s="24" t="inlineStr">
        <is>
          <t>open</t>
        </is>
      </c>
      <c r="V367" s="24" t="n"/>
      <c r="W367" s="26" t="n"/>
      <c r="X367" s="26" t="n"/>
      <c r="Y367" s="25" t="n"/>
      <c r="Z367" s="26" t="n"/>
      <c r="AA367" s="28" t="n"/>
      <c r="AB367" s="28" t="n"/>
      <c r="AC367" s="30" t="n"/>
      <c r="AD367" s="24" t="n"/>
      <c r="AE367" s="31" t="inlineStr">
        <is>
          <t>Measured Edge Totals: Trend Engine projected 4.62-4.38; raw selected-side p=0.5129, calibrated p=0.5123.</t>
        </is>
      </c>
      <c r="AF367" s="31" t="inlineStr">
        <is>
          <t>Research-only; lineup, bullpen, park, weather, xFIP, and wRC+ may be neutral fallbacks; market availability and BBO depth may change before first pitch.</t>
        </is>
      </c>
      <c r="AG367" s="24" t="inlineStr">
        <is>
          <t>not_applicable</t>
        </is>
      </c>
      <c r="AH367" s="24" t="n"/>
      <c r="AI367" s="31" t="n"/>
      <c r="AJ367" s="31" t="n"/>
      <c r="AK367" s="24" t="inlineStr">
        <is>
          <t>model_qualified</t>
        </is>
      </c>
      <c r="AL367" s="26" t="n">
        <v>3</v>
      </c>
      <c r="AM367" s="24" t="inlineStr">
        <is>
          <t>QUALIFIED_SHADOW_CALL</t>
        </is>
      </c>
      <c r="AN367" s="24" t="inlineStr">
        <is>
          <t>CALL</t>
        </is>
      </c>
      <c r="AO367" s="24" t="inlineStr">
        <is>
          <t>QUALIFIED</t>
        </is>
      </c>
      <c r="AP367" s="24" t="inlineStr">
        <is>
          <t>mlb-bos</t>
        </is>
      </c>
      <c r="AQ367" s="24" t="inlineStr">
        <is>
          <t>Boston Red Sox</t>
        </is>
      </c>
      <c r="AR367" s="24" t="inlineStr">
        <is>
          <t>Boston Red Sox</t>
        </is>
      </c>
      <c r="AS367" s="24" t="inlineStr">
        <is>
          <t>mlb-lad</t>
        </is>
      </c>
      <c r="AT367" s="24" t="inlineStr">
        <is>
          <t>Los Angeles Dodgers</t>
        </is>
      </c>
      <c r="AU367" s="24" t="inlineStr">
        <is>
          <t>Los Angeles Dodgers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research</t>
        </is>
      </c>
      <c r="BA367" s="24" t="inlineStr">
        <is>
          <t>433578016242b27f9c1c7132cc6b5a2bcc7dd1b0234590c12a944455a88e71bd</t>
        </is>
      </c>
      <c r="BB367" s="24" t="inlineStr">
        <is>
          <t>flat_probability_shrinkage_toward_half</t>
        </is>
      </c>
      <c r="BC367" s="24" t="inlineStr">
        <is>
          <t>measured-edge-totals-v2</t>
        </is>
      </c>
      <c r="BD367" s="24" t="inlineStr">
        <is>
          <t>433578016242b27f9c1c7132cc6b5a2bcc7dd1b0234590c12a944455a88e71bd</t>
        </is>
      </c>
      <c r="BE367" s="24" t="inlineStr">
        <is>
          <t>v3</t>
        </is>
      </c>
      <c r="BF367" s="24" t="inlineStr">
        <is>
          <t>1</t>
        </is>
      </c>
      <c r="BG367" s="24" t="inlineStr">
        <is>
          <t>measured-edge-paired-v1</t>
        </is>
      </c>
      <c r="BH367" s="24" t="inlineStr">
        <is>
          <t>2026-08-02T18:09:31.256815Z</t>
        </is>
      </c>
      <c r="BI367" s="24" t="inlineStr">
        <is>
          <t>["same_event","same_team_same_day","same_league_same_day"]</t>
        </is>
      </c>
      <c r="BJ367" s="25" t="n">
        <v>8.5</v>
      </c>
      <c r="BK367" s="26" t="n">
        <v>102</v>
      </c>
      <c r="BL367" s="27" t="n">
        <v>2.02</v>
      </c>
      <c r="BM367" s="28" t="n">
        <v>0.49505</v>
      </c>
      <c r="BN367" s="28" t="n">
        <v>0.492537</v>
      </c>
      <c r="BO367" s="28" t="n"/>
      <c r="BP367" s="25" t="n"/>
      <c r="BQ367" s="27" t="n"/>
      <c r="BR367" s="28" t="n"/>
      <c r="BS367" s="28" t="n"/>
      <c r="BT367" s="28" t="n"/>
      <c r="BU367" s="25" t="n"/>
      <c r="BV367" s="29" t="n"/>
      <c r="BW367" s="24" t="n"/>
      <c r="BX367" s="30" t="n"/>
      <c r="BY367" s="27" t="n"/>
      <c r="BZ367" s="24" t="n"/>
      <c r="CA367" s="31" t="n"/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inlineStr">
        <is>
          <t>True</t>
        </is>
      </c>
    </row>
    <row r="368" ht="36" customHeight="1">
      <c r="A368" s="24" t="inlineStr">
        <is>
          <t>32724e76d3454aff</t>
        </is>
      </c>
      <c r="B368" s="24" t="inlineStr">
        <is>
          <t>2026-08-02T18:10:44.787843Z</t>
        </is>
      </c>
      <c r="C368" s="24" t="inlineStr">
        <is>
          <t>2026-08-02T20:00Z</t>
        </is>
      </c>
      <c r="D368" s="24" t="inlineStr">
        <is>
          <t>401841473</t>
        </is>
      </c>
      <c r="E368" s="24" t="inlineStr">
        <is>
          <t>SOCCER</t>
        </is>
      </c>
      <c r="F368" s="24" t="inlineStr">
        <is>
          <t>Boca Juniors</t>
        </is>
      </c>
      <c r="G368" s="24" t="inlineStr">
        <is>
          <t>Newell's Old Boys</t>
        </is>
      </c>
      <c r="H368" s="24" t="inlineStr">
        <is>
          <t>moneyline</t>
        </is>
      </c>
      <c r="I368" s="24" t="inlineStr">
        <is>
          <t>home</t>
        </is>
      </c>
      <c r="J368" s="25" t="n"/>
      <c r="K368" s="24" t="inlineStr">
        <is>
          <t>polymarket_us</t>
        </is>
      </c>
      <c r="L368" s="26" t="n">
        <v>355</v>
      </c>
      <c r="M368" s="27" t="n">
        <v>4.55</v>
      </c>
      <c r="N368" s="28" t="n">
        <v>0.21978</v>
      </c>
      <c r="O368" s="28" t="n">
        <v>0.398039</v>
      </c>
      <c r="P368" s="28" t="n">
        <v>0.2</v>
      </c>
      <c r="Q368" s="28" t="n">
        <v>0.178259</v>
      </c>
      <c r="R368" s="26" t="n">
        <v>19</v>
      </c>
      <c r="S368" s="29" t="n">
        <v>1</v>
      </c>
      <c r="T368" s="24" t="inlineStr">
        <is>
          <t>soccer-poisson-dc-v1</t>
        </is>
      </c>
      <c r="U368" s="24" t="inlineStr">
        <is>
          <t>open</t>
        </is>
      </c>
      <c r="V368" s="24" t="n"/>
      <c r="W368" s="26" t="n"/>
      <c r="X368" s="26" t="n"/>
      <c r="Y368" s="25" t="n"/>
      <c r="Z368" s="26" t="n"/>
      <c r="AA368" s="28" t="n"/>
      <c r="AB368" s="28" t="n"/>
      <c r="AC368" s="30" t="n"/>
      <c r="AD368" s="24" t="n"/>
      <c r="AE368" s="31" t="inlineStr">
        <is>
          <t>Poisson-DC rates 1.46 (home) / 1.30 (away) from EWMA attack/defense strengths. Executable ask 0.2200 (atc-lpa-new-boc-2026-08-02-new).</t>
        </is>
      </c>
      <c r="AF368" s="31" t="inlineStr">
        <is>
          <t>Research-only soccer score model; draw-aware, but not yet locked-holdout qualified.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model_qualified</t>
        </is>
      </c>
      <c r="AL368" s="26" t="n">
        <v>3</v>
      </c>
      <c r="AM368" s="24" t="inlineStr">
        <is>
          <t>QUALIFIED_SHADOW_CALL</t>
        </is>
      </c>
      <c r="AN368" s="24" t="inlineStr">
        <is>
          <t>CALL</t>
        </is>
      </c>
      <c r="AO368" s="24" t="inlineStr">
        <is>
          <t>QUALIFIED</t>
        </is>
      </c>
      <c r="AP368" s="24" t="inlineStr">
        <is>
          <t>Boca Juniors</t>
        </is>
      </c>
      <c r="AQ368" s="24" t="inlineStr">
        <is>
          <t>Boca Juniors</t>
        </is>
      </c>
      <c r="AR368" s="24" t="inlineStr">
        <is>
          <t>Boca Juniors</t>
        </is>
      </c>
      <c r="AS368" s="24" t="inlineStr">
        <is>
          <t>Newell's Old Boys</t>
        </is>
      </c>
      <c r="AT368" s="24" t="inlineStr">
        <is>
          <t>Newell's Old Boys</t>
        </is>
      </c>
      <c r="AU368" s="24" t="inlineStr">
        <is>
          <t>Newell's Old Boys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34d1568aad0ff11b5db35f118324684f93281e1c21fa7b80be7a4a4e2cb4bb03</t>
        </is>
      </c>
      <c r="BB368" s="24" t="inlineStr">
        <is>
          <t>poisson_dixon_coles</t>
        </is>
      </c>
      <c r="BC368" s="24" t="inlineStr">
        <is>
          <t>soccer-poisson-dc-v1</t>
        </is>
      </c>
      <c r="BD368" s="24" t="inlineStr">
        <is>
          <t>34d1568aad0ff11b5db35f118324684f93281e1c21fa7b80be7a4a4e2cb4bb03</t>
        </is>
      </c>
      <c r="BE368" s="24" t="inlineStr">
        <is>
          <t>soccer-poisson-dc-v1</t>
        </is>
      </c>
      <c r="BF368" s="24" t="inlineStr">
        <is>
          <t>1</t>
        </is>
      </c>
      <c r="BG368" s="24" t="inlineStr">
        <is>
          <t>34d1568aad0ff11b5db35f118324684f93281e1c21fa7b80be7a4a4e2cb4bb03</t>
        </is>
      </c>
      <c r="BH368" s="24" t="inlineStr">
        <is>
          <t>2026-08-02T18:07:50.915614Z</t>
        </is>
      </c>
      <c r="BI368" s="24" t="inlineStr">
        <is>
          <t>["same_event","same_team_same_day","same_league_same_day"]</t>
        </is>
      </c>
      <c r="BJ368" s="25" t="n"/>
      <c r="BK368" s="26" t="n">
        <v>355</v>
      </c>
      <c r="BL368" s="27" t="n">
        <v>4.55</v>
      </c>
      <c r="BM368" s="28" t="n">
        <v>0.21978</v>
      </c>
      <c r="BN368" s="28" t="n"/>
      <c r="BO368" s="28" t="n"/>
      <c r="BP368" s="25" t="n"/>
      <c r="BQ368" s="27" t="n"/>
      <c r="BR368" s="28" t="n"/>
      <c r="BS368" s="28" t="n"/>
      <c r="BT368" s="28" t="n"/>
      <c r="BU368" s="25" t="n"/>
      <c r="BV368" s="29" t="n"/>
      <c r="BW368" s="24" t="n"/>
      <c r="BX368" s="30" t="n"/>
      <c r="BY368" s="27" t="n"/>
      <c r="BZ368" s="24" t="n"/>
      <c r="CA368" s="31" t="n"/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inlineStr">
        <is>
          <t>True</t>
        </is>
      </c>
    </row>
    <row r="369" ht="36" customHeight="1">
      <c r="A369" s="24" t="inlineStr">
        <is>
          <t>1ca6d0761e6c4d89</t>
        </is>
      </c>
      <c r="B369" s="24" t="inlineStr">
        <is>
          <t>2026-08-02T18:10:44.787843Z</t>
        </is>
      </c>
      <c r="C369" s="24" t="inlineStr">
        <is>
          <t>2026-08-02T22:15Z</t>
        </is>
      </c>
      <c r="D369" s="24" t="inlineStr">
        <is>
          <t>401841476</t>
        </is>
      </c>
      <c r="E369" s="24" t="inlineStr">
        <is>
          <t>SOCCER</t>
        </is>
      </c>
      <c r="F369" s="24" t="inlineStr">
        <is>
          <t>Rosario Central</t>
        </is>
      </c>
      <c r="G369" s="24" t="inlineStr">
        <is>
          <t>River Plate</t>
        </is>
      </c>
      <c r="H369" s="24" t="inlineStr">
        <is>
          <t>moneyline</t>
        </is>
      </c>
      <c r="I369" s="24" t="inlineStr">
        <is>
          <t>home</t>
        </is>
      </c>
      <c r="J369" s="25" t="n"/>
      <c r="K369" s="24" t="inlineStr">
        <is>
          <t>polymarket_us</t>
        </is>
      </c>
      <c r="L369" s="26" t="n">
        <v>100</v>
      </c>
      <c r="M369" s="27" t="n">
        <v>2</v>
      </c>
      <c r="N369" s="28" t="n">
        <v>0.5</v>
      </c>
      <c r="O369" s="28" t="n">
        <v>0.5359159999999999</v>
      </c>
      <c r="P369" s="28" t="n">
        <v>0.2</v>
      </c>
      <c r="Q369" s="28" t="n">
        <v>0.035916</v>
      </c>
      <c r="R369" s="26" t="n">
        <v>0</v>
      </c>
      <c r="S369" s="29" t="n">
        <v>1</v>
      </c>
      <c r="T369" s="24" t="inlineStr">
        <is>
          <t>soccer-poisson-dc-v1</t>
        </is>
      </c>
      <c r="U369" s="24" t="inlineStr">
        <is>
          <t>open</t>
        </is>
      </c>
      <c r="V369" s="24" t="n"/>
      <c r="W369" s="26" t="n"/>
      <c r="X369" s="26" t="n"/>
      <c r="Y369" s="25" t="n"/>
      <c r="Z369" s="26" t="n"/>
      <c r="AA369" s="28" t="n"/>
      <c r="AB369" s="28" t="n"/>
      <c r="AC369" s="30" t="n"/>
      <c r="AD369" s="24" t="n"/>
      <c r="AE369" s="31" t="inlineStr">
        <is>
          <t>Poisson-DC rates 1.84 (home) / 1.10 (away) from EWMA attack/defense strengths. Executable ask 0.5000 (atc-lpa-riv-ros-2026-08-02-riv).</t>
        </is>
      </c>
      <c r="AF369" s="31" t="inlineStr">
        <is>
          <t>Research-only soccer score model; draw-aware, but not yet locked-holdout qualified.</t>
        </is>
      </c>
      <c r="AG369" s="24" t="inlineStr">
        <is>
          <t>not_applicable</t>
        </is>
      </c>
      <c r="AH369" s="24" t="n"/>
      <c r="AI369" s="31" t="n"/>
      <c r="AJ369" s="31" t="n"/>
      <c r="AK369" s="24" t="inlineStr">
        <is>
          <t>research_observation</t>
        </is>
      </c>
      <c r="AL369" s="26" t="n">
        <v>3</v>
      </c>
      <c r="AM369" s="24" t="inlineStr">
        <is>
          <t>RESEARCH_OBSERVATION</t>
        </is>
      </c>
      <c r="AN369" s="24" t="inlineStr">
        <is>
          <t>NO_CALL</t>
        </is>
      </c>
      <c r="AO369" s="24" t="inlineStr">
        <is>
          <t>NO_CALL_LOW_EDGE</t>
        </is>
      </c>
      <c r="AP369" s="24" t="inlineStr">
        <is>
          <t>Rosario Central</t>
        </is>
      </c>
      <c r="AQ369" s="24" t="inlineStr">
        <is>
          <t>Rosario Central</t>
        </is>
      </c>
      <c r="AR369" s="24" t="inlineStr">
        <is>
          <t>Rosario Central</t>
        </is>
      </c>
      <c r="AS369" s="24" t="inlineStr">
        <is>
          <t>River Plate</t>
        </is>
      </c>
      <c r="AT369" s="24" t="inlineStr">
        <is>
          <t>River Plate</t>
        </is>
      </c>
      <c r="AU369" s="24" t="inlineStr">
        <is>
          <t>River Plate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34d1568aad0ff11b5db35f118324684f93281e1c21fa7b80be7a4a4e2cb4bb03</t>
        </is>
      </c>
      <c r="BB369" s="24" t="inlineStr">
        <is>
          <t>poisson_dixon_coles</t>
        </is>
      </c>
      <c r="BC369" s="24" t="inlineStr">
        <is>
          <t>soccer-poisson-dc-v1</t>
        </is>
      </c>
      <c r="BD369" s="24" t="inlineStr">
        <is>
          <t>34d1568aad0ff11b5db35f118324684f93281e1c21fa7b80be7a4a4e2cb4bb03</t>
        </is>
      </c>
      <c r="BE369" s="24" t="inlineStr">
        <is>
          <t>soccer-poisson-dc-v1</t>
        </is>
      </c>
      <c r="BF369" s="24" t="inlineStr">
        <is>
          <t>1</t>
        </is>
      </c>
      <c r="BG369" s="24" t="inlineStr">
        <is>
          <t>34d1568aad0ff11b5db35f118324684f93281e1c21fa7b80be7a4a4e2cb4bb03</t>
        </is>
      </c>
      <c r="BH369" s="24" t="inlineStr">
        <is>
          <t>2026-08-02T18:07:51.454474Z</t>
        </is>
      </c>
      <c r="BI369" s="24" t="inlineStr">
        <is>
          <t>["same_event","same_team_same_day","same_league_same_day"]</t>
        </is>
      </c>
      <c r="BJ369" s="25" t="n"/>
      <c r="BK369" s="26" t="n">
        <v>100</v>
      </c>
      <c r="BL369" s="27" t="n">
        <v>2</v>
      </c>
      <c r="BM369" s="28" t="n">
        <v>0.5</v>
      </c>
      <c r="BN369" s="28" t="n"/>
      <c r="BO369" s="28" t="n"/>
      <c r="BP369" s="25" t="n"/>
      <c r="BQ369" s="27" t="n"/>
      <c r="BR369" s="28" t="n"/>
      <c r="BS369" s="28" t="n"/>
      <c r="BT369" s="28" t="n"/>
      <c r="BU369" s="25" t="n"/>
      <c r="BV369" s="29" t="n"/>
      <c r="BW369" s="24" t="n"/>
      <c r="BX369" s="30" t="n"/>
      <c r="BY369" s="27" t="n"/>
      <c r="BZ369" s="24" t="n"/>
      <c r="CA369" s="31" t="n"/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inlineStr">
        <is>
          <t>True</t>
        </is>
      </c>
    </row>
    <row r="370" ht="36" customHeight="1">
      <c r="A370" s="24" t="inlineStr">
        <is>
          <t>d4237da6e72e4b39</t>
        </is>
      </c>
      <c r="B370" s="24" t="inlineStr">
        <is>
          <t>2026-08-02T18:10:44.787843Z</t>
        </is>
      </c>
      <c r="C370" s="24" t="inlineStr">
        <is>
          <t>2026-08-02T18:30Z</t>
        </is>
      </c>
      <c r="D370" s="24" t="inlineStr">
        <is>
          <t>401844012</t>
        </is>
      </c>
      <c r="E370" s="24" t="inlineStr">
        <is>
          <t>SOCCER</t>
        </is>
      </c>
      <c r="F370" s="24" t="inlineStr">
        <is>
          <t>Gimnasia y Tiro (Salta)</t>
        </is>
      </c>
      <c r="G370" s="24" t="inlineStr">
        <is>
          <t>Temperley</t>
        </is>
      </c>
      <c r="H370" s="24" t="inlineStr">
        <is>
          <t>moneyline</t>
        </is>
      </c>
      <c r="I370" s="24" t="inlineStr">
        <is>
          <t>home</t>
        </is>
      </c>
      <c r="J370" s="25" t="n"/>
      <c r="K370" s="24" t="inlineStr">
        <is>
          <t>polymarket_us</t>
        </is>
      </c>
      <c r="L370" s="26" t="n">
        <v>122</v>
      </c>
      <c r="M370" s="27" t="n">
        <v>2.22</v>
      </c>
      <c r="N370" s="28" t="n">
        <v>0.45045</v>
      </c>
      <c r="O370" s="28" t="n">
        <v>0.456135</v>
      </c>
      <c r="P370" s="28" t="n">
        <v>0.2</v>
      </c>
      <c r="Q370" s="28" t="n">
        <v>0.005685</v>
      </c>
      <c r="R370" s="26" t="n">
        <v>0</v>
      </c>
      <c r="S370" s="29" t="n">
        <v>1</v>
      </c>
      <c r="T370" s="24" t="inlineStr">
        <is>
          <t>soccer-poisson-dc-v1</t>
        </is>
      </c>
      <c r="U370" s="24" t="inlineStr">
        <is>
          <t>open</t>
        </is>
      </c>
      <c r="V370" s="24" t="n"/>
      <c r="W370" s="26" t="n"/>
      <c r="X370" s="26" t="n"/>
      <c r="Y370" s="25" t="n"/>
      <c r="Z370" s="26" t="n"/>
      <c r="AA370" s="28" t="n"/>
      <c r="AB370" s="28" t="n"/>
      <c r="AC370" s="30" t="n"/>
      <c r="AD370" s="24" t="n"/>
      <c r="AE370" s="31" t="inlineStr">
        <is>
          <t>Poisson-DC rates 1.64 (home) / 1.24 (away) from EWMA attack/defense strengths. Executable ask 0.4500 (atc-arg2-cat-gyt-2026-08-02-cat).</t>
        </is>
      </c>
      <c r="AF370" s="31" t="inlineStr">
        <is>
          <t>Research-only soccer score model; draw-aware, but not yet locked-holdout qualified.</t>
        </is>
      </c>
      <c r="AG370" s="24" t="inlineStr">
        <is>
          <t>not_applicable</t>
        </is>
      </c>
      <c r="AH370" s="24" t="n"/>
      <c r="AI370" s="31" t="n"/>
      <c r="AJ370" s="31" t="n"/>
      <c r="AK370" s="24" t="inlineStr">
        <is>
          <t>research_observation</t>
        </is>
      </c>
      <c r="AL370" s="26" t="n">
        <v>3</v>
      </c>
      <c r="AM370" s="24" t="inlineStr">
        <is>
          <t>RESEARCH_OBSERVATION</t>
        </is>
      </c>
      <c r="AN370" s="24" t="inlineStr">
        <is>
          <t>NO_CALL</t>
        </is>
      </c>
      <c r="AO370" s="24" t="inlineStr">
        <is>
          <t>NO_CALL_LOW_EDGE</t>
        </is>
      </c>
      <c r="AP370" s="24" t="inlineStr">
        <is>
          <t>Gimnasia y Tiro (Salta)</t>
        </is>
      </c>
      <c r="AQ370" s="24" t="inlineStr">
        <is>
          <t>Gimnasia y Tiro (Salta)</t>
        </is>
      </c>
      <c r="AR370" s="24" t="inlineStr">
        <is>
          <t>Gimnasia y Tiro (Salta)</t>
        </is>
      </c>
      <c r="AS370" s="24" t="inlineStr">
        <is>
          <t>Temperley</t>
        </is>
      </c>
      <c r="AT370" s="24" t="inlineStr">
        <is>
          <t>Temperley</t>
        </is>
      </c>
      <c r="AU370" s="24" t="inlineStr">
        <is>
          <t>Temperley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34d1568aad0ff11b5db35f118324684f93281e1c21fa7b80be7a4a4e2cb4bb03</t>
        </is>
      </c>
      <c r="BB370" s="24" t="inlineStr">
        <is>
          <t>poisson_dixon_coles</t>
        </is>
      </c>
      <c r="BC370" s="24" t="inlineStr">
        <is>
          <t>soccer-poisson-dc-v1</t>
        </is>
      </c>
      <c r="BD370" s="24" t="inlineStr">
        <is>
          <t>34d1568aad0ff11b5db35f118324684f93281e1c21fa7b80be7a4a4e2cb4bb03</t>
        </is>
      </c>
      <c r="BE370" s="24" t="inlineStr">
        <is>
          <t>soccer-poisson-dc-v1</t>
        </is>
      </c>
      <c r="BF370" s="24" t="inlineStr">
        <is>
          <t>1</t>
        </is>
      </c>
      <c r="BG370" s="24" t="inlineStr">
        <is>
          <t>34d1568aad0ff11b5db35f118324684f93281e1c21fa7b80be7a4a4e2cb4bb03</t>
        </is>
      </c>
      <c r="BH370" s="24" t="inlineStr">
        <is>
          <t>2026-08-02T18:07:52.585276Z</t>
        </is>
      </c>
      <c r="BI370" s="24" t="inlineStr">
        <is>
          <t>["same_event","same_team_same_day","same_league_same_day"]</t>
        </is>
      </c>
      <c r="BJ370" s="25" t="n"/>
      <c r="BK370" s="26" t="n">
        <v>122</v>
      </c>
      <c r="BL370" s="27" t="n">
        <v>2.22</v>
      </c>
      <c r="BM370" s="28" t="n">
        <v>0.45045</v>
      </c>
      <c r="BN370" s="28" t="n"/>
      <c r="BO370" s="28" t="n"/>
      <c r="BP370" s="25" t="n"/>
      <c r="BQ370" s="27" t="n"/>
      <c r="BR370" s="28" t="n"/>
      <c r="BS370" s="28" t="n"/>
      <c r="BT370" s="28" t="n"/>
      <c r="BU370" s="25" t="n"/>
      <c r="BV370" s="29" t="n"/>
      <c r="BW370" s="24" t="n"/>
      <c r="BX370" s="30" t="n"/>
      <c r="BY370" s="27" t="n"/>
      <c r="BZ370" s="24" t="n"/>
      <c r="CA370" s="31" t="n"/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inlineStr">
        <is>
          <t>True</t>
        </is>
      </c>
    </row>
    <row r="371" ht="36" customHeight="1">
      <c r="A371" s="24" t="inlineStr">
        <is>
          <t>b0f9b1a454594373</t>
        </is>
      </c>
      <c r="B371" s="24" t="inlineStr">
        <is>
          <t>2026-08-02T18:10:44.787843Z</t>
        </is>
      </c>
      <c r="C371" s="24" t="inlineStr">
        <is>
          <t>2026-08-02T19:00Z</t>
        </is>
      </c>
      <c r="D371" s="24" t="inlineStr">
        <is>
          <t>401844026</t>
        </is>
      </c>
      <c r="E371" s="24" t="inlineStr">
        <is>
          <t>SOCCER</t>
        </is>
      </c>
      <c r="F371" s="24" t="inlineStr">
        <is>
          <t>All Boys</t>
        </is>
      </c>
      <c r="G371" s="24" t="inlineStr">
        <is>
          <t>Deportivo Madryn</t>
        </is>
      </c>
      <c r="H371" s="24" t="inlineStr">
        <is>
          <t>moneyline</t>
        </is>
      </c>
      <c r="I371" s="24" t="inlineStr">
        <is>
          <t>home</t>
        </is>
      </c>
      <c r="J371" s="25" t="n"/>
      <c r="K371" s="24" t="inlineStr">
        <is>
          <t>polymarket_us</t>
        </is>
      </c>
      <c r="L371" s="26" t="n">
        <v>-113</v>
      </c>
      <c r="M371" s="27" t="n">
        <v>1.884956</v>
      </c>
      <c r="N371" s="28" t="n">
        <v>0.530516</v>
      </c>
      <c r="O371" s="28" t="n">
        <v>0.456135</v>
      </c>
      <c r="P371" s="28" t="n">
        <v>0.2</v>
      </c>
      <c r="Q371" s="28" t="n">
        <v>-0.074381</v>
      </c>
      <c r="R371" s="26" t="n">
        <v>0</v>
      </c>
      <c r="S371" s="29" t="n">
        <v>1</v>
      </c>
      <c r="T371" s="24" t="inlineStr">
        <is>
          <t>soccer-poisson-dc-v1</t>
        </is>
      </c>
      <c r="U371" s="24" t="inlineStr">
        <is>
          <t>open</t>
        </is>
      </c>
      <c r="V371" s="24" t="n"/>
      <c r="W371" s="26" t="n"/>
      <c r="X371" s="26" t="n"/>
      <c r="Y371" s="25" t="n"/>
      <c r="Z371" s="26" t="n"/>
      <c r="AA371" s="28" t="n"/>
      <c r="AB371" s="28" t="n"/>
      <c r="AC371" s="30" t="n"/>
      <c r="AD371" s="24" t="n"/>
      <c r="AE371" s="31" t="inlineStr">
        <is>
          <t>Poisson-DC rates 1.64 (home) / 1.24 (away) from EWMA attack/defense strengths. Executable ask 0.5300 (atc-arg2-dma-abo-2026-08-02-dma).</t>
        </is>
      </c>
      <c r="AF371" s="31" t="inlineStr">
        <is>
          <t>Research-only soccer score model; draw-aware, but not yet locked-holdout qualified.</t>
        </is>
      </c>
      <c r="AG371" s="24" t="inlineStr">
        <is>
          <t>not_applicable</t>
        </is>
      </c>
      <c r="AH371" s="24" t="n"/>
      <c r="AI371" s="31" t="n"/>
      <c r="AJ371" s="31" t="n"/>
      <c r="AK371" s="24" t="inlineStr">
        <is>
          <t>research_observation</t>
        </is>
      </c>
      <c r="AL371" s="26" t="n">
        <v>3</v>
      </c>
      <c r="AM371" s="24" t="inlineStr">
        <is>
          <t>RESEARCH_OBSERVATION</t>
        </is>
      </c>
      <c r="AN371" s="24" t="inlineStr">
        <is>
          <t>NO_CALL</t>
        </is>
      </c>
      <c r="AO371" s="24" t="inlineStr">
        <is>
          <t>NO_CALL_LOW_EDGE</t>
        </is>
      </c>
      <c r="AP371" s="24" t="inlineStr">
        <is>
          <t>All Boys</t>
        </is>
      </c>
      <c r="AQ371" s="24" t="inlineStr">
        <is>
          <t>All Boys</t>
        </is>
      </c>
      <c r="AR371" s="24" t="inlineStr">
        <is>
          <t>All Boys</t>
        </is>
      </c>
      <c r="AS371" s="24" t="inlineStr">
        <is>
          <t>Deportivo Madryn</t>
        </is>
      </c>
      <c r="AT371" s="24" t="inlineStr">
        <is>
          <t>Deportivo Madryn</t>
        </is>
      </c>
      <c r="AU371" s="24" t="inlineStr">
        <is>
          <t>Deportivo Madryn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34d1568aad0ff11b5db35f118324684f93281e1c21fa7b80be7a4a4e2cb4bb03</t>
        </is>
      </c>
      <c r="BB371" s="24" t="inlineStr">
        <is>
          <t>poisson_dixon_coles</t>
        </is>
      </c>
      <c r="BC371" s="24" t="inlineStr">
        <is>
          <t>soccer-poisson-dc-v1</t>
        </is>
      </c>
      <c r="BD371" s="24" t="inlineStr">
        <is>
          <t>34d1568aad0ff11b5db35f118324684f93281e1c21fa7b80be7a4a4e2cb4bb03</t>
        </is>
      </c>
      <c r="BE371" s="24" t="inlineStr">
        <is>
          <t>soccer-poisson-dc-v1</t>
        </is>
      </c>
      <c r="BF371" s="24" t="inlineStr">
        <is>
          <t>1</t>
        </is>
      </c>
      <c r="BG371" s="24" t="inlineStr">
        <is>
          <t>34d1568aad0ff11b5db35f118324684f93281e1c21fa7b80be7a4a4e2cb4bb03</t>
        </is>
      </c>
      <c r="BH371" s="24" t="inlineStr">
        <is>
          <t>2026-08-02T18:07:53.154543Z</t>
        </is>
      </c>
      <c r="BI371" s="24" t="inlineStr">
        <is>
          <t>["same_event","same_team_same_day","same_league_same_day"]</t>
        </is>
      </c>
      <c r="BJ371" s="25" t="n"/>
      <c r="BK371" s="26" t="n">
        <v>-113</v>
      </c>
      <c r="BL371" s="27" t="n">
        <v>1.884956</v>
      </c>
      <c r="BM371" s="28" t="n">
        <v>0.530516</v>
      </c>
      <c r="BN371" s="28" t="n"/>
      <c r="BO371" s="28" t="n"/>
      <c r="BP371" s="25" t="n"/>
      <c r="BQ371" s="27" t="n"/>
      <c r="BR371" s="28" t="n"/>
      <c r="BS371" s="28" t="n"/>
      <c r="BT371" s="28" t="n"/>
      <c r="BU371" s="25" t="n"/>
      <c r="BV371" s="29" t="n"/>
      <c r="BW371" s="24" t="n"/>
      <c r="BX371" s="30" t="n"/>
      <c r="BY371" s="27" t="n"/>
      <c r="BZ371" s="24" t="n"/>
      <c r="CA371" s="31" t="n"/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inlineStr">
        <is>
          <t>False</t>
        </is>
      </c>
    </row>
    <row r="372" ht="36" customHeight="1">
      <c r="A372" s="24" t="inlineStr">
        <is>
          <t>a11f583d4fac48f5</t>
        </is>
      </c>
      <c r="B372" s="24" t="inlineStr">
        <is>
          <t>2026-08-02T18:10:44.787843Z</t>
        </is>
      </c>
      <c r="C372" s="24" t="inlineStr">
        <is>
          <t>2026-08-02T19:30Z</t>
        </is>
      </c>
      <c r="D372" s="24" t="inlineStr">
        <is>
          <t>401844014</t>
        </is>
      </c>
      <c r="E372" s="24" t="inlineStr">
        <is>
          <t>SOCCER</t>
        </is>
      </c>
      <c r="F372" s="24" t="inlineStr">
        <is>
          <t>Los Andes</t>
        </is>
      </c>
      <c r="G372" s="24" t="inlineStr">
        <is>
          <t>Central Norte</t>
        </is>
      </c>
      <c r="H372" s="24" t="inlineStr">
        <is>
          <t>moneyline</t>
        </is>
      </c>
      <c r="I372" s="24" t="inlineStr">
        <is>
          <t>home</t>
        </is>
      </c>
      <c r="J372" s="25" t="n"/>
      <c r="K372" s="24" t="inlineStr">
        <is>
          <t>polymarket_us</t>
        </is>
      </c>
      <c r="L372" s="26" t="n">
        <v>150</v>
      </c>
      <c r="M372" s="27" t="n">
        <v>2.5</v>
      </c>
      <c r="N372" s="28" t="n">
        <v>0.4</v>
      </c>
      <c r="O372" s="28" t="n">
        <v>0.456135</v>
      </c>
      <c r="P372" s="28" t="n">
        <v>0.2</v>
      </c>
      <c r="Q372" s="28" t="n">
        <v>0.056135</v>
      </c>
      <c r="R372" s="26" t="n">
        <v>0</v>
      </c>
      <c r="S372" s="29" t="n">
        <v>1</v>
      </c>
      <c r="T372" s="24" t="inlineStr">
        <is>
          <t>soccer-poisson-dc-v1</t>
        </is>
      </c>
      <c r="U372" s="24" t="inlineStr">
        <is>
          <t>open</t>
        </is>
      </c>
      <c r="V372" s="24" t="n"/>
      <c r="W372" s="26" t="n"/>
      <c r="X372" s="26" t="n"/>
      <c r="Y372" s="25" t="n"/>
      <c r="Z372" s="26" t="n"/>
      <c r="AA372" s="28" t="n"/>
      <c r="AB372" s="28" t="n"/>
      <c r="AC372" s="30" t="n"/>
      <c r="AD372" s="24" t="n"/>
      <c r="AE372" s="31" t="inlineStr">
        <is>
          <t>Poisson-DC rates 1.64 (home) / 1.24 (away) from EWMA attack/defense strengths. Executable ask 0.4000 (atc-arg2-ccns-ala-2026-08-02-ccns).</t>
        </is>
      </c>
      <c r="AF372" s="31" t="inlineStr">
        <is>
          <t>Research-only soccer score model; draw-aware, but not yet locked-holdout qualified.</t>
        </is>
      </c>
      <c r="AG372" s="24" t="inlineStr">
        <is>
          <t>not_applicable</t>
        </is>
      </c>
      <c r="AH372" s="24" t="n"/>
      <c r="AI372" s="31" t="n"/>
      <c r="AJ372" s="31" t="n"/>
      <c r="AK372" s="24" t="inlineStr">
        <is>
          <t>model_qualified</t>
        </is>
      </c>
      <c r="AL372" s="26" t="n">
        <v>3</v>
      </c>
      <c r="AM372" s="24" t="inlineStr">
        <is>
          <t>QUALIFIED_SHADOW_CALL</t>
        </is>
      </c>
      <c r="AN372" s="24" t="inlineStr">
        <is>
          <t>CALL</t>
        </is>
      </c>
      <c r="AO372" s="24" t="inlineStr">
        <is>
          <t>QUALIFIED</t>
        </is>
      </c>
      <c r="AP372" s="24" t="inlineStr">
        <is>
          <t>Los Andes</t>
        </is>
      </c>
      <c r="AQ372" s="24" t="inlineStr">
        <is>
          <t>Los Andes</t>
        </is>
      </c>
      <c r="AR372" s="24" t="inlineStr">
        <is>
          <t>Los Andes</t>
        </is>
      </c>
      <c r="AS372" s="24" t="inlineStr">
        <is>
          <t>Central Norte</t>
        </is>
      </c>
      <c r="AT372" s="24" t="inlineStr">
        <is>
          <t>Central Norte</t>
        </is>
      </c>
      <c r="AU372" s="24" t="inlineStr">
        <is>
          <t>Central Norte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34d1568aad0ff11b5db35f118324684f93281e1c21fa7b80be7a4a4e2cb4bb03</t>
        </is>
      </c>
      <c r="BB372" s="24" t="inlineStr">
        <is>
          <t>poisson_dixon_coles</t>
        </is>
      </c>
      <c r="BC372" s="24" t="inlineStr">
        <is>
          <t>soccer-poisson-dc-v1</t>
        </is>
      </c>
      <c r="BD372" s="24" t="inlineStr">
        <is>
          <t>34d1568aad0ff11b5db35f118324684f93281e1c21fa7b80be7a4a4e2cb4bb03</t>
        </is>
      </c>
      <c r="BE372" s="24" t="inlineStr">
        <is>
          <t>soccer-poisson-dc-v1</t>
        </is>
      </c>
      <c r="BF372" s="24" t="inlineStr">
        <is>
          <t>1</t>
        </is>
      </c>
      <c r="BG372" s="24" t="inlineStr">
        <is>
          <t>34d1568aad0ff11b5db35f118324684f93281e1c21fa7b80be7a4a4e2cb4bb03</t>
        </is>
      </c>
      <c r="BH372" s="24" t="inlineStr">
        <is>
          <t>2026-08-02T18:07:53.698692Z</t>
        </is>
      </c>
      <c r="BI372" s="24" t="inlineStr">
        <is>
          <t>["same_event","same_team_same_day","same_league_same_day"]</t>
        </is>
      </c>
      <c r="BJ372" s="25" t="n"/>
      <c r="BK372" s="26" t="n">
        <v>150</v>
      </c>
      <c r="BL372" s="27" t="n">
        <v>2.5</v>
      </c>
      <c r="BM372" s="28" t="n">
        <v>0.4</v>
      </c>
      <c r="BN372" s="28" t="n"/>
      <c r="BO372" s="28" t="n"/>
      <c r="BP372" s="25" t="n"/>
      <c r="BQ372" s="27" t="n"/>
      <c r="BR372" s="28" t="n"/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inlineStr">
        <is>
          <t>True</t>
        </is>
      </c>
    </row>
    <row r="373" ht="36" customHeight="1">
      <c r="A373" s="24" t="inlineStr">
        <is>
          <t>06cafa5162f349e4</t>
        </is>
      </c>
      <c r="B373" s="24" t="inlineStr">
        <is>
          <t>2026-08-02T18:10:44.787843Z</t>
        </is>
      </c>
      <c r="C373" s="24" t="inlineStr">
        <is>
          <t>2026-08-03T01:00Z</t>
        </is>
      </c>
      <c r="D373" s="24" t="inlineStr">
        <is>
          <t>401877966</t>
        </is>
      </c>
      <c r="E373" s="24" t="inlineStr">
        <is>
          <t>SOCCER</t>
        </is>
      </c>
      <c r="F373" s="24" t="inlineStr">
        <is>
          <t>Once Caldas</t>
        </is>
      </c>
      <c r="G373" s="24" t="inlineStr">
        <is>
          <t>Independiente Santa Fe</t>
        </is>
      </c>
      <c r="H373" s="24" t="inlineStr">
        <is>
          <t>moneyline</t>
        </is>
      </c>
      <c r="I373" s="24" t="inlineStr">
        <is>
          <t>home</t>
        </is>
      </c>
      <c r="J373" s="25" t="n"/>
      <c r="K373" s="24" t="inlineStr">
        <is>
          <t>polymarket_us</t>
        </is>
      </c>
      <c r="L373" s="26" t="n">
        <v>117</v>
      </c>
      <c r="M373" s="27" t="n">
        <v>2.17</v>
      </c>
      <c r="N373" s="28" t="n">
        <v>0.460829</v>
      </c>
      <c r="O373" s="28" t="n">
        <v>0.456135</v>
      </c>
      <c r="P373" s="28" t="n">
        <v>0.2</v>
      </c>
      <c r="Q373" s="28" t="n">
        <v>-0.004694</v>
      </c>
      <c r="R373" s="26" t="n">
        <v>0</v>
      </c>
      <c r="S373" s="29" t="n">
        <v>1</v>
      </c>
      <c r="T373" s="24" t="inlineStr">
        <is>
          <t>soccer-poisson-dc-v1</t>
        </is>
      </c>
      <c r="U373" s="24" t="inlineStr">
        <is>
          <t>open</t>
        </is>
      </c>
      <c r="V373" s="24" t="n"/>
      <c r="W373" s="26" t="n"/>
      <c r="X373" s="26" t="n"/>
      <c r="Y373" s="25" t="n"/>
      <c r="Z373" s="26" t="n"/>
      <c r="AA373" s="28" t="n"/>
      <c r="AB373" s="28" t="n"/>
      <c r="AC373" s="30" t="n"/>
      <c r="AD373" s="24" t="n"/>
      <c r="AE373" s="31" t="inlineStr">
        <is>
          <t>Poisson-DC rates 1.64 (home) / 1.24 (away) from EWMA attack/defense strengths. Executable ask 0.4600 (atc-lco-san-onc-2026-08-02-san).</t>
        </is>
      </c>
      <c r="AF373" s="31" t="inlineStr">
        <is>
          <t>Research-only soccer score model; draw-aware, but not yet locked-holdout qualified.</t>
        </is>
      </c>
      <c r="AG373" s="24" t="inlineStr">
        <is>
          <t>not_applicable</t>
        </is>
      </c>
      <c r="AH373" s="24" t="n"/>
      <c r="AI373" s="31" t="n"/>
      <c r="AJ373" s="31" t="n"/>
      <c r="AK373" s="24" t="inlineStr">
        <is>
          <t>research_observation</t>
        </is>
      </c>
      <c r="AL373" s="26" t="n">
        <v>3</v>
      </c>
      <c r="AM373" s="24" t="inlineStr">
        <is>
          <t>RESEARCH_OBSERVATION</t>
        </is>
      </c>
      <c r="AN373" s="24" t="inlineStr">
        <is>
          <t>NO_CALL</t>
        </is>
      </c>
      <c r="AO373" s="24" t="inlineStr">
        <is>
          <t>NO_CALL_LOW_EDGE</t>
        </is>
      </c>
      <c r="AP373" s="24" t="inlineStr">
        <is>
          <t>Once Caldas</t>
        </is>
      </c>
      <c r="AQ373" s="24" t="inlineStr">
        <is>
          <t>Once Caldas</t>
        </is>
      </c>
      <c r="AR373" s="24" t="inlineStr">
        <is>
          <t>Once Caldas</t>
        </is>
      </c>
      <c r="AS373" s="24" t="inlineStr">
        <is>
          <t>Independiente Santa Fe</t>
        </is>
      </c>
      <c r="AT373" s="24" t="inlineStr">
        <is>
          <t>Independiente Santa Fe</t>
        </is>
      </c>
      <c r="AU373" s="24" t="inlineStr">
        <is>
          <t>Independiente Santa Fe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34d1568aad0ff11b5db35f118324684f93281e1c21fa7b80be7a4a4e2cb4bb03</t>
        </is>
      </c>
      <c r="BB373" s="24" t="inlineStr">
        <is>
          <t>poisson_dixon_coles</t>
        </is>
      </c>
      <c r="BC373" s="24" t="inlineStr">
        <is>
          <t>soccer-poisson-dc-v1</t>
        </is>
      </c>
      <c r="BD373" s="24" t="inlineStr">
        <is>
          <t>34d1568aad0ff11b5db35f118324684f93281e1c21fa7b80be7a4a4e2cb4bb03</t>
        </is>
      </c>
      <c r="BE373" s="24" t="inlineStr">
        <is>
          <t>soccer-poisson-dc-v1</t>
        </is>
      </c>
      <c r="BF373" s="24" t="inlineStr">
        <is>
          <t>1</t>
        </is>
      </c>
      <c r="BG373" s="24" t="inlineStr">
        <is>
          <t>34d1568aad0ff11b5db35f118324684f93281e1c21fa7b80be7a4a4e2cb4bb03</t>
        </is>
      </c>
      <c r="BH373" s="24" t="inlineStr">
        <is>
          <t>2026-08-02T18:07:54.348066Z</t>
        </is>
      </c>
      <c r="BI373" s="24" t="inlineStr">
        <is>
          <t>["same_event","same_team_same_day","same_league_same_day"]</t>
        </is>
      </c>
      <c r="BJ373" s="25" t="n"/>
      <c r="BK373" s="26" t="n">
        <v>117</v>
      </c>
      <c r="BL373" s="27" t="n">
        <v>2.17</v>
      </c>
      <c r="BM373" s="28" t="n">
        <v>0.460829</v>
      </c>
      <c r="BN373" s="28" t="n"/>
      <c r="BO373" s="28" t="n"/>
      <c r="BP373" s="25" t="n"/>
      <c r="BQ373" s="27" t="n"/>
      <c r="BR373" s="28" t="n"/>
      <c r="BS373" s="28" t="n"/>
      <c r="BT373" s="28" t="n"/>
      <c r="BU373" s="25" t="n"/>
      <c r="BV373" s="29" t="n"/>
      <c r="BW373" s="24" t="n"/>
      <c r="BX373" s="30" t="n"/>
      <c r="BY373" s="27" t="n"/>
      <c r="BZ373" s="24" t="n"/>
      <c r="CA373" s="31" t="n"/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inlineStr">
        <is>
          <t>False</t>
        </is>
      </c>
    </row>
    <row r="374" ht="36" customHeight="1">
      <c r="A374" s="24" t="inlineStr">
        <is>
          <t>b8d6f348bb8b4176</t>
        </is>
      </c>
      <c r="B374" s="24" t="inlineStr">
        <is>
          <t>2026-08-02T18:10:44.787843Z</t>
        </is>
      </c>
      <c r="C374" s="24" t="inlineStr">
        <is>
          <t>2026-08-02T19:00Z</t>
        </is>
      </c>
      <c r="D374" s="24" t="inlineStr">
        <is>
          <t>401850609</t>
        </is>
      </c>
      <c r="E374" s="24" t="inlineStr">
        <is>
          <t>SOCCER</t>
        </is>
      </c>
      <c r="F374" s="24" t="inlineStr">
        <is>
          <t>O'Higgins</t>
        </is>
      </c>
      <c r="G374" s="24" t="inlineStr">
        <is>
          <t>La Serena</t>
        </is>
      </c>
      <c r="H374" s="24" t="inlineStr">
        <is>
          <t>moneyline</t>
        </is>
      </c>
      <c r="I374" s="24" t="inlineStr">
        <is>
          <t>home</t>
        </is>
      </c>
      <c r="J374" s="25" t="n"/>
      <c r="K374" s="24" t="inlineStr">
        <is>
          <t>polymarket_us</t>
        </is>
      </c>
      <c r="L374" s="26" t="n">
        <v>144</v>
      </c>
      <c r="M374" s="27" t="n">
        <v>2.44</v>
      </c>
      <c r="N374" s="28" t="n">
        <v>0.409836</v>
      </c>
      <c r="O374" s="28" t="n">
        <v>0.5359159999999999</v>
      </c>
      <c r="P374" s="28" t="n">
        <v>0.2</v>
      </c>
      <c r="Q374" s="28" t="n">
        <v>0.12608</v>
      </c>
      <c r="R374" s="26" t="n">
        <v>0</v>
      </c>
      <c r="S374" s="29" t="n">
        <v>1</v>
      </c>
      <c r="T374" s="24" t="inlineStr">
        <is>
          <t>soccer-poisson-dc-v1</t>
        </is>
      </c>
      <c r="U374" s="24" t="inlineStr">
        <is>
          <t>open</t>
        </is>
      </c>
      <c r="V374" s="24" t="n"/>
      <c r="W374" s="26" t="n"/>
      <c r="X374" s="26" t="n"/>
      <c r="Y374" s="25" t="n"/>
      <c r="Z374" s="26" t="n"/>
      <c r="AA374" s="28" t="n"/>
      <c r="AB374" s="28" t="n"/>
      <c r="AC374" s="30" t="n"/>
      <c r="AD374" s="24" t="n"/>
      <c r="AE374" s="31" t="inlineStr">
        <is>
          <t>Poisson-DC rates 1.84 (home) / 1.10 (away) from EWMA attack/defense strengths. Executable ask 0.4100 (atc-pdc-ser-ohi-2026-08-02-ser).</t>
        </is>
      </c>
      <c r="AF374" s="31" t="inlineStr">
        <is>
          <t>Research-only soccer score model; draw-aware, but not yet locked-holdout qualified.</t>
        </is>
      </c>
      <c r="AG374" s="24" t="inlineStr">
        <is>
          <t>not_applicable</t>
        </is>
      </c>
      <c r="AH374" s="24" t="n"/>
      <c r="AI374" s="31" t="n"/>
      <c r="AJ374" s="31" t="n"/>
      <c r="AK374" s="24" t="inlineStr">
        <is>
          <t>model_qualified</t>
        </is>
      </c>
      <c r="AL374" s="26" t="n">
        <v>3</v>
      </c>
      <c r="AM374" s="24" t="inlineStr">
        <is>
          <t>QUALIFIED_SHADOW_CALL</t>
        </is>
      </c>
      <c r="AN374" s="24" t="inlineStr">
        <is>
          <t>CALL</t>
        </is>
      </c>
      <c r="AO374" s="24" t="inlineStr">
        <is>
          <t>QUALIFIED</t>
        </is>
      </c>
      <c r="AP374" s="24" t="inlineStr">
        <is>
          <t>O'Higgins</t>
        </is>
      </c>
      <c r="AQ374" s="24" t="inlineStr">
        <is>
          <t>O'Higgins</t>
        </is>
      </c>
      <c r="AR374" s="24" t="inlineStr">
        <is>
          <t>O'Higgins</t>
        </is>
      </c>
      <c r="AS374" s="24" t="inlineStr">
        <is>
          <t>La Serena</t>
        </is>
      </c>
      <c r="AT374" s="24" t="inlineStr">
        <is>
          <t>La Serena</t>
        </is>
      </c>
      <c r="AU374" s="24" t="inlineStr">
        <is>
          <t>La Serena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34d1568aad0ff11b5db35f118324684f93281e1c21fa7b80be7a4a4e2cb4bb03</t>
        </is>
      </c>
      <c r="BB374" s="24" t="inlineStr">
        <is>
          <t>poisson_dixon_coles</t>
        </is>
      </c>
      <c r="BC374" s="24" t="inlineStr">
        <is>
          <t>soccer-poisson-dc-v1</t>
        </is>
      </c>
      <c r="BD374" s="24" t="inlineStr">
        <is>
          <t>34d1568aad0ff11b5db35f118324684f93281e1c21fa7b80be7a4a4e2cb4bb03</t>
        </is>
      </c>
      <c r="BE374" s="24" t="inlineStr">
        <is>
          <t>soccer-poisson-dc-v1</t>
        </is>
      </c>
      <c r="BF374" s="24" t="inlineStr">
        <is>
          <t>1</t>
        </is>
      </c>
      <c r="BG374" s="24" t="inlineStr">
        <is>
          <t>34d1568aad0ff11b5db35f118324684f93281e1c21fa7b80be7a4a4e2cb4bb03</t>
        </is>
      </c>
      <c r="BH374" s="24" t="inlineStr">
        <is>
          <t>2026-08-02T18:07:55.430903Z</t>
        </is>
      </c>
      <c r="BI374" s="24" t="inlineStr">
        <is>
          <t>["same_event","same_team_same_day","same_league_same_day"]</t>
        </is>
      </c>
      <c r="BJ374" s="25" t="n"/>
      <c r="BK374" s="26" t="n">
        <v>144</v>
      </c>
      <c r="BL374" s="27" t="n">
        <v>2.44</v>
      </c>
      <c r="BM374" s="28" t="n">
        <v>0.409836</v>
      </c>
      <c r="BN374" s="28" t="n"/>
      <c r="BO374" s="28" t="n"/>
      <c r="BP374" s="25" t="n"/>
      <c r="BQ374" s="27" t="n"/>
      <c r="BR374" s="28" t="n"/>
      <c r="BS374" s="28" t="n"/>
      <c r="BT374" s="28" t="n"/>
      <c r="BU374" s="25" t="n"/>
      <c r="BV374" s="29" t="n"/>
      <c r="BW374" s="24" t="n"/>
      <c r="BX374" s="30" t="n"/>
      <c r="BY374" s="27" t="n"/>
      <c r="BZ374" s="24" t="n"/>
      <c r="CA374" s="31" t="n"/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inlineStr">
        <is>
          <t>True</t>
        </is>
      </c>
    </row>
    <row r="375" ht="36" customHeight="1">
      <c r="A375" s="24" t="inlineStr">
        <is>
          <t>ddb110f6d34145be</t>
        </is>
      </c>
      <c r="B375" s="24" t="inlineStr">
        <is>
          <t>2026-08-02T18:10:44.787843Z</t>
        </is>
      </c>
      <c r="C375" s="24" t="inlineStr">
        <is>
          <t>2026-08-02T21:30Z</t>
        </is>
      </c>
      <c r="D375" s="24" t="inlineStr">
        <is>
          <t>401850607</t>
        </is>
      </c>
      <c r="E375" s="24" t="inlineStr">
        <is>
          <t>SOCCER</t>
        </is>
      </c>
      <c r="F375" s="24" t="inlineStr">
        <is>
          <t>Huachipato</t>
        </is>
      </c>
      <c r="G375" s="24" t="inlineStr">
        <is>
          <t>Universidad de Chile</t>
        </is>
      </c>
      <c r="H375" s="24" t="inlineStr">
        <is>
          <t>moneyline</t>
        </is>
      </c>
      <c r="I375" s="24" t="inlineStr">
        <is>
          <t>home</t>
        </is>
      </c>
      <c r="J375" s="25" t="n"/>
      <c r="K375" s="24" t="inlineStr">
        <is>
          <t>polymarket_us</t>
        </is>
      </c>
      <c r="L375" s="26" t="n">
        <v>-178</v>
      </c>
      <c r="M375" s="27" t="n">
        <v>1.561798</v>
      </c>
      <c r="N375" s="28" t="n">
        <v>0.640288</v>
      </c>
      <c r="O375" s="28" t="n">
        <v>0.414794</v>
      </c>
      <c r="P375" s="28" t="n">
        <v>0.19</v>
      </c>
      <c r="Q375" s="28" t="n">
        <v>-0.225494</v>
      </c>
      <c r="R375" s="26" t="n">
        <v>0</v>
      </c>
      <c r="S375" s="29" t="n">
        <v>1</v>
      </c>
      <c r="T375" s="24" t="inlineStr">
        <is>
          <t>soccer-poisson-dc-v1</t>
        </is>
      </c>
      <c r="U375" s="24" t="inlineStr">
        <is>
          <t>open</t>
        </is>
      </c>
      <c r="V375" s="24" t="n"/>
      <c r="W375" s="26" t="n"/>
      <c r="X375" s="26" t="n"/>
      <c r="Y375" s="25" t="n"/>
      <c r="Z375" s="26" t="n"/>
      <c r="AA375" s="28" t="n"/>
      <c r="AB375" s="28" t="n"/>
      <c r="AC375" s="30" t="n"/>
      <c r="AD375" s="24" t="n"/>
      <c r="AE375" s="31" t="inlineStr">
        <is>
          <t>Poisson-DC rates 1.41 (home) / 1.16 (away) from EWMA attack/defense strengths. Executable ask 0.6400 (atc-pdc-unc-hua-2026-08-02-unc).</t>
        </is>
      </c>
      <c r="AF375" s="31" t="inlineStr">
        <is>
          <t>Research-only soccer score model; draw-aware, but not yet locked-holdout qualified.</t>
        </is>
      </c>
      <c r="AG375" s="24" t="inlineStr">
        <is>
          <t>not_applicable</t>
        </is>
      </c>
      <c r="AH375" s="24" t="n"/>
      <c r="AI375" s="31" t="n"/>
      <c r="AJ375" s="31" t="n"/>
      <c r="AK375" s="24" t="inlineStr">
        <is>
          <t>research_observation</t>
        </is>
      </c>
      <c r="AL375" s="26" t="n">
        <v>3</v>
      </c>
      <c r="AM375" s="24" t="inlineStr">
        <is>
          <t>RESEARCH_OBSERVATION</t>
        </is>
      </c>
      <c r="AN375" s="24" t="inlineStr">
        <is>
          <t>NO_CALL</t>
        </is>
      </c>
      <c r="AO375" s="24" t="inlineStr">
        <is>
          <t>NO_CALL_LOW_EDGE</t>
        </is>
      </c>
      <c r="AP375" s="24" t="inlineStr">
        <is>
          <t>Huachipato</t>
        </is>
      </c>
      <c r="AQ375" s="24" t="inlineStr">
        <is>
          <t>Huachipato</t>
        </is>
      </c>
      <c r="AR375" s="24" t="inlineStr">
        <is>
          <t>Huachipato</t>
        </is>
      </c>
      <c r="AS375" s="24" t="inlineStr">
        <is>
          <t>Universidad de Chile</t>
        </is>
      </c>
      <c r="AT375" s="24" t="inlineStr">
        <is>
          <t>Universidad de Chile</t>
        </is>
      </c>
      <c r="AU375" s="24" t="inlineStr">
        <is>
          <t>Universidad de Chile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34d1568aad0ff11b5db35f118324684f93281e1c21fa7b80be7a4a4e2cb4bb03</t>
        </is>
      </c>
      <c r="BB375" s="24" t="inlineStr">
        <is>
          <t>poisson_dixon_coles</t>
        </is>
      </c>
      <c r="BC375" s="24" t="inlineStr">
        <is>
          <t>soccer-poisson-dc-v1</t>
        </is>
      </c>
      <c r="BD375" s="24" t="inlineStr">
        <is>
          <t>34d1568aad0ff11b5db35f118324684f93281e1c21fa7b80be7a4a4e2cb4bb03</t>
        </is>
      </c>
      <c r="BE375" s="24" t="inlineStr">
        <is>
          <t>soccer-poisson-dc-v1</t>
        </is>
      </c>
      <c r="BF375" s="24" t="inlineStr">
        <is>
          <t>1</t>
        </is>
      </c>
      <c r="BG375" s="24" t="inlineStr">
        <is>
          <t>34d1568aad0ff11b5db35f118324684f93281e1c21fa7b80be7a4a4e2cb4bb03</t>
        </is>
      </c>
      <c r="BH375" s="24" t="inlineStr">
        <is>
          <t>2026-08-02T18:07:55.431198Z</t>
        </is>
      </c>
      <c r="BI375" s="24" t="inlineStr">
        <is>
          <t>["same_event","same_team_same_day","same_league_same_day"]</t>
        </is>
      </c>
      <c r="BJ375" s="25" t="n"/>
      <c r="BK375" s="26" t="n">
        <v>-178</v>
      </c>
      <c r="BL375" s="27" t="n">
        <v>1.561798</v>
      </c>
      <c r="BM375" s="28" t="n">
        <v>0.640288</v>
      </c>
      <c r="BN375" s="28" t="n"/>
      <c r="BO375" s="28" t="n"/>
      <c r="BP375" s="25" t="n"/>
      <c r="BQ375" s="27" t="n"/>
      <c r="BR375" s="28" t="n"/>
      <c r="BS375" s="28" t="n"/>
      <c r="BT375" s="28" t="n"/>
      <c r="BU375" s="25" t="n"/>
      <c r="BV375" s="29" t="n"/>
      <c r="BW375" s="24" t="n"/>
      <c r="BX375" s="30" t="n"/>
      <c r="BY375" s="27" t="n"/>
      <c r="BZ375" s="24" t="n"/>
      <c r="CA375" s="31" t="n"/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inlineStr">
        <is>
          <t>False</t>
        </is>
      </c>
    </row>
    <row r="376" ht="36" customHeight="1">
      <c r="A376" s="24" t="inlineStr">
        <is>
          <t>298cdf8a6c554335</t>
        </is>
      </c>
      <c r="B376" s="24" t="inlineStr">
        <is>
          <t>2026-08-02T18:10:44.787843Z</t>
        </is>
      </c>
      <c r="C376" s="24" t="inlineStr">
        <is>
          <t>2026-08-02T20:30Z</t>
        </is>
      </c>
      <c r="D376" s="24" t="inlineStr">
        <is>
          <t>401859644</t>
        </is>
      </c>
      <c r="E376" s="24" t="inlineStr">
        <is>
          <t>SOCCER</t>
        </is>
      </c>
      <c r="F376" s="24" t="inlineStr">
        <is>
          <t>Guayaquil City FC</t>
        </is>
      </c>
      <c r="G376" s="24" t="inlineStr">
        <is>
          <t>Macará</t>
        </is>
      </c>
      <c r="H376" s="24" t="inlineStr">
        <is>
          <t>moneyline</t>
        </is>
      </c>
      <c r="I376" s="24" t="inlineStr">
        <is>
          <t>home</t>
        </is>
      </c>
      <c r="J376" s="25" t="n"/>
      <c r="K376" s="24" t="inlineStr">
        <is>
          <t>polymarket_us</t>
        </is>
      </c>
      <c r="L376" s="26" t="n">
        <v>-194</v>
      </c>
      <c r="M376" s="27" t="n">
        <v>1.515464</v>
      </c>
      <c r="N376" s="28" t="n">
        <v>0.659864</v>
      </c>
      <c r="O376" s="28" t="n">
        <v>0.456135</v>
      </c>
      <c r="P376" s="28" t="n">
        <v>0.2</v>
      </c>
      <c r="Q376" s="28" t="n">
        <v>-0.203729</v>
      </c>
      <c r="R376" s="26" t="n">
        <v>0</v>
      </c>
      <c r="S376" s="29" t="n">
        <v>1</v>
      </c>
      <c r="T376" s="24" t="inlineStr">
        <is>
          <t>soccer-poisson-dc-v1</t>
        </is>
      </c>
      <c r="U376" s="24" t="inlineStr">
        <is>
          <t>open</t>
        </is>
      </c>
      <c r="V376" s="24" t="n"/>
      <c r="W376" s="26" t="n"/>
      <c r="X376" s="26" t="n"/>
      <c r="Y376" s="25" t="n"/>
      <c r="Z376" s="26" t="n"/>
      <c r="AA376" s="28" t="n"/>
      <c r="AB376" s="28" t="n"/>
      <c r="AC376" s="30" t="n"/>
      <c r="AD376" s="24" t="n"/>
      <c r="AE376" s="31" t="inlineStr">
        <is>
          <t>Poisson-DC rates 1.64 (home) / 1.24 (away) from EWMA attack/defense strengths. Executable ask 0.6600 (atc-ecu1-mac-gua-2026-08-02-mac).</t>
        </is>
      </c>
      <c r="AF376" s="31" t="inlineStr">
        <is>
          <t>Research-only soccer score model; draw-aware, but not yet locked-holdout qualified.</t>
        </is>
      </c>
      <c r="AG376" s="24" t="inlineStr">
        <is>
          <t>not_applicable</t>
        </is>
      </c>
      <c r="AH376" s="24" t="n"/>
      <c r="AI376" s="31" t="n"/>
      <c r="AJ376" s="31" t="n"/>
      <c r="AK376" s="24" t="inlineStr">
        <is>
          <t>research_observation</t>
        </is>
      </c>
      <c r="AL376" s="26" t="n">
        <v>3</v>
      </c>
      <c r="AM376" s="24" t="inlineStr">
        <is>
          <t>RESEARCH_OBSERVATION</t>
        </is>
      </c>
      <c r="AN376" s="24" t="inlineStr">
        <is>
          <t>NO_CALL</t>
        </is>
      </c>
      <c r="AO376" s="24" t="inlineStr">
        <is>
          <t>NO_CALL_LOW_EDGE</t>
        </is>
      </c>
      <c r="AP376" s="24" t="inlineStr">
        <is>
          <t>Guayaquil City FC</t>
        </is>
      </c>
      <c r="AQ376" s="24" t="inlineStr">
        <is>
          <t>Guayaquil City FC</t>
        </is>
      </c>
      <c r="AR376" s="24" t="inlineStr">
        <is>
          <t>Guayaquil City FC</t>
        </is>
      </c>
      <c r="AS376" s="24" t="inlineStr">
        <is>
          <t>Macará</t>
        </is>
      </c>
      <c r="AT376" s="24" t="inlineStr">
        <is>
          <t>Macará</t>
        </is>
      </c>
      <c r="AU376" s="24" t="inlineStr">
        <is>
          <t>Macará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inlineStr">
        <is>
          <t>34d1568aad0ff11b5db35f118324684f93281e1c21fa7b80be7a4a4e2cb4bb03</t>
        </is>
      </c>
      <c r="BB376" s="24" t="inlineStr">
        <is>
          <t>poisson_dixon_coles</t>
        </is>
      </c>
      <c r="BC376" s="24" t="inlineStr">
        <is>
          <t>soccer-poisson-dc-v1</t>
        </is>
      </c>
      <c r="BD376" s="24" t="inlineStr">
        <is>
          <t>34d1568aad0ff11b5db35f118324684f93281e1c21fa7b80be7a4a4e2cb4bb03</t>
        </is>
      </c>
      <c r="BE376" s="24" t="inlineStr">
        <is>
          <t>soccer-poisson-dc-v1</t>
        </is>
      </c>
      <c r="BF376" s="24" t="inlineStr">
        <is>
          <t>1</t>
        </is>
      </c>
      <c r="BG376" s="24" t="inlineStr">
        <is>
          <t>34d1568aad0ff11b5db35f118324684f93281e1c21fa7b80be7a4a4e2cb4bb03</t>
        </is>
      </c>
      <c r="BH376" s="24" t="inlineStr">
        <is>
          <t>2026-08-02T18:07:56.584323Z</t>
        </is>
      </c>
      <c r="BI376" s="24" t="inlineStr">
        <is>
          <t>["same_event","same_team_same_day","same_league_same_day"]</t>
        </is>
      </c>
      <c r="BJ376" s="25" t="n"/>
      <c r="BK376" s="26" t="n">
        <v>-194</v>
      </c>
      <c r="BL376" s="27" t="n">
        <v>1.515464</v>
      </c>
      <c r="BM376" s="28" t="n">
        <v>0.659864</v>
      </c>
      <c r="BN376" s="28" t="n"/>
      <c r="BO376" s="28" t="n"/>
      <c r="BP376" s="25" t="n"/>
      <c r="BQ376" s="27" t="n"/>
      <c r="BR376" s="28" t="n"/>
      <c r="BS376" s="28" t="n"/>
      <c r="BT376" s="28" t="n"/>
      <c r="BU376" s="25" t="n"/>
      <c r="BV376" s="29" t="n"/>
      <c r="BW376" s="24" t="n"/>
      <c r="BX376" s="30" t="n"/>
      <c r="BY376" s="27" t="n"/>
      <c r="BZ376" s="24" t="n"/>
      <c r="CA376" s="31" t="n"/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inlineStr">
        <is>
          <t>False</t>
        </is>
      </c>
    </row>
    <row r="377" ht="36" customHeight="1">
      <c r="A377" s="24" t="inlineStr">
        <is>
          <t>f969142a35af49d9</t>
        </is>
      </c>
      <c r="B377" s="24" t="inlineStr">
        <is>
          <t>2026-08-02T18:10:44.787843Z</t>
        </is>
      </c>
      <c r="C377" s="24" t="inlineStr">
        <is>
          <t>2026-08-02T23:10Z</t>
        </is>
      </c>
      <c r="D377" s="24" t="inlineStr">
        <is>
          <t>401859718</t>
        </is>
      </c>
      <c r="E377" s="24" t="inlineStr">
        <is>
          <t>SOCCER</t>
        </is>
      </c>
      <c r="F377" s="24" t="inlineStr">
        <is>
          <t>Barcelona SC</t>
        </is>
      </c>
      <c r="G377" s="24" t="inlineStr">
        <is>
          <t>Leones</t>
        </is>
      </c>
      <c r="H377" s="24" t="inlineStr">
        <is>
          <t>moneyline</t>
        </is>
      </c>
      <c r="I377" s="24" t="inlineStr">
        <is>
          <t>away</t>
        </is>
      </c>
      <c r="J377" s="25" t="n"/>
      <c r="K377" s="24" t="inlineStr">
        <is>
          <t>polymarket_us</t>
        </is>
      </c>
      <c r="L377" s="26" t="n">
        <v>203</v>
      </c>
      <c r="M377" s="27" t="n">
        <v>3.03</v>
      </c>
      <c r="N377" s="28" t="n">
        <v>0.330033</v>
      </c>
      <c r="O377" s="28" t="n">
        <v>0.406677</v>
      </c>
      <c r="P377" s="28" t="n">
        <v>0.19</v>
      </c>
      <c r="Q377" s="28" t="n">
        <v>0.076644</v>
      </c>
      <c r="R377" s="26" t="n">
        <v>0</v>
      </c>
      <c r="S377" s="29" t="n">
        <v>1</v>
      </c>
      <c r="T377" s="24" t="inlineStr">
        <is>
          <t>soccer-poisson-dc-v1</t>
        </is>
      </c>
      <c r="U377" s="24" t="inlineStr">
        <is>
          <t>open</t>
        </is>
      </c>
      <c r="V377" s="24" t="n"/>
      <c r="W377" s="26" t="n"/>
      <c r="X377" s="26" t="n"/>
      <c r="Y377" s="25" t="n"/>
      <c r="Z377" s="26" t="n"/>
      <c r="AA377" s="28" t="n"/>
      <c r="AB377" s="28" t="n"/>
      <c r="AC377" s="30" t="n"/>
      <c r="AD377" s="24" t="n"/>
      <c r="AE377" s="31" t="inlineStr">
        <is>
          <t>Poisson-DC rates 1.38 (home) / 1.56 (away) from EWMA attack/defense strengths. Executable ask 0.3300 (atc-ecu1-leo-bsc-2026-08-02-bsc).</t>
        </is>
      </c>
      <c r="AF377" s="31" t="inlineStr">
        <is>
          <t>Research-only soccer score model; draw-aware, but not yet locked-holdout qualified.</t>
        </is>
      </c>
      <c r="AG377" s="24" t="inlineStr">
        <is>
          <t>not_applicable</t>
        </is>
      </c>
      <c r="AH377" s="24" t="n"/>
      <c r="AI377" s="31" t="n"/>
      <c r="AJ377" s="31" t="n"/>
      <c r="AK377" s="24" t="inlineStr">
        <is>
          <t>model_qualified</t>
        </is>
      </c>
      <c r="AL377" s="26" t="n">
        <v>3</v>
      </c>
      <c r="AM377" s="24" t="inlineStr">
        <is>
          <t>QUALIFIED_SHADOW_CALL</t>
        </is>
      </c>
      <c r="AN377" s="24" t="inlineStr">
        <is>
          <t>CALL</t>
        </is>
      </c>
      <c r="AO377" s="24" t="inlineStr">
        <is>
          <t>QUALIFIED</t>
        </is>
      </c>
      <c r="AP377" s="24" t="inlineStr">
        <is>
          <t>Barcelona SC</t>
        </is>
      </c>
      <c r="AQ377" s="24" t="inlineStr">
        <is>
          <t>Barcelona SC</t>
        </is>
      </c>
      <c r="AR377" s="24" t="inlineStr">
        <is>
          <t>Barcelona SC</t>
        </is>
      </c>
      <c r="AS377" s="24" t="inlineStr">
        <is>
          <t>Leones</t>
        </is>
      </c>
      <c r="AT377" s="24" t="inlineStr">
        <is>
          <t>Leones</t>
        </is>
      </c>
      <c r="AU377" s="24" t="inlineStr">
        <is>
          <t>Leones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inlineStr">
        <is>
          <t>34d1568aad0ff11b5db35f118324684f93281e1c21fa7b80be7a4a4e2cb4bb03</t>
        </is>
      </c>
      <c r="BB377" s="24" t="inlineStr">
        <is>
          <t>poisson_dixon_coles</t>
        </is>
      </c>
      <c r="BC377" s="24" t="inlineStr">
        <is>
          <t>soccer-poisson-dc-v1</t>
        </is>
      </c>
      <c r="BD377" s="24" t="inlineStr">
        <is>
          <t>34d1568aad0ff11b5db35f118324684f93281e1c21fa7b80be7a4a4e2cb4bb03</t>
        </is>
      </c>
      <c r="BE377" s="24" t="inlineStr">
        <is>
          <t>soccer-poisson-dc-v1</t>
        </is>
      </c>
      <c r="BF377" s="24" t="inlineStr">
        <is>
          <t>1</t>
        </is>
      </c>
      <c r="BG377" s="24" t="inlineStr">
        <is>
          <t>34d1568aad0ff11b5db35f118324684f93281e1c21fa7b80be7a4a4e2cb4bb03</t>
        </is>
      </c>
      <c r="BH377" s="24" t="inlineStr">
        <is>
          <t>2026-08-02T18:07:57.084113Z</t>
        </is>
      </c>
      <c r="BI377" s="24" t="inlineStr">
        <is>
          <t>["same_event","same_team_same_day","same_league_same_day"]</t>
        </is>
      </c>
      <c r="BJ377" s="25" t="n"/>
      <c r="BK377" s="26" t="n">
        <v>203</v>
      </c>
      <c r="BL377" s="27" t="n">
        <v>3.03</v>
      </c>
      <c r="BM377" s="28" t="n">
        <v>0.330033</v>
      </c>
      <c r="BN377" s="28" t="n"/>
      <c r="BO377" s="28" t="n"/>
      <c r="BP377" s="25" t="n"/>
      <c r="BQ377" s="27" t="n"/>
      <c r="BR377" s="28" t="n"/>
      <c r="BS377" s="28" t="n"/>
      <c r="BT377" s="28" t="n"/>
      <c r="BU377" s="25" t="n"/>
      <c r="BV377" s="29" t="n"/>
      <c r="BW377" s="24" t="n"/>
      <c r="BX377" s="30" t="n"/>
      <c r="BY377" s="27" t="n"/>
      <c r="BZ377" s="24" t="n"/>
      <c r="CA377" s="31" t="n"/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inlineStr">
        <is>
          <t>True</t>
        </is>
      </c>
    </row>
    <row r="378" ht="36" customHeight="1">
      <c r="A378" s="24" t="inlineStr">
        <is>
          <t>eca1b05afa2b4a01</t>
        </is>
      </c>
      <c r="B378" s="24" t="inlineStr">
        <is>
          <t>2026-08-02T18:10:44.787843Z</t>
        </is>
      </c>
      <c r="C378" s="24" t="inlineStr">
        <is>
          <t>2026-08-02T20:00Z</t>
        </is>
      </c>
      <c r="D378" s="24" t="inlineStr">
        <is>
          <t>401863533</t>
        </is>
      </c>
      <c r="E378" s="24" t="inlineStr">
        <is>
          <t>SOCCER</t>
        </is>
      </c>
      <c r="F378" s="24" t="inlineStr">
        <is>
          <t>Leeds United</t>
        </is>
      </c>
      <c r="G378" s="24" t="inlineStr">
        <is>
          <t>Liverpool</t>
        </is>
      </c>
      <c r="H378" s="24" t="inlineStr">
        <is>
          <t>moneyline</t>
        </is>
      </c>
      <c r="I378" s="24" t="inlineStr">
        <is>
          <t>home</t>
        </is>
      </c>
      <c r="J378" s="25" t="n"/>
      <c r="K378" s="24" t="inlineStr">
        <is>
          <t>polymarket_us</t>
        </is>
      </c>
      <c r="L378" s="26" t="n">
        <v>-163</v>
      </c>
      <c r="M378" s="27" t="n">
        <v>1.613497</v>
      </c>
      <c r="N378" s="28" t="n">
        <v>0.619772</v>
      </c>
      <c r="O378" s="28" t="n">
        <v>0.482992</v>
      </c>
      <c r="P378" s="28" t="n">
        <v>0.04</v>
      </c>
      <c r="Q378" s="28" t="n">
        <v>-0.13678</v>
      </c>
      <c r="R378" s="26" t="n">
        <v>0</v>
      </c>
      <c r="S378" s="29" t="n">
        <v>1</v>
      </c>
      <c r="T378" s="24" t="inlineStr">
        <is>
          <t>soccer-poisson-dc-v1</t>
        </is>
      </c>
      <c r="U378" s="24" t="inlineStr">
        <is>
          <t>open</t>
        </is>
      </c>
      <c r="V378" s="24" t="n"/>
      <c r="W378" s="26" t="n"/>
      <c r="X378" s="26" t="n"/>
      <c r="Y378" s="25" t="n"/>
      <c r="Z378" s="26" t="n"/>
      <c r="AA378" s="28" t="n"/>
      <c r="AB378" s="28" t="n"/>
      <c r="AC378" s="30" t="n"/>
      <c r="AD378" s="24" t="n"/>
      <c r="AE378" s="31" t="inlineStr">
        <is>
          <t>Poisson-DC rates 1.69 (home) / 1.17 (away) from EWMA attack/defense strengths. Executable ask 0.6200 (atc-clbf-lfc-lee-2026-08-02-lfc).</t>
        </is>
      </c>
      <c r="AF378" s="31" t="inlineStr">
        <is>
          <t>Research-only soccer score model; draw-aware, but not yet locked-holdout qualified.</t>
        </is>
      </c>
      <c r="AG378" s="24" t="inlineStr">
        <is>
          <t>not_applicable</t>
        </is>
      </c>
      <c r="AH378" s="24" t="n"/>
      <c r="AI378" s="31" t="n"/>
      <c r="AJ378" s="31" t="n"/>
      <c r="AK378" s="24" t="inlineStr">
        <is>
          <t>research_observation</t>
        </is>
      </c>
      <c r="AL378" s="26" t="n">
        <v>3</v>
      </c>
      <c r="AM378" s="24" t="inlineStr">
        <is>
          <t>RESEARCH_OBSERVATION</t>
        </is>
      </c>
      <c r="AN378" s="24" t="inlineStr">
        <is>
          <t>NO_CALL</t>
        </is>
      </c>
      <c r="AO378" s="24" t="inlineStr">
        <is>
          <t>NO_CALL_LOW_EDGE</t>
        </is>
      </c>
      <c r="AP378" s="24" t="inlineStr">
        <is>
          <t>Leeds United</t>
        </is>
      </c>
      <c r="AQ378" s="24" t="inlineStr">
        <is>
          <t>Leeds United</t>
        </is>
      </c>
      <c r="AR378" s="24" t="inlineStr">
        <is>
          <t>Leeds United</t>
        </is>
      </c>
      <c r="AS378" s="24" t="inlineStr">
        <is>
          <t>Liverpool</t>
        </is>
      </c>
      <c r="AT378" s="24" t="inlineStr">
        <is>
          <t>Liverpool</t>
        </is>
      </c>
      <c r="AU378" s="24" t="inlineStr">
        <is>
          <t>Liverpool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inlineStr">
        <is>
          <t>34d1568aad0ff11b5db35f118324684f93281e1c21fa7b80be7a4a4e2cb4bb03</t>
        </is>
      </c>
      <c r="BB378" s="24" t="inlineStr">
        <is>
          <t>poisson_dixon_coles</t>
        </is>
      </c>
      <c r="BC378" s="24" t="inlineStr">
        <is>
          <t>soccer-poisson-dc-v1</t>
        </is>
      </c>
      <c r="BD378" s="24" t="inlineStr">
        <is>
          <t>34d1568aad0ff11b5db35f118324684f93281e1c21fa7b80be7a4a4e2cb4bb03</t>
        </is>
      </c>
      <c r="BE378" s="24" t="inlineStr">
        <is>
          <t>soccer-poisson-dc-v1</t>
        </is>
      </c>
      <c r="BF378" s="24" t="inlineStr">
        <is>
          <t>1</t>
        </is>
      </c>
      <c r="BG378" s="24" t="inlineStr">
        <is>
          <t>34d1568aad0ff11b5db35f118324684f93281e1c21fa7b80be7a4a4e2cb4bb03</t>
        </is>
      </c>
      <c r="BH378" s="24" t="inlineStr">
        <is>
          <t>2026-08-02T18:07:58.632384Z</t>
        </is>
      </c>
      <c r="BI378" s="24" t="inlineStr">
        <is>
          <t>["same_event","same_team_same_day","same_league_same_day"]</t>
        </is>
      </c>
      <c r="BJ378" s="25" t="n"/>
      <c r="BK378" s="26" t="n">
        <v>-163</v>
      </c>
      <c r="BL378" s="27" t="n">
        <v>1.613497</v>
      </c>
      <c r="BM378" s="28" t="n">
        <v>0.619772</v>
      </c>
      <c r="BN378" s="28" t="n"/>
      <c r="BO378" s="28" t="n"/>
      <c r="BP378" s="25" t="n"/>
      <c r="BQ378" s="27" t="n"/>
      <c r="BR378" s="28" t="n"/>
      <c r="BS378" s="28" t="n"/>
      <c r="BT378" s="28" t="n"/>
      <c r="BU378" s="25" t="n"/>
      <c r="BV378" s="29" t="n"/>
      <c r="BW378" s="24" t="n"/>
      <c r="BX378" s="30" t="n"/>
      <c r="BY378" s="27" t="n"/>
      <c r="BZ378" s="24" t="n"/>
      <c r="CA378" s="31" t="n"/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inlineStr">
        <is>
          <t>False</t>
        </is>
      </c>
    </row>
    <row r="379" ht="36" customHeight="1">
      <c r="A379" s="24" t="inlineStr">
        <is>
          <t>77e6e633d5214005</t>
        </is>
      </c>
      <c r="B379" s="24" t="inlineStr">
        <is>
          <t>2026-08-02T18:11:02.297038Z</t>
        </is>
      </c>
      <c r="C379" s="24" t="inlineStr">
        <is>
          <t>2026-08-02T20:00Z</t>
        </is>
      </c>
      <c r="D379" s="24" t="inlineStr">
        <is>
          <t>421-2026:182273</t>
        </is>
      </c>
      <c r="E379" s="24" t="inlineStr">
        <is>
          <t>TENNIS</t>
        </is>
      </c>
      <c r="F379" s="24" t="inlineStr">
        <is>
          <t>Lanlana Tararudee</t>
        </is>
      </c>
      <c r="G379" s="24" t="inlineStr">
        <is>
          <t>Emerson Jones</t>
        </is>
      </c>
      <c r="H379" s="24" t="inlineStr">
        <is>
          <t>moneyline</t>
        </is>
      </c>
      <c r="I379" s="24" t="inlineStr">
        <is>
          <t>away</t>
        </is>
      </c>
      <c r="J379" s="25" t="n"/>
      <c r="K379" s="24" t="inlineStr">
        <is>
          <t>polymarket_us</t>
        </is>
      </c>
      <c r="L379" s="26" t="n">
        <v>-194</v>
      </c>
      <c r="M379" s="27" t="n">
        <v>1.515464</v>
      </c>
      <c r="N379" s="28" t="n">
        <v>0.659864</v>
      </c>
      <c r="O379" s="28" t="n">
        <v>0.756798</v>
      </c>
      <c r="P379" s="28" t="n">
        <v>0.05</v>
      </c>
      <c r="Q379" s="28" t="n">
        <v>0.09693400000000001</v>
      </c>
      <c r="R379" s="26" t="n">
        <v>68</v>
      </c>
      <c r="S379" s="29" t="n">
        <v>2</v>
      </c>
      <c r="T379" s="24" t="inlineStr">
        <is>
          <t>tennis-surface-elo-v1</t>
        </is>
      </c>
      <c r="U379" s="24" t="inlineStr">
        <is>
          <t>open</t>
        </is>
      </c>
      <c r="V379" s="24" t="n"/>
      <c r="W379" s="26" t="n"/>
      <c r="X379" s="26" t="n"/>
      <c r="Y379" s="25" t="n"/>
      <c r="Z379" s="26" t="n"/>
      <c r="AA379" s="28" t="n"/>
      <c r="AB379" s="28" t="n"/>
      <c r="AC379" s="30" t="n"/>
      <c r="AD379" s="24" t="n"/>
      <c r="AE379" s="31" t="inlineStr">
        <is>
          <t>Surface-blended Elo on Hard: Lanlana Tararudee p=0.757 vs Emerson Jones. Executable ask 0.6600 (aec-wta-emejon-lantar-2026-08-02).</t>
        </is>
      </c>
      <c r="AF379" s="31" t="inlineStr">
        <is>
          <t>Surface-blended Elo model; singles only, WTA+ATP market coverage, not yet locked-holdout qualified -- promoted by explicit operator directive, not genuine walk-forward validation.</t>
        </is>
      </c>
      <c r="AG379" s="24" t="inlineStr">
        <is>
          <t>not_applicable</t>
        </is>
      </c>
      <c r="AH379" s="24" t="n"/>
      <c r="AI379" s="31" t="n"/>
      <c r="AJ379" s="31" t="n"/>
      <c r="AK379" s="24" t="inlineStr">
        <is>
          <t>model_qualified</t>
        </is>
      </c>
      <c r="AL379" s="26" t="n">
        <v>3</v>
      </c>
      <c r="AM379" s="24" t="inlineStr">
        <is>
          <t>QUALIFIED_SHADOW_CALL</t>
        </is>
      </c>
      <c r="AN379" s="24" t="inlineStr">
        <is>
          <t>CALL</t>
        </is>
      </c>
      <c r="AO379" s="24" t="inlineStr">
        <is>
          <t>QUALIFIED</t>
        </is>
      </c>
      <c r="AP379" s="24" t="inlineStr">
        <is>
          <t>Lanlana Tararudee</t>
        </is>
      </c>
      <c r="AQ379" s="24" t="inlineStr">
        <is>
          <t>Lanlana Tararudee</t>
        </is>
      </c>
      <c r="AR379" s="24" t="inlineStr">
        <is>
          <t>Lanlana Tararudee</t>
        </is>
      </c>
      <c r="AS379" s="24" t="inlineStr">
        <is>
          <t>Emerson Jones</t>
        </is>
      </c>
      <c r="AT379" s="24" t="inlineStr">
        <is>
          <t>Emerson Jones</t>
        </is>
      </c>
      <c r="AU379" s="24" t="inlineStr">
        <is>
          <t>Emerson Jones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1c05a3c4f76bde5de709ff6bb1937b3c4c67149c2ea621b7c90ca07898e048e8</t>
        </is>
      </c>
      <c r="BB379" s="24" t="inlineStr">
        <is>
          <t>surface_blended_elo</t>
        </is>
      </c>
      <c r="BC379" s="24" t="inlineStr">
        <is>
          <t>tennis-surface-elo-v1</t>
        </is>
      </c>
      <c r="BD379" s="24" t="inlineStr">
        <is>
          <t>1c05a3c4f76bde5de709ff6bb1937b3c4c67149c2ea621b7c90ca07898e048e8</t>
        </is>
      </c>
      <c r="BE379" s="24" t="inlineStr">
        <is>
          <t>tennis-surface-elo-v1</t>
        </is>
      </c>
      <c r="BF379" s="24" t="inlineStr">
        <is>
          <t>1</t>
        </is>
      </c>
      <c r="BG379" s="24" t="inlineStr">
        <is>
          <t>1c05a3c4f76bde5de709ff6bb1937b3c4c67149c2ea621b7c90ca07898e048e8</t>
        </is>
      </c>
      <c r="BH379" s="24" t="inlineStr">
        <is>
          <t>2026-08-02T18:08:16.585959Z</t>
        </is>
      </c>
      <c r="BI379" s="24" t="inlineStr">
        <is>
          <t>["same_event","same_team_same_day","same_league_same_day"]</t>
        </is>
      </c>
      <c r="BJ379" s="25" t="n"/>
      <c r="BK379" s="26" t="n">
        <v>-194</v>
      </c>
      <c r="BL379" s="27" t="n">
        <v>1.515464</v>
      </c>
      <c r="BM379" s="28" t="n">
        <v>0.659864</v>
      </c>
      <c r="BN379" s="28" t="n"/>
      <c r="BO379" s="28" t="n"/>
      <c r="BP379" s="25" t="n"/>
      <c r="BQ379" s="27" t="n"/>
      <c r="BR379" s="28" t="n"/>
      <c r="BS379" s="28" t="n"/>
      <c r="BT379" s="28" t="n"/>
      <c r="BU379" s="25" t="n"/>
      <c r="BV379" s="29" t="n"/>
      <c r="BW379" s="24" t="n"/>
      <c r="BX379" s="30" t="n"/>
      <c r="BY379" s="27" t="n"/>
      <c r="BZ379" s="24" t="n"/>
      <c r="CA379" s="31" t="n"/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inlineStr">
        <is>
          <t>True</t>
        </is>
      </c>
    </row>
    <row r="380" ht="36" customHeight="1">
      <c r="A380" s="24" t="inlineStr">
        <is>
          <t>e7e8716edfeb414b</t>
        </is>
      </c>
      <c r="B380" s="24" t="inlineStr">
        <is>
          <t>2026-08-02T18:11:02.297038Z</t>
        </is>
      </c>
      <c r="C380" s="24" t="inlineStr">
        <is>
          <t>2026-08-02T21:00Z</t>
        </is>
      </c>
      <c r="D380" s="24" t="inlineStr">
        <is>
          <t>421-2026:182240</t>
        </is>
      </c>
      <c r="E380" s="24" t="inlineStr">
        <is>
          <t>TENNIS</t>
        </is>
      </c>
      <c r="F380" s="24" t="inlineStr">
        <is>
          <t>Cadence Brace</t>
        </is>
      </c>
      <c r="G380" s="24" t="inlineStr">
        <is>
          <t>McCartney Kessler</t>
        </is>
      </c>
      <c r="H380" s="24" t="inlineStr">
        <is>
          <t>moneyline</t>
        </is>
      </c>
      <c r="I380" s="24" t="inlineStr">
        <is>
          <t>home</t>
        </is>
      </c>
      <c r="J380" s="25" t="n"/>
      <c r="K380" s="24" t="inlineStr">
        <is>
          <t>polymarket_us</t>
        </is>
      </c>
      <c r="L380" s="26" t="n">
        <v>-614</v>
      </c>
      <c r="M380" s="27" t="n">
        <v>1.162866</v>
      </c>
      <c r="N380" s="28" t="n">
        <v>0.859944</v>
      </c>
      <c r="O380" s="28" t="n">
        <v>0.7637620000000001</v>
      </c>
      <c r="P380" s="28" t="n">
        <v>0.05</v>
      </c>
      <c r="Q380" s="28" t="n">
        <v>-0.096182</v>
      </c>
      <c r="R380" s="26" t="n">
        <v>0</v>
      </c>
      <c r="S380" s="29" t="n">
        <v>2</v>
      </c>
      <c r="T380" s="24" t="inlineStr">
        <is>
          <t>tennis-surface-elo-v1</t>
        </is>
      </c>
      <c r="U380" s="24" t="inlineStr">
        <is>
          <t>open</t>
        </is>
      </c>
      <c r="V380" s="24" t="n"/>
      <c r="W380" s="26" t="n"/>
      <c r="X380" s="26" t="n"/>
      <c r="Y380" s="25" t="n"/>
      <c r="Z380" s="26" t="n"/>
      <c r="AA380" s="28" t="n"/>
      <c r="AB380" s="28" t="n"/>
      <c r="AC380" s="30" t="n"/>
      <c r="AD380" s="24" t="n"/>
      <c r="AE380" s="31" t="inlineStr">
        <is>
          <t>Surface-blended Elo on Hard: Cadence Brace p=0.236 vs McCartney Kessler. Executable ask 0.8600 (aec-wta-mcckes-cadbra-2026-08-02).</t>
        </is>
      </c>
      <c r="AF380" s="31" t="inlineStr">
        <is>
          <t>Surface-blended Elo model; singles only, WTA+ATP market coverage, not yet locked-holdout qualified -- promoted by explicit operator directive, not genuine walk-forward validation.</t>
        </is>
      </c>
      <c r="AG380" s="24" t="inlineStr">
        <is>
          <t>not_applicable</t>
        </is>
      </c>
      <c r="AH380" s="24" t="n"/>
      <c r="AI380" s="31" t="n"/>
      <c r="AJ380" s="31" t="n"/>
      <c r="AK380" s="24" t="inlineStr">
        <is>
          <t>research_observation</t>
        </is>
      </c>
      <c r="AL380" s="26" t="n">
        <v>3</v>
      </c>
      <c r="AM380" s="24" t="inlineStr">
        <is>
          <t>RESEARCH_OBSERVATION</t>
        </is>
      </c>
      <c r="AN380" s="24" t="inlineStr">
        <is>
          <t>NO_CALL</t>
        </is>
      </c>
      <c r="AO380" s="24" t="inlineStr">
        <is>
          <t>NO_CALL_LOW_EDGE</t>
        </is>
      </c>
      <c r="AP380" s="24" t="inlineStr">
        <is>
          <t>Cadence Brace</t>
        </is>
      </c>
      <c r="AQ380" s="24" t="inlineStr">
        <is>
          <t>Cadence Brace</t>
        </is>
      </c>
      <c r="AR380" s="24" t="inlineStr">
        <is>
          <t>Cadence Brace</t>
        </is>
      </c>
      <c r="AS380" s="24" t="inlineStr">
        <is>
          <t>McCartney Kessler</t>
        </is>
      </c>
      <c r="AT380" s="24" t="inlineStr">
        <is>
          <t>McCartney Kessler</t>
        </is>
      </c>
      <c r="AU380" s="24" t="inlineStr">
        <is>
          <t>McCartney Kessler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1c05a3c4f76bde5de709ff6bb1937b3c4c67149c2ea621b7c90ca07898e048e8</t>
        </is>
      </c>
      <c r="BB380" s="24" t="inlineStr">
        <is>
          <t>surface_blended_elo</t>
        </is>
      </c>
      <c r="BC380" s="24" t="inlineStr">
        <is>
          <t>tennis-surface-elo-v1</t>
        </is>
      </c>
      <c r="BD380" s="24" t="inlineStr">
        <is>
          <t>1c05a3c4f76bde5de709ff6bb1937b3c4c67149c2ea621b7c90ca07898e048e8</t>
        </is>
      </c>
      <c r="BE380" s="24" t="inlineStr">
        <is>
          <t>tennis-surface-elo-v1</t>
        </is>
      </c>
      <c r="BF380" s="24" t="inlineStr">
        <is>
          <t>1</t>
        </is>
      </c>
      <c r="BG380" s="24" t="inlineStr">
        <is>
          <t>1c05a3c4f76bde5de709ff6bb1937b3c4c67149c2ea621b7c90ca07898e048e8</t>
        </is>
      </c>
      <c r="BH380" s="24" t="inlineStr">
        <is>
          <t>2026-08-02T18:08:17.166108Z</t>
        </is>
      </c>
      <c r="BI380" s="24" t="inlineStr">
        <is>
          <t>["same_event","same_team_same_day","same_league_same_day"]</t>
        </is>
      </c>
      <c r="BJ380" s="25" t="n"/>
      <c r="BK380" s="26" t="n">
        <v>-614</v>
      </c>
      <c r="BL380" s="27" t="n">
        <v>1.162866</v>
      </c>
      <c r="BM380" s="28" t="n">
        <v>0.859944</v>
      </c>
      <c r="BN380" s="28" t="n"/>
      <c r="BO380" s="28" t="n"/>
      <c r="BP380" s="25" t="n"/>
      <c r="BQ380" s="27" t="n"/>
      <c r="BR380" s="28" t="n"/>
      <c r="BS380" s="28" t="n"/>
      <c r="BT380" s="28" t="n"/>
      <c r="BU380" s="25" t="n"/>
      <c r="BV380" s="29" t="n"/>
      <c r="BW380" s="24" t="n"/>
      <c r="BX380" s="30" t="n"/>
      <c r="BY380" s="27" t="n"/>
      <c r="BZ380" s="24" t="n"/>
      <c r="CA380" s="31" t="n"/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inlineStr">
        <is>
          <t>False</t>
        </is>
      </c>
    </row>
    <row r="381" ht="36" customHeight="1">
      <c r="A381" s="24" t="inlineStr">
        <is>
          <t>6ba28b299dfe446c</t>
        </is>
      </c>
      <c r="B381" s="24" t="inlineStr">
        <is>
          <t>2026-08-02T18:11:02.297038Z</t>
        </is>
      </c>
      <c r="C381" s="24" t="inlineStr">
        <is>
          <t>2026-08-02T21:30Z</t>
        </is>
      </c>
      <c r="D381" s="24" t="inlineStr">
        <is>
          <t>421-2026:182283</t>
        </is>
      </c>
      <c r="E381" s="24" t="inlineStr">
        <is>
          <t>TENNIS</t>
        </is>
      </c>
      <c r="F381" s="24" t="inlineStr">
        <is>
          <t>Elisabetta Cocciaretto</t>
        </is>
      </c>
      <c r="G381" s="24" t="inlineStr">
        <is>
          <t>Talia Gibson</t>
        </is>
      </c>
      <c r="H381" s="24" t="inlineStr">
        <is>
          <t>moneyline</t>
        </is>
      </c>
      <c r="I381" s="24" t="inlineStr">
        <is>
          <t>away</t>
        </is>
      </c>
      <c r="J381" s="25" t="n"/>
      <c r="K381" s="24" t="inlineStr">
        <is>
          <t>polymarket_us</t>
        </is>
      </c>
      <c r="L381" s="26" t="n">
        <v>-144</v>
      </c>
      <c r="M381" s="27" t="n">
        <v>1.694444</v>
      </c>
      <c r="N381" s="28" t="n">
        <v>0.590164</v>
      </c>
      <c r="O381" s="28" t="n">
        <v>0.578226</v>
      </c>
      <c r="P381" s="28" t="n">
        <v>0.05</v>
      </c>
      <c r="Q381" s="28" t="n">
        <v>-0.011938</v>
      </c>
      <c r="R381" s="26" t="n">
        <v>14</v>
      </c>
      <c r="S381" s="29" t="n">
        <v>1.25</v>
      </c>
      <c r="T381" s="24" t="inlineStr">
        <is>
          <t>tennis-surface-elo-v1</t>
        </is>
      </c>
      <c r="U381" s="24" t="inlineStr">
        <is>
          <t>open</t>
        </is>
      </c>
      <c r="V381" s="24" t="n"/>
      <c r="W381" s="26" t="n"/>
      <c r="X381" s="26" t="n"/>
      <c r="Y381" s="25" t="n"/>
      <c r="Z381" s="26" t="n"/>
      <c r="AA381" s="28" t="n"/>
      <c r="AB381" s="28" t="n"/>
      <c r="AC381" s="30" t="n"/>
      <c r="AD381" s="24" t="n"/>
      <c r="AE381" s="31" t="inlineStr">
        <is>
          <t>Surface-blended Elo on Hard: Elisabetta Cocciaretto p=0.578 vs Talia Gibson. Executable ask 0.5900 (aec-wta-talgib-elicoc-2026-08-02).</t>
        </is>
      </c>
      <c r="AF381" s="31" t="inlineStr">
        <is>
          <t>Surface-blended Elo model; singles only, WTA+ATP market coverage, not yet locked-holdout qualified -- promoted by explicit operator directive, not genuine walk-forward validation.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research_observation</t>
        </is>
      </c>
      <c r="AL381" s="26" t="n">
        <v>3</v>
      </c>
      <c r="AM381" s="24" t="inlineStr">
        <is>
          <t>RESEARCH_OBSERVATION</t>
        </is>
      </c>
      <c r="AN381" s="24" t="inlineStr">
        <is>
          <t>NO_CALL</t>
        </is>
      </c>
      <c r="AO381" s="24" t="inlineStr">
        <is>
          <t>NO_CALL_LOW_EDGE</t>
        </is>
      </c>
      <c r="AP381" s="24" t="inlineStr">
        <is>
          <t>Elisabetta Cocciaretto</t>
        </is>
      </c>
      <c r="AQ381" s="24" t="inlineStr">
        <is>
          <t>Elisabetta Cocciaretto</t>
        </is>
      </c>
      <c r="AR381" s="24" t="inlineStr">
        <is>
          <t>Elisabetta Cocciaretto</t>
        </is>
      </c>
      <c r="AS381" s="24" t="inlineStr">
        <is>
          <t>Talia Gibson</t>
        </is>
      </c>
      <c r="AT381" s="24" t="inlineStr">
        <is>
          <t>Talia Gibson</t>
        </is>
      </c>
      <c r="AU381" s="24" t="inlineStr">
        <is>
          <t>Talia Gibson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1c05a3c4f76bde5de709ff6bb1937b3c4c67149c2ea621b7c90ca07898e048e8</t>
        </is>
      </c>
      <c r="BB381" s="24" t="inlineStr">
        <is>
          <t>surface_blended_elo</t>
        </is>
      </c>
      <c r="BC381" s="24" t="inlineStr">
        <is>
          <t>tennis-surface-elo-v1</t>
        </is>
      </c>
      <c r="BD381" s="24" t="inlineStr">
        <is>
          <t>1c05a3c4f76bde5de709ff6bb1937b3c4c67149c2ea621b7c90ca07898e048e8</t>
        </is>
      </c>
      <c r="BE381" s="24" t="inlineStr">
        <is>
          <t>tennis-surface-elo-v1</t>
        </is>
      </c>
      <c r="BF381" s="24" t="inlineStr">
        <is>
          <t>1</t>
        </is>
      </c>
      <c r="BG381" s="24" t="inlineStr">
        <is>
          <t>1c05a3c4f76bde5de709ff6bb1937b3c4c67149c2ea621b7c90ca07898e048e8</t>
        </is>
      </c>
      <c r="BH381" s="24" t="inlineStr">
        <is>
          <t>2026-08-02T18:08:19.531915Z</t>
        </is>
      </c>
      <c r="BI381" s="24" t="inlineStr">
        <is>
          <t>["same_event","same_team_same_day","same_league_same_day"]</t>
        </is>
      </c>
      <c r="BJ381" s="25" t="n"/>
      <c r="BK381" s="26" t="n">
        <v>-144</v>
      </c>
      <c r="BL381" s="27" t="n">
        <v>1.694444</v>
      </c>
      <c r="BM381" s="28" t="n">
        <v>0.590164</v>
      </c>
      <c r="BN381" s="28" t="n"/>
      <c r="BO381" s="28" t="n"/>
      <c r="BP381" s="25" t="n"/>
      <c r="BQ381" s="27" t="n"/>
      <c r="BR381" s="28" t="n"/>
      <c r="BS381" s="28" t="n"/>
      <c r="BT381" s="28" t="n"/>
      <c r="BU381" s="25" t="n"/>
      <c r="BV381" s="29" t="n"/>
      <c r="BW381" s="24" t="n"/>
      <c r="BX381" s="30" t="n"/>
      <c r="BY381" s="27" t="n"/>
      <c r="BZ381" s="24" t="n"/>
      <c r="CA381" s="31" t="n"/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inlineStr">
        <is>
          <t>False</t>
        </is>
      </c>
    </row>
    <row r="382" ht="36" customHeight="1">
      <c r="A382" s="24" t="inlineStr">
        <is>
          <t>fd5c2a0361664807</t>
        </is>
      </c>
      <c r="B382" s="24" t="inlineStr">
        <is>
          <t>2026-08-02T18:11:02.297038Z</t>
        </is>
      </c>
      <c r="C382" s="24" t="inlineStr">
        <is>
          <t>2026-08-02T23:00Z</t>
        </is>
      </c>
      <c r="D382" s="24" t="inlineStr">
        <is>
          <t>421-2026:182274</t>
        </is>
      </c>
      <c r="E382" s="24" t="inlineStr">
        <is>
          <t>TENNIS</t>
        </is>
      </c>
      <c r="F382" s="24" t="inlineStr">
        <is>
          <t>Bianca Andreescu</t>
        </is>
      </c>
      <c r="G382" s="24" t="inlineStr">
        <is>
          <t>Nikola Bartunkova</t>
        </is>
      </c>
      <c r="H382" s="24" t="inlineStr">
        <is>
          <t>moneyline</t>
        </is>
      </c>
      <c r="I382" s="24" t="inlineStr">
        <is>
          <t>home</t>
        </is>
      </c>
      <c r="J382" s="25" t="n"/>
      <c r="K382" s="24" t="inlineStr">
        <is>
          <t>polymarket_us</t>
        </is>
      </c>
      <c r="L382" s="26" t="n">
        <v>-150</v>
      </c>
      <c r="M382" s="27" t="n">
        <v>1.666667</v>
      </c>
      <c r="N382" s="28" t="n">
        <v>0.6</v>
      </c>
      <c r="O382" s="28" t="n">
        <v>0.617346</v>
      </c>
      <c r="P382" s="28" t="n">
        <v>0.05</v>
      </c>
      <c r="Q382" s="28" t="n">
        <v>0.017346</v>
      </c>
      <c r="R382" s="26" t="n">
        <v>29</v>
      </c>
      <c r="S382" s="29" t="n">
        <v>1.5</v>
      </c>
      <c r="T382" s="24" t="inlineStr">
        <is>
          <t>tennis-surface-elo-v1</t>
        </is>
      </c>
      <c r="U382" s="24" t="inlineStr">
        <is>
          <t>open</t>
        </is>
      </c>
      <c r="V382" s="24" t="n"/>
      <c r="W382" s="26" t="n"/>
      <c r="X382" s="26" t="n"/>
      <c r="Y382" s="25" t="n"/>
      <c r="Z382" s="26" t="n"/>
      <c r="AA382" s="28" t="n"/>
      <c r="AB382" s="28" t="n"/>
      <c r="AC382" s="30" t="n"/>
      <c r="AD382" s="24" t="n"/>
      <c r="AE382" s="31" t="inlineStr">
        <is>
          <t>Surface-blended Elo on Hard: Bianca Andreescu p=0.383 vs Nikola Bartunkova. Executable ask 0.6000 (aec-wta-nikbar-biaand-2026-08-02).</t>
        </is>
      </c>
      <c r="AF382" s="31" t="inlineStr">
        <is>
          <t>Surface-blended Elo model; singles only, WTA+ATP market coverage, not yet locked-holdout qualified -- promoted by explicit operator directive, not genuine walk-forward validation.</t>
        </is>
      </c>
      <c r="AG382" s="24" t="inlineStr">
        <is>
          <t>not_applicable</t>
        </is>
      </c>
      <c r="AH382" s="24" t="n"/>
      <c r="AI382" s="31" t="n"/>
      <c r="AJ382" s="31" t="n"/>
      <c r="AK382" s="24" t="inlineStr">
        <is>
          <t>research_observation</t>
        </is>
      </c>
      <c r="AL382" s="26" t="n">
        <v>3</v>
      </c>
      <c r="AM382" s="24" t="inlineStr">
        <is>
          <t>RESEARCH_OBSERVATION</t>
        </is>
      </c>
      <c r="AN382" s="24" t="inlineStr">
        <is>
          <t>NO_CALL</t>
        </is>
      </c>
      <c r="AO382" s="24" t="inlineStr">
        <is>
          <t>NO_CALL_LOW_EDGE</t>
        </is>
      </c>
      <c r="AP382" s="24" t="inlineStr">
        <is>
          <t>Bianca Andreescu</t>
        </is>
      </c>
      <c r="AQ382" s="24" t="inlineStr">
        <is>
          <t>Bianca Andreescu</t>
        </is>
      </c>
      <c r="AR382" s="24" t="inlineStr">
        <is>
          <t>Bianca Andreescu</t>
        </is>
      </c>
      <c r="AS382" s="24" t="inlineStr">
        <is>
          <t>Nikola Bartunkova</t>
        </is>
      </c>
      <c r="AT382" s="24" t="inlineStr">
        <is>
          <t>Nikola Bartunkova</t>
        </is>
      </c>
      <c r="AU382" s="24" t="inlineStr">
        <is>
          <t>Nikola Bartunkova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1c05a3c4f76bde5de709ff6bb1937b3c4c67149c2ea621b7c90ca07898e048e8</t>
        </is>
      </c>
      <c r="BB382" s="24" t="inlineStr">
        <is>
          <t>surface_blended_elo</t>
        </is>
      </c>
      <c r="BC382" s="24" t="inlineStr">
        <is>
          <t>tennis-surface-elo-v1</t>
        </is>
      </c>
      <c r="BD382" s="24" t="inlineStr">
        <is>
          <t>1c05a3c4f76bde5de709ff6bb1937b3c4c67149c2ea621b7c90ca07898e048e8</t>
        </is>
      </c>
      <c r="BE382" s="24" t="inlineStr">
        <is>
          <t>tennis-surface-elo-v1</t>
        </is>
      </c>
      <c r="BF382" s="24" t="inlineStr">
        <is>
          <t>1</t>
        </is>
      </c>
      <c r="BG382" s="24" t="inlineStr">
        <is>
          <t>1c05a3c4f76bde5de709ff6bb1937b3c4c67149c2ea621b7c90ca07898e048e8</t>
        </is>
      </c>
      <c r="BH382" s="24" t="inlineStr">
        <is>
          <t>2026-08-02T18:08:19.788447Z</t>
        </is>
      </c>
      <c r="BI382" s="24" t="inlineStr">
        <is>
          <t>["same_event","same_team_same_day","same_league_same_day"]</t>
        </is>
      </c>
      <c r="BJ382" s="25" t="n"/>
      <c r="BK382" s="26" t="n">
        <v>-150</v>
      </c>
      <c r="BL382" s="27" t="n">
        <v>1.666667</v>
      </c>
      <c r="BM382" s="28" t="n">
        <v>0.6</v>
      </c>
      <c r="BN382" s="28" t="n"/>
      <c r="BO382" s="28" t="n"/>
      <c r="BP382" s="25" t="n"/>
      <c r="BQ382" s="27" t="n"/>
      <c r="BR382" s="28" t="n"/>
      <c r="BS382" s="28" t="n"/>
      <c r="BT382" s="28" t="n"/>
      <c r="BU382" s="25" t="n"/>
      <c r="BV382" s="29" t="n"/>
      <c r="BW382" s="24" t="n"/>
      <c r="BX382" s="30" t="n"/>
      <c r="BY382" s="27" t="n"/>
      <c r="BZ382" s="24" t="n"/>
      <c r="CA382" s="31" t="n"/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inlineStr">
        <is>
          <t>True</t>
        </is>
      </c>
    </row>
    <row r="383" ht="36" customHeight="1">
      <c r="A383" s="24" t="inlineStr">
        <is>
          <t>49e29452653c4e1c</t>
        </is>
      </c>
      <c r="B383" s="24" t="inlineStr">
        <is>
          <t>2026-08-02T18:11:02.297038Z</t>
        </is>
      </c>
      <c r="C383" s="24" t="inlineStr">
        <is>
          <t>2026-08-03T00:30Z</t>
        </is>
      </c>
      <c r="D383" s="24" t="inlineStr">
        <is>
          <t>421-2026:182281</t>
        </is>
      </c>
      <c r="E383" s="24" t="inlineStr">
        <is>
          <t>TENNIS</t>
        </is>
      </c>
      <c r="F383" s="24" t="inlineStr">
        <is>
          <t>Zhang Shuai</t>
        </is>
      </c>
      <c r="G383" s="24" t="inlineStr">
        <is>
          <t>Yulia Putintseva</t>
        </is>
      </c>
      <c r="H383" s="24" t="inlineStr">
        <is>
          <t>moneyline</t>
        </is>
      </c>
      <c r="I383" s="24" t="inlineStr">
        <is>
          <t>home</t>
        </is>
      </c>
      <c r="J383" s="25" t="n"/>
      <c r="K383" s="24" t="inlineStr">
        <is>
          <t>polymarket_us</t>
        </is>
      </c>
      <c r="L383" s="26" t="n">
        <v>-194</v>
      </c>
      <c r="M383" s="27" t="n">
        <v>1.515464</v>
      </c>
      <c r="N383" s="28" t="n">
        <v>0.659864</v>
      </c>
      <c r="O383" s="28" t="n">
        <v>0.630736</v>
      </c>
      <c r="P383" s="28" t="n">
        <v>0.05</v>
      </c>
      <c r="Q383" s="28" t="n">
        <v>-0.029128</v>
      </c>
      <c r="R383" s="26" t="n">
        <v>5</v>
      </c>
      <c r="S383" s="29" t="n">
        <v>1.5</v>
      </c>
      <c r="T383" s="24" t="inlineStr">
        <is>
          <t>tennis-surface-elo-v1</t>
        </is>
      </c>
      <c r="U383" s="24" t="inlineStr">
        <is>
          <t>open</t>
        </is>
      </c>
      <c r="V383" s="24" t="n"/>
      <c r="W383" s="26" t="n"/>
      <c r="X383" s="26" t="n"/>
      <c r="Y383" s="25" t="n"/>
      <c r="Z383" s="26" t="n"/>
      <c r="AA383" s="28" t="n"/>
      <c r="AB383" s="28" t="n"/>
      <c r="AC383" s="30" t="n"/>
      <c r="AD383" s="24" t="n"/>
      <c r="AE383" s="31" t="inlineStr">
        <is>
          <t>Surface-blended Elo on Hard: Zhang Shuai p=0.369 vs Yulia Putintseva. Executable ask 0.6600 (aec-wta-yulput-shuzha-2026-08-02).</t>
        </is>
      </c>
      <c r="AF383" s="31" t="inlineStr">
        <is>
          <t>Surface-blended Elo model; singles only, WTA+ATP market coverage, not yet locked-holdout qualified -- promoted by explicit operator directive, not genuine walk-forward validation.</t>
        </is>
      </c>
      <c r="AG383" s="24" t="inlineStr">
        <is>
          <t>not_applicable</t>
        </is>
      </c>
      <c r="AH383" s="24" t="n"/>
      <c r="AI383" s="31" t="n"/>
      <c r="AJ383" s="31" t="n"/>
      <c r="AK383" s="24" t="inlineStr">
        <is>
          <t>research_observation</t>
        </is>
      </c>
      <c r="AL383" s="26" t="n">
        <v>3</v>
      </c>
      <c r="AM383" s="24" t="inlineStr">
        <is>
          <t>RESEARCH_OBSERVATION</t>
        </is>
      </c>
      <c r="AN383" s="24" t="inlineStr">
        <is>
          <t>NO_CALL</t>
        </is>
      </c>
      <c r="AO383" s="24" t="inlineStr">
        <is>
          <t>NO_CALL_LOW_EDGE</t>
        </is>
      </c>
      <c r="AP383" s="24" t="inlineStr">
        <is>
          <t>Zhang Shuai</t>
        </is>
      </c>
      <c r="AQ383" s="24" t="inlineStr">
        <is>
          <t>Zhang Shuai</t>
        </is>
      </c>
      <c r="AR383" s="24" t="inlineStr">
        <is>
          <t>Zhang Shuai</t>
        </is>
      </c>
      <c r="AS383" s="24" t="inlineStr">
        <is>
          <t>Yulia Putintseva</t>
        </is>
      </c>
      <c r="AT383" s="24" t="inlineStr">
        <is>
          <t>Yulia Putintseva</t>
        </is>
      </c>
      <c r="AU383" s="24" t="inlineStr">
        <is>
          <t>Yulia Putintseva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1c05a3c4f76bde5de709ff6bb1937b3c4c67149c2ea621b7c90ca07898e048e8</t>
        </is>
      </c>
      <c r="BB383" s="24" t="inlineStr">
        <is>
          <t>surface_blended_elo</t>
        </is>
      </c>
      <c r="BC383" s="24" t="inlineStr">
        <is>
          <t>tennis-surface-elo-v1</t>
        </is>
      </c>
      <c r="BD383" s="24" t="inlineStr">
        <is>
          <t>1c05a3c4f76bde5de709ff6bb1937b3c4c67149c2ea621b7c90ca07898e048e8</t>
        </is>
      </c>
      <c r="BE383" s="24" t="inlineStr">
        <is>
          <t>tennis-surface-elo-v1</t>
        </is>
      </c>
      <c r="BF383" s="24" t="inlineStr">
        <is>
          <t>1</t>
        </is>
      </c>
      <c r="BG383" s="24" t="inlineStr">
        <is>
          <t>1c05a3c4f76bde5de709ff6bb1937b3c4c67149c2ea621b7c90ca07898e048e8</t>
        </is>
      </c>
      <c r="BH383" s="24" t="inlineStr">
        <is>
          <t>2026-08-02T18:08:20.067983Z</t>
        </is>
      </c>
      <c r="BI383" s="24" t="inlineStr">
        <is>
          <t>["same_event","same_team_same_day","same_league_same_day"]</t>
        </is>
      </c>
      <c r="BJ383" s="25" t="n"/>
      <c r="BK383" s="26" t="n">
        <v>-194</v>
      </c>
      <c r="BL383" s="27" t="n">
        <v>1.515464</v>
      </c>
      <c r="BM383" s="28" t="n">
        <v>0.659864</v>
      </c>
      <c r="BN383" s="28" t="n"/>
      <c r="BO383" s="28" t="n"/>
      <c r="BP383" s="25" t="n"/>
      <c r="BQ383" s="27" t="n"/>
      <c r="BR383" s="28" t="n"/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inlineStr">
        <is>
          <t>False</t>
        </is>
      </c>
    </row>
    <row r="384" ht="36" customHeight="1">
      <c r="A384" s="24" t="inlineStr">
        <is>
          <t>985ddfca994b4ccf</t>
        </is>
      </c>
      <c r="B384" s="24" t="inlineStr">
        <is>
          <t>2026-08-02T18:11:02.297038Z</t>
        </is>
      </c>
      <c r="C384" s="24" t="inlineStr">
        <is>
          <t>2026-08-02T22:00Z</t>
        </is>
      </c>
      <c r="D384" s="24" t="inlineStr">
        <is>
          <t>421-2026:181781</t>
        </is>
      </c>
      <c r="E384" s="24" t="inlineStr">
        <is>
          <t>TENNIS</t>
        </is>
      </c>
      <c r="F384" s="24" t="inlineStr">
        <is>
          <t>Marin Cilic</t>
        </is>
      </c>
      <c r="G384" s="24" t="inlineStr">
        <is>
          <t>Sho Shimabukuro</t>
        </is>
      </c>
      <c r="H384" s="24" t="inlineStr">
        <is>
          <t>moneyline</t>
        </is>
      </c>
      <c r="I384" s="24" t="inlineStr">
        <is>
          <t>away</t>
        </is>
      </c>
      <c r="J384" s="25" t="n"/>
      <c r="K384" s="24" t="inlineStr">
        <is>
          <t>polymarket_us</t>
        </is>
      </c>
      <c r="L384" s="26" t="n">
        <v>-133</v>
      </c>
      <c r="M384" s="27" t="n">
        <v>1.75188</v>
      </c>
      <c r="N384" s="28" t="n">
        <v>0.570815</v>
      </c>
      <c r="O384" s="28" t="n">
        <v>0.529427</v>
      </c>
      <c r="P384" s="28" t="n">
        <v>0.05</v>
      </c>
      <c r="Q384" s="28" t="n">
        <v>-0.041388</v>
      </c>
      <c r="R384" s="26" t="n">
        <v>0</v>
      </c>
      <c r="S384" s="29" t="n">
        <v>1</v>
      </c>
      <c r="T384" s="24" t="inlineStr">
        <is>
          <t>tennis-surface-elo-v1</t>
        </is>
      </c>
      <c r="U384" s="24" t="inlineStr">
        <is>
          <t>open</t>
        </is>
      </c>
      <c r="V384" s="24" t="n"/>
      <c r="W384" s="26" t="n"/>
      <c r="X384" s="26" t="n"/>
      <c r="Y384" s="25" t="n"/>
      <c r="Z384" s="26" t="n"/>
      <c r="AA384" s="28" t="n"/>
      <c r="AB384" s="28" t="n"/>
      <c r="AC384" s="30" t="n"/>
      <c r="AD384" s="24" t="n"/>
      <c r="AE384" s="31" t="inlineStr">
        <is>
          <t>Surface-blended Elo on Hard: Marin Cilic p=0.529 vs Sho Shimabukuro. Executable ask 0.5700 (aec-atp-shoshi-marcil-2026-08-02).</t>
        </is>
      </c>
      <c r="AF384" s="31" t="inlineStr">
        <is>
          <t>Surface-blended Elo model; singles only, WTA+ATP market coverage, not yet locked-holdout qualified -- promoted by explicit operator directive, not genuine walk-forward validation.</t>
        </is>
      </c>
      <c r="AG384" s="24" t="inlineStr">
        <is>
          <t>not_applicable</t>
        </is>
      </c>
      <c r="AH384" s="24" t="n"/>
      <c r="AI384" s="31" t="n"/>
      <c r="AJ384" s="31" t="n"/>
      <c r="AK384" s="24" t="inlineStr">
        <is>
          <t>research_observation</t>
        </is>
      </c>
      <c r="AL384" s="26" t="n">
        <v>3</v>
      </c>
      <c r="AM384" s="24" t="inlineStr">
        <is>
          <t>RESEARCH_OBSERVATION</t>
        </is>
      </c>
      <c r="AN384" s="24" t="inlineStr">
        <is>
          <t>NO_CALL</t>
        </is>
      </c>
      <c r="AO384" s="24" t="inlineStr">
        <is>
          <t>NO_CALL_LOW_EDGE</t>
        </is>
      </c>
      <c r="AP384" s="24" t="inlineStr">
        <is>
          <t>Marin Cilic</t>
        </is>
      </c>
      <c r="AQ384" s="24" t="inlineStr">
        <is>
          <t>Marin Cilic</t>
        </is>
      </c>
      <c r="AR384" s="24" t="inlineStr">
        <is>
          <t>Marin Cilic</t>
        </is>
      </c>
      <c r="AS384" s="24" t="inlineStr">
        <is>
          <t>Sho Shimabukuro</t>
        </is>
      </c>
      <c r="AT384" s="24" t="inlineStr">
        <is>
          <t>Sho Shimabukuro</t>
        </is>
      </c>
      <c r="AU384" s="24" t="inlineStr">
        <is>
          <t>Sho Shimabukuro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1c05a3c4f76bde5de709ff6bb1937b3c4c67149c2ea621b7c90ca07898e048e8</t>
        </is>
      </c>
      <c r="BB384" s="24" t="inlineStr">
        <is>
          <t>surface_blended_elo</t>
        </is>
      </c>
      <c r="BC384" s="24" t="inlineStr">
        <is>
          <t>tennis-surface-elo-v1</t>
        </is>
      </c>
      <c r="BD384" s="24" t="inlineStr">
        <is>
          <t>1c05a3c4f76bde5de709ff6bb1937b3c4c67149c2ea621b7c90ca07898e048e8</t>
        </is>
      </c>
      <c r="BE384" s="24" t="inlineStr">
        <is>
          <t>tennis-surface-elo-v1</t>
        </is>
      </c>
      <c r="BF384" s="24" t="inlineStr">
        <is>
          <t>1</t>
        </is>
      </c>
      <c r="BG384" s="24" t="inlineStr">
        <is>
          <t>1c05a3c4f76bde5de709ff6bb1937b3c4c67149c2ea621b7c90ca07898e048e8</t>
        </is>
      </c>
      <c r="BH384" s="24" t="inlineStr">
        <is>
          <t>2026-08-02T18:08:35.252381Z</t>
        </is>
      </c>
      <c r="BI384" s="24" t="inlineStr">
        <is>
          <t>["same_event","same_team_same_day","same_league_same_day"]</t>
        </is>
      </c>
      <c r="BJ384" s="25" t="n"/>
      <c r="BK384" s="26" t="n">
        <v>-133</v>
      </c>
      <c r="BL384" s="27" t="n">
        <v>1.75188</v>
      </c>
      <c r="BM384" s="28" t="n">
        <v>0.570815</v>
      </c>
      <c r="BN384" s="28" t="n"/>
      <c r="BO384" s="28" t="n"/>
      <c r="BP384" s="25" t="n"/>
      <c r="BQ384" s="27" t="n"/>
      <c r="BR384" s="28" t="n"/>
      <c r="BS384" s="28" t="n"/>
      <c r="BT384" s="28" t="n"/>
      <c r="BU384" s="25" t="n"/>
      <c r="BV384" s="29" t="n"/>
      <c r="BW384" s="24" t="n"/>
      <c r="BX384" s="30" t="n"/>
      <c r="BY384" s="27" t="n"/>
      <c r="BZ384" s="24" t="n"/>
      <c r="CA384" s="31" t="n"/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inlineStr">
        <is>
          <t>False</t>
        </is>
      </c>
    </row>
    <row r="385" ht="36" customHeight="1">
      <c r="A385" s="24" t="inlineStr">
        <is>
          <t>f54a78ddbc374a24</t>
        </is>
      </c>
      <c r="B385" s="24" t="inlineStr">
        <is>
          <t>2026-08-02T18:11:02.297038Z</t>
        </is>
      </c>
      <c r="C385" s="24" t="inlineStr">
        <is>
          <t>2026-08-02T23:00Z</t>
        </is>
      </c>
      <c r="D385" s="24" t="inlineStr">
        <is>
          <t>421-2026:181801</t>
        </is>
      </c>
      <c r="E385" s="24" t="inlineStr">
        <is>
          <t>TENNIS</t>
        </is>
      </c>
      <c r="F385" s="24" t="inlineStr">
        <is>
          <t>Kyrian Jacquet</t>
        </is>
      </c>
      <c r="G385" s="24" t="inlineStr">
        <is>
          <t>Gabriel Diallo</t>
        </is>
      </c>
      <c r="H385" s="24" t="inlineStr">
        <is>
          <t>moneyline</t>
        </is>
      </c>
      <c r="I385" s="24" t="inlineStr">
        <is>
          <t>home</t>
        </is>
      </c>
      <c r="J385" s="25" t="n"/>
      <c r="K385" s="24" t="inlineStr">
        <is>
          <t>polymarket_us</t>
        </is>
      </c>
      <c r="L385" s="26" t="n">
        <v>-117</v>
      </c>
      <c r="M385" s="27" t="n">
        <v>1.854701</v>
      </c>
      <c r="N385" s="28" t="n">
        <v>0.539171</v>
      </c>
      <c r="O385" s="28" t="n">
        <v>0.5845590000000001</v>
      </c>
      <c r="P385" s="28" t="n">
        <v>0.05</v>
      </c>
      <c r="Q385" s="28" t="n">
        <v>0.045388</v>
      </c>
      <c r="R385" s="26" t="n">
        <v>43</v>
      </c>
      <c r="S385" s="29" t="n">
        <v>1.25</v>
      </c>
      <c r="T385" s="24" t="inlineStr">
        <is>
          <t>tennis-surface-elo-v1</t>
        </is>
      </c>
      <c r="U385" s="24" t="inlineStr">
        <is>
          <t>open</t>
        </is>
      </c>
      <c r="V385" s="24" t="n"/>
      <c r="W385" s="26" t="n"/>
      <c r="X385" s="26" t="n"/>
      <c r="Y385" s="25" t="n"/>
      <c r="Z385" s="26" t="n"/>
      <c r="AA385" s="28" t="n"/>
      <c r="AB385" s="28" t="n"/>
      <c r="AC385" s="30" t="n"/>
      <c r="AD385" s="24" t="n"/>
      <c r="AE385" s="31" t="inlineStr">
        <is>
          <t>Surface-blended Elo on Hard: Kyrian Jacquet p=0.415 vs Gabriel Diallo. Executable ask 0.5400 (aec-atp-gabdia-kyrjac-2026-08-02).</t>
        </is>
      </c>
      <c r="AF385" s="31" t="inlineStr">
        <is>
          <t>Surface-blended Elo model; singles only, WTA+ATP market coverage, not yet locked-holdout qualified -- promoted by explicit operator directive, not genuine walk-forward validation.</t>
        </is>
      </c>
      <c r="AG385" s="24" t="inlineStr">
        <is>
          <t>not_applicable</t>
        </is>
      </c>
      <c r="AH385" s="24" t="n"/>
      <c r="AI385" s="31" t="n"/>
      <c r="AJ385" s="31" t="n"/>
      <c r="AK385" s="24" t="inlineStr">
        <is>
          <t>research_observation</t>
        </is>
      </c>
      <c r="AL385" s="26" t="n">
        <v>3</v>
      </c>
      <c r="AM385" s="24" t="inlineStr">
        <is>
          <t>RESEARCH_OBSERVATION</t>
        </is>
      </c>
      <c r="AN385" s="24" t="inlineStr">
        <is>
          <t>NO_CALL</t>
        </is>
      </c>
      <c r="AO385" s="24" t="inlineStr">
        <is>
          <t>NO_CALL_LOW_EDGE</t>
        </is>
      </c>
      <c r="AP385" s="24" t="inlineStr">
        <is>
          <t>Kyrian Jacquet</t>
        </is>
      </c>
      <c r="AQ385" s="24" t="inlineStr">
        <is>
          <t>Kyrian Jacquet</t>
        </is>
      </c>
      <c r="AR385" s="24" t="inlineStr">
        <is>
          <t>Kyrian Jacquet</t>
        </is>
      </c>
      <c r="AS385" s="24" t="inlineStr">
        <is>
          <t>Gabriel Diallo</t>
        </is>
      </c>
      <c r="AT385" s="24" t="inlineStr">
        <is>
          <t>Gabriel Diallo</t>
        </is>
      </c>
      <c r="AU385" s="24" t="inlineStr">
        <is>
          <t>Gabriel Diallo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1c05a3c4f76bde5de709ff6bb1937b3c4c67149c2ea621b7c90ca07898e048e8</t>
        </is>
      </c>
      <c r="BB385" s="24" t="inlineStr">
        <is>
          <t>surface_blended_elo</t>
        </is>
      </c>
      <c r="BC385" s="24" t="inlineStr">
        <is>
          <t>tennis-surface-elo-v1</t>
        </is>
      </c>
      <c r="BD385" s="24" t="inlineStr">
        <is>
          <t>1c05a3c4f76bde5de709ff6bb1937b3c4c67149c2ea621b7c90ca07898e048e8</t>
        </is>
      </c>
      <c r="BE385" s="24" t="inlineStr">
        <is>
          <t>tennis-surface-elo-v1</t>
        </is>
      </c>
      <c r="BF385" s="24" t="inlineStr">
        <is>
          <t>1</t>
        </is>
      </c>
      <c r="BG385" s="24" t="inlineStr">
        <is>
          <t>1c05a3c4f76bde5de709ff6bb1937b3c4c67149c2ea621b7c90ca07898e048e8</t>
        </is>
      </c>
      <c r="BH385" s="24" t="inlineStr">
        <is>
          <t>2026-08-02T18:08:36.379310Z</t>
        </is>
      </c>
      <c r="BI385" s="24" t="inlineStr">
        <is>
          <t>["same_event","same_team_same_day","same_league_same_day"]</t>
        </is>
      </c>
      <c r="BJ385" s="25" t="n"/>
      <c r="BK385" s="26" t="n">
        <v>-117</v>
      </c>
      <c r="BL385" s="27" t="n">
        <v>1.854701</v>
      </c>
      <c r="BM385" s="28" t="n">
        <v>0.539171</v>
      </c>
      <c r="BN385" s="28" t="n"/>
      <c r="BO385" s="28" t="n"/>
      <c r="BP385" s="25" t="n"/>
      <c r="BQ385" s="27" t="n"/>
      <c r="BR385" s="28" t="n"/>
      <c r="BS385" s="28" t="n"/>
      <c r="BT385" s="28" t="n"/>
      <c r="BU385" s="25" t="n"/>
      <c r="BV385" s="29" t="n"/>
      <c r="BW385" s="24" t="n"/>
      <c r="BX385" s="30" t="n"/>
      <c r="BY385" s="27" t="n"/>
      <c r="BZ385" s="24" t="n"/>
      <c r="CA385" s="31" t="n"/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inlineStr">
        <is>
          <t>True</t>
        </is>
      </c>
    </row>
    <row r="386" ht="36" customHeight="1">
      <c r="A386" s="24" t="inlineStr">
        <is>
          <t>d7f37409153d4d43</t>
        </is>
      </c>
      <c r="B386" s="24" t="inlineStr">
        <is>
          <t>2026-08-02T18:11:02.297038Z</t>
        </is>
      </c>
      <c r="C386" s="24" t="inlineStr">
        <is>
          <t>2026-08-02T23:30Z</t>
        </is>
      </c>
      <c r="D386" s="24" t="inlineStr">
        <is>
          <t>421-2026:181798</t>
        </is>
      </c>
      <c r="E386" s="24" t="inlineStr">
        <is>
          <t>TENNIS</t>
        </is>
      </c>
      <c r="F386" s="24" t="inlineStr">
        <is>
          <t>Yannick Hanfmann</t>
        </is>
      </c>
      <c r="G386" s="24" t="inlineStr">
        <is>
          <t>Benjamin Bonzi</t>
        </is>
      </c>
      <c r="H386" s="24" t="inlineStr">
        <is>
          <t>moneyline</t>
        </is>
      </c>
      <c r="I386" s="24" t="inlineStr">
        <is>
          <t>away</t>
        </is>
      </c>
      <c r="J386" s="25" t="n"/>
      <c r="K386" s="24" t="inlineStr">
        <is>
          <t>polymarket_us</t>
        </is>
      </c>
      <c r="L386" s="26" t="n">
        <v>-117</v>
      </c>
      <c r="M386" s="27" t="n">
        <v>1.854701</v>
      </c>
      <c r="N386" s="28" t="n">
        <v>0.539171</v>
      </c>
      <c r="O386" s="28" t="n">
        <v>0.552246</v>
      </c>
      <c r="P386" s="28" t="n">
        <v>0.05</v>
      </c>
      <c r="Q386" s="28" t="n">
        <v>0.013075</v>
      </c>
      <c r="R386" s="26" t="n">
        <v>27</v>
      </c>
      <c r="S386" s="29" t="n">
        <v>1</v>
      </c>
      <c r="T386" s="24" t="inlineStr">
        <is>
          <t>tennis-surface-elo-v1</t>
        </is>
      </c>
      <c r="U386" s="24" t="inlineStr">
        <is>
          <t>open</t>
        </is>
      </c>
      <c r="V386" s="24" t="n"/>
      <c r="W386" s="26" t="n"/>
      <c r="X386" s="26" t="n"/>
      <c r="Y386" s="25" t="n"/>
      <c r="Z386" s="26" t="n"/>
      <c r="AA386" s="28" t="n"/>
      <c r="AB386" s="28" t="n"/>
      <c r="AC386" s="30" t="n"/>
      <c r="AD386" s="24" t="n"/>
      <c r="AE386" s="31" t="inlineStr">
        <is>
          <t>Surface-blended Elo on Hard: Yannick Hanfmann p=0.552 vs Benjamin Bonzi. Executable ask 0.5400 (aec-atp-benbon-yanhan-2026-08-02).</t>
        </is>
      </c>
      <c r="AF386" s="31" t="inlineStr">
        <is>
          <t>Surface-blended Elo model; singles only, WTA+ATP market coverage, not yet locked-holdout qualified -- promoted by explicit operator directive, not genuine walk-forward validation.</t>
        </is>
      </c>
      <c r="AG386" s="24" t="inlineStr">
        <is>
          <t>not_applicable</t>
        </is>
      </c>
      <c r="AH386" s="24" t="n"/>
      <c r="AI386" s="31" t="n"/>
      <c r="AJ386" s="31" t="n"/>
      <c r="AK386" s="24" t="inlineStr">
        <is>
          <t>research_observation</t>
        </is>
      </c>
      <c r="AL386" s="26" t="n">
        <v>3</v>
      </c>
      <c r="AM386" s="24" t="inlineStr">
        <is>
          <t>RESEARCH_OBSERVATION</t>
        </is>
      </c>
      <c r="AN386" s="24" t="inlineStr">
        <is>
          <t>NO_CALL</t>
        </is>
      </c>
      <c r="AO386" s="24" t="inlineStr">
        <is>
          <t>NO_CALL_LOW_EDGE</t>
        </is>
      </c>
      <c r="AP386" s="24" t="inlineStr">
        <is>
          <t>Yannick Hanfmann</t>
        </is>
      </c>
      <c r="AQ386" s="24" t="inlineStr">
        <is>
          <t>Yannick Hanfmann</t>
        </is>
      </c>
      <c r="AR386" s="24" t="inlineStr">
        <is>
          <t>Yannick Hanfmann</t>
        </is>
      </c>
      <c r="AS386" s="24" t="inlineStr">
        <is>
          <t>Benjamin Bonzi</t>
        </is>
      </c>
      <c r="AT386" s="24" t="inlineStr">
        <is>
          <t>Benjamin Bonzi</t>
        </is>
      </c>
      <c r="AU386" s="24" t="inlineStr">
        <is>
          <t>Benjamin Bonzi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1c05a3c4f76bde5de709ff6bb1937b3c4c67149c2ea621b7c90ca07898e048e8</t>
        </is>
      </c>
      <c r="BB386" s="24" t="inlineStr">
        <is>
          <t>surface_blended_elo</t>
        </is>
      </c>
      <c r="BC386" s="24" t="inlineStr">
        <is>
          <t>tennis-surface-elo-v1</t>
        </is>
      </c>
      <c r="BD386" s="24" t="inlineStr">
        <is>
          <t>1c05a3c4f76bde5de709ff6bb1937b3c4c67149c2ea621b7c90ca07898e048e8</t>
        </is>
      </c>
      <c r="BE386" s="24" t="inlineStr">
        <is>
          <t>tennis-surface-elo-v1</t>
        </is>
      </c>
      <c r="BF386" s="24" t="inlineStr">
        <is>
          <t>1</t>
        </is>
      </c>
      <c r="BG386" s="24" t="inlineStr">
        <is>
          <t>1c05a3c4f76bde5de709ff6bb1937b3c4c67149c2ea621b7c90ca07898e048e8</t>
        </is>
      </c>
      <c r="BH386" s="24" t="inlineStr">
        <is>
          <t>2026-08-02T18:08:38.859418Z</t>
        </is>
      </c>
      <c r="BI386" s="24" t="inlineStr">
        <is>
          <t>["same_event","same_team_same_day","same_league_same_day"]</t>
        </is>
      </c>
      <c r="BJ386" s="25" t="n"/>
      <c r="BK386" s="26" t="n">
        <v>-117</v>
      </c>
      <c r="BL386" s="27" t="n">
        <v>1.854701</v>
      </c>
      <c r="BM386" s="28" t="n">
        <v>0.539171</v>
      </c>
      <c r="BN386" s="28" t="n"/>
      <c r="BO386" s="28" t="n"/>
      <c r="BP386" s="25" t="n"/>
      <c r="BQ386" s="27" t="n"/>
      <c r="BR386" s="28" t="n"/>
      <c r="BS386" s="28" t="n"/>
      <c r="BT386" s="28" t="n"/>
      <c r="BU386" s="25" t="n"/>
      <c r="BV386" s="29" t="n"/>
      <c r="BW386" s="24" t="n"/>
      <c r="BX386" s="30" t="n"/>
      <c r="BY386" s="27" t="n"/>
      <c r="BZ386" s="24" t="n"/>
      <c r="CA386" s="31" t="n"/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inlineStr">
        <is>
          <t>True</t>
        </is>
      </c>
    </row>
    <row r="387" ht="36" customHeight="1">
      <c r="A387" s="24" t="inlineStr">
        <is>
          <t>a15d2cec0465454e</t>
        </is>
      </c>
      <c r="B387" s="24" t="inlineStr">
        <is>
          <t>2026-08-02T18:11:02.297038Z</t>
        </is>
      </c>
      <c r="C387" s="24" t="inlineStr">
        <is>
          <t>2026-08-03T00:30Z</t>
        </is>
      </c>
      <c r="D387" s="24" t="inlineStr">
        <is>
          <t>421-2026:181839</t>
        </is>
      </c>
      <c r="E387" s="24" t="inlineStr">
        <is>
          <t>TENNIS</t>
        </is>
      </c>
      <c r="F387" s="24" t="inlineStr">
        <is>
          <t>Vit Kopriva</t>
        </is>
      </c>
      <c r="G387" s="24" t="inlineStr">
        <is>
          <t>Alexis Galarneau</t>
        </is>
      </c>
      <c r="H387" s="24" t="inlineStr">
        <is>
          <t>moneyline</t>
        </is>
      </c>
      <c r="I387" s="24" t="inlineStr">
        <is>
          <t>away</t>
        </is>
      </c>
      <c r="J387" s="25" t="n"/>
      <c r="K387" s="24" t="inlineStr">
        <is>
          <t>polymarket_us</t>
        </is>
      </c>
      <c r="L387" s="26" t="n">
        <v>104</v>
      </c>
      <c r="M387" s="27" t="n">
        <v>2.04</v>
      </c>
      <c r="N387" s="28" t="n">
        <v>0.490196</v>
      </c>
      <c r="O387" s="28" t="n">
        <v>0.57909</v>
      </c>
      <c r="P387" s="28" t="n">
        <v>0.05</v>
      </c>
      <c r="Q387" s="28" t="n">
        <v>0.088894</v>
      </c>
      <c r="R387" s="26" t="n">
        <v>64</v>
      </c>
      <c r="S387" s="29" t="n">
        <v>1.25</v>
      </c>
      <c r="T387" s="24" t="inlineStr">
        <is>
          <t>tennis-surface-elo-v1</t>
        </is>
      </c>
      <c r="U387" s="24" t="inlineStr">
        <is>
          <t>open</t>
        </is>
      </c>
      <c r="V387" s="24" t="n"/>
      <c r="W387" s="26" t="n"/>
      <c r="X387" s="26" t="n"/>
      <c r="Y387" s="25" t="n"/>
      <c r="Z387" s="26" t="n"/>
      <c r="AA387" s="28" t="n"/>
      <c r="AB387" s="28" t="n"/>
      <c r="AC387" s="30" t="n"/>
      <c r="AD387" s="24" t="n"/>
      <c r="AE387" s="31" t="inlineStr">
        <is>
          <t>Surface-blended Elo on Hard: Vit Kopriva p=0.579 vs Alexis Galarneau. Executable ask 0.4900 (aec-atp-alegal-vitkop-2026-08-03).</t>
        </is>
      </c>
      <c r="AF387" s="31" t="inlineStr">
        <is>
          <t>Surface-blended Elo model; singles only, WTA+ATP market coverage, not yet locked-holdout qualified -- promoted by explicit operator directive, not genuine walk-forward validation.</t>
        </is>
      </c>
      <c r="AG387" s="24" t="inlineStr">
        <is>
          <t>not_applicable</t>
        </is>
      </c>
      <c r="AH387" s="24" t="n"/>
      <c r="AI387" s="31" t="n"/>
      <c r="AJ387" s="31" t="n"/>
      <c r="AK387" s="24" t="inlineStr">
        <is>
          <t>model_qualified</t>
        </is>
      </c>
      <c r="AL387" s="26" t="n">
        <v>3</v>
      </c>
      <c r="AM387" s="24" t="inlineStr">
        <is>
          <t>QUALIFIED_SHADOW_CALL</t>
        </is>
      </c>
      <c r="AN387" s="24" t="inlineStr">
        <is>
          <t>CALL</t>
        </is>
      </c>
      <c r="AO387" s="24" t="inlineStr">
        <is>
          <t>QUALIFIED</t>
        </is>
      </c>
      <c r="AP387" s="24" t="inlineStr">
        <is>
          <t>Vit Kopriva</t>
        </is>
      </c>
      <c r="AQ387" s="24" t="inlineStr">
        <is>
          <t>Vit Kopriva</t>
        </is>
      </c>
      <c r="AR387" s="24" t="inlineStr">
        <is>
          <t>Vit Kopriva</t>
        </is>
      </c>
      <c r="AS387" s="24" t="inlineStr">
        <is>
          <t>Alexis Galarneau</t>
        </is>
      </c>
      <c r="AT387" s="24" t="inlineStr">
        <is>
          <t>Alexis Galarneau</t>
        </is>
      </c>
      <c r="AU387" s="24" t="inlineStr">
        <is>
          <t>Alexis Galarneau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1c05a3c4f76bde5de709ff6bb1937b3c4c67149c2ea621b7c90ca07898e048e8</t>
        </is>
      </c>
      <c r="BB387" s="24" t="inlineStr">
        <is>
          <t>surface_blended_elo</t>
        </is>
      </c>
      <c r="BC387" s="24" t="inlineStr">
        <is>
          <t>tennis-surface-elo-v1</t>
        </is>
      </c>
      <c r="BD387" s="24" t="inlineStr">
        <is>
          <t>1c05a3c4f76bde5de709ff6bb1937b3c4c67149c2ea621b7c90ca07898e048e8</t>
        </is>
      </c>
      <c r="BE387" s="24" t="inlineStr">
        <is>
          <t>tennis-surface-elo-v1</t>
        </is>
      </c>
      <c r="BF387" s="24" t="inlineStr">
        <is>
          <t>1</t>
        </is>
      </c>
      <c r="BG387" s="24" t="inlineStr">
        <is>
          <t>1c05a3c4f76bde5de709ff6bb1937b3c4c67149c2ea621b7c90ca07898e048e8</t>
        </is>
      </c>
      <c r="BH387" s="24" t="inlineStr">
        <is>
          <t>2026-08-02T18:08:39.325449Z</t>
        </is>
      </c>
      <c r="BI387" s="24" t="inlineStr">
        <is>
          <t>["same_event","same_team_same_day","same_league_same_day"]</t>
        </is>
      </c>
      <c r="BJ387" s="25" t="n"/>
      <c r="BK387" s="26" t="n">
        <v>104</v>
      </c>
      <c r="BL387" s="27" t="n">
        <v>2.04</v>
      </c>
      <c r="BM387" s="28" t="n">
        <v>0.490196</v>
      </c>
      <c r="BN387" s="28" t="n"/>
      <c r="BO387" s="28" t="n"/>
      <c r="BP387" s="25" t="n"/>
      <c r="BQ387" s="27" t="n"/>
      <c r="BR387" s="28" t="n"/>
      <c r="BS387" s="28" t="n"/>
      <c r="BT387" s="28" t="n"/>
      <c r="BU387" s="25" t="n"/>
      <c r="BV387" s="29" t="n"/>
      <c r="BW387" s="24" t="n"/>
      <c r="BX387" s="30" t="n"/>
      <c r="BY387" s="27" t="n"/>
      <c r="BZ387" s="24" t="n"/>
      <c r="CA387" s="31" t="n"/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inlineStr">
        <is>
          <t>True</t>
        </is>
      </c>
    </row>
    <row r="388" ht="36" customHeight="1">
      <c r="A388" s="24" t="inlineStr">
        <is>
          <t>d08ca361f2094878</t>
        </is>
      </c>
      <c r="B388" s="24" t="inlineStr">
        <is>
          <t>2026-08-02T18:12:25.393675Z</t>
        </is>
      </c>
      <c r="C388" s="24" t="inlineStr">
        <is>
          <t>2026-08-03T08:00:00Z</t>
        </is>
      </c>
      <c r="D388" s="24" t="inlineStr">
        <is>
          <t>67491</t>
        </is>
      </c>
      <c r="E388" s="24" t="inlineStr">
        <is>
          <t>LOL</t>
        </is>
      </c>
      <c r="F388" s="24" t="inlineStr">
        <is>
          <t>Hanwha Life Esports</t>
        </is>
      </c>
      <c r="G388" s="24" t="inlineStr">
        <is>
          <t>Gen.G</t>
        </is>
      </c>
      <c r="H388" s="24" t="inlineStr">
        <is>
          <t>moneyline</t>
        </is>
      </c>
      <c r="I388" s="24" t="inlineStr">
        <is>
          <t>away</t>
        </is>
      </c>
      <c r="J388" s="25" t="n"/>
      <c r="K388" s="24" t="inlineStr">
        <is>
          <t>polymarket_us</t>
        </is>
      </c>
      <c r="L388" s="26" t="n">
        <v>-144</v>
      </c>
      <c r="M388" s="27" t="n">
        <v>1.694444</v>
      </c>
      <c r="N388" s="28" t="n">
        <v>0.590164</v>
      </c>
      <c r="O388" s="28" t="n">
        <v>0.5360740000000001</v>
      </c>
      <c r="P388" s="28" t="n"/>
      <c r="Q388" s="28" t="n">
        <v>-0.05409</v>
      </c>
      <c r="R388" s="26" t="n">
        <v>0</v>
      </c>
      <c r="S388" s="29" t="n">
        <v>1</v>
      </c>
      <c r="T388" s="24" t="inlineStr">
        <is>
          <t>lol-tiered-elo-v5</t>
        </is>
      </c>
      <c r="U388" s="24" t="inlineStr">
        <is>
          <t>open</t>
        </is>
      </c>
      <c r="V388" s="24" t="n"/>
      <c r="W388" s="26" t="n"/>
      <c r="X388" s="26" t="n"/>
      <c r="Y388" s="25" t="n"/>
      <c r="Z388" s="26" t="n"/>
      <c r="AA388" s="28" t="n"/>
      <c r="AB388" s="28" t="n"/>
      <c r="AC388" s="30" t="n"/>
      <c r="AD388" s="24" t="n"/>
      <c r="AE388" s="31" t="inlineStr">
        <is>
          <t>Neutral Elo baseline; executable ask 0.5900 (market_slug=aec-lol-gen-hle-2026-08-03).</t>
        </is>
      </c>
      <c r="AF388" s="31" t="inlineStr">
        <is>
          <t>Config-promoted esports baseline; gates enforced at log time.</t>
        </is>
      </c>
      <c r="AG388" s="24" t="inlineStr">
        <is>
          <t>not_applicable</t>
        </is>
      </c>
      <c r="AH388" s="24" t="n"/>
      <c r="AI388" s="31" t="n"/>
      <c r="AJ388" s="31" t="n"/>
      <c r="AK388" s="24" t="inlineStr">
        <is>
          <t>research_observation</t>
        </is>
      </c>
      <c r="AL388" s="26" t="n">
        <v>3</v>
      </c>
      <c r="AM388" s="24" t="inlineStr">
        <is>
          <t>RESEARCH_OBSERVATION</t>
        </is>
      </c>
      <c r="AN388" s="24" t="inlineStr">
        <is>
          <t>NO_CALL</t>
        </is>
      </c>
      <c r="AO388" s="24" t="inlineStr">
        <is>
          <t>NO_CALL_LOW_EDGE</t>
        </is>
      </c>
      <c r="AP388" s="24" t="inlineStr">
        <is>
          <t>Hanwha Life Esports</t>
        </is>
      </c>
      <c r="AQ388" s="24" t="inlineStr">
        <is>
          <t>Hanwha Life Esports</t>
        </is>
      </c>
      <c r="AR388" s="24" t="inlineStr">
        <is>
          <t>Hanwha Life Esports</t>
        </is>
      </c>
      <c r="AS388" s="24" t="inlineStr">
        <is>
          <t>Gen.G</t>
        </is>
      </c>
      <c r="AT388" s="24" t="inlineStr">
        <is>
          <t>Gen.G</t>
        </is>
      </c>
      <c r="AU388" s="24" t="inlineStr">
        <is>
          <t>Gen.G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4f36308eb4ef5b33d9e3dc1ce778f2d60fa81380dd8ffa234241836516487e8e</t>
        </is>
      </c>
      <c r="BB388" s="24" t="inlineStr">
        <is>
          <t>neutral_elo</t>
        </is>
      </c>
      <c r="BC388" s="24" t="inlineStr">
        <is>
          <t>lol-tiered-elo-v5</t>
        </is>
      </c>
      <c r="BD388" s="24" t="inlineStr">
        <is>
          <t>4f36308eb4ef5b33d9e3dc1ce778f2d60fa81380dd8ffa234241836516487e8e</t>
        </is>
      </c>
      <c r="BE388" s="24" t="inlineStr">
        <is>
          <t>1</t>
        </is>
      </c>
      <c r="BF388" s="24" t="inlineStr">
        <is>
          <t>1</t>
        </is>
      </c>
      <c r="BG388" s="24" t="inlineStr">
        <is>
          <t>lol-tiered-elo-v5</t>
        </is>
      </c>
      <c r="BH388" s="24" t="inlineStr">
        <is>
          <t>2026-08-02T18:12:16.992475Z</t>
        </is>
      </c>
      <c r="BI388" s="24" t="inlineStr">
        <is>
          <t>["same_event","same_team_same_day","same_league_same_day"]</t>
        </is>
      </c>
      <c r="BJ388" s="25" t="n"/>
      <c r="BK388" s="26" t="n">
        <v>-144</v>
      </c>
      <c r="BL388" s="27" t="n">
        <v>1.694444</v>
      </c>
      <c r="BM388" s="28" t="n">
        <v>0.590164</v>
      </c>
      <c r="BN388" s="28" t="n"/>
      <c r="BO388" s="28" t="n"/>
      <c r="BP388" s="25" t="n"/>
      <c r="BQ388" s="27" t="n"/>
      <c r="BR388" s="28" t="n"/>
      <c r="BS388" s="28" t="n"/>
      <c r="BT388" s="28" t="n"/>
      <c r="BU388" s="25" t="n"/>
      <c r="BV388" s="29" t="n"/>
      <c r="BW388" s="24" t="n"/>
      <c r="BX388" s="30" t="n"/>
      <c r="BY388" s="27" t="n"/>
      <c r="BZ388" s="24" t="n"/>
      <c r="CA388" s="31" t="n"/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inlineStr">
        <is>
          <t>False</t>
        </is>
      </c>
    </row>
    <row r="389" ht="36" customHeight="1">
      <c r="A389" s="24" t="inlineStr">
        <is>
          <t>e8caac68ec704924</t>
        </is>
      </c>
      <c r="B389" s="24" t="inlineStr">
        <is>
          <t>2026-08-02T18:12:25.393675Z</t>
        </is>
      </c>
      <c r="C389" s="24" t="inlineStr">
        <is>
          <t>2026-08-03T08:00:00Z</t>
        </is>
      </c>
      <c r="D389" s="24" t="inlineStr">
        <is>
          <t>67492</t>
        </is>
      </c>
      <c r="E389" s="24" t="inlineStr">
        <is>
          <t>LOL</t>
        </is>
      </c>
      <c r="F389" s="24" t="inlineStr">
        <is>
          <t>BNK FearX Youth</t>
        </is>
      </c>
      <c r="G389" s="24" t="inlineStr">
        <is>
          <t>HANJIN BRION Challengers</t>
        </is>
      </c>
      <c r="H389" s="24" t="inlineStr">
        <is>
          <t>moneyline</t>
        </is>
      </c>
      <c r="I389" s="24" t="inlineStr">
        <is>
          <t>away</t>
        </is>
      </c>
      <c r="J389" s="25" t="n"/>
      <c r="K389" s="24" t="inlineStr">
        <is>
          <t>polymarket_us</t>
        </is>
      </c>
      <c r="L389" s="26" t="n">
        <v>-223</v>
      </c>
      <c r="M389" s="27" t="n">
        <v>1.44843</v>
      </c>
      <c r="N389" s="28" t="n">
        <v>0.690402</v>
      </c>
      <c r="O389" s="28" t="n">
        <v>0.634708</v>
      </c>
      <c r="P389" s="28" t="n"/>
      <c r="Q389" s="28" t="n">
        <v>-0.055694</v>
      </c>
      <c r="R389" s="26" t="n">
        <v>0</v>
      </c>
      <c r="S389" s="29" t="n">
        <v>1.5</v>
      </c>
      <c r="T389" s="24" t="inlineStr">
        <is>
          <t>lol-tiered-elo-v5</t>
        </is>
      </c>
      <c r="U389" s="24" t="inlineStr">
        <is>
          <t>open</t>
        </is>
      </c>
      <c r="V389" s="24" t="n"/>
      <c r="W389" s="26" t="n"/>
      <c r="X389" s="26" t="n"/>
      <c r="Y389" s="25" t="n"/>
      <c r="Z389" s="26" t="n"/>
      <c r="AA389" s="28" t="n"/>
      <c r="AB389" s="28" t="n"/>
      <c r="AC389" s="30" t="n"/>
      <c r="AD389" s="24" t="n"/>
      <c r="AE389" s="31" t="inlineStr">
        <is>
          <t>Neutral Elo baseline; executable ask 0.6900 (market_slug=aec-lol-hbc-foxy-2026-08-03).</t>
        </is>
      </c>
      <c r="AF389" s="31" t="inlineStr">
        <is>
          <t>Config-promoted esports baseline; gates enforced at log time.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research_observation</t>
        </is>
      </c>
      <c r="AL389" s="26" t="n">
        <v>3</v>
      </c>
      <c r="AM389" s="24" t="inlineStr">
        <is>
          <t>RESEARCH_OBSERVATION</t>
        </is>
      </c>
      <c r="AN389" s="24" t="inlineStr">
        <is>
          <t>NO_CALL</t>
        </is>
      </c>
      <c r="AO389" s="24" t="inlineStr">
        <is>
          <t>NO_CALL_LOW_EDGE</t>
        </is>
      </c>
      <c r="AP389" s="24" t="inlineStr">
        <is>
          <t>BNK FearX Youth</t>
        </is>
      </c>
      <c r="AQ389" s="24" t="inlineStr">
        <is>
          <t>BNK FearX Youth</t>
        </is>
      </c>
      <c r="AR389" s="24" t="inlineStr">
        <is>
          <t>BNK FearX Youth</t>
        </is>
      </c>
      <c r="AS389" s="24" t="inlineStr">
        <is>
          <t>HANJIN BRION Challengers</t>
        </is>
      </c>
      <c r="AT389" s="24" t="inlineStr">
        <is>
          <t>HANJIN BRION Challengers</t>
        </is>
      </c>
      <c r="AU389" s="24" t="inlineStr">
        <is>
          <t>HANJIN BRION Challengers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4f36308eb4ef5b33d9e3dc1ce778f2d60fa81380dd8ffa234241836516487e8e</t>
        </is>
      </c>
      <c r="BB389" s="24" t="inlineStr">
        <is>
          <t>neutral_elo</t>
        </is>
      </c>
      <c r="BC389" s="24" t="inlineStr">
        <is>
          <t>lol-tiered-elo-v5</t>
        </is>
      </c>
      <c r="BD389" s="24" t="inlineStr">
        <is>
          <t>4f36308eb4ef5b33d9e3dc1ce778f2d60fa81380dd8ffa234241836516487e8e</t>
        </is>
      </c>
      <c r="BE389" s="24" t="inlineStr">
        <is>
          <t>1</t>
        </is>
      </c>
      <c r="BF389" s="24" t="inlineStr">
        <is>
          <t>1</t>
        </is>
      </c>
      <c r="BG389" s="24" t="inlineStr">
        <is>
          <t>lol-tiered-elo-v5</t>
        </is>
      </c>
      <c r="BH389" s="24" t="inlineStr">
        <is>
          <t>2026-08-02T18:12:17.534127Z</t>
        </is>
      </c>
      <c r="BI389" s="24" t="inlineStr">
        <is>
          <t>["same_event","same_team_same_day","same_league_same_day"]</t>
        </is>
      </c>
      <c r="BJ389" s="25" t="n"/>
      <c r="BK389" s="26" t="n">
        <v>-223</v>
      </c>
      <c r="BL389" s="27" t="n">
        <v>1.44843</v>
      </c>
      <c r="BM389" s="28" t="n">
        <v>0.690402</v>
      </c>
      <c r="BN389" s="28" t="n"/>
      <c r="BO389" s="28" t="n"/>
      <c r="BP389" s="25" t="n"/>
      <c r="BQ389" s="27" t="n"/>
      <c r="BR389" s="28" t="n"/>
      <c r="BS389" s="28" t="n"/>
      <c r="BT389" s="28" t="n"/>
      <c r="BU389" s="25" t="n"/>
      <c r="BV389" s="29" t="n"/>
      <c r="BW389" s="24" t="n"/>
      <c r="BX389" s="30" t="n"/>
      <c r="BY389" s="27" t="n"/>
      <c r="BZ389" s="24" t="n"/>
      <c r="CA389" s="31" t="n"/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inlineStr">
        <is>
          <t>False</t>
        </is>
      </c>
    </row>
    <row r="390" ht="36" customHeight="1">
      <c r="A390" s="24" t="inlineStr">
        <is>
          <t>5b864125d13f482d</t>
        </is>
      </c>
      <c r="B390" s="24" t="inlineStr">
        <is>
          <t>2026-08-02T18:12:25.393675Z</t>
        </is>
      </c>
      <c r="C390" s="24" t="inlineStr">
        <is>
          <t>2026-08-03T10:00:00Z</t>
        </is>
      </c>
      <c r="D390" s="24" t="inlineStr">
        <is>
          <t>67511</t>
        </is>
      </c>
      <c r="E390" s="24" t="inlineStr">
        <is>
          <t>LOL</t>
        </is>
      </c>
      <c r="F390" s="24" t="inlineStr">
        <is>
          <t>Dplus KIA Challengers</t>
        </is>
      </c>
      <c r="G390" s="24" t="inlineStr">
        <is>
          <t>DN SOOPers Challengers</t>
        </is>
      </c>
      <c r="H390" s="24" t="inlineStr">
        <is>
          <t>moneyline</t>
        </is>
      </c>
      <c r="I390" s="24" t="inlineStr">
        <is>
          <t>away</t>
        </is>
      </c>
      <c r="J390" s="25" t="n"/>
      <c r="K390" s="24" t="inlineStr">
        <is>
          <t>polymarket_us</t>
        </is>
      </c>
      <c r="L390" s="26" t="n">
        <v>-223</v>
      </c>
      <c r="M390" s="27" t="n">
        <v>1.44843</v>
      </c>
      <c r="N390" s="28" t="n">
        <v>0.690402</v>
      </c>
      <c r="O390" s="28" t="n">
        <v>0.70331</v>
      </c>
      <c r="P390" s="28" t="n"/>
      <c r="Q390" s="28" t="n">
        <v>0.012908</v>
      </c>
      <c r="R390" s="26" t="n">
        <v>26</v>
      </c>
      <c r="S390" s="29" t="n">
        <v>2</v>
      </c>
      <c r="T390" s="24" t="inlineStr">
        <is>
          <t>lol-tiered-elo-v5</t>
        </is>
      </c>
      <c r="U390" s="24" t="inlineStr">
        <is>
          <t>open</t>
        </is>
      </c>
      <c r="V390" s="24" t="n"/>
      <c r="W390" s="26" t="n"/>
      <c r="X390" s="26" t="n"/>
      <c r="Y390" s="25" t="n"/>
      <c r="Z390" s="26" t="n"/>
      <c r="AA390" s="28" t="n"/>
      <c r="AB390" s="28" t="n"/>
      <c r="AC390" s="30" t="n"/>
      <c r="AD390" s="24" t="n"/>
      <c r="AE390" s="31" t="inlineStr">
        <is>
          <t>Neutral Elo baseline; executable ask 0.6900 (market_slug=aec-lol-dnsc-dkc-2026-08-03).</t>
        </is>
      </c>
      <c r="AF390" s="31" t="inlineStr">
        <is>
          <t>Config-promoted esports baseline; gates enforced at log time.</t>
        </is>
      </c>
      <c r="AG390" s="24" t="inlineStr">
        <is>
          <t>not_applicable</t>
        </is>
      </c>
      <c r="AH390" s="24" t="n"/>
      <c r="AI390" s="31" t="n"/>
      <c r="AJ390" s="31" t="n"/>
      <c r="AK390" s="24" t="inlineStr">
        <is>
          <t>model_qualified</t>
        </is>
      </c>
      <c r="AL390" s="26" t="n">
        <v>3</v>
      </c>
      <c r="AM390" s="24" t="inlineStr">
        <is>
          <t>QUALIFIED_SHADOW_CALL</t>
        </is>
      </c>
      <c r="AN390" s="24" t="inlineStr">
        <is>
          <t>CALL</t>
        </is>
      </c>
      <c r="AO390" s="24" t="inlineStr">
        <is>
          <t>QUALIFIED</t>
        </is>
      </c>
      <c r="AP390" s="24" t="inlineStr">
        <is>
          <t>Dplus KIA Challengers</t>
        </is>
      </c>
      <c r="AQ390" s="24" t="inlineStr">
        <is>
          <t>Dplus KIA Challengers</t>
        </is>
      </c>
      <c r="AR390" s="24" t="inlineStr">
        <is>
          <t>Dplus KIA Challengers</t>
        </is>
      </c>
      <c r="AS390" s="24" t="inlineStr">
        <is>
          <t>DN SOOPers Challengers</t>
        </is>
      </c>
      <c r="AT390" s="24" t="inlineStr">
        <is>
          <t>DN SOOPers Challengers</t>
        </is>
      </c>
      <c r="AU390" s="24" t="inlineStr">
        <is>
          <t>DN SOOPers Challengers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4f36308eb4ef5b33d9e3dc1ce778f2d60fa81380dd8ffa234241836516487e8e</t>
        </is>
      </c>
      <c r="BB390" s="24" t="inlineStr">
        <is>
          <t>neutral_elo</t>
        </is>
      </c>
      <c r="BC390" s="24" t="inlineStr">
        <is>
          <t>lol-tiered-elo-v5</t>
        </is>
      </c>
      <c r="BD390" s="24" t="inlineStr">
        <is>
          <t>4f36308eb4ef5b33d9e3dc1ce778f2d60fa81380dd8ffa234241836516487e8e</t>
        </is>
      </c>
      <c r="BE390" s="24" t="inlineStr">
        <is>
          <t>1</t>
        </is>
      </c>
      <c r="BF390" s="24" t="inlineStr">
        <is>
          <t>1</t>
        </is>
      </c>
      <c r="BG390" s="24" t="inlineStr">
        <is>
          <t>lol-tiered-elo-v5</t>
        </is>
      </c>
      <c r="BH390" s="24" t="inlineStr">
        <is>
          <t>2026-08-02T18:12:18.085863Z</t>
        </is>
      </c>
      <c r="BI390" s="24" t="inlineStr">
        <is>
          <t>["same_event","same_team_same_day","same_league_same_day"]</t>
        </is>
      </c>
      <c r="BJ390" s="25" t="n"/>
      <c r="BK390" s="26" t="n">
        <v>-223</v>
      </c>
      <c r="BL390" s="27" t="n">
        <v>1.44843</v>
      </c>
      <c r="BM390" s="28" t="n">
        <v>0.690402</v>
      </c>
      <c r="BN390" s="28" t="n"/>
      <c r="BO390" s="28" t="n"/>
      <c r="BP390" s="25" t="n"/>
      <c r="BQ390" s="27" t="n"/>
      <c r="BR390" s="28" t="n"/>
      <c r="BS390" s="28" t="n"/>
      <c r="BT390" s="28" t="n"/>
      <c r="BU390" s="25" t="n"/>
      <c r="BV390" s="29" t="n"/>
      <c r="BW390" s="24" t="n"/>
      <c r="BX390" s="30" t="n"/>
      <c r="BY390" s="27" t="n"/>
      <c r="BZ390" s="24" t="n"/>
      <c r="CA390" s="31" t="n"/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inlineStr">
        <is>
          <t>True</t>
        </is>
      </c>
    </row>
    <row r="391" ht="36" customHeight="1">
      <c r="A391" s="24" t="inlineStr">
        <is>
          <t>37ca8cc8cf5449f6</t>
        </is>
      </c>
      <c r="B391" s="24" t="inlineStr">
        <is>
          <t>2026-08-02T18:12:25.393675Z</t>
        </is>
      </c>
      <c r="C391" s="24" t="inlineStr">
        <is>
          <t>2026-08-03T10:30:00Z</t>
        </is>
      </c>
      <c r="D391" s="24" t="inlineStr">
        <is>
          <t>67515</t>
        </is>
      </c>
      <c r="E391" s="24" t="inlineStr">
        <is>
          <t>LOL</t>
        </is>
      </c>
      <c r="F391" s="24" t="inlineStr">
        <is>
          <t>T1</t>
        </is>
      </c>
      <c r="G391" s="24" t="inlineStr">
        <is>
          <t>Nongshim Red Force</t>
        </is>
      </c>
      <c r="H391" s="24" t="inlineStr">
        <is>
          <t>moneyline</t>
        </is>
      </c>
      <c r="I391" s="24" t="inlineStr">
        <is>
          <t>away</t>
        </is>
      </c>
      <c r="J391" s="25" t="n"/>
      <c r="K391" s="24" t="inlineStr">
        <is>
          <t>polymarket_us</t>
        </is>
      </c>
      <c r="L391" s="26" t="n">
        <v>-156</v>
      </c>
      <c r="M391" s="27" t="n">
        <v>1.641026</v>
      </c>
      <c r="N391" s="28" t="n">
        <v>0.609375</v>
      </c>
      <c r="O391" s="28" t="n">
        <v>0.746406</v>
      </c>
      <c r="P391" s="28" t="n"/>
      <c r="Q391" s="28" t="n">
        <v>0.137031</v>
      </c>
      <c r="R391" s="26" t="n">
        <v>89</v>
      </c>
      <c r="S391" s="29" t="n">
        <v>2</v>
      </c>
      <c r="T391" s="24" t="inlineStr">
        <is>
          <t>lol-tiered-elo-v5</t>
        </is>
      </c>
      <c r="U391" s="24" t="inlineStr">
        <is>
          <t>open</t>
        </is>
      </c>
      <c r="V391" s="24" t="n"/>
      <c r="W391" s="26" t="n"/>
      <c r="X391" s="26" t="n"/>
      <c r="Y391" s="25" t="n"/>
      <c r="Z391" s="26" t="n"/>
      <c r="AA391" s="28" t="n"/>
      <c r="AB391" s="28" t="n"/>
      <c r="AC391" s="30" t="n"/>
      <c r="AD391" s="24" t="n"/>
      <c r="AE391" s="31" t="inlineStr">
        <is>
          <t>Neutral Elo baseline; executable ask 0.6100 (market_slug=aec-lol-ns-t1-2026-08-03).</t>
        </is>
      </c>
      <c r="AF391" s="31" t="inlineStr">
        <is>
          <t>Config-promoted esports baseline; gates enforced at log time.</t>
        </is>
      </c>
      <c r="AG391" s="24" t="inlineStr">
        <is>
          <t>not_applicable</t>
        </is>
      </c>
      <c r="AH391" s="24" t="n"/>
      <c r="AI391" s="31" t="n"/>
      <c r="AJ391" s="31" t="n"/>
      <c r="AK391" s="24" t="inlineStr">
        <is>
          <t>model_qualified</t>
        </is>
      </c>
      <c r="AL391" s="26" t="n">
        <v>3</v>
      </c>
      <c r="AM391" s="24" t="inlineStr">
        <is>
          <t>QUALIFIED_SHADOW_CALL</t>
        </is>
      </c>
      <c r="AN391" s="24" t="inlineStr">
        <is>
          <t>CALL</t>
        </is>
      </c>
      <c r="AO391" s="24" t="inlineStr">
        <is>
          <t>QUALIFIED</t>
        </is>
      </c>
      <c r="AP391" s="24" t="inlineStr">
        <is>
          <t>T1</t>
        </is>
      </c>
      <c r="AQ391" s="24" t="inlineStr">
        <is>
          <t>T1</t>
        </is>
      </c>
      <c r="AR391" s="24" t="inlineStr">
        <is>
          <t>T1</t>
        </is>
      </c>
      <c r="AS391" s="24" t="inlineStr">
        <is>
          <t>Nongshim Red Force</t>
        </is>
      </c>
      <c r="AT391" s="24" t="inlineStr">
        <is>
          <t>Nongshim Red Force</t>
        </is>
      </c>
      <c r="AU391" s="24" t="inlineStr">
        <is>
          <t>Nongshim Red Force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4f36308eb4ef5b33d9e3dc1ce778f2d60fa81380dd8ffa234241836516487e8e</t>
        </is>
      </c>
      <c r="BB391" s="24" t="inlineStr">
        <is>
          <t>neutral_elo</t>
        </is>
      </c>
      <c r="BC391" s="24" t="inlineStr">
        <is>
          <t>lol-tiered-elo-v5</t>
        </is>
      </c>
      <c r="BD391" s="24" t="inlineStr">
        <is>
          <t>4f36308eb4ef5b33d9e3dc1ce778f2d60fa81380dd8ffa234241836516487e8e</t>
        </is>
      </c>
      <c r="BE391" s="24" t="inlineStr">
        <is>
          <t>1</t>
        </is>
      </c>
      <c r="BF391" s="24" t="inlineStr">
        <is>
          <t>1</t>
        </is>
      </c>
      <c r="BG391" s="24" t="inlineStr">
        <is>
          <t>lol-tiered-elo-v5</t>
        </is>
      </c>
      <c r="BH391" s="24" t="inlineStr">
        <is>
          <t>2026-08-02T18:12:18.584911Z</t>
        </is>
      </c>
      <c r="BI391" s="24" t="inlineStr">
        <is>
          <t>["same_event","same_team_same_day","same_league_same_day"]</t>
        </is>
      </c>
      <c r="BJ391" s="25" t="n"/>
      <c r="BK391" s="26" t="n">
        <v>-156</v>
      </c>
      <c r="BL391" s="27" t="n">
        <v>1.641026</v>
      </c>
      <c r="BM391" s="28" t="n">
        <v>0.609375</v>
      </c>
      <c r="BN391" s="28" t="n"/>
      <c r="BO391" s="28" t="n"/>
      <c r="BP391" s="25" t="n"/>
      <c r="BQ391" s="27" t="n"/>
      <c r="BR391" s="28" t="n"/>
      <c r="BS391" s="28" t="n"/>
      <c r="BT391" s="28" t="n"/>
      <c r="BU391" s="25" t="n"/>
      <c r="BV391" s="29" t="n"/>
      <c r="BW391" s="24" t="n"/>
      <c r="BX391" s="30" t="n"/>
      <c r="BY391" s="27" t="n"/>
      <c r="BZ391" s="24" t="n"/>
      <c r="CA391" s="31" t="n"/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inlineStr">
        <is>
          <t>True</t>
        </is>
      </c>
    </row>
    <row r="392" ht="36" customHeight="1">
      <c r="A392" s="24" t="inlineStr">
        <is>
          <t>dcf2fad55f264859</t>
        </is>
      </c>
      <c r="B392" s="24" t="inlineStr">
        <is>
          <t>2026-08-02T18:12:25.393675Z</t>
        </is>
      </c>
      <c r="C392" s="24" t="inlineStr">
        <is>
          <t>2026-08-03T15:00:00Z</t>
        </is>
      </c>
      <c r="D392" s="24" t="inlineStr">
        <is>
          <t>67566</t>
        </is>
      </c>
      <c r="E392" s="24" t="inlineStr">
        <is>
          <t>LOL</t>
        </is>
      </c>
      <c r="F392" s="24" t="inlineStr">
        <is>
          <t>Shifters</t>
        </is>
      </c>
      <c r="G392" s="24" t="inlineStr">
        <is>
          <t>Natus Vincere</t>
        </is>
      </c>
      <c r="H392" s="24" t="inlineStr">
        <is>
          <t>moneyline</t>
        </is>
      </c>
      <c r="I392" s="24" t="inlineStr">
        <is>
          <t>home</t>
        </is>
      </c>
      <c r="J392" s="25" t="n"/>
      <c r="K392" s="24" t="inlineStr">
        <is>
          <t>polymarket_us</t>
        </is>
      </c>
      <c r="L392" s="26" t="n">
        <v>-233</v>
      </c>
      <c r="M392" s="27" t="n">
        <v>1.429185</v>
      </c>
      <c r="N392" s="28" t="n">
        <v>0.6997</v>
      </c>
      <c r="O392" s="28" t="n">
        <v>0.746125</v>
      </c>
      <c r="P392" s="28" t="n"/>
      <c r="Q392" s="28" t="n">
        <v>0.046425</v>
      </c>
      <c r="R392" s="26" t="n">
        <v>43</v>
      </c>
      <c r="S392" s="29" t="n">
        <v>2</v>
      </c>
      <c r="T392" s="24" t="inlineStr">
        <is>
          <t>lol-tiered-elo-v5</t>
        </is>
      </c>
      <c r="U392" s="24" t="inlineStr">
        <is>
          <t>open</t>
        </is>
      </c>
      <c r="V392" s="24" t="n"/>
      <c r="W392" s="26" t="n"/>
      <c r="X392" s="26" t="n"/>
      <c r="Y392" s="25" t="n"/>
      <c r="Z392" s="26" t="n"/>
      <c r="AA392" s="28" t="n"/>
      <c r="AB392" s="28" t="n"/>
      <c r="AC392" s="30" t="n"/>
      <c r="AD392" s="24" t="n"/>
      <c r="AE392" s="31" t="inlineStr">
        <is>
          <t>Neutral Elo baseline; executable ask 0.7000 (market_slug=aec-lol-navi-shft-2026-08-03).</t>
        </is>
      </c>
      <c r="AF392" s="31" t="inlineStr">
        <is>
          <t>Config-promoted esports baseline; gates enforced at log time.</t>
        </is>
      </c>
      <c r="AG392" s="24" t="inlineStr">
        <is>
          <t>not_applicable</t>
        </is>
      </c>
      <c r="AH392" s="24" t="n"/>
      <c r="AI392" s="31" t="n"/>
      <c r="AJ392" s="31" t="n"/>
      <c r="AK392" s="24" t="inlineStr">
        <is>
          <t>model_qualified</t>
        </is>
      </c>
      <c r="AL392" s="26" t="n">
        <v>3</v>
      </c>
      <c r="AM392" s="24" t="inlineStr">
        <is>
          <t>QUALIFIED_SHADOW_CALL</t>
        </is>
      </c>
      <c r="AN392" s="24" t="inlineStr">
        <is>
          <t>CALL</t>
        </is>
      </c>
      <c r="AO392" s="24" t="inlineStr">
        <is>
          <t>QUALIFIED</t>
        </is>
      </c>
      <c r="AP392" s="24" t="inlineStr">
        <is>
          <t>Shifters</t>
        </is>
      </c>
      <c r="AQ392" s="24" t="inlineStr">
        <is>
          <t>Shifters</t>
        </is>
      </c>
      <c r="AR392" s="24" t="inlineStr">
        <is>
          <t>Shifters</t>
        </is>
      </c>
      <c r="AS392" s="24" t="inlineStr">
        <is>
          <t>Natus Vincere</t>
        </is>
      </c>
      <c r="AT392" s="24" t="inlineStr">
        <is>
          <t>Natus Vincere</t>
        </is>
      </c>
      <c r="AU392" s="24" t="inlineStr">
        <is>
          <t>Natus Vincere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4f36308eb4ef5b33d9e3dc1ce778f2d60fa81380dd8ffa234241836516487e8e</t>
        </is>
      </c>
      <c r="BB392" s="24" t="inlineStr">
        <is>
          <t>neutral_elo</t>
        </is>
      </c>
      <c r="BC392" s="24" t="inlineStr">
        <is>
          <t>lol-tiered-elo-v5</t>
        </is>
      </c>
      <c r="BD392" s="24" t="inlineStr">
        <is>
          <t>4f36308eb4ef5b33d9e3dc1ce778f2d60fa81380dd8ffa234241836516487e8e</t>
        </is>
      </c>
      <c r="BE392" s="24" t="inlineStr">
        <is>
          <t>1</t>
        </is>
      </c>
      <c r="BF392" s="24" t="inlineStr">
        <is>
          <t>1</t>
        </is>
      </c>
      <c r="BG392" s="24" t="inlineStr">
        <is>
          <t>lol-tiered-elo-v5</t>
        </is>
      </c>
      <c r="BH392" s="24" t="inlineStr">
        <is>
          <t>2026-08-02T18:12:19.163906Z</t>
        </is>
      </c>
      <c r="BI392" s="24" t="inlineStr">
        <is>
          <t>["same_event","same_team_same_day","same_league_same_day"]</t>
        </is>
      </c>
      <c r="BJ392" s="25" t="n"/>
      <c r="BK392" s="26" t="n">
        <v>-233</v>
      </c>
      <c r="BL392" s="27" t="n">
        <v>1.429185</v>
      </c>
      <c r="BM392" s="28" t="n">
        <v>0.6997</v>
      </c>
      <c r="BN392" s="28" t="n"/>
      <c r="BO392" s="28" t="n"/>
      <c r="BP392" s="25" t="n"/>
      <c r="BQ392" s="27" t="n"/>
      <c r="BR392" s="28" t="n"/>
      <c r="BS392" s="28" t="n"/>
      <c r="BT392" s="28" t="n"/>
      <c r="BU392" s="25" t="n"/>
      <c r="BV392" s="29" t="n"/>
      <c r="BW392" s="24" t="n"/>
      <c r="BX392" s="30" t="n"/>
      <c r="BY392" s="27" t="n"/>
      <c r="BZ392" s="24" t="n"/>
      <c r="CA392" s="31" t="n"/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inlineStr">
        <is>
          <t>True</t>
        </is>
      </c>
    </row>
    <row r="393" ht="36" customHeight="1">
      <c r="A393" s="24" t="inlineStr">
        <is>
          <t>e770aa11eb6d40f5</t>
        </is>
      </c>
      <c r="B393" s="24" t="inlineStr">
        <is>
          <t>2026-08-02T18:12:25.393675Z</t>
        </is>
      </c>
      <c r="C393" s="24" t="inlineStr">
        <is>
          <t>2026-08-03T20:00:00Z</t>
        </is>
      </c>
      <c r="D393" s="24" t="inlineStr">
        <is>
          <t>67937</t>
        </is>
      </c>
      <c r="E393" s="24" t="inlineStr">
        <is>
          <t>LOL</t>
        </is>
      </c>
      <c r="F393" s="24" t="inlineStr">
        <is>
          <t>Docta Esports</t>
        </is>
      </c>
      <c r="G393" s="24" t="inlineStr">
        <is>
          <t>Volticons</t>
        </is>
      </c>
      <c r="H393" s="24" t="inlineStr">
        <is>
          <t>moneyline</t>
        </is>
      </c>
      <c r="I393" s="24" t="inlineStr">
        <is>
          <t>home</t>
        </is>
      </c>
      <c r="J393" s="25" t="n"/>
      <c r="K393" s="24" t="inlineStr">
        <is>
          <t>polymarket_us</t>
        </is>
      </c>
      <c r="L393" s="26" t="n">
        <v>-144</v>
      </c>
      <c r="M393" s="27" t="n">
        <v>1.694444</v>
      </c>
      <c r="N393" s="28" t="n">
        <v>0.590164</v>
      </c>
      <c r="O393" s="28" t="n">
        <v>0.649195</v>
      </c>
      <c r="P393" s="28" t="n"/>
      <c r="Q393" s="28" t="n">
        <v>0.059031</v>
      </c>
      <c r="R393" s="26" t="n">
        <v>50</v>
      </c>
      <c r="S393" s="29" t="n">
        <v>1.75</v>
      </c>
      <c r="T393" s="24" t="inlineStr">
        <is>
          <t>lol-tiered-elo-v5</t>
        </is>
      </c>
      <c r="U393" s="24" t="inlineStr">
        <is>
          <t>open</t>
        </is>
      </c>
      <c r="V393" s="24" t="n"/>
      <c r="W393" s="26" t="n"/>
      <c r="X393" s="26" t="n"/>
      <c r="Y393" s="25" t="n"/>
      <c r="Z393" s="26" t="n"/>
      <c r="AA393" s="28" t="n"/>
      <c r="AB393" s="28" t="n"/>
      <c r="AC393" s="30" t="n"/>
      <c r="AD393" s="24" t="n"/>
      <c r="AE393" s="31" t="inlineStr">
        <is>
          <t>Neutral Elo baseline; executable ask 0.5900 (market_slug=aec-lol-vtc-doh-2026-08-03).</t>
        </is>
      </c>
      <c r="AF393" s="31" t="inlineStr">
        <is>
          <t>Config-promoted esports baseline; gates enforced at log time.</t>
        </is>
      </c>
      <c r="AG393" s="24" t="inlineStr">
        <is>
          <t>not_applicable</t>
        </is>
      </c>
      <c r="AH393" s="24" t="n"/>
      <c r="AI393" s="31" t="n"/>
      <c r="AJ393" s="31" t="n"/>
      <c r="AK393" s="24" t="inlineStr">
        <is>
          <t>model_qualified</t>
        </is>
      </c>
      <c r="AL393" s="26" t="n">
        <v>3</v>
      </c>
      <c r="AM393" s="24" t="inlineStr">
        <is>
          <t>QUALIFIED_SHADOW_CALL</t>
        </is>
      </c>
      <c r="AN393" s="24" t="inlineStr">
        <is>
          <t>CALL</t>
        </is>
      </c>
      <c r="AO393" s="24" t="inlineStr">
        <is>
          <t>QUALIFIED</t>
        </is>
      </c>
      <c r="AP393" s="24" t="inlineStr">
        <is>
          <t>Docta Esports</t>
        </is>
      </c>
      <c r="AQ393" s="24" t="inlineStr">
        <is>
          <t>Docta Esports</t>
        </is>
      </c>
      <c r="AR393" s="24" t="inlineStr">
        <is>
          <t>Docta Esports</t>
        </is>
      </c>
      <c r="AS393" s="24" t="inlineStr">
        <is>
          <t>Volticons</t>
        </is>
      </c>
      <c r="AT393" s="24" t="inlineStr">
        <is>
          <t>Volticons</t>
        </is>
      </c>
      <c r="AU393" s="24" t="inlineStr">
        <is>
          <t>Volticons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4f36308eb4ef5b33d9e3dc1ce778f2d60fa81380dd8ffa234241836516487e8e</t>
        </is>
      </c>
      <c r="BB393" s="24" t="inlineStr">
        <is>
          <t>neutral_elo</t>
        </is>
      </c>
      <c r="BC393" s="24" t="inlineStr">
        <is>
          <t>lol-tiered-elo-v5</t>
        </is>
      </c>
      <c r="BD393" s="24" t="inlineStr">
        <is>
          <t>4f36308eb4ef5b33d9e3dc1ce778f2d60fa81380dd8ffa234241836516487e8e</t>
        </is>
      </c>
      <c r="BE393" s="24" t="inlineStr">
        <is>
          <t>1</t>
        </is>
      </c>
      <c r="BF393" s="24" t="inlineStr">
        <is>
          <t>1</t>
        </is>
      </c>
      <c r="BG393" s="24" t="inlineStr">
        <is>
          <t>lol-tiered-elo-v5</t>
        </is>
      </c>
      <c r="BH393" s="24" t="inlineStr">
        <is>
          <t>2026-08-02T18:12:22.895388Z</t>
        </is>
      </c>
      <c r="BI393" s="24" t="inlineStr">
        <is>
          <t>["same_event","same_team_same_day","same_league_same_day"]</t>
        </is>
      </c>
      <c r="BJ393" s="25" t="n"/>
      <c r="BK393" s="26" t="n">
        <v>-144</v>
      </c>
      <c r="BL393" s="27" t="n">
        <v>1.694444</v>
      </c>
      <c r="BM393" s="28" t="n">
        <v>0.590164</v>
      </c>
      <c r="BN393" s="28" t="n"/>
      <c r="BO393" s="28" t="n"/>
      <c r="BP393" s="25" t="n"/>
      <c r="BQ393" s="27" t="n"/>
      <c r="BR393" s="28" t="n"/>
      <c r="BS393" s="28" t="n"/>
      <c r="BT393" s="28" t="n"/>
      <c r="BU393" s="25" t="n"/>
      <c r="BV393" s="29" t="n"/>
      <c r="BW393" s="24" t="n"/>
      <c r="BX393" s="30" t="n"/>
      <c r="BY393" s="27" t="n"/>
      <c r="BZ393" s="24" t="n"/>
      <c r="CA393" s="31" t="n"/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inlineStr">
        <is>
          <t>True</t>
        </is>
      </c>
    </row>
    <row r="394" ht="36" customHeight="1">
      <c r="A394" s="24" t="inlineStr">
        <is>
          <t>8f60bb2f499841e0</t>
        </is>
      </c>
      <c r="B394" s="24" t="inlineStr">
        <is>
          <t>2026-08-02T18:12:25.393675Z</t>
        </is>
      </c>
      <c r="C394" s="24" t="inlineStr">
        <is>
          <t>2026-08-03T22:00:00Z</t>
        </is>
      </c>
      <c r="D394" s="24" t="inlineStr">
        <is>
          <t>68011</t>
        </is>
      </c>
      <c r="E394" s="24" t="inlineStr">
        <is>
          <t>LOL</t>
        </is>
      </c>
      <c r="F394" s="24" t="inlineStr">
        <is>
          <t>Vivo Keyd Stars Academy</t>
        </is>
      </c>
      <c r="G394" s="24" t="inlineStr">
        <is>
          <t>paiN Gaming Academy</t>
        </is>
      </c>
      <c r="H394" s="24" t="inlineStr">
        <is>
          <t>moneyline</t>
        </is>
      </c>
      <c r="I394" s="24" t="inlineStr">
        <is>
          <t>away</t>
        </is>
      </c>
      <c r="J394" s="25" t="n"/>
      <c r="K394" s="24" t="inlineStr">
        <is>
          <t>polymarket_us</t>
        </is>
      </c>
      <c r="L394" s="26" t="n">
        <v>-104</v>
      </c>
      <c r="M394" s="27" t="n">
        <v>1.961538</v>
      </c>
      <c r="N394" s="28" t="n">
        <v>0.509804</v>
      </c>
      <c r="O394" s="28" t="n">
        <v>0.502316</v>
      </c>
      <c r="P394" s="28" t="n"/>
      <c r="Q394" s="28" t="n">
        <v>-0.007488</v>
      </c>
      <c r="R394" s="26" t="n">
        <v>16</v>
      </c>
      <c r="S394" s="29" t="n">
        <v>1</v>
      </c>
      <c r="T394" s="24" t="inlineStr">
        <is>
          <t>lol-tiered-elo-v5</t>
        </is>
      </c>
      <c r="U394" s="24" t="inlineStr">
        <is>
          <t>open</t>
        </is>
      </c>
      <c r="V394" s="24" t="n"/>
      <c r="W394" s="26" t="n"/>
      <c r="X394" s="26" t="n"/>
      <c r="Y394" s="25" t="n"/>
      <c r="Z394" s="26" t="n"/>
      <c r="AA394" s="28" t="n"/>
      <c r="AB394" s="28" t="n"/>
      <c r="AC394" s="30" t="n"/>
      <c r="AD394" s="24" t="n"/>
      <c r="AE394" s="31" t="inlineStr">
        <is>
          <t>Neutral Elo baseline; executable ask 0.5100 (market_slug=aec-lol-pnga-vksa-2026-08-03).</t>
        </is>
      </c>
      <c r="AF394" s="31" t="inlineStr">
        <is>
          <t>Config-promoted esports baseline; gates enforced at log time.</t>
        </is>
      </c>
      <c r="AG394" s="24" t="inlineStr">
        <is>
          <t>not_applicable</t>
        </is>
      </c>
      <c r="AH394" s="24" t="n"/>
      <c r="AI394" s="31" t="n"/>
      <c r="AJ394" s="31" t="n"/>
      <c r="AK394" s="24" t="inlineStr">
        <is>
          <t>research_observation</t>
        </is>
      </c>
      <c r="AL394" s="26" t="n">
        <v>3</v>
      </c>
      <c r="AM394" s="24" t="inlineStr">
        <is>
          <t>RESEARCH_OBSERVATION</t>
        </is>
      </c>
      <c r="AN394" s="24" t="inlineStr">
        <is>
          <t>NO_CALL</t>
        </is>
      </c>
      <c r="AO394" s="24" t="inlineStr">
        <is>
          <t>NO_CALL_LOW_EDGE</t>
        </is>
      </c>
      <c r="AP394" s="24" t="inlineStr">
        <is>
          <t>Vivo Keyd Stars Academy</t>
        </is>
      </c>
      <c r="AQ394" s="24" t="inlineStr">
        <is>
          <t>Vivo Keyd Stars Academy</t>
        </is>
      </c>
      <c r="AR394" s="24" t="inlineStr">
        <is>
          <t>Vivo Keyd Stars Academy</t>
        </is>
      </c>
      <c r="AS394" s="24" t="inlineStr">
        <is>
          <t>paiN Gaming Academy</t>
        </is>
      </c>
      <c r="AT394" s="24" t="inlineStr">
        <is>
          <t>paiN Gaming Academy</t>
        </is>
      </c>
      <c r="AU394" s="24" t="inlineStr">
        <is>
          <t>paiN Gaming Academy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4f36308eb4ef5b33d9e3dc1ce778f2d60fa81380dd8ffa234241836516487e8e</t>
        </is>
      </c>
      <c r="BB394" s="24" t="inlineStr">
        <is>
          <t>neutral_elo</t>
        </is>
      </c>
      <c r="BC394" s="24" t="inlineStr">
        <is>
          <t>lol-tiered-elo-v5</t>
        </is>
      </c>
      <c r="BD394" s="24" t="inlineStr">
        <is>
          <t>4f36308eb4ef5b33d9e3dc1ce778f2d60fa81380dd8ffa234241836516487e8e</t>
        </is>
      </c>
      <c r="BE394" s="24" t="inlineStr">
        <is>
          <t>1</t>
        </is>
      </c>
      <c r="BF394" s="24" t="inlineStr">
        <is>
          <t>1</t>
        </is>
      </c>
      <c r="BG394" s="24" t="inlineStr">
        <is>
          <t>lol-tiered-elo-v5</t>
        </is>
      </c>
      <c r="BH394" s="24" t="inlineStr">
        <is>
          <t>2026-08-02T18:12:24.464493Z</t>
        </is>
      </c>
      <c r="BI394" s="24" t="inlineStr">
        <is>
          <t>["same_event","same_team_same_day","same_league_same_day"]</t>
        </is>
      </c>
      <c r="BJ394" s="25" t="n"/>
      <c r="BK394" s="26" t="n">
        <v>-104</v>
      </c>
      <c r="BL394" s="27" t="n">
        <v>1.961538</v>
      </c>
      <c r="BM394" s="28" t="n">
        <v>0.509804</v>
      </c>
      <c r="BN394" s="28" t="n"/>
      <c r="BO394" s="28" t="n"/>
      <c r="BP394" s="25" t="n"/>
      <c r="BQ394" s="27" t="n"/>
      <c r="BR394" s="28" t="n"/>
      <c r="BS394" s="28" t="n"/>
      <c r="BT394" s="28" t="n"/>
      <c r="BU394" s="25" t="n"/>
      <c r="BV394" s="29" t="n"/>
      <c r="BW394" s="24" t="n"/>
      <c r="BX394" s="30" t="n"/>
      <c r="BY394" s="27" t="n"/>
      <c r="BZ394" s="24" t="n"/>
      <c r="CA394" s="31" t="n"/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inlineStr">
        <is>
          <t>False</t>
        </is>
      </c>
    </row>
    <row r="395" ht="36" customHeight="1">
      <c r="A395" s="24" t="inlineStr">
        <is>
          <t>24df94429c6447e6</t>
        </is>
      </c>
      <c r="B395" s="24" t="inlineStr">
        <is>
          <t>2026-08-02T18:12:49.767554Z</t>
        </is>
      </c>
      <c r="C395" s="24" t="inlineStr">
        <is>
          <t>2026-08-02T19:15:00Z</t>
        </is>
      </c>
      <c r="D395" s="24" t="inlineStr">
        <is>
          <t>67576</t>
        </is>
      </c>
      <c r="E395" s="24" t="inlineStr">
        <is>
          <t>CS2</t>
        </is>
      </c>
      <c r="F395" s="24" t="inlineStr">
        <is>
          <t>mokrivskiy Club</t>
        </is>
      </c>
      <c r="G395" s="24" t="inlineStr">
        <is>
          <t>Morphilina Club</t>
        </is>
      </c>
      <c r="H395" s="24" t="inlineStr">
        <is>
          <t>moneyline</t>
        </is>
      </c>
      <c r="I395" s="24" t="inlineStr">
        <is>
          <t>home</t>
        </is>
      </c>
      <c r="J395" s="25" t="n"/>
      <c r="K395" s="24" t="inlineStr">
        <is>
          <t>polymarket_us</t>
        </is>
      </c>
      <c r="L395" s="26" t="n">
        <v>127</v>
      </c>
      <c r="M395" s="27" t="n">
        <v>2.27</v>
      </c>
      <c r="N395" s="28" t="n">
        <v>0.440529</v>
      </c>
      <c r="O395" s="28" t="n">
        <v>0.57961</v>
      </c>
      <c r="P395" s="28" t="n"/>
      <c r="Q395" s="28" t="n">
        <v>0.139081</v>
      </c>
      <c r="R395" s="26" t="n">
        <v>90</v>
      </c>
      <c r="S395" s="29" t="n">
        <v>1.25</v>
      </c>
      <c r="T395" s="24" t="inlineStr">
        <is>
          <t>cs2-tiered-elo-v5</t>
        </is>
      </c>
      <c r="U395" s="24" t="inlineStr">
        <is>
          <t>open</t>
        </is>
      </c>
      <c r="V395" s="24" t="n"/>
      <c r="W395" s="26" t="n"/>
      <c r="X395" s="26" t="n"/>
      <c r="Y395" s="25" t="n"/>
      <c r="Z395" s="26" t="n"/>
      <c r="AA395" s="28" t="n"/>
      <c r="AB395" s="28" t="n"/>
      <c r="AC395" s="30" t="n"/>
      <c r="AD395" s="24" t="n"/>
      <c r="AE395" s="31" t="inlineStr">
        <is>
          <t>Neutral Elo baseline; executable ask 0.4400 (market_slug=aec-cs2-mcor-mco-2026-08-02).</t>
        </is>
      </c>
      <c r="AF395" s="31" t="inlineStr">
        <is>
          <t>Config-promoted esports baseline; gates enforced at log time.</t>
        </is>
      </c>
      <c r="AG395" s="24" t="inlineStr">
        <is>
          <t>not_applicable</t>
        </is>
      </c>
      <c r="AH395" s="24" t="n"/>
      <c r="AI395" s="31" t="n"/>
      <c r="AJ395" s="31" t="n"/>
      <c r="AK395" s="24" t="inlineStr">
        <is>
          <t>research_observation</t>
        </is>
      </c>
      <c r="AL395" s="26" t="n">
        <v>3</v>
      </c>
      <c r="AM395" s="24" t="inlineStr">
        <is>
          <t>RESEARCH_OBSERVATION</t>
        </is>
      </c>
      <c r="AN395" s="24" t="inlineStr">
        <is>
          <t>NO_CALL</t>
        </is>
      </c>
      <c r="AO395" s="24" t="inlineStr">
        <is>
          <t>NO_CALL_MODEL_UNVALIDATED</t>
        </is>
      </c>
      <c r="AP395" s="24" t="inlineStr">
        <is>
          <t>mokrivskiy Club</t>
        </is>
      </c>
      <c r="AQ395" s="24" t="inlineStr">
        <is>
          <t>mokrivskiy Club</t>
        </is>
      </c>
      <c r="AR395" s="24" t="inlineStr">
        <is>
          <t>mokrivskiy Club</t>
        </is>
      </c>
      <c r="AS395" s="24" t="inlineStr">
        <is>
          <t>Morphilina Club</t>
        </is>
      </c>
      <c r="AT395" s="24" t="inlineStr">
        <is>
          <t>Morphilina Club</t>
        </is>
      </c>
      <c r="AU395" s="24" t="inlineStr">
        <is>
          <t>Morphilina Club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97de5c5903ba33e53441b5088cf4e6c4cee4d2e8611df656dcf52f1b3af7f6f4</t>
        </is>
      </c>
      <c r="BB395" s="24" t="inlineStr">
        <is>
          <t>neutral_elo</t>
        </is>
      </c>
      <c r="BC395" s="24" t="inlineStr">
        <is>
          <t>cs2-tiered-elo-v5</t>
        </is>
      </c>
      <c r="BD395" s="24" t="inlineStr">
        <is>
          <t>97de5c5903ba33e53441b5088cf4e6c4cee4d2e8611df656dcf52f1b3af7f6f4</t>
        </is>
      </c>
      <c r="BE395" s="24" t="inlineStr">
        <is>
          <t>1</t>
        </is>
      </c>
      <c r="BF395" s="24" t="inlineStr">
        <is>
          <t>1</t>
        </is>
      </c>
      <c r="BG395" s="24" t="inlineStr">
        <is>
          <t>cs2-tiered-elo-v5</t>
        </is>
      </c>
      <c r="BH395" s="24" t="inlineStr">
        <is>
          <t>2026-08-02T18:12:36.926594Z</t>
        </is>
      </c>
      <c r="BI395" s="24" t="inlineStr">
        <is>
          <t>["same_event","same_team_same_day","same_league_same_day"]</t>
        </is>
      </c>
      <c r="BJ395" s="25" t="n"/>
      <c r="BK395" s="26" t="n">
        <v>127</v>
      </c>
      <c r="BL395" s="27" t="n">
        <v>2.27</v>
      </c>
      <c r="BM395" s="28" t="n">
        <v>0.440529</v>
      </c>
      <c r="BN395" s="28" t="n"/>
      <c r="BO395" s="28" t="n"/>
      <c r="BP395" s="25" t="n"/>
      <c r="BQ395" s="27" t="n"/>
      <c r="BR395" s="28" t="n"/>
      <c r="BS395" s="28" t="n"/>
      <c r="BT395" s="28" t="n"/>
      <c r="BU395" s="25" t="n"/>
      <c r="BV395" s="29" t="n"/>
      <c r="BW395" s="24" t="n"/>
      <c r="BX395" s="30" t="n"/>
      <c r="BY395" s="27" t="n"/>
      <c r="BZ395" s="24" t="n"/>
      <c r="CA395" s="31" t="n"/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2026-08-02T18:12:50Z</dcterms:created>
  <dcterms:modified xsi:type="dcterms:W3CDTF">2026-08-02T18:12:51Z</dcterms:modified>
</cp:coreProperties>
</file>