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118" headerRowCount="1">
  <autoFilter ref="A1:CA118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COUNTA('Picks'!$A$2:$A$118)</f>
        <v/>
      </c>
      <c r="C4" s="6">
        <f>COUNTIF('Picks'!$U$2:$U$118,"open")</f>
        <v/>
      </c>
      <c r="E4" s="6">
        <f>COUNTIF('Picks'!$U$2:$U$118,"settled")</f>
        <v/>
      </c>
      <c r="G4" s="6">
        <f>IF(COUNTIFS('Picks'!$U$2:$U$118,"settled",'Picks'!$V$2:$V$118,"win")+COUNTIFS('Picks'!$U$2:$U$118,"settled",'Picks'!$V$2:$V$118,"loss")&gt;=$L$2,"Ready","Insufficient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COUNTIF('Picks'!$BX$2:$BX$118,"&gt;0")</f>
        <v/>
      </c>
      <c r="C7" s="6">
        <f>COUNTIFS('Picks'!$BX$2:$BX$118,"&gt;0",'Picks'!$V$2:$V$118,"win")&amp;"-"&amp;COUNTIFS('Picks'!$BX$2:$BX$118,"&gt;0",'Picks'!$V$2:$V$118,"loss")</f>
        <v/>
      </c>
      <c r="E7" s="7">
        <f>IFERROR(COUNTIFS('Picks'!$BX$2:$BX$118,"&gt;0",'Picks'!$V$2:$V$118,"win")/(COUNTIFS('Picks'!$BX$2:$BX$118,"&gt;0",'Picks'!$V$2:$V$118,"win")+COUNTIFS('Picks'!$BX$2:$BX$118,"&gt;0",'Picks'!$V$2:$V$118,"loss")),0)</f>
        <v/>
      </c>
      <c r="G7" s="7">
        <f>IFERROR(SUM('Picks'!$BY$2:$BY$118)/SUM('Picks'!$BX$2:$BX$118),0)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SUM('Picks'!$BY$2:$BY$118)</f>
        <v/>
      </c>
      <c r="C10" s="9">
        <f>IFERROR(AVERAGEIF('Picks'!$AB$2:$AB$118,"&lt;&gt;",'Picks'!$AB$2:$AB$118),0)</f>
        <v/>
      </c>
      <c r="E10" s="6">
        <f>COUNTIFS('Picks'!$AM$2:$AM$118,"QUALIFIED_SHADOW_CALL",'Picks'!$U$2:$U$118,"settled")</f>
        <v/>
      </c>
      <c r="G10" s="8">
        <f>SUMIFS('Picks'!$AC$2:$AC$118,'Picks'!$AM$2:$AM$118,"QUALIFIED_SHADOW_CALL")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COUNTIFS('Picks'!$H$2:$H$118,$A14,'Picks'!$U$2:$U$118,"settled")</f>
        <v/>
      </c>
      <c r="C14" s="13">
        <f>COUNTIFS('Picks'!$H$2:$H$118,$A14,'Picks'!$U$2:$U$118,"settled",'Picks'!$V$2:$V$118,"win")</f>
        <v/>
      </c>
      <c r="D14" s="13">
        <f>COUNTIFS('Picks'!$H$2:$H$118,$A14,'Picks'!$U$2:$U$118,"settled",'Picks'!$V$2:$V$118,"loss")</f>
        <v/>
      </c>
      <c r="E14" s="14">
        <f>IFERROR(C14/(C14+D14),0)</f>
        <v/>
      </c>
      <c r="F14" s="15">
        <f>SUMIFS('Picks'!$BY$2:$BY$118,'Picks'!$H$2:$H$118,$A14)</f>
        <v/>
      </c>
      <c r="G14" s="16">
        <f>IFERROR(AVERAGEIFS('Picks'!$AB$2:$AB$118,'Picks'!$H$2:$H$118,$A14,'Picks'!$U$2:$U$118,"settled"),0)</f>
        <v/>
      </c>
    </row>
    <row r="15">
      <c r="A15" s="17" t="inlineStr">
        <is>
          <t>spread</t>
        </is>
      </c>
      <c r="B15" s="18">
        <f>COUNTIFS('Picks'!$H$2:$H$118,$A15,'Picks'!$U$2:$U$118,"settled")</f>
        <v/>
      </c>
      <c r="C15" s="18">
        <f>COUNTIFS('Picks'!$H$2:$H$118,$A15,'Picks'!$U$2:$U$118,"settled",'Picks'!$V$2:$V$118,"win")</f>
        <v/>
      </c>
      <c r="D15" s="18">
        <f>COUNTIFS('Picks'!$H$2:$H$118,$A15,'Picks'!$U$2:$U$118,"settled",'Picks'!$V$2:$V$118,"loss")</f>
        <v/>
      </c>
      <c r="E15" s="19">
        <f>IFERROR(C15/(C15+D15),0)</f>
        <v/>
      </c>
      <c r="F15" s="20">
        <f>SUMIFS('Picks'!$BY$2:$BY$118,'Picks'!$H$2:$H$118,$A15)</f>
        <v/>
      </c>
      <c r="G15" s="21">
        <f>IFERROR(AVERAGEIFS('Picks'!$AB$2:$AB$118,'Picks'!$H$2:$H$118,$A15,'Picks'!$U$2:$U$118,"settled"),0)</f>
        <v/>
      </c>
    </row>
    <row r="16">
      <c r="A16" s="12" t="inlineStr">
        <is>
          <t>total</t>
        </is>
      </c>
      <c r="B16" s="13">
        <f>COUNTIFS('Picks'!$H$2:$H$118,$A16,'Picks'!$U$2:$U$118,"settled")</f>
        <v/>
      </c>
      <c r="C16" s="13">
        <f>COUNTIFS('Picks'!$H$2:$H$118,$A16,'Picks'!$U$2:$U$118,"settled",'Picks'!$V$2:$V$118,"win")</f>
        <v/>
      </c>
      <c r="D16" s="13">
        <f>COUNTIFS('Picks'!$H$2:$H$118,$A16,'Picks'!$U$2:$U$118,"settled",'Picks'!$V$2:$V$118,"loss")</f>
        <v/>
      </c>
      <c r="E16" s="14">
        <f>IFERROR(C16/(C16+D16),0)</f>
        <v/>
      </c>
      <c r="F16" s="15">
        <f>SUMIFS('Picks'!$BY$2:$BY$118,'Picks'!$H$2:$H$118,$A16)</f>
        <v/>
      </c>
      <c r="G16" s="16">
        <f>IFERROR(AVERAGEIFS('Picks'!$AB$2:$AB$118,'Picks'!$H$2:$H$118,$A16,'Picks'!$U$2:$U$118,"settled"),0)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2026-07-18T20:00:00-0400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1.5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25" t="n"/>
      <c r="Z2" s="26" t="n"/>
      <c r="AA2" s="28" t="n"/>
      <c r="AB2" s="28" t="n"/>
      <c r="AC2" s="30" t="n">
        <v>1.755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>
        <v>0.455446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>
        <v>1</v>
      </c>
      <c r="BY2" s="27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931feaf381a247bc</t>
        </is>
      </c>
      <c r="B3" s="24" t="inlineStr">
        <is>
          <t>2026-07-18T16:16:11.093520Z</t>
        </is>
      </c>
      <c r="C3" s="24" t="inlineStr">
        <is>
          <t>2026-07-18T16:10:00-0400</t>
        </is>
      </c>
      <c r="D3" s="24" t="inlineStr">
        <is>
          <t>401816163</t>
        </is>
      </c>
      <c r="E3" s="24" t="inlineStr">
        <is>
          <t>MLB</t>
        </is>
      </c>
      <c r="F3" s="24" t="inlineStr">
        <is>
          <t>Miami Marlins</t>
        </is>
      </c>
      <c r="G3" s="24" t="inlineStr">
        <is>
          <t>Milwaukee Brewers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-133</v>
      </c>
      <c r="M3" s="27" t="n">
        <v>1.75188</v>
      </c>
      <c r="N3" s="28" t="n">
        <v>0.570815</v>
      </c>
      <c r="O3" s="28" t="n">
        <v>0.608753</v>
      </c>
      <c r="P3" s="28" t="n"/>
      <c r="Q3" s="28" t="n">
        <v>0.037938</v>
      </c>
      <c r="R3" s="26" t="n">
        <v>37</v>
      </c>
      <c r="S3" s="29" t="n">
        <v>1.5</v>
      </c>
      <c r="T3" s="24" t="inlineStr">
        <is>
          <t>mlb-elo-trend-lr-v4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6</v>
      </c>
      <c r="X3" s="26" t="n">
        <v>8</v>
      </c>
      <c r="Y3" s="25" t="n"/>
      <c r="Z3" s="26" t="n"/>
      <c r="AA3" s="28" t="n"/>
      <c r="AB3" s="28" t="n"/>
      <c r="AC3" s="30" t="n">
        <v>1.1278</v>
      </c>
      <c r="AD3" s="24" t="inlineStr">
        <is>
          <t>2026-07-18T23:59:20.431552Z</t>
        </is>
      </c>
      <c r="AE3" s="31" t="inlineStr">
        <is>
          <t>Learned LR call at threshold 0.6000; executable ask 0.5700 (aec-mlb-mia-mil-2026-07-18).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mlb-mia</t>
        </is>
      </c>
      <c r="AQ3" s="24" t="inlineStr">
        <is>
          <t>Miami Marlins</t>
        </is>
      </c>
      <c r="AR3" s="24" t="inlineStr">
        <is>
          <t>Miami Marlins</t>
        </is>
      </c>
      <c r="AS3" s="24" t="inlineStr">
        <is>
          <t>mlb-mil</t>
        </is>
      </c>
      <c r="AT3" s="24" t="inlineStr">
        <is>
          <t>Milwaukee Brewers</t>
        </is>
      </c>
      <c r="AU3" s="24" t="inlineStr">
        <is>
          <t>Milwaukee Brewers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5224fb6ffbc9ddf8fa517627b830ac851192da94d241963d556945393a42bb9d</t>
        </is>
      </c>
      <c r="BB3" s="24" t="inlineStr">
        <is>
          <t>learned_lr</t>
        </is>
      </c>
      <c r="BC3" s="24" t="inlineStr">
        <is>
          <t>mlb-elo-trend-lr-v4</t>
        </is>
      </c>
      <c r="BD3" s="24" t="inlineStr">
        <is>
          <t>5224fb6ffbc9ddf8fa517627b830ac851192da94d241963d556945393a42bb9d</t>
        </is>
      </c>
      <c r="BE3" s="24" t="inlineStr">
        <is>
          <t>0f54459b91a18ff1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2026-07-18T16:15:15.200995Z</t>
        </is>
      </c>
      <c r="BI3" s="24" t="inlineStr">
        <is>
          <t>["same_event","same_team_same_day","same_league_same_day"]</t>
        </is>
      </c>
      <c r="BJ3" s="25" t="n"/>
      <c r="BK3" s="26" t="n">
        <v>-133</v>
      </c>
      <c r="BL3" s="27" t="n">
        <v>1.75188</v>
      </c>
      <c r="BM3" s="28" t="n">
        <v>0.570815</v>
      </c>
      <c r="BN3" s="28" t="n">
        <v>0.567164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>
        <v>1</v>
      </c>
      <c r="BY3" s="27" t="n">
        <v>0.75188</v>
      </c>
      <c r="BZ3" s="24" t="inlineStr">
        <is>
          <t>2026-07-18T23:59:20.431552Z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8789a71883f94701</t>
        </is>
      </c>
      <c r="B4" s="24" t="inlineStr">
        <is>
          <t>2026-07-18T16:44:20.099051Z</t>
        </is>
      </c>
      <c r="C4" s="24" t="inlineStr">
        <is>
          <t>2026-07-18T13:10:00-0400</t>
        </is>
      </c>
      <c r="D4" s="24" t="inlineStr">
        <is>
          <t>401896568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-102</v>
      </c>
      <c r="M4" s="27" t="n">
        <v>1.980392</v>
      </c>
      <c r="N4" s="28" t="n">
        <v>0.50495</v>
      </c>
      <c r="O4" s="28" t="n">
        <v>0.554084</v>
      </c>
      <c r="P4" s="28" t="n"/>
      <c r="Q4" s="28" t="n">
        <v>0.049134</v>
      </c>
      <c r="R4" s="26" t="n">
        <v>49</v>
      </c>
      <c r="S4" s="29" t="n">
        <v>1</v>
      </c>
      <c r="T4" s="24" t="inlineStr">
        <is>
          <t>mlb-elo-trend-lr-v4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2026-07-18T21:05:56.909771Z</t>
        </is>
      </c>
      <c r="AE4" s="31" t="inlineStr">
        <is>
          <t>Learned LR call at threshold 0.5500; executable ask 0.5050 (aec-mlb-pit-cle-2026-07-18).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mlb-pit</t>
        </is>
      </c>
      <c r="AQ4" s="24" t="inlineStr">
        <is>
          <t>Pittsburgh Pirates</t>
        </is>
      </c>
      <c r="AR4" s="24" t="inlineStr">
        <is>
          <t>Pittsburgh Pirates</t>
        </is>
      </c>
      <c r="AS4" s="24" t="inlineStr">
        <is>
          <t>mlb-cle</t>
        </is>
      </c>
      <c r="AT4" s="24" t="inlineStr">
        <is>
          <t>Cleveland Guardians</t>
        </is>
      </c>
      <c r="AU4" s="24" t="inlineStr">
        <is>
          <t>Cleveland Guardians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5224fb6ffbc9ddf8fa517627b830ac851192da94d241963d556945393a42bb9d</t>
        </is>
      </c>
      <c r="BB4" s="24" t="inlineStr">
        <is>
          <t>learned_lr</t>
        </is>
      </c>
      <c r="BC4" s="24" t="inlineStr">
        <is>
          <t>mlb-elo-trend-lr-v4</t>
        </is>
      </c>
      <c r="BD4" s="24" t="inlineStr">
        <is>
          <t>5224fb6ffbc9ddf8fa517627b830ac851192da94d241963d556945393a42bb9d</t>
        </is>
      </c>
      <c r="BE4" s="24" t="inlineStr">
        <is>
          <t>6df496ff8b2da9c6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2026-07-18T16:42:59.880808Z</t>
        </is>
      </c>
      <c r="BI4" s="24" t="inlineStr">
        <is>
          <t>["same_event","same_team_same_day","same_league_same_day"]</t>
        </is>
      </c>
      <c r="BJ4" s="25" t="n"/>
      <c r="BK4" s="26" t="n">
        <v>-102</v>
      </c>
      <c r="BL4" s="27" t="n">
        <v>1.980392</v>
      </c>
      <c r="BM4" s="28" t="n">
        <v>0.50495</v>
      </c>
      <c r="BN4" s="28" t="n">
        <v>0.502488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-1</v>
      </c>
      <c r="BZ4" s="24" t="inlineStr">
        <is>
          <t>2026-07-18T21:05:56.909771Z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512e4ebfdf1a456e</t>
        </is>
      </c>
      <c r="B5" s="24" t="inlineStr">
        <is>
          <t>2026-07-18T16:44:20.099051Z</t>
        </is>
      </c>
      <c r="C5" s="24" t="inlineStr">
        <is>
          <t>2026-07-18T14:20:00-0400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-133</v>
      </c>
      <c r="M5" s="27" t="n">
        <v>1.75188</v>
      </c>
      <c r="N5" s="28" t="n">
        <v>0.570815</v>
      </c>
      <c r="O5" s="28" t="n">
        <v>0.608363</v>
      </c>
      <c r="P5" s="28" t="n"/>
      <c r="Q5" s="28" t="n">
        <v>0.037548</v>
      </c>
      <c r="R5" s="26" t="n">
        <v>37</v>
      </c>
      <c r="S5" s="29" t="n">
        <v>1.5</v>
      </c>
      <c r="T5" s="24" t="inlineStr">
        <is>
          <t>mlb-elo-trend-lr-v4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25" t="n"/>
      <c r="Z5" s="26" t="n"/>
      <c r="AA5" s="28" t="n"/>
      <c r="AB5" s="28" t="n"/>
      <c r="AC5" s="30" t="n">
        <v>1.1278</v>
      </c>
      <c r="AD5" s="24" t="inlineStr">
        <is>
          <t>2026-07-18T21:05:56.984438Z</t>
        </is>
      </c>
      <c r="AE5" s="31" t="inlineStr">
        <is>
          <t>Learned LR call at threshold 0.5500; executable ask 0.5700 (aec-mlb-min-chc-2026-07-18).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5224fb6ffbc9ddf8fa517627b830ac851192da94d241963d556945393a42bb9d</t>
        </is>
      </c>
      <c r="BB5" s="24" t="inlineStr">
        <is>
          <t>learned_lr</t>
        </is>
      </c>
      <c r="BC5" s="24" t="inlineStr">
        <is>
          <t>mlb-elo-trend-lr-v4</t>
        </is>
      </c>
      <c r="BD5" s="24" t="inlineStr">
        <is>
          <t>5224fb6ffbc9ddf8fa517627b830ac851192da94d241963d556945393a42bb9d</t>
        </is>
      </c>
      <c r="BE5" s="24" t="inlineStr">
        <is>
          <t>7166685f6e68e237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2026-07-18T16:42:49.506840Z</t>
        </is>
      </c>
      <c r="BI5" s="24" t="inlineStr">
        <is>
          <t>["same_event","same_team_same_day","same_league_same_day"]</t>
        </is>
      </c>
      <c r="BJ5" s="25" t="n"/>
      <c r="BK5" s="26" t="n">
        <v>-133</v>
      </c>
      <c r="BL5" s="27" t="n">
        <v>1.75188</v>
      </c>
      <c r="BM5" s="28" t="n">
        <v>0.570815</v>
      </c>
      <c r="BN5" s="28" t="n">
        <v>0.567164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0.75188</v>
      </c>
      <c r="BZ5" s="24" t="inlineStr">
        <is>
          <t>2026-07-18T21:05:56.984438Z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80b7c78aaffb4905</t>
        </is>
      </c>
      <c r="B6" s="24" t="inlineStr">
        <is>
          <t>2026-07-18T16:44:20.099051Z</t>
        </is>
      </c>
      <c r="C6" s="24" t="inlineStr">
        <is>
          <t>2026-07-18T15:07:00-0400</t>
        </is>
      </c>
      <c r="D6" s="24" t="inlineStr">
        <is>
          <t>401816156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-104</v>
      </c>
      <c r="M6" s="27" t="n">
        <v>1.961538</v>
      </c>
      <c r="N6" s="28" t="n">
        <v>0.509804</v>
      </c>
      <c r="O6" s="28" t="n">
        <v>0.5767679999999999</v>
      </c>
      <c r="P6" s="28" t="n"/>
      <c r="Q6" s="28" t="n">
        <v>0.066964</v>
      </c>
      <c r="R6" s="26" t="n">
        <v>66</v>
      </c>
      <c r="S6" s="29" t="n">
        <v>1.25</v>
      </c>
      <c r="T6" s="24" t="inlineStr">
        <is>
          <t>mlb-elo-trend-lr-v4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1.2019</v>
      </c>
      <c r="AD6" s="24" t="inlineStr">
        <is>
          <t>2026-07-18T23:59:20.512474Z</t>
        </is>
      </c>
      <c r="AE6" s="31" t="inlineStr">
        <is>
          <t>Learned LR call at threshold 0.5500; executable ask 0.5100 (aec-mlb-cws-tor-2026-07-18).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mlb-cws</t>
        </is>
      </c>
      <c r="AQ6" s="24" t="inlineStr">
        <is>
          <t>Chicago White Sox</t>
        </is>
      </c>
      <c r="AR6" s="24" t="inlineStr">
        <is>
          <t>Chicago White Sox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5224fb6ffbc9ddf8fa517627b830ac851192da94d241963d556945393a42bb9d</t>
        </is>
      </c>
      <c r="BB6" s="24" t="inlineStr">
        <is>
          <t>learned_lr</t>
        </is>
      </c>
      <c r="BC6" s="24" t="inlineStr">
        <is>
          <t>mlb-elo-trend-lr-v4</t>
        </is>
      </c>
      <c r="BD6" s="24" t="inlineStr">
        <is>
          <t>5224fb6ffbc9ddf8fa517627b830ac851192da94d241963d556945393a42bb9d</t>
        </is>
      </c>
      <c r="BE6" s="24" t="inlineStr">
        <is>
          <t>990421d336b67011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2026-07-18T16:42:50.404282Z</t>
        </is>
      </c>
      <c r="BI6" s="24" t="inlineStr">
        <is>
          <t>["same_event","same_team_same_day","same_league_same_day"]</t>
        </is>
      </c>
      <c r="BJ6" s="25" t="n"/>
      <c r="BK6" s="26" t="n">
        <v>-104</v>
      </c>
      <c r="BL6" s="27" t="n">
        <v>1.961538</v>
      </c>
      <c r="BM6" s="28" t="n">
        <v>0.509804</v>
      </c>
      <c r="BN6" s="28" t="n">
        <v>0.507463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0.961538</v>
      </c>
      <c r="BZ6" s="24" t="inlineStr">
        <is>
          <t>2026-07-18T23:59:20.512474Z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c7e4de168a8f4e3d</t>
        </is>
      </c>
      <c r="B7" s="24" t="inlineStr">
        <is>
          <t>2026-07-18T16:44:20.099051Z</t>
        </is>
      </c>
      <c r="C7" s="24" t="inlineStr">
        <is>
          <t>2026-07-18T15:10:00-0400</t>
        </is>
      </c>
      <c r="D7" s="24" t="inlineStr">
        <is>
          <t>401816166</t>
        </is>
      </c>
      <c r="E7" s="24" t="inlineStr">
        <is>
          <t>MLB</t>
        </is>
      </c>
      <c r="F7" s="24" t="inlineStr">
        <is>
          <t>Cincinnati Reds</t>
        </is>
      </c>
      <c r="G7" s="24" t="inlineStr">
        <is>
          <t>Colorado Rockies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-104</v>
      </c>
      <c r="M7" s="27" t="n">
        <v>1.961538</v>
      </c>
      <c r="N7" s="28" t="n">
        <v>0.509804</v>
      </c>
      <c r="O7" s="28" t="n">
        <v>0.582367</v>
      </c>
      <c r="P7" s="28" t="n"/>
      <c r="Q7" s="28" t="n">
        <v>0.072563</v>
      </c>
      <c r="R7" s="26" t="n">
        <v>72</v>
      </c>
      <c r="S7" s="29" t="n">
        <v>1.25</v>
      </c>
      <c r="T7" s="24" t="inlineStr">
        <is>
          <t>mlb-elo-trend-lr-v4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10</v>
      </c>
      <c r="Y7" s="25" t="n"/>
      <c r="Z7" s="26" t="n"/>
      <c r="AA7" s="28" t="n"/>
      <c r="AB7" s="28" t="n"/>
      <c r="AC7" s="30" t="n">
        <v>-1.25</v>
      </c>
      <c r="AD7" s="24" t="inlineStr">
        <is>
          <t>2026-07-18T23:59:20.572146Z</t>
        </is>
      </c>
      <c r="AE7" s="31" t="inlineStr">
        <is>
          <t>Learned LR call at threshold 0.5500; executable ask 0.5100 (aec-mlb-cin-col-2026-07-18).</t>
        </is>
      </c>
      <c r="AF7" s="31" t="inlineStr">
        <is>
          <t>Learned model; promotion gate not yet open; zero-unit research until review.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mlb-cin</t>
        </is>
      </c>
      <c r="AQ7" s="24" t="inlineStr">
        <is>
          <t>Cincinnati Reds</t>
        </is>
      </c>
      <c r="AR7" s="24" t="inlineStr">
        <is>
          <t>Cincinnati Reds</t>
        </is>
      </c>
      <c r="AS7" s="24" t="inlineStr">
        <is>
          <t>mlb-col</t>
        </is>
      </c>
      <c r="AT7" s="24" t="inlineStr">
        <is>
          <t>Colorado Rockies</t>
        </is>
      </c>
      <c r="AU7" s="24" t="inlineStr">
        <is>
          <t>Colorado Rockies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5224fb6ffbc9ddf8fa517627b830ac851192da94d241963d556945393a42bb9d</t>
        </is>
      </c>
      <c r="BB7" s="24" t="inlineStr">
        <is>
          <t>learned_lr</t>
        </is>
      </c>
      <c r="BC7" s="24" t="inlineStr">
        <is>
          <t>mlb-elo-trend-lr-v4</t>
        </is>
      </c>
      <c r="BD7" s="24" t="inlineStr">
        <is>
          <t>5224fb6ffbc9ddf8fa517627b830ac851192da94d241963d556945393a42bb9d</t>
        </is>
      </c>
      <c r="BE7" s="24" t="inlineStr">
        <is>
          <t>4215d10b9bfb4b91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2026-07-18T16:42:52.313468Z</t>
        </is>
      </c>
      <c r="BI7" s="24" t="inlineStr">
        <is>
          <t>["same_event","same_team_same_day","same_league_same_day"]</t>
        </is>
      </c>
      <c r="BJ7" s="25" t="n"/>
      <c r="BK7" s="26" t="n">
        <v>-104</v>
      </c>
      <c r="BL7" s="27" t="n">
        <v>1.961538</v>
      </c>
      <c r="BM7" s="28" t="n">
        <v>0.509804</v>
      </c>
      <c r="BN7" s="28" t="n">
        <v>0.507463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-1</v>
      </c>
      <c r="BZ7" s="24" t="inlineStr">
        <is>
          <t>2026-07-18T23:59:20.572146Z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2ec6744dbfd84ecf</t>
        </is>
      </c>
      <c r="B8" s="24" t="inlineStr">
        <is>
          <t>2026-07-18T16:44:20.099051Z</t>
        </is>
      </c>
      <c r="C8" s="24" t="inlineStr">
        <is>
          <t>2026-07-18T16:10:00-0400</t>
        </is>
      </c>
      <c r="D8" s="24" t="inlineStr">
        <is>
          <t>401816161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Atlanta Braves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-106</v>
      </c>
      <c r="M8" s="27" t="n">
        <v>1.943396</v>
      </c>
      <c r="N8" s="28" t="n">
        <v>0.514563</v>
      </c>
      <c r="O8" s="28" t="n">
        <v>0.550297</v>
      </c>
      <c r="P8" s="28" t="n"/>
      <c r="Q8" s="28" t="n">
        <v>0.035734</v>
      </c>
      <c r="R8" s="26" t="n">
        <v>35</v>
      </c>
      <c r="S8" s="29" t="n">
        <v>1</v>
      </c>
      <c r="T8" s="24" t="inlineStr">
        <is>
          <t>mlb-elo-trend-lr-v4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6</v>
      </c>
      <c r="Y8" s="25" t="n"/>
      <c r="Z8" s="26" t="n"/>
      <c r="AA8" s="28" t="n"/>
      <c r="AB8" s="28" t="n"/>
      <c r="AC8" s="30" t="n">
        <v>-1</v>
      </c>
      <c r="AD8" s="24" t="inlineStr">
        <is>
          <t>2026-07-18T23:59:20.634092Z</t>
        </is>
      </c>
      <c r="AE8" s="31" t="inlineStr">
        <is>
          <t>Learned LR call at threshold 0.5500; executable ask 0.5150 (aec-mlb-tex-atl-2026-07-18).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mlb-atl</t>
        </is>
      </c>
      <c r="AT8" s="24" t="inlineStr">
        <is>
          <t>Atlanta Braves</t>
        </is>
      </c>
      <c r="AU8" s="24" t="inlineStr">
        <is>
          <t>Atlanta Braves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5224fb6ffbc9ddf8fa517627b830ac851192da94d241963d556945393a42bb9d</t>
        </is>
      </c>
      <c r="BB8" s="24" t="inlineStr">
        <is>
          <t>learned_lr</t>
        </is>
      </c>
      <c r="BC8" s="24" t="inlineStr">
        <is>
          <t>mlb-elo-trend-lr-v4</t>
        </is>
      </c>
      <c r="BD8" s="24" t="inlineStr">
        <is>
          <t>5224fb6ffbc9ddf8fa517627b830ac851192da94d241963d556945393a42bb9d</t>
        </is>
      </c>
      <c r="BE8" s="24" t="inlineStr">
        <is>
          <t>a999da31a6f5af28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2026-07-18T16:42:57.199270Z</t>
        </is>
      </c>
      <c r="BI8" s="24" t="inlineStr">
        <is>
          <t>["same_event","same_team_same_day","same_league_same_day"]</t>
        </is>
      </c>
      <c r="BJ8" s="25" t="n"/>
      <c r="BK8" s="26" t="n">
        <v>-106</v>
      </c>
      <c r="BL8" s="27" t="n">
        <v>1.943396</v>
      </c>
      <c r="BM8" s="28" t="n">
        <v>0.514563</v>
      </c>
      <c r="BN8" s="28" t="n">
        <v>0.5124379999999999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inlineStr">
        <is>
          <t>2026-07-18T23:59:20.634092Z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634e9b9c56164f59</t>
        </is>
      </c>
      <c r="B9" s="24" t="inlineStr">
        <is>
          <t>2026-07-18T16:44:20.099051Z</t>
        </is>
      </c>
      <c r="C9" s="24" t="inlineStr">
        <is>
          <t>2026-07-18T19:10:00-0400</t>
        </is>
      </c>
      <c r="D9" s="24" t="inlineStr">
        <is>
          <t>401816159</t>
        </is>
      </c>
      <c r="E9" s="24" t="inlineStr">
        <is>
          <t>MLB</t>
        </is>
      </c>
      <c r="F9" s="24" t="inlineStr">
        <is>
          <t>Pittsburgh Pirates</t>
        </is>
      </c>
      <c r="G9" s="24" t="inlineStr">
        <is>
          <t>Cleveland Guardians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-102</v>
      </c>
      <c r="M9" s="27" t="n">
        <v>1.980392</v>
      </c>
      <c r="N9" s="28" t="n">
        <v>0.50495</v>
      </c>
      <c r="O9" s="28" t="n">
        <v>0.554084</v>
      </c>
      <c r="P9" s="28" t="n"/>
      <c r="Q9" s="28" t="n">
        <v>0.049134</v>
      </c>
      <c r="R9" s="26" t="n">
        <v>49</v>
      </c>
      <c r="S9" s="29" t="n">
        <v>1</v>
      </c>
      <c r="T9" s="24" t="inlineStr">
        <is>
          <t>mlb-elo-trend-lr-v4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3</v>
      </c>
      <c r="X9" s="26" t="n">
        <v>5</v>
      </c>
      <c r="Y9" s="25" t="n"/>
      <c r="Z9" s="26" t="n"/>
      <c r="AA9" s="28" t="n"/>
      <c r="AB9" s="28" t="n"/>
      <c r="AC9" s="30" t="n">
        <v>0.9804</v>
      </c>
      <c r="AD9" s="24" t="inlineStr">
        <is>
          <t>2026-07-18T23:59:20.697637Z</t>
        </is>
      </c>
      <c r="AE9" s="31" t="inlineStr">
        <is>
          <t>Learned LR call at threshold 0.5500; executable ask 0.5050 (aec-mlb-pit-cle-2026-07-18).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mlb-pit</t>
        </is>
      </c>
      <c r="AQ9" s="24" t="inlineStr">
        <is>
          <t>Pittsburgh Pirates</t>
        </is>
      </c>
      <c r="AR9" s="24" t="inlineStr">
        <is>
          <t>Pittsburgh Pirates</t>
        </is>
      </c>
      <c r="AS9" s="24" t="inlineStr">
        <is>
          <t>mlb-cle</t>
        </is>
      </c>
      <c r="AT9" s="24" t="inlineStr">
        <is>
          <t>Cleveland Guardians</t>
        </is>
      </c>
      <c r="AU9" s="24" t="inlineStr">
        <is>
          <t>Cleveland Guardians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5224fb6ffbc9ddf8fa517627b830ac851192da94d241963d556945393a42bb9d</t>
        </is>
      </c>
      <c r="BB9" s="24" t="inlineStr">
        <is>
          <t>learned_lr</t>
        </is>
      </c>
      <c r="BC9" s="24" t="inlineStr">
        <is>
          <t>mlb-elo-trend-lr-v4</t>
        </is>
      </c>
      <c r="BD9" s="24" t="inlineStr">
        <is>
          <t>5224fb6ffbc9ddf8fa517627b830ac851192da94d241963d556945393a42bb9d</t>
        </is>
      </c>
      <c r="BE9" s="24" t="inlineStr">
        <is>
          <t>3c0f9e9f1d0333c4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2026-07-18T16:42:59.880808Z</t>
        </is>
      </c>
      <c r="BI9" s="24" t="inlineStr">
        <is>
          <t>["same_event","same_team_same_day","same_league_same_day"]</t>
        </is>
      </c>
      <c r="BJ9" s="25" t="n"/>
      <c r="BK9" s="26" t="n">
        <v>-102</v>
      </c>
      <c r="BL9" s="27" t="n">
        <v>1.980392</v>
      </c>
      <c r="BM9" s="28" t="n">
        <v>0.50495</v>
      </c>
      <c r="BN9" s="28" t="n">
        <v>0.502488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0.980392</v>
      </c>
      <c r="BZ9" s="24" t="inlineStr">
        <is>
          <t>2026-07-18T23:59:20.697637Z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0a1abd6e59a84720</t>
        </is>
      </c>
      <c r="B10" s="24" t="inlineStr">
        <is>
          <t>2026-07-18T16:44:20.099051Z</t>
        </is>
      </c>
      <c r="C10" s="24" t="inlineStr">
        <is>
          <t>2026-07-18T20:08:00-0400</t>
        </is>
      </c>
      <c r="D10" s="24" t="inlineStr">
        <is>
          <t>401816168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Seattle Mariners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-138</v>
      </c>
      <c r="M10" s="27" t="n">
        <v>1.724638</v>
      </c>
      <c r="N10" s="28" t="n">
        <v>0.579832</v>
      </c>
      <c r="O10" s="28" t="n">
        <v>0.627758</v>
      </c>
      <c r="P10" s="28" t="n"/>
      <c r="Q10" s="28" t="n">
        <v>0.047926</v>
      </c>
      <c r="R10" s="26" t="n">
        <v>47</v>
      </c>
      <c r="S10" s="29" t="n">
        <v>1.75</v>
      </c>
      <c r="T10" s="24" t="inlineStr">
        <is>
          <t>mlb-elo-trend-lr-v4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3</v>
      </c>
      <c r="X10" s="26" t="n">
        <v>4</v>
      </c>
      <c r="Y10" s="25" t="n"/>
      <c r="Z10" s="26" t="n"/>
      <c r="AA10" s="28" t="n"/>
      <c r="AB10" s="28" t="n"/>
      <c r="AC10" s="30" t="n">
        <v>1.2681</v>
      </c>
      <c r="AD10" s="24" t="inlineStr">
        <is>
          <t>2026-07-19T06:08:38.177875Z</t>
        </is>
      </c>
      <c r="AE10" s="31" t="inlineStr">
        <is>
          <t>Learned LR call at threshold 0.5500; executable ask 0.5800 (aec-mlb-sf-sea-2026-07-18).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mlb-sea</t>
        </is>
      </c>
      <c r="AT10" s="24" t="inlineStr">
        <is>
          <t>Seattle Mariners</t>
        </is>
      </c>
      <c r="AU10" s="24" t="inlineStr">
        <is>
          <t>Seattle Mariners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5224fb6ffbc9ddf8fa517627b830ac851192da94d241963d556945393a42bb9d</t>
        </is>
      </c>
      <c r="BB10" s="24" t="inlineStr">
        <is>
          <t>learned_lr</t>
        </is>
      </c>
      <c r="BC10" s="24" t="inlineStr">
        <is>
          <t>mlb-elo-trend-lr-v4</t>
        </is>
      </c>
      <c r="BD10" s="24" t="inlineStr">
        <is>
          <t>5224fb6ffbc9ddf8fa517627b830ac851192da94d241963d556945393a42bb9d</t>
        </is>
      </c>
      <c r="BE10" s="24" t="inlineStr">
        <is>
          <t>29d502a7704e228f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2026-07-18T16:43:04.779295Z</t>
        </is>
      </c>
      <c r="BI10" s="24" t="inlineStr">
        <is>
          <t>["same_event","same_team_same_day","same_league_same_day"]</t>
        </is>
      </c>
      <c r="BJ10" s="25" t="n"/>
      <c r="BK10" s="26" t="n">
        <v>-138</v>
      </c>
      <c r="BL10" s="27" t="n">
        <v>1.724638</v>
      </c>
      <c r="BM10" s="28" t="n">
        <v>0.579832</v>
      </c>
      <c r="BN10" s="28" t="n">
        <v>0.577114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0.724638</v>
      </c>
      <c r="BZ10" s="24" t="inlineStr">
        <is>
          <t>2026-07-19T06:08:38.177875Z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534daa3057c4428f</t>
        </is>
      </c>
      <c r="B11" s="24" t="inlineStr">
        <is>
          <t>2026-07-18T16:44:20.099051Z</t>
        </is>
      </c>
      <c r="C11" s="24" t="inlineStr">
        <is>
          <t>2026-07-18T22:05:00-0400</t>
        </is>
      </c>
      <c r="D11" s="24" t="inlineStr">
        <is>
          <t>401816170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Athletics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102</v>
      </c>
      <c r="M11" s="27" t="n">
        <v>2.02</v>
      </c>
      <c r="N11" s="28" t="n">
        <v>0.49505</v>
      </c>
      <c r="O11" s="28" t="n">
        <v>0.569735</v>
      </c>
      <c r="P11" s="28" t="n"/>
      <c r="Q11" s="28" t="n">
        <v>0.074685</v>
      </c>
      <c r="R11" s="26" t="n">
        <v>74</v>
      </c>
      <c r="S11" s="29" t="n">
        <v>1.25</v>
      </c>
      <c r="T11" s="24" t="inlineStr">
        <is>
          <t>mlb-elo-trend-lr-v4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15</v>
      </c>
      <c r="Y11" s="25" t="n"/>
      <c r="Z11" s="26" t="n"/>
      <c r="AA11" s="28" t="n"/>
      <c r="AB11" s="28" t="n"/>
      <c r="AC11" s="30" t="n">
        <v>1.275</v>
      </c>
      <c r="AD11" s="24" t="inlineStr">
        <is>
          <t>2026-07-19T06:08:38.355137Z</t>
        </is>
      </c>
      <c r="AE11" s="31" t="inlineStr">
        <is>
          <t>Learned LR call at threshold 0.5500; executable ask 0.4950 (aec-mlb-wsh-ath-2026-07-18).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mlb-ath</t>
        </is>
      </c>
      <c r="AT11" s="24" t="inlineStr">
        <is>
          <t>Athletics</t>
        </is>
      </c>
      <c r="AU11" s="24" t="inlineStr">
        <is>
          <t>Athletics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5224fb6ffbc9ddf8fa517627b830ac851192da94d241963d556945393a42bb9d</t>
        </is>
      </c>
      <c r="BB11" s="24" t="inlineStr">
        <is>
          <t>learned_lr</t>
        </is>
      </c>
      <c r="BC11" s="24" t="inlineStr">
        <is>
          <t>mlb-elo-trend-lr-v4</t>
        </is>
      </c>
      <c r="BD11" s="24" t="inlineStr">
        <is>
          <t>5224fb6ffbc9ddf8fa517627b830ac851192da94d241963d556945393a42bb9d</t>
        </is>
      </c>
      <c r="BE11" s="24" t="inlineStr">
        <is>
          <t>d2faed7be6c04691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2026-07-18T16:43:06.321641Z</t>
        </is>
      </c>
      <c r="BI11" s="24" t="inlineStr">
        <is>
          <t>["same_event","same_team_same_day","same_league_same_day"]</t>
        </is>
      </c>
      <c r="BJ11" s="25" t="n"/>
      <c r="BK11" s="26" t="n">
        <v>102</v>
      </c>
      <c r="BL11" s="27" t="n">
        <v>2.02</v>
      </c>
      <c r="BM11" s="28" t="n">
        <v>0.49505</v>
      </c>
      <c r="BN11" s="28" t="n">
        <v>0.492537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>
        <v>1</v>
      </c>
      <c r="BY11" s="27" t="n">
        <v>1.02</v>
      </c>
      <c r="BZ11" s="24" t="inlineStr">
        <is>
          <t>2026-07-19T06:08:38.355137Z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5ab4cdd6444d4f9b</t>
        </is>
      </c>
      <c r="B12" s="24" t="inlineStr">
        <is>
          <t>2026-07-18T16:50:38.270483Z</t>
        </is>
      </c>
      <c r="C12" s="24" t="inlineStr">
        <is>
          <t>2026-07-18T16:10:00-0400</t>
        </is>
      </c>
      <c r="D12" s="24" t="inlineStr">
        <is>
          <t>401816162</t>
        </is>
      </c>
      <c r="E12" s="24" t="inlineStr">
        <is>
          <t>MLB</t>
        </is>
      </c>
      <c r="F12" s="24" t="inlineStr">
        <is>
          <t>Baltimore Orioles</t>
        </is>
      </c>
      <c r="G12" s="24" t="inlineStr">
        <is>
          <t>Houston Astros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-102</v>
      </c>
      <c r="M12" s="27" t="n">
        <v>1.980392</v>
      </c>
      <c r="N12" s="28" t="n">
        <v>0.50495</v>
      </c>
      <c r="O12" s="28" t="n">
        <v>0.545167</v>
      </c>
      <c r="P12" s="28" t="n"/>
      <c r="Q12" s="28" t="n">
        <v>0.040217</v>
      </c>
      <c r="R12" s="26" t="n">
        <v>40</v>
      </c>
      <c r="S12" s="29" t="n">
        <v>1</v>
      </c>
      <c r="T12" s="24" t="inlineStr">
        <is>
          <t>mlb-elo-trend-lr-v4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25" t="n"/>
      <c r="Z12" s="26" t="n"/>
      <c r="AA12" s="28" t="n"/>
      <c r="AB12" s="28" t="n"/>
      <c r="AC12" s="30" t="n">
        <v>-1</v>
      </c>
      <c r="AD12" s="24" t="inlineStr">
        <is>
          <t>2026-07-18T23:59:20.760772Z</t>
        </is>
      </c>
      <c r="AE12" s="31" t="inlineStr">
        <is>
          <t>Learned LR call at threshold 0.5100; executable ask 0.5050 (aec-mlb-bal-hou-2026-07-18).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mlb-bal</t>
        </is>
      </c>
      <c r="AQ12" s="24" t="inlineStr">
        <is>
          <t>Baltimore Orioles</t>
        </is>
      </c>
      <c r="AR12" s="24" t="inlineStr">
        <is>
          <t>Baltimore Orioles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5224fb6ffbc9ddf8fa517627b830ac851192da94d241963d556945393a42bb9d</t>
        </is>
      </c>
      <c r="BB12" s="24" t="inlineStr">
        <is>
          <t>learned_lr</t>
        </is>
      </c>
      <c r="BC12" s="24" t="inlineStr">
        <is>
          <t>mlb-elo-trend-lr-v4</t>
        </is>
      </c>
      <c r="BD12" s="24" t="inlineStr">
        <is>
          <t>5224fb6ffbc9ddf8fa517627b830ac851192da94d241963d556945393a42bb9d</t>
        </is>
      </c>
      <c r="BE12" s="24" t="inlineStr">
        <is>
          <t>f6cae9c590f4ed48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2026-07-18T16:49:31.642864Z</t>
        </is>
      </c>
      <c r="BI12" s="24" t="inlineStr">
        <is>
          <t>["same_event","same_team_same_day","same_league_same_day"]</t>
        </is>
      </c>
      <c r="BJ12" s="25" t="n"/>
      <c r="BK12" s="26" t="n">
        <v>-102</v>
      </c>
      <c r="BL12" s="27" t="n">
        <v>1.980392</v>
      </c>
      <c r="BM12" s="28" t="n">
        <v>0.50495</v>
      </c>
      <c r="BN12" s="28" t="n">
        <v>0.502488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>
        <v>1</v>
      </c>
      <c r="BY12" s="27" t="n">
        <v>-1</v>
      </c>
      <c r="BZ12" s="24" t="inlineStr">
        <is>
          <t>2026-07-18T23:59:20.760772Z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6768ed78d65e4f03</t>
        </is>
      </c>
      <c r="B13" s="24" t="inlineStr">
        <is>
          <t>2026-07-18T17:28:36.828868Z</t>
        </is>
      </c>
      <c r="C13" s="24" t="inlineStr">
        <is>
          <t>2026-07-18T16:10:00-0400</t>
        </is>
      </c>
      <c r="D13" s="24" t="inlineStr">
        <is>
          <t>401816160</t>
        </is>
      </c>
      <c r="E13" s="24" t="inlineStr">
        <is>
          <t>MLB</t>
        </is>
      </c>
      <c r="F13" s="24" t="inlineStr">
        <is>
          <t>Tampa Bay Rays</t>
        </is>
      </c>
      <c r="G13" s="24" t="inlineStr">
        <is>
          <t>Boston Red Sox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-102</v>
      </c>
      <c r="M13" s="27" t="n">
        <v>1.980392</v>
      </c>
      <c r="N13" s="28" t="n">
        <v>0.50495</v>
      </c>
      <c r="O13" s="28" t="n">
        <v>0.5727179999999999</v>
      </c>
      <c r="P13" s="28" t="n"/>
      <c r="Q13" s="28" t="n">
        <v>0.06776799999999999</v>
      </c>
      <c r="R13" s="26" t="n">
        <v>67</v>
      </c>
      <c r="S13" s="29" t="n">
        <v>1.25</v>
      </c>
      <c r="T13" s="24" t="inlineStr">
        <is>
          <t>mlb-elo-trend-lr-v4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6</v>
      </c>
      <c r="X13" s="26" t="n">
        <v>7</v>
      </c>
      <c r="Y13" s="25" t="n"/>
      <c r="Z13" s="26" t="n"/>
      <c r="AA13" s="28" t="n"/>
      <c r="AB13" s="28" t="n"/>
      <c r="AC13" s="30" t="n">
        <v>1.2255</v>
      </c>
      <c r="AD13" s="24" t="inlineStr">
        <is>
          <t>2026-07-18T23:59:20.822768Z</t>
        </is>
      </c>
      <c r="AE13" s="31" t="inlineStr">
        <is>
          <t>Learned LR call at threshold 0.5100; executable ask 0.5050 (aec-mlb-tb-bos-2026-07-18).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mlb-tb</t>
        </is>
      </c>
      <c r="AQ13" s="24" t="inlineStr">
        <is>
          <t>Tampa Bay Rays</t>
        </is>
      </c>
      <c r="AR13" s="24" t="inlineStr">
        <is>
          <t>Tampa Bay Rays</t>
        </is>
      </c>
      <c r="AS13" s="24" t="inlineStr">
        <is>
          <t>mlb-bos</t>
        </is>
      </c>
      <c r="AT13" s="24" t="inlineStr">
        <is>
          <t>Boston Red Sox</t>
        </is>
      </c>
      <c r="AU13" s="24" t="inlineStr">
        <is>
          <t>Boston Red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5224fb6ffbc9ddf8fa517627b830ac851192da94d241963d556945393a42bb9d</t>
        </is>
      </c>
      <c r="BB13" s="24" t="inlineStr">
        <is>
          <t>learned_lr</t>
        </is>
      </c>
      <c r="BC13" s="24" t="inlineStr">
        <is>
          <t>mlb-elo-trend-lr-v4</t>
        </is>
      </c>
      <c r="BD13" s="24" t="inlineStr">
        <is>
          <t>5224fb6ffbc9ddf8fa517627b830ac851192da94d241963d556945393a42bb9d</t>
        </is>
      </c>
      <c r="BE13" s="24" t="inlineStr">
        <is>
          <t>db0a002aa4e19b4b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2026-07-18T17:27:47.084596Z</t>
        </is>
      </c>
      <c r="BI13" s="24" t="inlineStr">
        <is>
          <t>["same_event","same_team_same_day","same_league_same_day"]</t>
        </is>
      </c>
      <c r="BJ13" s="25" t="n"/>
      <c r="BK13" s="26" t="n">
        <v>-102</v>
      </c>
      <c r="BL13" s="27" t="n">
        <v>1.980392</v>
      </c>
      <c r="BM13" s="28" t="n">
        <v>0.50495</v>
      </c>
      <c r="BN13" s="28" t="n">
        <v>0.502488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>
        <v>1</v>
      </c>
      <c r="BY13" s="27" t="n">
        <v>0.980392</v>
      </c>
      <c r="BZ13" s="24" t="inlineStr">
        <is>
          <t>2026-07-18T23:59:20.822768Z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924907abbb534b0a</t>
        </is>
      </c>
      <c r="B14" s="24" t="inlineStr">
        <is>
          <t>2026-07-18T17:28:36.828868Z</t>
        </is>
      </c>
      <c r="C14" s="24" t="inlineStr">
        <is>
          <t>2026-07-18T16:10:00-0400</t>
        </is>
      </c>
      <c r="D14" s="24" t="inlineStr">
        <is>
          <t>401816165</t>
        </is>
      </c>
      <c r="E14" s="24" t="inlineStr">
        <is>
          <t>MLB</t>
        </is>
      </c>
      <c r="F14" s="24" t="inlineStr">
        <is>
          <t>San Diego Padres</t>
        </is>
      </c>
      <c r="G14" s="24" t="inlineStr">
        <is>
          <t>Kansas City Royals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-104</v>
      </c>
      <c r="M14" s="27" t="n">
        <v>1.961538</v>
      </c>
      <c r="N14" s="28" t="n">
        <v>0.509804</v>
      </c>
      <c r="O14" s="28" t="n">
        <v>0.5306149999999999</v>
      </c>
      <c r="P14" s="28" t="n"/>
      <c r="Q14" s="28" t="n">
        <v>0.020811</v>
      </c>
      <c r="R14" s="26" t="n">
        <v>20</v>
      </c>
      <c r="S14" s="29" t="n">
        <v>0.75</v>
      </c>
      <c r="T14" s="24" t="inlineStr">
        <is>
          <t>mlb-elo-trend-lr-v4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6</v>
      </c>
      <c r="Y14" s="25" t="n"/>
      <c r="Z14" s="26" t="n"/>
      <c r="AA14" s="28" t="n"/>
      <c r="AB14" s="28" t="n"/>
      <c r="AC14" s="30" t="n">
        <v>-0.75</v>
      </c>
      <c r="AD14" s="24" t="inlineStr">
        <is>
          <t>2026-07-18T23:59:20.891397Z</t>
        </is>
      </c>
      <c r="AE14" s="31" t="inlineStr">
        <is>
          <t>Learned LR call at threshold 0.5100; executable ask 0.5100 (aec-mlb-sd-kc-2026-07-18).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mlb-sd</t>
        </is>
      </c>
      <c r="AQ14" s="24" t="inlineStr">
        <is>
          <t>San Diego Padres</t>
        </is>
      </c>
      <c r="AR14" s="24" t="inlineStr">
        <is>
          <t>San Diego Padres</t>
        </is>
      </c>
      <c r="AS14" s="24" t="inlineStr">
        <is>
          <t>mlb-kc</t>
        </is>
      </c>
      <c r="AT14" s="24" t="inlineStr">
        <is>
          <t>Kansas City Royals</t>
        </is>
      </c>
      <c r="AU14" s="24" t="inlineStr">
        <is>
          <t>Kansas City Royals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5224fb6ffbc9ddf8fa517627b830ac851192da94d241963d556945393a42bb9d</t>
        </is>
      </c>
      <c r="BB14" s="24" t="inlineStr">
        <is>
          <t>learned_lr</t>
        </is>
      </c>
      <c r="BC14" s="24" t="inlineStr">
        <is>
          <t>mlb-elo-trend-lr-v4</t>
        </is>
      </c>
      <c r="BD14" s="24" t="inlineStr">
        <is>
          <t>5224fb6ffbc9ddf8fa517627b830ac851192da94d241963d556945393a42bb9d</t>
        </is>
      </c>
      <c r="BE14" s="24" t="inlineStr">
        <is>
          <t>ed4675d45b8d4ffe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2026-07-18T17:27:46.135351Z</t>
        </is>
      </c>
      <c r="BI14" s="24" t="inlineStr">
        <is>
          <t>["same_event","same_team_same_day","same_league_same_day"]</t>
        </is>
      </c>
      <c r="BJ14" s="25" t="n"/>
      <c r="BK14" s="26" t="n">
        <v>-104</v>
      </c>
      <c r="BL14" s="27" t="n">
        <v>1.961538</v>
      </c>
      <c r="BM14" s="28" t="n">
        <v>0.509804</v>
      </c>
      <c r="BN14" s="28" t="n">
        <v>0.507463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>
        <v>1</v>
      </c>
      <c r="BY14" s="27" t="n">
        <v>-1</v>
      </c>
      <c r="BZ14" s="24" t="inlineStr">
        <is>
          <t>2026-07-18T23:59:20.891397Z</t>
        </is>
      </c>
      <c r="CA14" s="31" t="inlineStr">
        <is>
          <t>fixed one-unit hypothetical scoring; no real exposure or execution</t>
        </is>
      </c>
    </row>
    <row r="15" ht="36" customHeight="1">
      <c r="A15" s="24" t="inlineStr">
        <is>
          <t>48c8669ffc2149cc</t>
        </is>
      </c>
      <c r="B15" s="24" t="inlineStr">
        <is>
          <t>2026-07-18T17:37:17.255201Z</t>
        </is>
      </c>
      <c r="C15" s="24" t="inlineStr">
        <is>
          <t>2026-07-19T12:15:00-0400</t>
        </is>
      </c>
      <c r="D15" s="24" t="inlineStr">
        <is>
          <t>401816171</t>
        </is>
      </c>
      <c r="E15" s="24" t="inlineStr">
        <is>
          <t>MLB</t>
        </is>
      </c>
      <c r="F15" s="24" t="inlineStr">
        <is>
          <t>Chicago White Sox</t>
        </is>
      </c>
      <c r="G15" s="24" t="inlineStr">
        <is>
          <t>Toronto Blue Jays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-104</v>
      </c>
      <c r="M15" s="27" t="n">
        <v>1.961538</v>
      </c>
      <c r="N15" s="28" t="n">
        <v>0.509804</v>
      </c>
      <c r="O15" s="28" t="n">
        <v>0.549576</v>
      </c>
      <c r="P15" s="28" t="n"/>
      <c r="Q15" s="28" t="n">
        <v>0.039772</v>
      </c>
      <c r="R15" s="26" t="n">
        <v>39</v>
      </c>
      <c r="S15" s="29" t="n">
        <v>1</v>
      </c>
      <c r="T15" s="24" t="inlineStr">
        <is>
          <t>mlb-elo-trend-lr-v4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0</v>
      </c>
      <c r="Y15" s="25" t="n"/>
      <c r="Z15" s="26" t="n"/>
      <c r="AA15" s="28" t="n"/>
      <c r="AB15" s="28" t="n"/>
      <c r="AC15" s="30" t="n">
        <v>-1</v>
      </c>
      <c r="AD15" s="24" t="inlineStr">
        <is>
          <t>2026-07-19T21:31:34.426330Z</t>
        </is>
      </c>
      <c r="AE15" s="31" t="inlineStr">
        <is>
          <t>Learned LR call at threshold 0.5100; executable ask 0.5100 (aec-mlb-cws-tor-2026-07-19).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mlb-cws</t>
        </is>
      </c>
      <c r="AQ15" s="24" t="inlineStr">
        <is>
          <t>Chicago White Sox</t>
        </is>
      </c>
      <c r="AR15" s="24" t="inlineStr">
        <is>
          <t>Chicago White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5224fb6ffbc9ddf8fa517627b830ac851192da94d241963d556945393a42bb9d</t>
        </is>
      </c>
      <c r="BB15" s="24" t="inlineStr">
        <is>
          <t>learned_lr</t>
        </is>
      </c>
      <c r="BC15" s="24" t="inlineStr">
        <is>
          <t>mlb-elo-trend-lr-v4</t>
        </is>
      </c>
      <c r="BD15" s="24" t="inlineStr">
        <is>
          <t>5224fb6ffbc9ddf8fa517627b830ac851192da94d241963d556945393a42bb9d</t>
        </is>
      </c>
      <c r="BE15" s="24" t="inlineStr">
        <is>
          <t>50f6dab0538e7f4a</t>
        </is>
      </c>
      <c r="BF15" s="24" t="inlineStr">
        <is>
          <t>1</t>
        </is>
      </c>
      <c r="BG15" s="24" t="inlineStr">
        <is>
          <t>mlb-elo-trend-lr-v3</t>
        </is>
      </c>
      <c r="BH15" s="24" t="inlineStr">
        <is>
          <t>2026-07-18T17:36:34.425604Z</t>
        </is>
      </c>
      <c r="BI15" s="24" t="inlineStr">
        <is>
          <t>["same_event","same_team_same_day","same_league_same_day"]</t>
        </is>
      </c>
      <c r="BJ15" s="25" t="n"/>
      <c r="BK15" s="26" t="n">
        <v>-104</v>
      </c>
      <c r="BL15" s="27" t="n">
        <v>1.961538</v>
      </c>
      <c r="BM15" s="28" t="n">
        <v>0.509804</v>
      </c>
      <c r="BN15" s="28" t="n">
        <v>0.507463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>
        <v>1</v>
      </c>
      <c r="BY15" s="27" t="n">
        <v>-1</v>
      </c>
      <c r="BZ15" s="24" t="inlineStr">
        <is>
          <t>2026-07-19T21:31:34.426330Z</t>
        </is>
      </c>
      <c r="CA15" s="31" t="inlineStr">
        <is>
          <t>fixed one-unit hypothetical scoring; no real exposure or execution</t>
        </is>
      </c>
    </row>
    <row r="16" ht="36" customHeight="1">
      <c r="A16" s="24" t="inlineStr">
        <is>
          <t>5290104d16c8463b</t>
        </is>
      </c>
      <c r="B16" s="24" t="inlineStr">
        <is>
          <t>2026-07-18T17:37:17.255201Z</t>
        </is>
      </c>
      <c r="C16" s="24" t="inlineStr">
        <is>
          <t>2026-07-19T13:35:00-0400</t>
        </is>
      </c>
      <c r="D16" s="24" t="inlineStr">
        <is>
          <t>401816173</t>
        </is>
      </c>
      <c r="E16" s="24" t="inlineStr">
        <is>
          <t>MLB</t>
        </is>
      </c>
      <c r="F16" s="24" t="inlineStr">
        <is>
          <t>New York Mets</t>
        </is>
      </c>
      <c r="G16" s="24" t="inlineStr">
        <is>
          <t>Philadelphia Phillies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-111</v>
      </c>
      <c r="M16" s="27" t="n">
        <v>1.900901</v>
      </c>
      <c r="N16" s="28" t="n">
        <v>0.526066</v>
      </c>
      <c r="O16" s="28" t="n">
        <v>0.606009</v>
      </c>
      <c r="P16" s="28" t="n"/>
      <c r="Q16" s="28" t="n">
        <v>0.079943</v>
      </c>
      <c r="R16" s="26" t="n">
        <v>79</v>
      </c>
      <c r="S16" s="29" t="n">
        <v>1.5</v>
      </c>
      <c r="T16" s="24" t="inlineStr">
        <is>
          <t>mlb-elo-trend-lr-v4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6</v>
      </c>
      <c r="X16" s="26" t="n">
        <v>1</v>
      </c>
      <c r="Y16" s="25" t="n"/>
      <c r="Z16" s="26" t="n"/>
      <c r="AA16" s="28" t="n"/>
      <c r="AB16" s="28" t="n"/>
      <c r="AC16" s="30" t="n">
        <v>-1.5</v>
      </c>
      <c r="AD16" s="24" t="inlineStr">
        <is>
          <t>2026-07-19T21:31:34.633018Z</t>
        </is>
      </c>
      <c r="AE16" s="31" t="inlineStr">
        <is>
          <t>Learned LR call at threshold 0.5100; executable ask 0.5250 (aec-mlb-nym-phi-2026-07-19).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mlb-nym</t>
        </is>
      </c>
      <c r="AQ16" s="24" t="inlineStr">
        <is>
          <t>New York Mets</t>
        </is>
      </c>
      <c r="AR16" s="24" t="inlineStr">
        <is>
          <t>New York Mets</t>
        </is>
      </c>
      <c r="AS16" s="24" t="inlineStr">
        <is>
          <t>mlb-phi</t>
        </is>
      </c>
      <c r="AT16" s="24" t="inlineStr">
        <is>
          <t>Philadelphia Phillies</t>
        </is>
      </c>
      <c r="AU16" s="24" t="inlineStr">
        <is>
          <t>Philadelphia Phillies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5224fb6ffbc9ddf8fa517627b830ac851192da94d241963d556945393a42bb9d</t>
        </is>
      </c>
      <c r="BB16" s="24" t="inlineStr">
        <is>
          <t>learned_lr</t>
        </is>
      </c>
      <c r="BC16" s="24" t="inlineStr">
        <is>
          <t>mlb-elo-trend-lr-v4</t>
        </is>
      </c>
      <c r="BD16" s="24" t="inlineStr">
        <is>
          <t>5224fb6ffbc9ddf8fa517627b830ac851192da94d241963d556945393a42bb9d</t>
        </is>
      </c>
      <c r="BE16" s="24" t="inlineStr">
        <is>
          <t>ce93768fc5c8be02</t>
        </is>
      </c>
      <c r="BF16" s="24" t="inlineStr">
        <is>
          <t>1</t>
        </is>
      </c>
      <c r="BG16" s="24" t="inlineStr">
        <is>
          <t>mlb-elo-trend-lr-v3</t>
        </is>
      </c>
      <c r="BH16" s="24" t="inlineStr">
        <is>
          <t>2026-07-18T17:36:34.787099Z</t>
        </is>
      </c>
      <c r="BI16" s="24" t="inlineStr">
        <is>
          <t>["same_event","same_team_same_day","same_league_same_day"]</t>
        </is>
      </c>
      <c r="BJ16" s="25" t="n"/>
      <c r="BK16" s="26" t="n">
        <v>-111</v>
      </c>
      <c r="BL16" s="27" t="n">
        <v>1.900901</v>
      </c>
      <c r="BM16" s="28" t="n">
        <v>0.526066</v>
      </c>
      <c r="BN16" s="28" t="n">
        <v>0.522388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>
        <v>1</v>
      </c>
      <c r="BY16" s="27" t="n">
        <v>-1</v>
      </c>
      <c r="BZ16" s="24" t="inlineStr">
        <is>
          <t>2026-07-19T21:31:34.633018Z</t>
        </is>
      </c>
      <c r="CA16" s="31" t="inlineStr">
        <is>
          <t>fixed one-unit hypothetical scoring; no real exposure or execution</t>
        </is>
      </c>
    </row>
    <row r="17" ht="36" customHeight="1">
      <c r="A17" s="24" t="inlineStr">
        <is>
          <t>7a4271bd40494914</t>
        </is>
      </c>
      <c r="B17" s="24" t="inlineStr">
        <is>
          <t>2026-07-18T17:37:17.255201Z</t>
        </is>
      </c>
      <c r="C17" s="24" t="inlineStr">
        <is>
          <t>2026-07-19T13:35:00-0400</t>
        </is>
      </c>
      <c r="D17" s="24" t="inlineStr">
        <is>
          <t>401816175</t>
        </is>
      </c>
      <c r="E17" s="24" t="inlineStr">
        <is>
          <t>MLB</t>
        </is>
      </c>
      <c r="F17" s="24" t="inlineStr">
        <is>
          <t>Tampa Bay Rays</t>
        </is>
      </c>
      <c r="G17" s="24" t="inlineStr">
        <is>
          <t>Boston Red Sox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-108</v>
      </c>
      <c r="M17" s="27" t="n">
        <v>1.925926</v>
      </c>
      <c r="N17" s="28" t="n">
        <v>0.519231</v>
      </c>
      <c r="O17" s="28" t="n">
        <v>0.550576</v>
      </c>
      <c r="P17" s="28" t="n"/>
      <c r="Q17" s="28" t="n">
        <v>0.031345</v>
      </c>
      <c r="R17" s="26" t="n">
        <v>31</v>
      </c>
      <c r="S17" s="29" t="n">
        <v>1</v>
      </c>
      <c r="T17" s="24" t="inlineStr">
        <is>
          <t>mlb-elo-trend-lr-v4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6</v>
      </c>
      <c r="Y17" s="25" t="n"/>
      <c r="Z17" s="26" t="n"/>
      <c r="AA17" s="28" t="n"/>
      <c r="AB17" s="28" t="n"/>
      <c r="AC17" s="30" t="n">
        <v>0.9258999999999999</v>
      </c>
      <c r="AD17" s="24" t="inlineStr">
        <is>
          <t>2026-07-19T21:31:34.820097Z</t>
        </is>
      </c>
      <c r="AE17" s="31" t="inlineStr">
        <is>
          <t>Learned LR call at threshold 0.5100; executable ask 0.5200 (aec-mlb-tb-bos-2026-07-19).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mlb-tb</t>
        </is>
      </c>
      <c r="AQ17" s="24" t="inlineStr">
        <is>
          <t>Tampa Bay Rays</t>
        </is>
      </c>
      <c r="AR17" s="24" t="inlineStr">
        <is>
          <t>Tampa Bay Rays</t>
        </is>
      </c>
      <c r="AS17" s="24" t="inlineStr">
        <is>
          <t>mlb-bos</t>
        </is>
      </c>
      <c r="AT17" s="24" t="inlineStr">
        <is>
          <t>Boston Red Sox</t>
        </is>
      </c>
      <c r="AU17" s="24" t="inlineStr">
        <is>
          <t>Boston Red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5224fb6ffbc9ddf8fa517627b830ac851192da94d241963d556945393a42bb9d</t>
        </is>
      </c>
      <c r="BB17" s="24" t="inlineStr">
        <is>
          <t>learned_lr</t>
        </is>
      </c>
      <c r="BC17" s="24" t="inlineStr">
        <is>
          <t>mlb-elo-trend-lr-v4</t>
        </is>
      </c>
      <c r="BD17" s="24" t="inlineStr">
        <is>
          <t>5224fb6ffbc9ddf8fa517627b830ac851192da94d241963d556945393a42bb9d</t>
        </is>
      </c>
      <c r="BE17" s="24" t="inlineStr">
        <is>
          <t>1e50d689e0ba0748</t>
        </is>
      </c>
      <c r="BF17" s="24" t="inlineStr">
        <is>
          <t>1</t>
        </is>
      </c>
      <c r="BG17" s="24" t="inlineStr">
        <is>
          <t>mlb-elo-trend-lr-v3</t>
        </is>
      </c>
      <c r="BH17" s="24" t="inlineStr">
        <is>
          <t>2026-07-18T17:36:36.879504Z</t>
        </is>
      </c>
      <c r="BI17" s="24" t="inlineStr">
        <is>
          <t>["same_event","same_team_same_day","same_league_same_day"]</t>
        </is>
      </c>
      <c r="BJ17" s="25" t="n"/>
      <c r="BK17" s="26" t="n">
        <v>-108</v>
      </c>
      <c r="BL17" s="27" t="n">
        <v>1.925926</v>
      </c>
      <c r="BM17" s="28" t="n">
        <v>0.519231</v>
      </c>
      <c r="BN17" s="28" t="n">
        <v>0.5148509999999999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>
        <v>1</v>
      </c>
      <c r="BY17" s="27" t="n">
        <v>0.925926</v>
      </c>
      <c r="BZ17" s="24" t="inlineStr">
        <is>
          <t>2026-07-19T21:31:34.820097Z</t>
        </is>
      </c>
      <c r="CA17" s="31" t="inlineStr">
        <is>
          <t>fixed one-unit hypothetical scoring; no real exposure or execution</t>
        </is>
      </c>
    </row>
    <row r="18" ht="36" customHeight="1">
      <c r="A18" s="24" t="inlineStr">
        <is>
          <t>6c30433f6943459a</t>
        </is>
      </c>
      <c r="B18" s="24" t="inlineStr">
        <is>
          <t>2026-07-18T17:37:17.255201Z</t>
        </is>
      </c>
      <c r="C18" s="24" t="inlineStr">
        <is>
          <t>2026-07-19T13:40:00-0400</t>
        </is>
      </c>
      <c r="D18" s="24" t="inlineStr">
        <is>
          <t>401816174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Cleveland Guardians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111</v>
      </c>
      <c r="M18" s="27" t="n">
        <v>2.11</v>
      </c>
      <c r="N18" s="28" t="n">
        <v>0.473934</v>
      </c>
      <c r="O18" s="28" t="n">
        <v>0.564072</v>
      </c>
      <c r="P18" s="28" t="n"/>
      <c r="Q18" s="28" t="n">
        <v>0.090138</v>
      </c>
      <c r="R18" s="26" t="n">
        <v>90</v>
      </c>
      <c r="S18" s="29" t="n">
        <v>1.25</v>
      </c>
      <c r="T18" s="24" t="inlineStr">
        <is>
          <t>mlb-elo-trend-lr-v4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2026-07-19T21:31:35.008100Z</t>
        </is>
      </c>
      <c r="AE18" s="31" t="inlineStr">
        <is>
          <t>Learned LR call at threshold 0.5100; executable ask 0.4750 (aec-mlb-pit-cle-2026-07-19).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mlb-cle</t>
        </is>
      </c>
      <c r="AT18" s="24" t="inlineStr">
        <is>
          <t>Cleveland Guardians</t>
        </is>
      </c>
      <c r="AU18" s="24" t="inlineStr">
        <is>
          <t>Cleveland Guardians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5224fb6ffbc9ddf8fa517627b830ac851192da94d241963d556945393a42bb9d</t>
        </is>
      </c>
      <c r="BB18" s="24" t="inlineStr">
        <is>
          <t>learned_lr</t>
        </is>
      </c>
      <c r="BC18" s="24" t="inlineStr">
        <is>
          <t>mlb-elo-trend-lr-v4</t>
        </is>
      </c>
      <c r="BD18" s="24" t="inlineStr">
        <is>
          <t>5224fb6ffbc9ddf8fa517627b830ac851192da94d241963d556945393a42bb9d</t>
        </is>
      </c>
      <c r="BE18" s="24" t="inlineStr">
        <is>
          <t>5e36475e8b7bf75d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2026-07-18T17:36:37.946655Z</t>
        </is>
      </c>
      <c r="BI18" s="24" t="inlineStr">
        <is>
          <t>["same_event","same_team_same_day","same_league_same_day"]</t>
        </is>
      </c>
      <c r="BJ18" s="25" t="n"/>
      <c r="BK18" s="26" t="n">
        <v>111</v>
      </c>
      <c r="BL18" s="27" t="n">
        <v>2.11</v>
      </c>
      <c r="BM18" s="28" t="n">
        <v>0.473934</v>
      </c>
      <c r="BN18" s="28" t="n">
        <v>0.472637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inlineStr">
        <is>
          <t>2026-07-19T21:31:35.008100Z</t>
        </is>
      </c>
      <c r="CA18" s="31" t="inlineStr">
        <is>
          <t>fixed one-unit hypothetical scoring; no real exposure or execution</t>
        </is>
      </c>
    </row>
    <row r="19" ht="36" customHeight="1">
      <c r="A19" s="24" t="inlineStr">
        <is>
          <t>a96ea6dd6b144441</t>
        </is>
      </c>
      <c r="B19" s="24" t="inlineStr">
        <is>
          <t>2026-07-18T17:37:17.255201Z</t>
        </is>
      </c>
      <c r="C19" s="24" t="inlineStr">
        <is>
          <t>2026-07-19T14:10:00-0400</t>
        </is>
      </c>
      <c r="D19" s="24" t="inlineStr">
        <is>
          <t>401816178</t>
        </is>
      </c>
      <c r="E19" s="24" t="inlineStr">
        <is>
          <t>MLB</t>
        </is>
      </c>
      <c r="F19" s="24" t="inlineStr">
        <is>
          <t>Miami Marlins</t>
        </is>
      </c>
      <c r="G19" s="24" t="inlineStr">
        <is>
          <t>Milwaukee Brewers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-125</v>
      </c>
      <c r="M19" s="27" t="n">
        <v>1.8</v>
      </c>
      <c r="N19" s="28" t="n">
        <v>0.555556</v>
      </c>
      <c r="O19" s="28" t="n">
        <v>0.607169</v>
      </c>
      <c r="P19" s="28" t="n"/>
      <c r="Q19" s="28" t="n">
        <v>0.051613</v>
      </c>
      <c r="R19" s="26" t="n">
        <v>51</v>
      </c>
      <c r="S19" s="29" t="n">
        <v>1.5</v>
      </c>
      <c r="T19" s="24" t="inlineStr">
        <is>
          <t>mlb-elo-trend-lr-v4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3</v>
      </c>
      <c r="Y19" s="25" t="n"/>
      <c r="Z19" s="26" t="n"/>
      <c r="AA19" s="28" t="n"/>
      <c r="AB19" s="28" t="n"/>
      <c r="AC19" s="30" t="n">
        <v>1.2</v>
      </c>
      <c r="AD19" s="24" t="inlineStr">
        <is>
          <t>2026-07-19T21:31:35.195059Z</t>
        </is>
      </c>
      <c r="AE19" s="31" t="inlineStr">
        <is>
          <t>Learned LR call at threshold 0.5100; executable ask 0.5550 (aec-mlb-mia-mil-2026-07-19).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mlb-mia</t>
        </is>
      </c>
      <c r="AQ19" s="24" t="inlineStr">
        <is>
          <t>Miami Marlins</t>
        </is>
      </c>
      <c r="AR19" s="24" t="inlineStr">
        <is>
          <t>Miami Marlins</t>
        </is>
      </c>
      <c r="AS19" s="24" t="inlineStr">
        <is>
          <t>mlb-mil</t>
        </is>
      </c>
      <c r="AT19" s="24" t="inlineStr">
        <is>
          <t>Milwaukee Brewers</t>
        </is>
      </c>
      <c r="AU19" s="24" t="inlineStr">
        <is>
          <t>Milwaukee Brewers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5224fb6ffbc9ddf8fa517627b830ac851192da94d241963d556945393a42bb9d</t>
        </is>
      </c>
      <c r="BB19" s="24" t="inlineStr">
        <is>
          <t>learned_lr</t>
        </is>
      </c>
      <c r="BC19" s="24" t="inlineStr">
        <is>
          <t>mlb-elo-trend-lr-v4</t>
        </is>
      </c>
      <c r="BD19" s="24" t="inlineStr">
        <is>
          <t>5224fb6ffbc9ddf8fa517627b830ac851192da94d241963d556945393a42bb9d</t>
        </is>
      </c>
      <c r="BE19" s="24" t="inlineStr">
        <is>
          <t>a0d9b1134dce1744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2026-07-18T17:36:41.204729Z</t>
        </is>
      </c>
      <c r="BI19" s="24" t="inlineStr">
        <is>
          <t>["same_event","same_team_same_day","same_league_same_day"]</t>
        </is>
      </c>
      <c r="BJ19" s="25" t="n"/>
      <c r="BK19" s="26" t="n">
        <v>-125</v>
      </c>
      <c r="BL19" s="27" t="n">
        <v>1.8</v>
      </c>
      <c r="BM19" s="28" t="n">
        <v>0.555556</v>
      </c>
      <c r="BN19" s="28" t="n">
        <v>0.552239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>
        <v>1</v>
      </c>
      <c r="BY19" s="27" t="n">
        <v>0.8</v>
      </c>
      <c r="BZ19" s="24" t="inlineStr">
        <is>
          <t>2026-07-19T21:31:35.195059Z</t>
        </is>
      </c>
      <c r="CA19" s="31" t="inlineStr">
        <is>
          <t>fixed one-unit hypothetical scoring; no real exposure or execution</t>
        </is>
      </c>
    </row>
    <row r="20" ht="36" customHeight="1">
      <c r="A20" s="24" t="inlineStr">
        <is>
          <t>04b8c864fb464dd7</t>
        </is>
      </c>
      <c r="B20" s="24" t="inlineStr">
        <is>
          <t>2026-07-18T17:37:17.255201Z</t>
        </is>
      </c>
      <c r="C20" s="24" t="inlineStr">
        <is>
          <t>2026-07-19T14:10:00-0400</t>
        </is>
      </c>
      <c r="D20" s="24" t="inlineStr">
        <is>
          <t>401816180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106</v>
      </c>
      <c r="M20" s="27" t="n">
        <v>2.06</v>
      </c>
      <c r="N20" s="28" t="n">
        <v>0.485437</v>
      </c>
      <c r="O20" s="28" t="n">
        <v>0.520865</v>
      </c>
      <c r="P20" s="28" t="n"/>
      <c r="Q20" s="28" t="n">
        <v>0.035428</v>
      </c>
      <c r="R20" s="26" t="n">
        <v>35</v>
      </c>
      <c r="S20" s="29" t="n">
        <v>0.75</v>
      </c>
      <c r="T20" s="24" t="inlineStr">
        <is>
          <t>mlb-elo-trend-lr-v4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19</v>
      </c>
      <c r="X20" s="26" t="n">
        <v>2</v>
      </c>
      <c r="Y20" s="25" t="n"/>
      <c r="Z20" s="26" t="n"/>
      <c r="AA20" s="28" t="n"/>
      <c r="AB20" s="28" t="n"/>
      <c r="AC20" s="30" t="n">
        <v>0.795</v>
      </c>
      <c r="AD20" s="24" t="inlineStr">
        <is>
          <t>2026-07-19T21:31:35.380420Z</t>
        </is>
      </c>
      <c r="AE20" s="31" t="inlineStr">
        <is>
          <t>Learned LR call at threshold 0.5100; executable ask 0.4850 (aec-mlb-sd-kc-2026-07-19).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mlb-kc</t>
        </is>
      </c>
      <c r="AT20" s="24" t="inlineStr">
        <is>
          <t>Kansas City Royals</t>
        </is>
      </c>
      <c r="AU20" s="24" t="inlineStr">
        <is>
          <t>Kansas City Royals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5224fb6ffbc9ddf8fa517627b830ac851192da94d241963d556945393a42bb9d</t>
        </is>
      </c>
      <c r="BB20" s="24" t="inlineStr">
        <is>
          <t>learned_lr</t>
        </is>
      </c>
      <c r="BC20" s="24" t="inlineStr">
        <is>
          <t>mlb-elo-trend-lr-v4</t>
        </is>
      </c>
      <c r="BD20" s="24" t="inlineStr">
        <is>
          <t>5224fb6ffbc9ddf8fa517627b830ac851192da94d241963d556945393a42bb9d</t>
        </is>
      </c>
      <c r="BE20" s="24" t="inlineStr">
        <is>
          <t>b9e5139f50e614b7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2026-07-18T17:36:40.632965Z</t>
        </is>
      </c>
      <c r="BI20" s="24" t="inlineStr">
        <is>
          <t>["same_event","same_team_same_day","same_league_same_day"]</t>
        </is>
      </c>
      <c r="BJ20" s="25" t="n"/>
      <c r="BK20" s="26" t="n">
        <v>106</v>
      </c>
      <c r="BL20" s="27" t="n">
        <v>2.06</v>
      </c>
      <c r="BM20" s="28" t="n">
        <v>0.485437</v>
      </c>
      <c r="BN20" s="28" t="n">
        <v>0.482587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>
        <v>1</v>
      </c>
      <c r="BY20" s="27" t="n">
        <v>1.06</v>
      </c>
      <c r="BZ20" s="24" t="inlineStr">
        <is>
          <t>2026-07-19T21:31:35.380420Z</t>
        </is>
      </c>
      <c r="CA20" s="31" t="inlineStr">
        <is>
          <t>fixed one-unit hypothetical scoring; no real exposure or execution</t>
        </is>
      </c>
    </row>
    <row r="21" ht="36" customHeight="1">
      <c r="A21" s="24" t="inlineStr">
        <is>
          <t>2fe604a809ed46d5</t>
        </is>
      </c>
      <c r="B21" s="24" t="inlineStr">
        <is>
          <t>2026-07-19T10:49:38.448695+00:00</t>
        </is>
      </c>
      <c r="C21" s="24" t="inlineStr">
        <is>
          <t>2026-07-17T13:35:00-0400</t>
        </is>
      </c>
      <c r="D21" s="24" t="inlineStr">
        <is>
          <t>Tamp-Bost-2026-07-17-G1</t>
        </is>
      </c>
      <c r="E21" s="24" t="inlineStr">
        <is>
          <t>MLB</t>
        </is>
      </c>
      <c r="F21" s="24" t="inlineStr">
        <is>
          <t>Tampa Bay Rays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</t>
        </is>
      </c>
      <c r="L21" s="26" t="n">
        <v>-106</v>
      </c>
      <c r="M21" s="27" t="n">
        <v>1.943396</v>
      </c>
      <c r="N21" s="28" t="n">
        <v>0.514563</v>
      </c>
      <c r="O21" s="28" t="n">
        <v>0.550333</v>
      </c>
      <c r="P21" s="28" t="n">
        <v>0.05</v>
      </c>
      <c r="Q21" s="28" t="n">
        <v>0.03577</v>
      </c>
      <c r="R21" s="26" t="n">
        <v>35</v>
      </c>
      <c r="S21" s="29" t="n">
        <v>1</v>
      </c>
      <c r="T21" s="24" t="inlineStr">
        <is>
          <t>mlb-elo-trend-lr-v4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10</v>
      </c>
      <c r="Y21" s="25" t="n"/>
      <c r="Z21" s="26" t="n"/>
      <c r="AA21" s="28" t="n"/>
      <c r="AB21" s="28" t="n"/>
      <c r="AC21" s="30" t="n">
        <v>0.9434</v>
      </c>
      <c r="AD21" s="24" t="inlineStr">
        <is>
          <t>2026-07-19T12:18:56.423740+00:00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inlineStr">
        <is>
          <t>5224fb6ffbc9ddf8fa517627b830ac851192da94d241963d556945393a42bb9d</t>
        </is>
      </c>
      <c r="BB21" s="24" t="n"/>
      <c r="BC21" s="24" t="inlineStr">
        <is>
          <t>mlb-elo-trend-lr-v4</t>
        </is>
      </c>
      <c r="BD21" s="24" t="inlineStr">
        <is>
          <t>5224fb6ffbc9ddf8fa517627b830ac851192da94d241963d556945393a42bb9d</t>
        </is>
      </c>
      <c r="BE21" s="24" t="n"/>
      <c r="BF21" s="24" t="n"/>
      <c r="BG21" s="24" t="n"/>
      <c r="BH21" s="24" t="inlineStr">
        <is>
          <t>2026-07-17T16:26:03.970000Z</t>
        </is>
      </c>
      <c r="BI21" s="24" t="n"/>
      <c r="BJ21" s="25" t="n"/>
      <c r="BK21" s="26" t="n">
        <v>-106</v>
      </c>
      <c r="BL21" s="27" t="n">
        <v>1.943396</v>
      </c>
      <c r="BM21" s="28" t="n">
        <v>0.514563</v>
      </c>
      <c r="BN21" s="28" t="n">
        <v>0.5124379999999999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</row>
    <row r="22" ht="36" customHeight="1">
      <c r="A22" s="24" t="inlineStr">
        <is>
          <t>47dbb1641a0a4833</t>
        </is>
      </c>
      <c r="B22" s="24" t="inlineStr">
        <is>
          <t>2026-07-19T10:49:38.448695+00:00</t>
        </is>
      </c>
      <c r="C22" s="24" t="inlineStr">
        <is>
          <t>2026-07-17T19:10:00-0400</t>
        </is>
      </c>
      <c r="D22" s="24" t="inlineStr">
        <is>
          <t>Tamp-Bost-2026-07-17-G2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</t>
        </is>
      </c>
      <c r="L22" s="26" t="n">
        <v>-106</v>
      </c>
      <c r="M22" s="27" t="n">
        <v>1.943396</v>
      </c>
      <c r="N22" s="28" t="n">
        <v>0.514563</v>
      </c>
      <c r="O22" s="28" t="n">
        <v>0.550333</v>
      </c>
      <c r="P22" s="28" t="n">
        <v>0.05</v>
      </c>
      <c r="Q22" s="28" t="n">
        <v>0.03577</v>
      </c>
      <c r="R22" s="26" t="n">
        <v>35</v>
      </c>
      <c r="S22" s="29" t="n">
        <v>1</v>
      </c>
      <c r="T22" s="24" t="inlineStr">
        <is>
          <t>mlb-elo-trend-lr-v4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3</v>
      </c>
      <c r="X22" s="26" t="n">
        <v>5</v>
      </c>
      <c r="Y22" s="25" t="n"/>
      <c r="Z22" s="26" t="n"/>
      <c r="AA22" s="28" t="n"/>
      <c r="AB22" s="28" t="n"/>
      <c r="AC22" s="30" t="n">
        <v>0.9434</v>
      </c>
      <c r="AD22" s="24" t="inlineStr">
        <is>
          <t>2026-07-19T12:18:56.423961+00:00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inlineStr">
        <is>
          <t>5224fb6ffbc9ddf8fa517627b830ac851192da94d241963d556945393a42bb9d</t>
        </is>
      </c>
      <c r="BB22" s="24" t="n"/>
      <c r="BC22" s="24" t="inlineStr">
        <is>
          <t>mlb-elo-trend-lr-v4</t>
        </is>
      </c>
      <c r="BD22" s="24" t="inlineStr">
        <is>
          <t>5224fb6ffbc9ddf8fa517627b830ac851192da94d241963d556945393a42bb9d</t>
        </is>
      </c>
      <c r="BE22" s="24" t="n"/>
      <c r="BF22" s="24" t="n"/>
      <c r="BG22" s="24" t="n"/>
      <c r="BH22" s="24" t="inlineStr">
        <is>
          <t>2026-07-17T16:26:03.970000Z</t>
        </is>
      </c>
      <c r="BI22" s="24" t="n"/>
      <c r="BJ22" s="25" t="n"/>
      <c r="BK22" s="26" t="n">
        <v>-106</v>
      </c>
      <c r="BL22" s="27" t="n">
        <v>1.943396</v>
      </c>
      <c r="BM22" s="28" t="n">
        <v>0.514563</v>
      </c>
      <c r="BN22" s="28" t="n">
        <v>0.5124379999999999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</row>
    <row r="23" ht="36" customHeight="1">
      <c r="A23" s="24" t="inlineStr">
        <is>
          <t>baee116aa2834b53</t>
        </is>
      </c>
      <c r="B23" s="24" t="inlineStr">
        <is>
          <t>2026-07-19T10:49:38.448695+00:00</t>
        </is>
      </c>
      <c r="C23" s="24" t="inlineStr">
        <is>
          <t>2026-07-17T19:40:00-0400</t>
        </is>
      </c>
      <c r="D23" s="24" t="inlineStr">
        <is>
          <t>Miam-Milw-2026-07-17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Milwaukee Brewers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</t>
        </is>
      </c>
      <c r="L23" s="26" t="n">
        <v>-141</v>
      </c>
      <c r="M23" s="27" t="n">
        <v>1.70922</v>
      </c>
      <c r="N23" s="28" t="n">
        <v>0.585062</v>
      </c>
      <c r="O23" s="28" t="n">
        <v>0.616198</v>
      </c>
      <c r="P23" s="28" t="n">
        <v>0.05</v>
      </c>
      <c r="Q23" s="28" t="n">
        <v>0.031136</v>
      </c>
      <c r="R23" s="26" t="n">
        <v>31</v>
      </c>
      <c r="S23" s="29" t="n">
        <v>1.75</v>
      </c>
      <c r="T23" s="24" t="inlineStr">
        <is>
          <t>mlb-elo-trend-lr-v4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2</v>
      </c>
      <c r="Y23" s="25" t="n"/>
      <c r="Z23" s="26" t="n"/>
      <c r="AA23" s="28" t="n"/>
      <c r="AB23" s="28" t="n"/>
      <c r="AC23" s="30" t="n">
        <v>1.2411</v>
      </c>
      <c r="AD23" s="24" t="inlineStr">
        <is>
          <t>2026-07-19T12:18:56.424573+00:00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inlineStr">
        <is>
          <t>5224fb6ffbc9ddf8fa517627b830ac851192da94d241963d556945393a42bb9d</t>
        </is>
      </c>
      <c r="BB23" s="24" t="n"/>
      <c r="BC23" s="24" t="inlineStr">
        <is>
          <t>mlb-elo-trend-lr-v4</t>
        </is>
      </c>
      <c r="BD23" s="24" t="inlineStr">
        <is>
          <t>5224fb6ffbc9ddf8fa517627b830ac851192da94d241963d556945393a42bb9d</t>
        </is>
      </c>
      <c r="BE23" s="24" t="n"/>
      <c r="BF23" s="24" t="n"/>
      <c r="BG23" s="24" t="n"/>
      <c r="BH23" s="24" t="inlineStr">
        <is>
          <t>2026-07-17T17:12:44.293402Z</t>
        </is>
      </c>
      <c r="BI23" s="24" t="n"/>
      <c r="BJ23" s="25" t="n"/>
      <c r="BK23" s="26" t="n">
        <v>-141</v>
      </c>
      <c r="BL23" s="27" t="n">
        <v>1.70922</v>
      </c>
      <c r="BM23" s="28" t="n">
        <v>0.585062</v>
      </c>
      <c r="BN23" s="28" t="n">
        <v>0.58209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</row>
    <row r="24" ht="36" customHeight="1">
      <c r="A24" s="24" t="inlineStr">
        <is>
          <t>509252032f1947b8</t>
        </is>
      </c>
      <c r="B24" s="24" t="inlineStr">
        <is>
          <t>2026-07-19T10:49:38.448695+00:00</t>
        </is>
      </c>
      <c r="C24" s="24" t="inlineStr">
        <is>
          <t>2026-07-17T20:05:00-0400</t>
        </is>
      </c>
      <c r="D24" s="24" t="inlineStr">
        <is>
          <t>Minn-Chic-2026-07-17</t>
        </is>
      </c>
      <c r="E24" s="24" t="inlineStr">
        <is>
          <t>MLB</t>
        </is>
      </c>
      <c r="F24" s="24" t="inlineStr">
        <is>
          <t>Minnesota Twins</t>
        </is>
      </c>
      <c r="G24" s="24" t="inlineStr">
        <is>
          <t>Chicago Cubs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</t>
        </is>
      </c>
      <c r="L24" s="26" t="n">
        <v>-133</v>
      </c>
      <c r="M24" s="27" t="n">
        <v>1.75188</v>
      </c>
      <c r="N24" s="28" t="n">
        <v>0.570815</v>
      </c>
      <c r="O24" s="28" t="n">
        <v>0.60271</v>
      </c>
      <c r="P24" s="28" t="n">
        <v>0.05</v>
      </c>
      <c r="Q24" s="28" t="n">
        <v>0.031895</v>
      </c>
      <c r="R24" s="26" t="n">
        <v>31</v>
      </c>
      <c r="S24" s="29" t="n">
        <v>1.5</v>
      </c>
      <c r="T24" s="24" t="inlineStr">
        <is>
          <t>mlb-elo-trend-lr-v4</t>
        </is>
      </c>
      <c r="U24" s="24" t="inlineStr">
        <is>
          <t>settled</t>
        </is>
      </c>
      <c r="V24" s="24" t="inlineStr">
        <is>
          <t>loss</t>
        </is>
      </c>
      <c r="W24" s="26" t="n">
        <v>5</v>
      </c>
      <c r="X24" s="26" t="n">
        <v>2</v>
      </c>
      <c r="Y24" s="25" t="n"/>
      <c r="Z24" s="26" t="n"/>
      <c r="AA24" s="28" t="n"/>
      <c r="AB24" s="28" t="n"/>
      <c r="AC24" s="30" t="n">
        <v>-1.5</v>
      </c>
      <c r="AD24" s="24" t="inlineStr">
        <is>
          <t>2026-07-19T12:18:56.424770+00:00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inlineStr">
        <is>
          <t>5224fb6ffbc9ddf8fa517627b830ac851192da94d241963d556945393a42bb9d</t>
        </is>
      </c>
      <c r="BB24" s="24" t="n"/>
      <c r="BC24" s="24" t="inlineStr">
        <is>
          <t>mlb-elo-trend-lr-v4</t>
        </is>
      </c>
      <c r="BD24" s="24" t="inlineStr">
        <is>
          <t>5224fb6ffbc9ddf8fa517627b830ac851192da94d241963d556945393a42bb9d</t>
        </is>
      </c>
      <c r="BE24" s="24" t="n"/>
      <c r="BF24" s="24" t="n"/>
      <c r="BG24" s="24" t="n"/>
      <c r="BH24" s="24" t="inlineStr">
        <is>
          <t>2026-07-17T17:12:44.967723Z</t>
        </is>
      </c>
      <c r="BI24" s="24" t="n"/>
      <c r="BJ24" s="25" t="n"/>
      <c r="BK24" s="26" t="n">
        <v>-133</v>
      </c>
      <c r="BL24" s="27" t="n">
        <v>1.75188</v>
      </c>
      <c r="BM24" s="28" t="n">
        <v>0.570815</v>
      </c>
      <c r="BN24" s="28" t="n">
        <v>0.567164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</row>
    <row r="25" ht="36" customHeight="1">
      <c r="A25" s="24" t="inlineStr">
        <is>
          <t>19647b771ec94081</t>
        </is>
      </c>
      <c r="B25" s="24" t="inlineStr">
        <is>
          <t>2026-07-19T10:49:38.448695+00:00</t>
        </is>
      </c>
      <c r="C25" s="24" t="inlineStr">
        <is>
          <t>2026-07-17T20:40:00-0400</t>
        </is>
      </c>
      <c r="D25" s="24" t="inlineStr">
        <is>
          <t>Cinc-Colo-2026-07-17</t>
        </is>
      </c>
      <c r="E25" s="24" t="inlineStr">
        <is>
          <t>MLB</t>
        </is>
      </c>
      <c r="F25" s="24" t="inlineStr">
        <is>
          <t>Cincinnati Reds</t>
        </is>
      </c>
      <c r="G25" s="24" t="inlineStr">
        <is>
          <t>Colorado Rockies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</t>
        </is>
      </c>
      <c r="L25" s="26" t="n">
        <v>104</v>
      </c>
      <c r="M25" s="27" t="n">
        <v>2.04</v>
      </c>
      <c r="N25" s="28" t="n">
        <v>0.490196</v>
      </c>
      <c r="O25" s="28" t="n">
        <v>0.582862</v>
      </c>
      <c r="P25" s="28" t="n">
        <v>0.05</v>
      </c>
      <c r="Q25" s="28" t="n">
        <v>0.092666</v>
      </c>
      <c r="R25" s="26" t="n">
        <v>92</v>
      </c>
      <c r="S25" s="29" t="n">
        <v>1.25</v>
      </c>
      <c r="T25" s="24" t="inlineStr">
        <is>
          <t>mlb-elo-trend-lr-v4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7</v>
      </c>
      <c r="X25" s="26" t="n">
        <v>2</v>
      </c>
      <c r="Y25" s="25" t="n"/>
      <c r="Z25" s="26" t="n"/>
      <c r="AA25" s="28" t="n"/>
      <c r="AB25" s="28" t="n"/>
      <c r="AC25" s="30" t="n">
        <v>1.3</v>
      </c>
      <c r="AD25" s="24" t="inlineStr">
        <is>
          <t>2026-07-19T12:18:56.425382+00:00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inlineStr">
        <is>
          <t>5224fb6ffbc9ddf8fa517627b830ac851192da94d241963d556945393a42bb9d</t>
        </is>
      </c>
      <c r="BB25" s="24" t="n"/>
      <c r="BC25" s="24" t="inlineStr">
        <is>
          <t>mlb-elo-trend-lr-v4</t>
        </is>
      </c>
      <c r="BD25" s="24" t="inlineStr">
        <is>
          <t>5224fb6ffbc9ddf8fa517627b830ac851192da94d241963d556945393a42bb9d</t>
        </is>
      </c>
      <c r="BE25" s="24" t="n"/>
      <c r="BF25" s="24" t="n"/>
      <c r="BG25" s="24" t="n"/>
      <c r="BH25" s="24" t="inlineStr">
        <is>
          <t>2026-07-17T16:26:11.935150Z</t>
        </is>
      </c>
      <c r="BI25" s="24" t="n"/>
      <c r="BJ25" s="25" t="n"/>
      <c r="BK25" s="26" t="n">
        <v>104</v>
      </c>
      <c r="BL25" s="27" t="n">
        <v>2.04</v>
      </c>
      <c r="BM25" s="28" t="n">
        <v>0.490196</v>
      </c>
      <c r="BN25" s="28" t="n">
        <v>0.487562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</row>
    <row r="26" ht="36" customHeight="1">
      <c r="A26" s="24" t="inlineStr">
        <is>
          <t>632575e6d24b409b</t>
        </is>
      </c>
      <c r="B26" s="24" t="inlineStr">
        <is>
          <t>2026-07-19T10:49:38.448695+00:00</t>
        </is>
      </c>
      <c r="C26" s="24" t="inlineStr">
        <is>
          <t>2026-07-17T21:38:00-0400</t>
        </is>
      </c>
      <c r="D26" s="24" t="inlineStr">
        <is>
          <t>Detr-LosA-2026-07-17</t>
        </is>
      </c>
      <c r="E26" s="24" t="inlineStr">
        <is>
          <t>MLB</t>
        </is>
      </c>
      <c r="F26" s="24" t="inlineStr">
        <is>
          <t>Detroit Tigers</t>
        </is>
      </c>
      <c r="G26" s="24" t="inlineStr">
        <is>
          <t>Los Angeles Angels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</t>
        </is>
      </c>
      <c r="L26" s="26" t="n">
        <v>-104</v>
      </c>
      <c r="M26" s="27" t="n">
        <v>1.961538</v>
      </c>
      <c r="N26" s="28" t="n">
        <v>0.509804</v>
      </c>
      <c r="O26" s="28" t="n">
        <v>0.550233</v>
      </c>
      <c r="P26" s="28" t="n">
        <v>0.05</v>
      </c>
      <c r="Q26" s="28" t="n">
        <v>0.040429</v>
      </c>
      <c r="R26" s="26" t="n">
        <v>40</v>
      </c>
      <c r="S26" s="29" t="n">
        <v>1</v>
      </c>
      <c r="T26" s="24" t="inlineStr">
        <is>
          <t>mlb-elo-trend-lr-v4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1</v>
      </c>
      <c r="Y26" s="25" t="n"/>
      <c r="Z26" s="26" t="n"/>
      <c r="AA26" s="28" t="n"/>
      <c r="AB26" s="28" t="n"/>
      <c r="AC26" s="30" t="n">
        <v>0.9615</v>
      </c>
      <c r="AD26" s="24" t="inlineStr">
        <is>
          <t>2026-07-19T12:18:56.425591+00:00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inlineStr">
        <is>
          <t>5224fb6ffbc9ddf8fa517627b830ac851192da94d241963d556945393a42bb9d</t>
        </is>
      </c>
      <c r="BB26" s="24" t="n"/>
      <c r="BC26" s="24" t="inlineStr">
        <is>
          <t>mlb-elo-trend-lr-v4</t>
        </is>
      </c>
      <c r="BD26" s="24" t="inlineStr">
        <is>
          <t>5224fb6ffbc9ddf8fa517627b830ac851192da94d241963d556945393a42bb9d</t>
        </is>
      </c>
      <c r="BE26" s="24" t="n"/>
      <c r="BF26" s="24" t="n"/>
      <c r="BG26" s="24" t="n"/>
      <c r="BH26" s="24" t="inlineStr">
        <is>
          <t>2026-07-17T16:26:12.761758Z</t>
        </is>
      </c>
      <c r="BI26" s="24" t="n"/>
      <c r="BJ26" s="25" t="n"/>
      <c r="BK26" s="26" t="n">
        <v>-104</v>
      </c>
      <c r="BL26" s="27" t="n">
        <v>1.961538</v>
      </c>
      <c r="BM26" s="28" t="n">
        <v>0.509804</v>
      </c>
      <c r="BN26" s="28" t="n">
        <v>0.507463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</row>
    <row r="27" ht="36" customHeight="1">
      <c r="A27" s="24" t="inlineStr">
        <is>
          <t>673ea47c54654f7f</t>
        </is>
      </c>
      <c r="B27" s="24" t="inlineStr">
        <is>
          <t>2026-07-19T10:49:38.448695+00:00</t>
        </is>
      </c>
      <c r="C27" s="24" t="inlineStr">
        <is>
          <t>2026-07-17T21:40:00-0400</t>
        </is>
      </c>
      <c r="D27" s="24" t="inlineStr">
        <is>
          <t>Wash-Athl-2026-07-17</t>
        </is>
      </c>
      <c r="E27" s="24" t="inlineStr">
        <is>
          <t>MLB</t>
        </is>
      </c>
      <c r="F27" s="24" t="inlineStr">
        <is>
          <t>Washington Nationals</t>
        </is>
      </c>
      <c r="G27" s="24" t="inlineStr">
        <is>
          <t>Athletics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</t>
        </is>
      </c>
      <c r="L27" s="26" t="n">
        <v>120</v>
      </c>
      <c r="M27" s="27" t="n">
        <v>2.2</v>
      </c>
      <c r="N27" s="28" t="n">
        <v>0.454545</v>
      </c>
      <c r="O27" s="28" t="n">
        <v>0.530299</v>
      </c>
      <c r="P27" s="28" t="n">
        <v>0.05</v>
      </c>
      <c r="Q27" s="28" t="n">
        <v>0.075754</v>
      </c>
      <c r="R27" s="26" t="n">
        <v>75</v>
      </c>
      <c r="S27" s="29" t="n">
        <v>0.75</v>
      </c>
      <c r="T27" s="24" t="inlineStr">
        <is>
          <t>mlb-elo-trend-lr-v4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23</v>
      </c>
      <c r="X27" s="26" t="n">
        <v>4</v>
      </c>
      <c r="Y27" s="25" t="n"/>
      <c r="Z27" s="26" t="n"/>
      <c r="AA27" s="28" t="n"/>
      <c r="AB27" s="28" t="n"/>
      <c r="AC27" s="30" t="n">
        <v>-0.75</v>
      </c>
      <c r="AD27" s="24" t="inlineStr">
        <is>
          <t>2026-07-19T12:18:56.425781+00:00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inlineStr">
        <is>
          <t>5224fb6ffbc9ddf8fa517627b830ac851192da94d241963d556945393a42bb9d</t>
        </is>
      </c>
      <c r="BB27" s="24" t="n"/>
      <c r="BC27" s="24" t="inlineStr">
        <is>
          <t>mlb-elo-trend-lr-v4</t>
        </is>
      </c>
      <c r="BD27" s="24" t="inlineStr">
        <is>
          <t>5224fb6ffbc9ddf8fa517627b830ac851192da94d241963d556945393a42bb9d</t>
        </is>
      </c>
      <c r="BE27" s="24" t="n"/>
      <c r="BF27" s="24" t="n"/>
      <c r="BG27" s="24" t="n"/>
      <c r="BH27" s="24" t="inlineStr">
        <is>
          <t>2026-07-17T16:26:14.658660Z</t>
        </is>
      </c>
      <c r="BI27" s="24" t="n"/>
      <c r="BJ27" s="25" t="n"/>
      <c r="BK27" s="26" t="n">
        <v>120</v>
      </c>
      <c r="BL27" s="27" t="n">
        <v>2.2</v>
      </c>
      <c r="BM27" s="28" t="n">
        <v>0.454545</v>
      </c>
      <c r="BN27" s="28" t="n">
        <v>0.452736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</row>
    <row r="28" ht="36" customHeight="1">
      <c r="A28" s="24" t="inlineStr">
        <is>
          <t>f7bfb70dfae84f8f</t>
        </is>
      </c>
      <c r="B28" s="24" t="inlineStr">
        <is>
          <t>2026-07-19T10:49:38.448695+00:00</t>
        </is>
      </c>
      <c r="C28" s="24" t="inlineStr">
        <is>
          <t>2026-07-17T21:40:00-0400</t>
        </is>
      </c>
      <c r="D28" s="24" t="inlineStr">
        <is>
          <t>St.L-Ariz-2026-07-17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Arizona Diamondbacks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</t>
        </is>
      </c>
      <c r="L28" s="26" t="n">
        <v>100</v>
      </c>
      <c r="M28" s="27" t="n">
        <v>2</v>
      </c>
      <c r="N28" s="28" t="n">
        <v>0.5</v>
      </c>
      <c r="O28" s="28" t="n">
        <v>0.525388</v>
      </c>
      <c r="P28" s="28" t="n">
        <v>0.05</v>
      </c>
      <c r="Q28" s="28" t="n">
        <v>0.025388</v>
      </c>
      <c r="R28" s="26" t="n">
        <v>25</v>
      </c>
      <c r="S28" s="29" t="n">
        <v>0.75</v>
      </c>
      <c r="T28" s="24" t="inlineStr">
        <is>
          <t>mlb-elo-trend-lr-v4</t>
        </is>
      </c>
      <c r="U28" s="24" t="inlineStr">
        <is>
          <t>settled</t>
        </is>
      </c>
      <c r="V28" s="24" t="inlineStr">
        <is>
          <t>loss</t>
        </is>
      </c>
      <c r="W28" s="26" t="n">
        <v>5</v>
      </c>
      <c r="X28" s="26" t="n">
        <v>4</v>
      </c>
      <c r="Y28" s="25" t="n"/>
      <c r="Z28" s="26" t="n"/>
      <c r="AA28" s="28" t="n"/>
      <c r="AB28" s="28" t="n"/>
      <c r="AC28" s="30" t="n">
        <v>-0.75</v>
      </c>
      <c r="AD28" s="24" t="inlineStr">
        <is>
          <t>2026-07-19T12:18:56.425985+00:00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inlineStr">
        <is>
          <t>5224fb6ffbc9ddf8fa517627b830ac851192da94d241963d556945393a42bb9d</t>
        </is>
      </c>
      <c r="BB28" s="24" t="n"/>
      <c r="BC28" s="24" t="inlineStr">
        <is>
          <t>mlb-elo-trend-lr-v4</t>
        </is>
      </c>
      <c r="BD28" s="24" t="inlineStr">
        <is>
          <t>5224fb6ffbc9ddf8fa517627b830ac851192da94d241963d556945393a42bb9d</t>
        </is>
      </c>
      <c r="BE28" s="24" t="n"/>
      <c r="BF28" s="24" t="n"/>
      <c r="BG28" s="24" t="n"/>
      <c r="BH28" s="24" t="inlineStr">
        <is>
          <t>2026-07-17T16:26:13.837104Z</t>
        </is>
      </c>
      <c r="BI28" s="24" t="n"/>
      <c r="BJ28" s="25" t="n"/>
      <c r="BK28" s="26" t="n">
        <v>100</v>
      </c>
      <c r="BL28" s="27" t="n">
        <v>2</v>
      </c>
      <c r="BM28" s="28" t="n">
        <v>0.5</v>
      </c>
      <c r="BN28" s="28" t="n">
        <v>0.497512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</row>
    <row r="29" ht="36" customHeight="1">
      <c r="A29" s="24" t="inlineStr">
        <is>
          <t>121539248eb44830</t>
        </is>
      </c>
      <c r="B29" s="24" t="inlineStr">
        <is>
          <t>2026-07-19T13:23:06.843442Z</t>
        </is>
      </c>
      <c r="C29" s="24" t="inlineStr">
        <is>
          <t>2026-07-19T17:35Z</t>
        </is>
      </c>
      <c r="D29" s="24" t="inlineStr">
        <is>
          <t>401816176</t>
        </is>
      </c>
      <c r="E29" s="24" t="inlineStr">
        <is>
          <t>MLB</t>
        </is>
      </c>
      <c r="F29" s="24" t="inlineStr">
        <is>
          <t>Texas Rangers</t>
        </is>
      </c>
      <c r="G29" s="24" t="inlineStr">
        <is>
          <t>Atlanta Braves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108</v>
      </c>
      <c r="M29" s="27" t="n">
        <v>2.08</v>
      </c>
      <c r="N29" s="28" t="n">
        <v>0.480769</v>
      </c>
      <c r="O29" s="28" t="n">
        <v>0.566738</v>
      </c>
      <c r="P29" s="28" t="n"/>
      <c r="Q29" s="28" t="n">
        <v>0.085969</v>
      </c>
      <c r="R29" s="26" t="n">
        <v>85</v>
      </c>
      <c r="S29" s="29" t="n">
        <v>1.25</v>
      </c>
      <c r="T29" s="24" t="inlineStr">
        <is>
          <t>mlb-elo-trend-lr-v4</t>
        </is>
      </c>
      <c r="U29" s="24" t="inlineStr">
        <is>
          <t>settled</t>
        </is>
      </c>
      <c r="V29" s="24" t="inlineStr">
        <is>
          <t>win</t>
        </is>
      </c>
      <c r="W29" s="26" t="n">
        <v>5</v>
      </c>
      <c r="X29" s="26" t="n">
        <v>8</v>
      </c>
      <c r="Y29" s="25" t="n"/>
      <c r="Z29" s="26" t="n"/>
      <c r="AA29" s="28" t="n"/>
      <c r="AB29" s="28" t="n"/>
      <c r="AC29" s="30" t="n">
        <v>1.35</v>
      </c>
      <c r="AD29" s="24" t="inlineStr">
        <is>
          <t>2026-07-19T21:31:35.621312Z</t>
        </is>
      </c>
      <c r="AE29" s="31" t="inlineStr">
        <is>
          <t>Learned LR call at threshold 0.5150; executable ask 0.4800 (aec-mlb-tex-atl-2026-07-19).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mlb-tex</t>
        </is>
      </c>
      <c r="AQ29" s="24" t="inlineStr">
        <is>
          <t>Texas Rangers</t>
        </is>
      </c>
      <c r="AR29" s="24" t="inlineStr">
        <is>
          <t>Texas Rangers</t>
        </is>
      </c>
      <c r="AS29" s="24" t="inlineStr">
        <is>
          <t>mlb-atl</t>
        </is>
      </c>
      <c r="AT29" s="24" t="inlineStr">
        <is>
          <t>Atlanta Braves</t>
        </is>
      </c>
      <c r="AU29" s="24" t="inlineStr">
        <is>
          <t>Atlanta Braves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5224fb6ffbc9ddf8fa517627b830ac851192da94d241963d556945393a42bb9d</t>
        </is>
      </c>
      <c r="BB29" s="24" t="inlineStr">
        <is>
          <t>learned_lr</t>
        </is>
      </c>
      <c r="BC29" s="24" t="inlineStr">
        <is>
          <t>mlb-elo-trend-lr-v4</t>
        </is>
      </c>
      <c r="BD29" s="24" t="inlineStr">
        <is>
          <t>5224fb6ffbc9ddf8fa517627b830ac851192da94d241963d556945393a42bb9d</t>
        </is>
      </c>
      <c r="BE29" s="24" t="inlineStr">
        <is>
          <t>94b28766e76410c6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2026-07-19T13:22:02.614593Z</t>
        </is>
      </c>
      <c r="BI29" s="24" t="inlineStr">
        <is>
          <t>["same_event","same_team_same_day","same_league_same_day"]</t>
        </is>
      </c>
      <c r="BJ29" s="25" t="n"/>
      <c r="BK29" s="26" t="n">
        <v>108</v>
      </c>
      <c r="BL29" s="27" t="n">
        <v>2.08</v>
      </c>
      <c r="BM29" s="28" t="n">
        <v>0.480769</v>
      </c>
      <c r="BN29" s="28" t="n">
        <v>0.477612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>
        <v>1</v>
      </c>
      <c r="BY29" s="27" t="n">
        <v>1.08</v>
      </c>
      <c r="BZ29" s="24" t="inlineStr">
        <is>
          <t>2026-07-19T21:31:35.621312Z</t>
        </is>
      </c>
      <c r="CA29" s="31" t="inlineStr">
        <is>
          <t>fixed one-unit hypothetical scoring; no real exposure or execution</t>
        </is>
      </c>
    </row>
    <row r="30" ht="36" customHeight="1">
      <c r="A30" s="24" t="inlineStr">
        <is>
          <t>4ee0f5bbef6b4559</t>
        </is>
      </c>
      <c r="B30" s="24" t="inlineStr">
        <is>
          <t>2026-07-19T13:23:06.843442Z</t>
        </is>
      </c>
      <c r="C30" s="24" t="inlineStr">
        <is>
          <t>2026-07-19T19:10Z</t>
        </is>
      </c>
      <c r="D30" s="24" t="inlineStr">
        <is>
          <t>401816181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Colorado Rockies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0.600425</v>
      </c>
      <c r="P30" s="28" t="n"/>
      <c r="Q30" s="28" t="n">
        <v>0.02961</v>
      </c>
      <c r="R30" s="26" t="n">
        <v>29</v>
      </c>
      <c r="S30" s="29" t="n">
        <v>1.5</v>
      </c>
      <c r="T30" s="24" t="inlineStr">
        <is>
          <t>mlb-elo-trend-lr-v4</t>
        </is>
      </c>
      <c r="U30" s="24" t="inlineStr">
        <is>
          <t>settled</t>
        </is>
      </c>
      <c r="V30" s="24" t="inlineStr">
        <is>
          <t>win</t>
        </is>
      </c>
      <c r="W30" s="26" t="n">
        <v>9</v>
      </c>
      <c r="X30" s="26" t="n">
        <v>6</v>
      </c>
      <c r="Y30" s="25" t="n"/>
      <c r="Z30" s="26" t="n"/>
      <c r="AA30" s="28" t="n"/>
      <c r="AB30" s="28" t="n"/>
      <c r="AC30" s="30" t="n">
        <v>1.1278</v>
      </c>
      <c r="AD30" s="24" t="inlineStr">
        <is>
          <t>2026-07-19T22:14:31.386508Z</t>
        </is>
      </c>
      <c r="AE30" s="31" t="inlineStr">
        <is>
          <t>Learned LR call at threshold 0.5150; executable ask 0.5700 (aec-mlb-cin-col-2026-07-19).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mlb-col</t>
        </is>
      </c>
      <c r="AT30" s="24" t="inlineStr">
        <is>
          <t>Colorado Rockies</t>
        </is>
      </c>
      <c r="AU30" s="24" t="inlineStr">
        <is>
          <t>Colorado Rockies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5224fb6ffbc9ddf8fa517627b830ac851192da94d241963d556945393a42bb9d</t>
        </is>
      </c>
      <c r="BB30" s="24" t="inlineStr">
        <is>
          <t>learned_lr</t>
        </is>
      </c>
      <c r="BC30" s="24" t="inlineStr">
        <is>
          <t>mlb-elo-trend-lr-v4</t>
        </is>
      </c>
      <c r="BD30" s="24" t="inlineStr">
        <is>
          <t>5224fb6ffbc9ddf8fa517627b830ac851192da94d241963d556945393a42bb9d</t>
        </is>
      </c>
      <c r="BE30" s="24" t="inlineStr">
        <is>
          <t>b8bf91edb90bdfcb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2026-07-19T13:22:13.486376Z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>
        <v>0.567164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>
        <v>1</v>
      </c>
      <c r="BY30" s="27" t="n">
        <v>0.75188</v>
      </c>
      <c r="BZ30" s="24" t="inlineStr">
        <is>
          <t>2026-07-19T22:14:31.386508Z</t>
        </is>
      </c>
      <c r="CA30" s="31" t="inlineStr">
        <is>
          <t>fixed one-unit hypothetical scoring; no real exposure or execution</t>
        </is>
      </c>
    </row>
    <row r="31" ht="36" customHeight="1">
      <c r="A31" s="24" t="inlineStr">
        <is>
          <t>35cfaddd8fa54724</t>
        </is>
      </c>
      <c r="B31" s="24" t="inlineStr">
        <is>
          <t>2026-07-19T13:23:06.843442Z</t>
        </is>
      </c>
      <c r="C31" s="24" t="inlineStr">
        <is>
          <t>2026-07-19T20:05Z</t>
        </is>
      </c>
      <c r="D31" s="24" t="inlineStr">
        <is>
          <t>401816185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130</v>
      </c>
      <c r="M31" s="27" t="n">
        <v>2.3</v>
      </c>
      <c r="N31" s="28" t="n">
        <v>0.434783</v>
      </c>
      <c r="O31" s="28" t="n">
        <v>0.556646</v>
      </c>
      <c r="P31" s="28" t="n"/>
      <c r="Q31" s="28" t="n">
        <v>0.121863</v>
      </c>
      <c r="R31" s="26" t="n">
        <v>100</v>
      </c>
      <c r="S31" s="29" t="n">
        <v>1</v>
      </c>
      <c r="T31" s="24" t="inlineStr">
        <is>
          <t>mlb-elo-trend-lr-v4</t>
        </is>
      </c>
      <c r="U31" s="24" t="inlineStr">
        <is>
          <t>settled</t>
        </is>
      </c>
      <c r="V31" s="24" t="inlineStr">
        <is>
          <t>loss</t>
        </is>
      </c>
      <c r="W31" s="26" t="n">
        <v>5</v>
      </c>
      <c r="X31" s="26" t="n">
        <v>2</v>
      </c>
      <c r="Y31" s="25" t="n"/>
      <c r="Z31" s="26" t="n"/>
      <c r="AA31" s="28" t="n"/>
      <c r="AB31" s="28" t="n"/>
      <c r="AC31" s="30" t="n">
        <v>-1</v>
      </c>
      <c r="AD31" s="24" t="inlineStr">
        <is>
          <t>2026-07-19T23:07:45.507453Z</t>
        </is>
      </c>
      <c r="AE31" s="31" t="inlineStr">
        <is>
          <t>Learned LR call at threshold 0.5150; executable ask 0.4350 (aec-mlb-wsh-ath-2026-07-19).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mlb-wsh</t>
        </is>
      </c>
      <c r="AQ31" s="24" t="inlineStr">
        <is>
          <t>Washington Nationals</t>
        </is>
      </c>
      <c r="AR31" s="24" t="inlineStr">
        <is>
          <t>Washington Nationals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5224fb6ffbc9ddf8fa517627b830ac851192da94d241963d556945393a42bb9d</t>
        </is>
      </c>
      <c r="BB31" s="24" t="inlineStr">
        <is>
          <t>learned_lr</t>
        </is>
      </c>
      <c r="BC31" s="24" t="inlineStr">
        <is>
          <t>mlb-elo-trend-lr-v4</t>
        </is>
      </c>
      <c r="BD31" s="24" t="inlineStr">
        <is>
          <t>5224fb6ffbc9ddf8fa517627b830ac851192da94d241963d556945393a42bb9d</t>
        </is>
      </c>
      <c r="BE31" s="24" t="inlineStr">
        <is>
          <t>47154d07c5727d94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2026-07-19T13:22:14.970065Z</t>
        </is>
      </c>
      <c r="BI31" s="24" t="inlineStr">
        <is>
          <t>["same_event","same_team_same_day","same_league_same_day"]</t>
        </is>
      </c>
      <c r="BJ31" s="25" t="n"/>
      <c r="BK31" s="26" t="n">
        <v>130</v>
      </c>
      <c r="BL31" s="27" t="n">
        <v>2.3</v>
      </c>
      <c r="BM31" s="28" t="n">
        <v>0.434783</v>
      </c>
      <c r="BN31" s="28" t="n">
        <v>0.432836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-1</v>
      </c>
      <c r="BZ31" s="24" t="inlineStr">
        <is>
          <t>2026-07-19T23:07:45.507453Z</t>
        </is>
      </c>
      <c r="CA31" s="31" t="inlineStr">
        <is>
          <t>fixed one-unit hypothetical scoring; no real exposure or execution</t>
        </is>
      </c>
    </row>
    <row r="32" ht="36" customHeight="1">
      <c r="A32" s="24" t="inlineStr">
        <is>
          <t>f036fa1150dd4319</t>
        </is>
      </c>
      <c r="B32" s="24" t="inlineStr">
        <is>
          <t>2026-07-19T12:54:59.612626Z</t>
        </is>
      </c>
      <c r="C32" s="24" t="inlineStr">
        <is>
          <t>2026-07-19T16:15Z</t>
        </is>
      </c>
      <c r="D32" s="24" t="inlineStr">
        <is>
          <t>401816171</t>
        </is>
      </c>
      <c r="E32" s="24" t="inlineStr">
        <is>
          <t>MLB</t>
        </is>
      </c>
      <c r="F32" s="24" t="inlineStr">
        <is>
          <t>Chicago White Sox</t>
        </is>
      </c>
      <c r="G32" s="24" t="inlineStr">
        <is>
          <t>Toronto Blue Jays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104</v>
      </c>
      <c r="M32" s="27" t="n">
        <v>2.04</v>
      </c>
      <c r="N32" s="28" t="n">
        <v>0.490196</v>
      </c>
      <c r="O32" s="28" t="n">
        <v>0.552013</v>
      </c>
      <c r="P32" s="28" t="n"/>
      <c r="Q32" s="28" t="n">
        <v>0.061817</v>
      </c>
      <c r="R32" s="26" t="n">
        <v>61</v>
      </c>
      <c r="S32" s="29" t="n">
        <v>1</v>
      </c>
      <c r="T32" s="24" t="inlineStr">
        <is>
          <t>mlb-elo-trend-lr-v4</t>
        </is>
      </c>
      <c r="U32" s="24" t="inlineStr">
        <is>
          <t>settled</t>
        </is>
      </c>
      <c r="V32" s="24" t="inlineStr">
        <is>
          <t>loss</t>
        </is>
      </c>
      <c r="W32" s="26" t="n">
        <v>3</v>
      </c>
      <c r="X32" s="26" t="n">
        <v>0</v>
      </c>
      <c r="Y32" s="25" t="n"/>
      <c r="Z32" s="26" t="n"/>
      <c r="AA32" s="28" t="n"/>
      <c r="AB32" s="28" t="n"/>
      <c r="AC32" s="30" t="n">
        <v>-1</v>
      </c>
      <c r="AD32" s="24" t="inlineStr">
        <is>
          <t>2026-07-19T23:12:43.225807Z</t>
        </is>
      </c>
      <c r="AE32" s="31" t="inlineStr">
        <is>
          <t>Learned LR call at threshold 0.5150; executable ask 0.4900 (aec-mlb-cws-tor-2026-07-19).</t>
        </is>
      </c>
      <c r="AF32" s="31" t="inlineStr">
        <is>
          <t>Learned model; promotion gate not yet open; zero-unit research until review.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mlb-cws</t>
        </is>
      </c>
      <c r="AQ32" s="24" t="inlineStr">
        <is>
          <t>Chicago White Sox</t>
        </is>
      </c>
      <c r="AR32" s="24" t="inlineStr">
        <is>
          <t>Chicago White Sox</t>
        </is>
      </c>
      <c r="AS32" s="24" t="inlineStr">
        <is>
          <t>mlb-tor</t>
        </is>
      </c>
      <c r="AT32" s="24" t="inlineStr">
        <is>
          <t>Toronto Blue Jays</t>
        </is>
      </c>
      <c r="AU32" s="24" t="inlineStr">
        <is>
          <t>Toronto Blue Jays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5224fb6ffbc9ddf8fa517627b830ac851192da94d241963d556945393a42bb9d</t>
        </is>
      </c>
      <c r="BB32" s="24" t="inlineStr">
        <is>
          <t>learned_lr</t>
        </is>
      </c>
      <c r="BC32" s="24" t="inlineStr">
        <is>
          <t>mlb-elo-trend-lr-v4</t>
        </is>
      </c>
      <c r="BD32" s="24" t="inlineStr">
        <is>
          <t>5224fb6ffbc9ddf8fa517627b830ac851192da94d241963d556945393a42bb9d</t>
        </is>
      </c>
      <c r="BE32" s="24" t="inlineStr">
        <is>
          <t>097339aadf4c669a</t>
        </is>
      </c>
      <c r="BF32" s="24" t="inlineStr">
        <is>
          <t>1</t>
        </is>
      </c>
      <c r="BG32" s="24" t="inlineStr">
        <is>
          <t>mlb-elo-trend-lr-v3</t>
        </is>
      </c>
      <c r="BH32" s="24" t="inlineStr">
        <is>
          <t>2026-07-19T12:20:33.531222Z</t>
        </is>
      </c>
      <c r="BI32" s="24" t="inlineStr">
        <is>
          <t>["same_event","same_team_same_day","same_league_same_day"]</t>
        </is>
      </c>
      <c r="BJ32" s="25" t="n"/>
      <c r="BK32" s="26" t="n">
        <v>104</v>
      </c>
      <c r="BL32" s="27" t="n">
        <v>2.04</v>
      </c>
      <c r="BM32" s="28" t="n">
        <v>0.490196</v>
      </c>
      <c r="BN32" s="28" t="n">
        <v>0.487562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</row>
    <row r="33" ht="36" customHeight="1">
      <c r="A33" s="24" t="inlineStr">
        <is>
          <t>7b496571632f4a03</t>
        </is>
      </c>
      <c r="B33" s="24" t="inlineStr">
        <is>
          <t>2026-07-19T12:54:59.612626Z</t>
        </is>
      </c>
      <c r="C33" s="24" t="inlineStr">
        <is>
          <t>2026-07-19T17:35Z</t>
        </is>
      </c>
      <c r="D33" s="24" t="inlineStr">
        <is>
          <t>401816173</t>
        </is>
      </c>
      <c r="E33" s="24" t="inlineStr">
        <is>
          <t>MLB</t>
        </is>
      </c>
      <c r="F33" s="24" t="inlineStr">
        <is>
          <t>New York Mets</t>
        </is>
      </c>
      <c r="G33" s="24" t="inlineStr">
        <is>
          <t>Philadelphia Phillies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117</v>
      </c>
      <c r="M33" s="27" t="n">
        <v>2.17</v>
      </c>
      <c r="N33" s="28" t="n">
        <v>0.460829</v>
      </c>
      <c r="O33" s="28" t="n">
        <v>0.6153690000000001</v>
      </c>
      <c r="P33" s="28" t="n"/>
      <c r="Q33" s="28" t="n">
        <v>0.15454</v>
      </c>
      <c r="R33" s="26" t="n">
        <v>100</v>
      </c>
      <c r="S33" s="29" t="n">
        <v>1.75</v>
      </c>
      <c r="T33" s="24" t="inlineStr">
        <is>
          <t>mlb-elo-trend-lr-v4</t>
        </is>
      </c>
      <c r="U33" s="24" t="inlineStr">
        <is>
          <t>settled</t>
        </is>
      </c>
      <c r="V33" s="24" t="inlineStr">
        <is>
          <t>loss</t>
        </is>
      </c>
      <c r="W33" s="26" t="n">
        <v>6</v>
      </c>
      <c r="X33" s="26" t="n">
        <v>1</v>
      </c>
      <c r="Y33" s="25" t="n"/>
      <c r="Z33" s="26" t="n"/>
      <c r="AA33" s="28" t="n"/>
      <c r="AB33" s="28" t="n"/>
      <c r="AC33" s="30" t="n">
        <v>-1.75</v>
      </c>
      <c r="AD33" s="24" t="inlineStr">
        <is>
          <t>2026-07-19T23:12:43.477592Z</t>
        </is>
      </c>
      <c r="AE33" s="31" t="inlineStr">
        <is>
          <t>Learned LR call at threshold 0.5150; executable ask 0.4600 (aec-mlb-nym-phi-2026-07-19).</t>
        </is>
      </c>
      <c r="AF33" s="31" t="inlineStr">
        <is>
          <t>Learned model; promotion gate not yet open; zero-unit research until review.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mlb-nym</t>
        </is>
      </c>
      <c r="AQ33" s="24" t="inlineStr">
        <is>
          <t>New York Mets</t>
        </is>
      </c>
      <c r="AR33" s="24" t="inlineStr">
        <is>
          <t>New York Mets</t>
        </is>
      </c>
      <c r="AS33" s="24" t="inlineStr">
        <is>
          <t>mlb-phi</t>
        </is>
      </c>
      <c r="AT33" s="24" t="inlineStr">
        <is>
          <t>Philadelphia Phillies</t>
        </is>
      </c>
      <c r="AU33" s="24" t="inlineStr">
        <is>
          <t>Philadelphia Phillies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5224fb6ffbc9ddf8fa517627b830ac851192da94d241963d556945393a42bb9d</t>
        </is>
      </c>
      <c r="BB33" s="24" t="inlineStr">
        <is>
          <t>learned_lr</t>
        </is>
      </c>
      <c r="BC33" s="24" t="inlineStr">
        <is>
          <t>mlb-elo-trend-lr-v4</t>
        </is>
      </c>
      <c r="BD33" s="24" t="inlineStr">
        <is>
          <t>5224fb6ffbc9ddf8fa517627b830ac851192da94d241963d556945393a42bb9d</t>
        </is>
      </c>
      <c r="BE33" s="24" t="inlineStr">
        <is>
          <t>f5f93a0e01a0b4e1</t>
        </is>
      </c>
      <c r="BF33" s="24" t="inlineStr">
        <is>
          <t>1</t>
        </is>
      </c>
      <c r="BG33" s="24" t="inlineStr">
        <is>
          <t>mlb-elo-trend-lr-v3</t>
        </is>
      </c>
      <c r="BH33" s="24" t="inlineStr">
        <is>
          <t>2026-07-19T12:20:37.335421Z</t>
        </is>
      </c>
      <c r="BI33" s="24" t="inlineStr">
        <is>
          <t>["same_event","same_team_same_day","same_league_same_day"]</t>
        </is>
      </c>
      <c r="BJ33" s="25" t="n"/>
      <c r="BK33" s="26" t="n">
        <v>117</v>
      </c>
      <c r="BL33" s="27" t="n">
        <v>2.17</v>
      </c>
      <c r="BM33" s="28" t="n">
        <v>0.460829</v>
      </c>
      <c r="BN33" s="28" t="n">
        <v>0.457711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</row>
    <row r="34" ht="36" customHeight="1">
      <c r="A34" s="24" t="inlineStr">
        <is>
          <t>661bb12e4b834336</t>
        </is>
      </c>
      <c r="B34" s="24" t="inlineStr">
        <is>
          <t>2026-07-19T12:54:59.612626Z</t>
        </is>
      </c>
      <c r="C34" s="24" t="inlineStr">
        <is>
          <t>2026-07-19T17:35Z</t>
        </is>
      </c>
      <c r="D34" s="24" t="inlineStr">
        <is>
          <t>401816175</t>
        </is>
      </c>
      <c r="E34" s="24" t="inlineStr">
        <is>
          <t>MLB</t>
        </is>
      </c>
      <c r="F34" s="24" t="inlineStr">
        <is>
          <t>Tampa Bay Rays</t>
        </is>
      </c>
      <c r="G34" s="24" t="inlineStr">
        <is>
          <t>Boston Red Sox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-117</v>
      </c>
      <c r="M34" s="27" t="n">
        <v>1.854701</v>
      </c>
      <c r="N34" s="28" t="n">
        <v>0.539171</v>
      </c>
      <c r="O34" s="28" t="n">
        <v>0.5530080000000001</v>
      </c>
      <c r="P34" s="28" t="n"/>
      <c r="Q34" s="28" t="n">
        <v>0.013837</v>
      </c>
      <c r="R34" s="26" t="n">
        <v>13</v>
      </c>
      <c r="S34" s="29" t="n">
        <v>1</v>
      </c>
      <c r="T34" s="24" t="inlineStr">
        <is>
          <t>mlb-elo-trend-lr-v4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6</v>
      </c>
      <c r="Y34" s="25" t="n"/>
      <c r="Z34" s="26" t="n"/>
      <c r="AA34" s="28" t="n"/>
      <c r="AB34" s="28" t="n"/>
      <c r="AC34" s="30" t="n">
        <v>0.8547</v>
      </c>
      <c r="AD34" s="24" t="inlineStr">
        <is>
          <t>2026-07-19T23:12:43.720828Z</t>
        </is>
      </c>
      <c r="AE34" s="31" t="inlineStr">
        <is>
          <t>Learned LR call at threshold 0.5150; executable ask 0.5400 (aec-mlb-tb-bos-2026-07-19).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mlb-tb</t>
        </is>
      </c>
      <c r="AQ34" s="24" t="inlineStr">
        <is>
          <t>Tampa Bay Rays</t>
        </is>
      </c>
      <c r="AR34" s="24" t="inlineStr">
        <is>
          <t>Tampa Bay Rays</t>
        </is>
      </c>
      <c r="AS34" s="24" t="inlineStr">
        <is>
          <t>mlb-bos</t>
        </is>
      </c>
      <c r="AT34" s="24" t="inlineStr">
        <is>
          <t>Boston Red Sox</t>
        </is>
      </c>
      <c r="AU34" s="24" t="inlineStr">
        <is>
          <t>Boston Red Sox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5224fb6ffbc9ddf8fa517627b830ac851192da94d241963d556945393a42bb9d</t>
        </is>
      </c>
      <c r="BB34" s="24" t="inlineStr">
        <is>
          <t>learned_lr</t>
        </is>
      </c>
      <c r="BC34" s="24" t="inlineStr">
        <is>
          <t>mlb-elo-trend-lr-v4</t>
        </is>
      </c>
      <c r="BD34" s="24" t="inlineStr">
        <is>
          <t>5224fb6ffbc9ddf8fa517627b830ac851192da94d241963d556945393a42bb9d</t>
        </is>
      </c>
      <c r="BE34" s="24" t="inlineStr">
        <is>
          <t>d975b9b26847e04d</t>
        </is>
      </c>
      <c r="BF34" s="24" t="inlineStr">
        <is>
          <t>1</t>
        </is>
      </c>
      <c r="BG34" s="24" t="inlineStr">
        <is>
          <t>mlb-elo-trend-lr-v3</t>
        </is>
      </c>
      <c r="BH34" s="24" t="inlineStr">
        <is>
          <t>2026-07-19T12:20:38.787831Z</t>
        </is>
      </c>
      <c r="BI34" s="24" t="inlineStr">
        <is>
          <t>["same_event","same_team_same_day","same_league_same_day"]</t>
        </is>
      </c>
      <c r="BJ34" s="25" t="n"/>
      <c r="BK34" s="26" t="n">
        <v>-117</v>
      </c>
      <c r="BL34" s="27" t="n">
        <v>1.854701</v>
      </c>
      <c r="BM34" s="28" t="n">
        <v>0.539171</v>
      </c>
      <c r="BN34" s="28" t="n">
        <v>0.537313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</row>
    <row r="35" ht="36" customHeight="1">
      <c r="A35" s="24" t="inlineStr">
        <is>
          <t>adbbe8982e7c4a22</t>
        </is>
      </c>
      <c r="B35" s="24" t="inlineStr">
        <is>
          <t>2026-07-19T12:54:59.612626Z</t>
        </is>
      </c>
      <c r="C35" s="24" t="inlineStr">
        <is>
          <t>2026-07-19T17:40Z</t>
        </is>
      </c>
      <c r="D35" s="24" t="inlineStr">
        <is>
          <t>401816174</t>
        </is>
      </c>
      <c r="E35" s="24" t="inlineStr">
        <is>
          <t>MLB</t>
        </is>
      </c>
      <c r="F35" s="24" t="inlineStr">
        <is>
          <t>Pittsburgh Pirates</t>
        </is>
      </c>
      <c r="G35" s="24" t="inlineStr">
        <is>
          <t>Cleveland Guardians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117</v>
      </c>
      <c r="M35" s="27" t="n">
        <v>2.17</v>
      </c>
      <c r="N35" s="28" t="n">
        <v>0.460829</v>
      </c>
      <c r="O35" s="28" t="n">
        <v>0.560582</v>
      </c>
      <c r="P35" s="28" t="n"/>
      <c r="Q35" s="28" t="n">
        <v>0.09975299999999999</v>
      </c>
      <c r="R35" s="26" t="n">
        <v>99</v>
      </c>
      <c r="S35" s="29" t="n">
        <v>1</v>
      </c>
      <c r="T35" s="24" t="inlineStr">
        <is>
          <t>mlb-elo-trend-lr-v4</t>
        </is>
      </c>
      <c r="U35" s="24" t="inlineStr">
        <is>
          <t>settled</t>
        </is>
      </c>
      <c r="V35" s="24" t="inlineStr">
        <is>
          <t>loss</t>
        </is>
      </c>
      <c r="W35" s="26" t="n">
        <v>7</v>
      </c>
      <c r="X35" s="26" t="n">
        <v>1</v>
      </c>
      <c r="Y35" s="25" t="n"/>
      <c r="Z35" s="26" t="n"/>
      <c r="AA35" s="28" t="n"/>
      <c r="AB35" s="28" t="n"/>
      <c r="AC35" s="30" t="n">
        <v>-1</v>
      </c>
      <c r="AD35" s="24" t="inlineStr">
        <is>
          <t>2026-07-19T23:12:43.966052Z</t>
        </is>
      </c>
      <c r="AE35" s="31" t="inlineStr">
        <is>
          <t>Learned LR call at threshold 0.5150; executable ask 0.4600 (aec-mlb-pit-cle-2026-07-19).</t>
        </is>
      </c>
      <c r="AF35" s="31" t="inlineStr">
        <is>
          <t>Learned model; promotion gate not yet open; zero-unit research until review.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mlb-pit</t>
        </is>
      </c>
      <c r="AQ35" s="24" t="inlineStr">
        <is>
          <t>Pittsburgh Pirates</t>
        </is>
      </c>
      <c r="AR35" s="24" t="inlineStr">
        <is>
          <t>Pittsburgh Pirates</t>
        </is>
      </c>
      <c r="AS35" s="24" t="inlineStr">
        <is>
          <t>mlb-cle</t>
        </is>
      </c>
      <c r="AT35" s="24" t="inlineStr">
        <is>
          <t>Cleveland Guardians</t>
        </is>
      </c>
      <c r="AU35" s="24" t="inlineStr">
        <is>
          <t>Cleveland Guardians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5224fb6ffbc9ddf8fa517627b830ac851192da94d241963d556945393a42bb9d</t>
        </is>
      </c>
      <c r="BB35" s="24" t="inlineStr">
        <is>
          <t>learned_lr</t>
        </is>
      </c>
      <c r="BC35" s="24" t="inlineStr">
        <is>
          <t>mlb-elo-trend-lr-v4</t>
        </is>
      </c>
      <c r="BD35" s="24" t="inlineStr">
        <is>
          <t>5224fb6ffbc9ddf8fa517627b830ac851192da94d241963d556945393a42bb9d</t>
        </is>
      </c>
      <c r="BE35" s="24" t="inlineStr">
        <is>
          <t>1ea7c40ec20aaa1c</t>
        </is>
      </c>
      <c r="BF35" s="24" t="inlineStr">
        <is>
          <t>1</t>
        </is>
      </c>
      <c r="BG35" s="24" t="inlineStr">
        <is>
          <t>mlb-elo-trend-lr-v3</t>
        </is>
      </c>
      <c r="BH35" s="24" t="inlineStr">
        <is>
          <t>2026-07-19T12:20:39.567439Z</t>
        </is>
      </c>
      <c r="BI35" s="24" t="inlineStr">
        <is>
          <t>["same_event","same_team_same_day","same_league_same_day"]</t>
        </is>
      </c>
      <c r="BJ35" s="25" t="n"/>
      <c r="BK35" s="26" t="n">
        <v>117</v>
      </c>
      <c r="BL35" s="27" t="n">
        <v>2.17</v>
      </c>
      <c r="BM35" s="28" t="n">
        <v>0.460829</v>
      </c>
      <c r="BN35" s="28" t="n">
        <v>0.457711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</row>
    <row r="36" ht="36" customHeight="1">
      <c r="A36" s="24" t="inlineStr">
        <is>
          <t>244750b2034f4f13</t>
        </is>
      </c>
      <c r="B36" s="24" t="inlineStr">
        <is>
          <t>2026-07-19T12:54:59.612626Z</t>
        </is>
      </c>
      <c r="C36" s="24" t="inlineStr">
        <is>
          <t>2026-07-19T18:10Z</t>
        </is>
      </c>
      <c r="D36" s="24" t="inlineStr">
        <is>
          <t>401816177</t>
        </is>
      </c>
      <c r="E36" s="24" t="inlineStr">
        <is>
          <t>MLB</t>
        </is>
      </c>
      <c r="F36" s="24" t="inlineStr">
        <is>
          <t>Baltimore Orioles</t>
        </is>
      </c>
      <c r="G36" s="24" t="inlineStr">
        <is>
          <t>Houston Astros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-106</v>
      </c>
      <c r="M36" s="27" t="n">
        <v>1.943396</v>
      </c>
      <c r="N36" s="28" t="n">
        <v>0.514563</v>
      </c>
      <c r="O36" s="28" t="n">
        <v>0.518824</v>
      </c>
      <c r="P36" s="28" t="n"/>
      <c r="Q36" s="28" t="n">
        <v>0.004261</v>
      </c>
      <c r="R36" s="26" t="n">
        <v>4</v>
      </c>
      <c r="S36" s="29" t="n">
        <v>0.75</v>
      </c>
      <c r="T36" s="24" t="inlineStr">
        <is>
          <t>mlb-elo-trend-lr-v4</t>
        </is>
      </c>
      <c r="U36" s="24" t="inlineStr">
        <is>
          <t>settled</t>
        </is>
      </c>
      <c r="V36" s="24" t="inlineStr">
        <is>
          <t>loss</t>
        </is>
      </c>
      <c r="W36" s="26" t="n">
        <v>5</v>
      </c>
      <c r="X36" s="26" t="n">
        <v>2</v>
      </c>
      <c r="Y36" s="25" t="n"/>
      <c r="Z36" s="26" t="n"/>
      <c r="AA36" s="28" t="n"/>
      <c r="AB36" s="28" t="n"/>
      <c r="AC36" s="30" t="n">
        <v>-0.75</v>
      </c>
      <c r="AD36" s="24" t="inlineStr">
        <is>
          <t>2026-07-19T23:12:44.208798Z</t>
        </is>
      </c>
      <c r="AE36" s="31" t="inlineStr">
        <is>
          <t>Learned LR call at threshold 0.5150; executable ask 0.5150 (aec-mlb-bal-hou-2026-07-19).</t>
        </is>
      </c>
      <c r="AF36" s="31" t="inlineStr">
        <is>
          <t>Learned model; promotion gate not yet open; zero-unit research until review.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mlb-bal</t>
        </is>
      </c>
      <c r="AQ36" s="24" t="inlineStr">
        <is>
          <t>Baltimore Orioles</t>
        </is>
      </c>
      <c r="AR36" s="24" t="inlineStr">
        <is>
          <t>Baltimore Orioles</t>
        </is>
      </c>
      <c r="AS36" s="24" t="inlineStr">
        <is>
          <t>mlb-hou</t>
        </is>
      </c>
      <c r="AT36" s="24" t="inlineStr">
        <is>
          <t>Houston Astros</t>
        </is>
      </c>
      <c r="AU36" s="24" t="inlineStr">
        <is>
          <t>Houston Astros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5224fb6ffbc9ddf8fa517627b830ac851192da94d241963d556945393a42bb9d</t>
        </is>
      </c>
      <c r="BB36" s="24" t="inlineStr">
        <is>
          <t>learned_lr</t>
        </is>
      </c>
      <c r="BC36" s="24" t="inlineStr">
        <is>
          <t>mlb-elo-trend-lr-v4</t>
        </is>
      </c>
      <c r="BD36" s="24" t="inlineStr">
        <is>
          <t>5224fb6ffbc9ddf8fa517627b830ac851192da94d241963d556945393a42bb9d</t>
        </is>
      </c>
      <c r="BE36" s="24" t="inlineStr">
        <is>
          <t>fb65fbe93d283ddf</t>
        </is>
      </c>
      <c r="BF36" s="24" t="inlineStr">
        <is>
          <t>1</t>
        </is>
      </c>
      <c r="BG36" s="24" t="inlineStr">
        <is>
          <t>mlb-elo-trend-lr-v3</t>
        </is>
      </c>
      <c r="BH36" s="24" t="inlineStr">
        <is>
          <t>2026-07-19T12:20:40.690565Z</t>
        </is>
      </c>
      <c r="BI36" s="24" t="inlineStr">
        <is>
          <t>["same_event","same_team_same_day","same_league_same_day"]</t>
        </is>
      </c>
      <c r="BJ36" s="25" t="n"/>
      <c r="BK36" s="26" t="n">
        <v>-106</v>
      </c>
      <c r="BL36" s="27" t="n">
        <v>1.943396</v>
      </c>
      <c r="BM36" s="28" t="n">
        <v>0.514563</v>
      </c>
      <c r="BN36" s="28" t="n">
        <v>0.5124379999999999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</row>
    <row r="37" ht="36" customHeight="1">
      <c r="A37" s="24" t="inlineStr">
        <is>
          <t>24dc5460b71f4e79</t>
        </is>
      </c>
      <c r="B37" s="24" t="inlineStr">
        <is>
          <t>2026-07-19T12:54:59.612626Z</t>
        </is>
      </c>
      <c r="C37" s="24" t="inlineStr">
        <is>
          <t>2026-07-19T18:10Z</t>
        </is>
      </c>
      <c r="D37" s="24" t="inlineStr">
        <is>
          <t>401816178</t>
        </is>
      </c>
      <c r="E37" s="24" t="inlineStr">
        <is>
          <t>MLB</t>
        </is>
      </c>
      <c r="F37" s="24" t="inlineStr">
        <is>
          <t>Miami Marlins</t>
        </is>
      </c>
      <c r="G37" s="24" t="inlineStr">
        <is>
          <t>Milwaukee Brewers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-122</v>
      </c>
      <c r="M37" s="27" t="n">
        <v>1.819672</v>
      </c>
      <c r="N37" s="28" t="n">
        <v>0.54955</v>
      </c>
      <c r="O37" s="28" t="n">
        <v>0.6307700000000001</v>
      </c>
      <c r="P37" s="28" t="n"/>
      <c r="Q37" s="28" t="n">
        <v>0.08122</v>
      </c>
      <c r="R37" s="26" t="n">
        <v>81</v>
      </c>
      <c r="S37" s="29" t="n">
        <v>1.75</v>
      </c>
      <c r="T37" s="24" t="inlineStr">
        <is>
          <t>mlb-elo-trend-lr-v4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3</v>
      </c>
      <c r="Y37" s="25" t="n"/>
      <c r="Z37" s="26" t="n"/>
      <c r="AA37" s="28" t="n"/>
      <c r="AB37" s="28" t="n"/>
      <c r="AC37" s="30" t="n">
        <v>1.4344</v>
      </c>
      <c r="AD37" s="24" t="inlineStr">
        <is>
          <t>2026-07-19T23:12:44.452287Z</t>
        </is>
      </c>
      <c r="AE37" s="31" t="inlineStr">
        <is>
          <t>Learned LR call at threshold 0.5150; executable ask 0.5500 (aec-mlb-mia-mil-2026-07-19).</t>
        </is>
      </c>
      <c r="AF37" s="31" t="inlineStr">
        <is>
          <t>Learned model; promotion gate not yet open; zero-unit research until review.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mlb-mia</t>
        </is>
      </c>
      <c r="AQ37" s="24" t="inlineStr">
        <is>
          <t>Miami Marlins</t>
        </is>
      </c>
      <c r="AR37" s="24" t="inlineStr">
        <is>
          <t>Miami Marlins</t>
        </is>
      </c>
      <c r="AS37" s="24" t="inlineStr">
        <is>
          <t>mlb-mil</t>
        </is>
      </c>
      <c r="AT37" s="24" t="inlineStr">
        <is>
          <t>Milwaukee Brewers</t>
        </is>
      </c>
      <c r="AU37" s="24" t="inlineStr">
        <is>
          <t>Milwaukee Brewers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5224fb6ffbc9ddf8fa517627b830ac851192da94d241963d556945393a42bb9d</t>
        </is>
      </c>
      <c r="BB37" s="24" t="inlineStr">
        <is>
          <t>learned_lr</t>
        </is>
      </c>
      <c r="BC37" s="24" t="inlineStr">
        <is>
          <t>mlb-elo-trend-lr-v4</t>
        </is>
      </c>
      <c r="BD37" s="24" t="inlineStr">
        <is>
          <t>5224fb6ffbc9ddf8fa517627b830ac851192da94d241963d556945393a42bb9d</t>
        </is>
      </c>
      <c r="BE37" s="24" t="inlineStr">
        <is>
          <t>8fb0cba25307b5b8</t>
        </is>
      </c>
      <c r="BF37" s="24" t="inlineStr">
        <is>
          <t>1</t>
        </is>
      </c>
      <c r="BG37" s="24" t="inlineStr">
        <is>
          <t>mlb-elo-trend-lr-v3</t>
        </is>
      </c>
      <c r="BH37" s="24" t="inlineStr">
        <is>
          <t>2026-07-19T12:20:42.218493Z</t>
        </is>
      </c>
      <c r="BI37" s="24" t="inlineStr">
        <is>
          <t>["same_event","same_team_same_day","same_league_same_day"]</t>
        </is>
      </c>
      <c r="BJ37" s="25" t="n"/>
      <c r="BK37" s="26" t="n">
        <v>-122</v>
      </c>
      <c r="BL37" s="27" t="n">
        <v>1.819672</v>
      </c>
      <c r="BM37" s="28" t="n">
        <v>0.54955</v>
      </c>
      <c r="BN37" s="28" t="n">
        <v>0.547264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</row>
    <row r="38" ht="36" customHeight="1">
      <c r="A38" s="24" t="inlineStr">
        <is>
          <t>a41133c348d04e51</t>
        </is>
      </c>
      <c r="B38" s="24" t="inlineStr">
        <is>
          <t>2026-07-19T12:54:59.612626Z</t>
        </is>
      </c>
      <c r="C38" s="24" t="inlineStr">
        <is>
          <t>2026-07-19T18:10Z</t>
        </is>
      </c>
      <c r="D38" s="24" t="inlineStr">
        <is>
          <t>401816180</t>
        </is>
      </c>
      <c r="E38" s="24" t="inlineStr">
        <is>
          <t>MLB</t>
        </is>
      </c>
      <c r="F38" s="24" t="inlineStr">
        <is>
          <t>San Diego Padres</t>
        </is>
      </c>
      <c r="G38" s="24" t="inlineStr">
        <is>
          <t>Kansas City Royals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115</v>
      </c>
      <c r="M38" s="27" t="n">
        <v>2.15</v>
      </c>
      <c r="N38" s="28" t="n">
        <v>0.465116</v>
      </c>
      <c r="O38" s="28" t="n">
        <v>0.520718</v>
      </c>
      <c r="P38" s="28" t="n"/>
      <c r="Q38" s="28" t="n">
        <v>0.055602</v>
      </c>
      <c r="R38" s="26" t="n">
        <v>55</v>
      </c>
      <c r="S38" s="29" t="n">
        <v>0.75</v>
      </c>
      <c r="T38" s="24" t="inlineStr">
        <is>
          <t>mlb-elo-trend-lr-v4</t>
        </is>
      </c>
      <c r="U38" s="24" t="inlineStr">
        <is>
          <t>settled</t>
        </is>
      </c>
      <c r="V38" s="24" t="inlineStr">
        <is>
          <t>win</t>
        </is>
      </c>
      <c r="W38" s="26" t="n">
        <v>19</v>
      </c>
      <c r="X38" s="26" t="n">
        <v>2</v>
      </c>
      <c r="Y38" s="25" t="n"/>
      <c r="Z38" s="26" t="n"/>
      <c r="AA38" s="28" t="n"/>
      <c r="AB38" s="28" t="n"/>
      <c r="AC38" s="30" t="n">
        <v>0.8625</v>
      </c>
      <c r="AD38" s="24" t="inlineStr">
        <is>
          <t>2026-07-19T23:12:44.698613Z</t>
        </is>
      </c>
      <c r="AE38" s="31" t="inlineStr">
        <is>
          <t>Learned LR call at threshold 0.5150; executable ask 0.4650 (aec-mlb-sd-kc-2026-07-19).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mlb-sd</t>
        </is>
      </c>
      <c r="AQ38" s="24" t="inlineStr">
        <is>
          <t>San Diego Padres</t>
        </is>
      </c>
      <c r="AR38" s="24" t="inlineStr">
        <is>
          <t>San Diego Padres</t>
        </is>
      </c>
      <c r="AS38" s="24" t="inlineStr">
        <is>
          <t>mlb-kc</t>
        </is>
      </c>
      <c r="AT38" s="24" t="inlineStr">
        <is>
          <t>Kansas City Royals</t>
        </is>
      </c>
      <c r="AU38" s="24" t="inlineStr">
        <is>
          <t>Kansas City Royals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5224fb6ffbc9ddf8fa517627b830ac851192da94d241963d556945393a42bb9d</t>
        </is>
      </c>
      <c r="BB38" s="24" t="inlineStr">
        <is>
          <t>learned_lr</t>
        </is>
      </c>
      <c r="BC38" s="24" t="inlineStr">
        <is>
          <t>mlb-elo-trend-lr-v4</t>
        </is>
      </c>
      <c r="BD38" s="24" t="inlineStr">
        <is>
          <t>5224fb6ffbc9ddf8fa517627b830ac851192da94d241963d556945393a42bb9d</t>
        </is>
      </c>
      <c r="BE38" s="24" t="inlineStr">
        <is>
          <t>fce46e57be25f762</t>
        </is>
      </c>
      <c r="BF38" s="24" t="inlineStr">
        <is>
          <t>1</t>
        </is>
      </c>
      <c r="BG38" s="24" t="inlineStr">
        <is>
          <t>mlb-elo-trend-lr-v3</t>
        </is>
      </c>
      <c r="BH38" s="24" t="inlineStr">
        <is>
          <t>2026-07-19T12:20:43.564485Z</t>
        </is>
      </c>
      <c r="BI38" s="24" t="inlineStr">
        <is>
          <t>["same_event","same_team_same_day","same_league_same_day"]</t>
        </is>
      </c>
      <c r="BJ38" s="25" t="n"/>
      <c r="BK38" s="26" t="n">
        <v>115</v>
      </c>
      <c r="BL38" s="27" t="n">
        <v>2.15</v>
      </c>
      <c r="BM38" s="28" t="n">
        <v>0.465116</v>
      </c>
      <c r="BN38" s="28" t="n">
        <v>0.462687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</row>
    <row r="39" ht="36" customHeight="1">
      <c r="A39" s="24" t="inlineStr">
        <is>
          <t>381bf45d8dc64de8</t>
        </is>
      </c>
      <c r="B39" s="24" t="inlineStr">
        <is>
          <t>2026-07-19T12:54:59.612626Z</t>
        </is>
      </c>
      <c r="C39" s="24" t="inlineStr">
        <is>
          <t>2026-07-19T18:20Z</t>
        </is>
      </c>
      <c r="D39" s="24" t="inlineStr">
        <is>
          <t>401816179</t>
        </is>
      </c>
      <c r="E39" s="24" t="inlineStr">
        <is>
          <t>MLB</t>
        </is>
      </c>
      <c r="F39" s="24" t="inlineStr">
        <is>
          <t>Minnesota Twins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-150</v>
      </c>
      <c r="M39" s="27" t="n">
        <v>1.666667</v>
      </c>
      <c r="N39" s="28" t="n">
        <v>0.6</v>
      </c>
      <c r="O39" s="28" t="n">
        <v>0.599047</v>
      </c>
      <c r="P39" s="28" t="n"/>
      <c r="Q39" s="28" t="n">
        <v>-0.000953</v>
      </c>
      <c r="R39" s="26" t="n">
        <v>99</v>
      </c>
      <c r="S39" s="29" t="n">
        <v>1.5</v>
      </c>
      <c r="T39" s="24" t="inlineStr">
        <is>
          <t>mlb-elo-trend-lr-v4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10</v>
      </c>
      <c r="Y39" s="25" t="n"/>
      <c r="Z39" s="26" t="n"/>
      <c r="AA39" s="28" t="n"/>
      <c r="AB39" s="28" t="n"/>
      <c r="AC39" s="30" t="n">
        <v>1</v>
      </c>
      <c r="AD39" s="24" t="inlineStr">
        <is>
          <t>2026-07-19T23:12:44.944082Z</t>
        </is>
      </c>
      <c r="AE39" s="31" t="inlineStr">
        <is>
          <t>Learned LR call at threshold 0.5150; executable ask 0.6000 (aec-mlb-min-chc-2026-07-19).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mlb-min</t>
        </is>
      </c>
      <c r="AQ39" s="24" t="inlineStr">
        <is>
          <t>Minnesota Twins</t>
        </is>
      </c>
      <c r="AR39" s="24" t="inlineStr">
        <is>
          <t>Minnesota Twins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5224fb6ffbc9ddf8fa517627b830ac851192da94d241963d556945393a42bb9d</t>
        </is>
      </c>
      <c r="BB39" s="24" t="inlineStr">
        <is>
          <t>learned_lr</t>
        </is>
      </c>
      <c r="BC39" s="24" t="inlineStr">
        <is>
          <t>mlb-elo-trend-lr-v4</t>
        </is>
      </c>
      <c r="BD39" s="24" t="inlineStr">
        <is>
          <t>5224fb6ffbc9ddf8fa517627b830ac851192da94d241963d556945393a42bb9d</t>
        </is>
      </c>
      <c r="BE39" s="24" t="inlineStr">
        <is>
          <t>a5e44fbf125c8b8d</t>
        </is>
      </c>
      <c r="BF39" s="24" t="inlineStr">
        <is>
          <t>1</t>
        </is>
      </c>
      <c r="BG39" s="24" t="inlineStr">
        <is>
          <t>mlb-elo-trend-lr-v3</t>
        </is>
      </c>
      <c r="BH39" s="24" t="inlineStr">
        <is>
          <t>2026-07-19T12:20:44.784549Z</t>
        </is>
      </c>
      <c r="BI39" s="24" t="inlineStr">
        <is>
          <t>["same_event","same_team_same_day","same_league_same_day"]</t>
        </is>
      </c>
      <c r="BJ39" s="25" t="n"/>
      <c r="BK39" s="26" t="n">
        <v>-150</v>
      </c>
      <c r="BL39" s="27" t="n">
        <v>1.666667</v>
      </c>
      <c r="BM39" s="28" t="n">
        <v>0.6</v>
      </c>
      <c r="BN39" s="28" t="n">
        <v>0.597015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</row>
    <row r="40" ht="36" customHeight="1">
      <c r="A40" s="24" t="inlineStr">
        <is>
          <t>4efa6372827f49d2</t>
        </is>
      </c>
      <c r="B40" s="24" t="inlineStr">
        <is>
          <t>2026-07-19T12:54:59.612626Z</t>
        </is>
      </c>
      <c r="C40" s="24" t="inlineStr">
        <is>
          <t>2026-07-19T20:07Z</t>
        </is>
      </c>
      <c r="D40" s="24" t="inlineStr">
        <is>
          <t>401816182</t>
        </is>
      </c>
      <c r="E40" s="24" t="inlineStr">
        <is>
          <t>MLB</t>
        </is>
      </c>
      <c r="F40" s="24" t="inlineStr">
        <is>
          <t>Detroit Tigers</t>
        </is>
      </c>
      <c r="G40" s="24" t="inlineStr">
        <is>
          <t>Los Angeles Angels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-141</v>
      </c>
      <c r="M40" s="27" t="n">
        <v>1.70922</v>
      </c>
      <c r="N40" s="28" t="n">
        <v>0.585062</v>
      </c>
      <c r="O40" s="28" t="n">
        <v>0.526852</v>
      </c>
      <c r="P40" s="28" t="n"/>
      <c r="Q40" s="28" t="n">
        <v>-0.05821</v>
      </c>
      <c r="R40" s="26" t="n">
        <v>41</v>
      </c>
      <c r="S40" s="29" t="n">
        <v>0.75</v>
      </c>
      <c r="T40" s="24" t="inlineStr">
        <is>
          <t>mlb-elo-trend-lr-v4</t>
        </is>
      </c>
      <c r="U40" s="24" t="inlineStr">
        <is>
          <t>settled</t>
        </is>
      </c>
      <c r="V40" s="24" t="inlineStr">
        <is>
          <t>loss</t>
        </is>
      </c>
      <c r="W40" s="26" t="n">
        <v>2</v>
      </c>
      <c r="X40" s="26" t="n">
        <v>3</v>
      </c>
      <c r="Y40" s="25" t="n"/>
      <c r="Z40" s="26" t="n"/>
      <c r="AA40" s="28" t="n"/>
      <c r="AB40" s="28" t="n"/>
      <c r="AC40" s="30" t="n">
        <v>-0.75</v>
      </c>
      <c r="AD40" s="24" t="inlineStr">
        <is>
          <t>2026-07-19T23:12:45.192018Z</t>
        </is>
      </c>
      <c r="AE40" s="31" t="inlineStr">
        <is>
          <t>Learned LR call at threshold 0.5150; executable ask 0.5850 (aec-mlb-det-laa-2026-07-19).</t>
        </is>
      </c>
      <c r="AF40" s="31" t="inlineStr">
        <is>
          <t>Learned model; promotion gate not yet open; zero-unit research until review.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mlb-det</t>
        </is>
      </c>
      <c r="AQ40" s="24" t="inlineStr">
        <is>
          <t>Detroit Tigers</t>
        </is>
      </c>
      <c r="AR40" s="24" t="inlineStr">
        <is>
          <t>Detroit Tigers</t>
        </is>
      </c>
      <c r="AS40" s="24" t="inlineStr">
        <is>
          <t>mlb-laa</t>
        </is>
      </c>
      <c r="AT40" s="24" t="inlineStr">
        <is>
          <t>Los Angeles Angels</t>
        </is>
      </c>
      <c r="AU40" s="24" t="inlineStr">
        <is>
          <t>Los Angeles Angels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5224fb6ffbc9ddf8fa517627b830ac851192da94d241963d556945393a42bb9d</t>
        </is>
      </c>
      <c r="BB40" s="24" t="inlineStr">
        <is>
          <t>learned_lr</t>
        </is>
      </c>
      <c r="BC40" s="24" t="inlineStr">
        <is>
          <t>mlb-elo-trend-lr-v4</t>
        </is>
      </c>
      <c r="BD40" s="24" t="inlineStr">
        <is>
          <t>5224fb6ffbc9ddf8fa517627b830ac851192da94d241963d556945393a42bb9d</t>
        </is>
      </c>
      <c r="BE40" s="24" t="inlineStr">
        <is>
          <t>116e26539f29a0c8</t>
        </is>
      </c>
      <c r="BF40" s="24" t="inlineStr">
        <is>
          <t>1</t>
        </is>
      </c>
      <c r="BG40" s="24" t="inlineStr">
        <is>
          <t>mlb-elo-trend-lr-v3</t>
        </is>
      </c>
      <c r="BH40" s="24" t="inlineStr">
        <is>
          <t>2026-07-19T12:20:47.368573Z</t>
        </is>
      </c>
      <c r="BI40" s="24" t="inlineStr">
        <is>
          <t>["same_event","same_team_same_day","same_league_same_day"]</t>
        </is>
      </c>
      <c r="BJ40" s="25" t="n"/>
      <c r="BK40" s="26" t="n">
        <v>-141</v>
      </c>
      <c r="BL40" s="27" t="n">
        <v>1.70922</v>
      </c>
      <c r="BM40" s="28" t="n">
        <v>0.585062</v>
      </c>
      <c r="BN40" s="28" t="n">
        <v>0.58209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</row>
    <row r="41" ht="36" customHeight="1">
      <c r="A41" s="24" t="inlineStr">
        <is>
          <t>8a8510fe3d5e43d4</t>
        </is>
      </c>
      <c r="B41" s="24" t="inlineStr">
        <is>
          <t>2026-07-19T12:54:59.612626Z</t>
        </is>
      </c>
      <c r="C41" s="24" t="inlineStr">
        <is>
          <t>2026-07-19T20:10Z</t>
        </is>
      </c>
      <c r="D41" s="24" t="inlineStr">
        <is>
          <t>401816183</t>
        </is>
      </c>
      <c r="E41" s="24" t="inlineStr">
        <is>
          <t>MLB</t>
        </is>
      </c>
      <c r="F41" s="24" t="inlineStr">
        <is>
          <t>San Francisco Giants</t>
        </is>
      </c>
      <c r="G41" s="24" t="inlineStr">
        <is>
          <t>Seattle Mariners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-163</v>
      </c>
      <c r="M41" s="27" t="n">
        <v>1.613497</v>
      </c>
      <c r="N41" s="28" t="n">
        <v>0.619772</v>
      </c>
      <c r="O41" s="28" t="n">
        <v>0.595469</v>
      </c>
      <c r="P41" s="28" t="n"/>
      <c r="Q41" s="28" t="n">
        <v>-0.024303</v>
      </c>
      <c r="R41" s="26" t="n">
        <v>75</v>
      </c>
      <c r="S41" s="29" t="n">
        <v>1.5</v>
      </c>
      <c r="T41" s="24" t="inlineStr">
        <is>
          <t>mlb-elo-trend-lr-v4</t>
        </is>
      </c>
      <c r="U41" s="24" t="inlineStr">
        <is>
          <t>settled</t>
        </is>
      </c>
      <c r="V41" s="24" t="inlineStr">
        <is>
          <t>win</t>
        </is>
      </c>
      <c r="W41" s="26" t="n">
        <v>3</v>
      </c>
      <c r="X41" s="26" t="n">
        <v>6</v>
      </c>
      <c r="Y41" s="25" t="n"/>
      <c r="Z41" s="26" t="n"/>
      <c r="AA41" s="28" t="n"/>
      <c r="AB41" s="28" t="n"/>
      <c r="AC41" s="30" t="n">
        <v>0.9202</v>
      </c>
      <c r="AD41" s="24" t="inlineStr">
        <is>
          <t>2026-07-19T23:12:45.440735Z</t>
        </is>
      </c>
      <c r="AE41" s="31" t="inlineStr">
        <is>
          <t>Learned LR call at threshold 0.5150; executable ask 0.6200 (aec-mlb-sf-sea-2026-07-19).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mlb-sf</t>
        </is>
      </c>
      <c r="AQ41" s="24" t="inlineStr">
        <is>
          <t>San Francisco Giants</t>
        </is>
      </c>
      <c r="AR41" s="24" t="inlineStr">
        <is>
          <t>San Francisco Giants</t>
        </is>
      </c>
      <c r="AS41" s="24" t="inlineStr">
        <is>
          <t>mlb-sea</t>
        </is>
      </c>
      <c r="AT41" s="24" t="inlineStr">
        <is>
          <t>Seattle Mariners</t>
        </is>
      </c>
      <c r="AU41" s="24" t="inlineStr">
        <is>
          <t>Seattle Mariners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5224fb6ffbc9ddf8fa517627b830ac851192da94d241963d556945393a42bb9d</t>
        </is>
      </c>
      <c r="BB41" s="24" t="inlineStr">
        <is>
          <t>learned_lr</t>
        </is>
      </c>
      <c r="BC41" s="24" t="inlineStr">
        <is>
          <t>mlb-elo-trend-lr-v4</t>
        </is>
      </c>
      <c r="BD41" s="24" t="inlineStr">
        <is>
          <t>5224fb6ffbc9ddf8fa517627b830ac851192da94d241963d556945393a42bb9d</t>
        </is>
      </c>
      <c r="BE41" s="24" t="inlineStr">
        <is>
          <t>56bcde9b031bb310</t>
        </is>
      </c>
      <c r="BF41" s="24" t="inlineStr">
        <is>
          <t>1</t>
        </is>
      </c>
      <c r="BG41" s="24" t="inlineStr">
        <is>
          <t>mlb-elo-trend-lr-v3</t>
        </is>
      </c>
      <c r="BH41" s="24" t="inlineStr">
        <is>
          <t>2026-07-19T12:20:48.978861Z</t>
        </is>
      </c>
      <c r="BI41" s="24" t="inlineStr">
        <is>
          <t>["same_event","same_team_same_day","same_league_same_day"]</t>
        </is>
      </c>
      <c r="BJ41" s="25" t="n"/>
      <c r="BK41" s="26" t="n">
        <v>-163</v>
      </c>
      <c r="BL41" s="27" t="n">
        <v>1.613497</v>
      </c>
      <c r="BM41" s="28" t="n">
        <v>0.619772</v>
      </c>
      <c r="BN41" s="28" t="n">
        <v>0.616915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</row>
    <row r="42" ht="36" customHeight="1">
      <c r="A42" s="24" t="inlineStr">
        <is>
          <t>437e59320f8e4a43</t>
        </is>
      </c>
      <c r="B42" s="24" t="inlineStr">
        <is>
          <t>2026-07-19T12:54:59.612626Z</t>
        </is>
      </c>
      <c r="C42" s="24" t="inlineStr">
        <is>
          <t>2026-07-19T20:10Z</t>
        </is>
      </c>
      <c r="D42" s="24" t="inlineStr">
        <is>
          <t>401816184</t>
        </is>
      </c>
      <c r="E42" s="24" t="inlineStr">
        <is>
          <t>MLB</t>
        </is>
      </c>
      <c r="F42" s="24" t="inlineStr">
        <is>
          <t>St. Louis Cardinals</t>
        </is>
      </c>
      <c r="G42" s="24" t="inlineStr">
        <is>
          <t>Arizona Diamondbacks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-111</v>
      </c>
      <c r="M42" s="27" t="n">
        <v>1.900901</v>
      </c>
      <c r="N42" s="28" t="n">
        <v>0.526066</v>
      </c>
      <c r="O42" s="28" t="n">
        <v>0.518517</v>
      </c>
      <c r="P42" s="28" t="n"/>
      <c r="Q42" s="28" t="n">
        <v>-0.007549</v>
      </c>
      <c r="R42" s="26" t="n">
        <v>92</v>
      </c>
      <c r="S42" s="29" t="n">
        <v>0.75</v>
      </c>
      <c r="T42" s="24" t="inlineStr">
        <is>
          <t>mlb-elo-trend-lr-v4</t>
        </is>
      </c>
      <c r="U42" s="24" t="inlineStr">
        <is>
          <t>settled</t>
        </is>
      </c>
      <c r="V42" s="24" t="inlineStr">
        <is>
          <t>win</t>
        </is>
      </c>
      <c r="W42" s="26" t="n">
        <v>7</v>
      </c>
      <c r="X42" s="26" t="n">
        <v>8</v>
      </c>
      <c r="Y42" s="25" t="n"/>
      <c r="Z42" s="26" t="n"/>
      <c r="AA42" s="28" t="n"/>
      <c r="AB42" s="28" t="n"/>
      <c r="AC42" s="30" t="n">
        <v>0.6757</v>
      </c>
      <c r="AD42" s="24" t="inlineStr">
        <is>
          <t>2026-07-19T23:51:12.968396Z</t>
        </is>
      </c>
      <c r="AE42" s="31" t="inlineStr">
        <is>
          <t>Learned LR call at threshold 0.5150; executable ask 0.5250 (aec-mlb-stl-az-2026-07-19).</t>
        </is>
      </c>
      <c r="AF42" s="31" t="inlineStr">
        <is>
          <t>Learned model; promotion gate not yet open; zero-unit research until review.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mlb-stl</t>
        </is>
      </c>
      <c r="AQ42" s="24" t="inlineStr">
        <is>
          <t>St. Louis Cardinals</t>
        </is>
      </c>
      <c r="AR42" s="24" t="inlineStr">
        <is>
          <t>St. Louis Cardinals</t>
        </is>
      </c>
      <c r="AS42" s="24" t="inlineStr">
        <is>
          <t>mlb-ari</t>
        </is>
      </c>
      <c r="AT42" s="24" t="inlineStr">
        <is>
          <t>Arizona Diamondbacks</t>
        </is>
      </c>
      <c r="AU42" s="24" t="inlineStr">
        <is>
          <t>Arizona Diamondbacks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5224fb6ffbc9ddf8fa517627b830ac851192da94d241963d556945393a42bb9d</t>
        </is>
      </c>
      <c r="BB42" s="24" t="inlineStr">
        <is>
          <t>learned_lr</t>
        </is>
      </c>
      <c r="BC42" s="24" t="inlineStr">
        <is>
          <t>mlb-elo-trend-lr-v4</t>
        </is>
      </c>
      <c r="BD42" s="24" t="inlineStr">
        <is>
          <t>5224fb6ffbc9ddf8fa517627b830ac851192da94d241963d556945393a42bb9d</t>
        </is>
      </c>
      <c r="BE42" s="24" t="inlineStr">
        <is>
          <t>c892d911f3a93b8b</t>
        </is>
      </c>
      <c r="BF42" s="24" t="inlineStr">
        <is>
          <t>1</t>
        </is>
      </c>
      <c r="BG42" s="24" t="inlineStr">
        <is>
          <t>mlb-elo-trend-lr-v3</t>
        </is>
      </c>
      <c r="BH42" s="24" t="inlineStr">
        <is>
          <t>2026-07-19T12:20:49.926170Z</t>
        </is>
      </c>
      <c r="BI42" s="24" t="inlineStr">
        <is>
          <t>["same_event","same_team_same_day","same_league_same_day"]</t>
        </is>
      </c>
      <c r="BJ42" s="25" t="n"/>
      <c r="BK42" s="26" t="n">
        <v>-111</v>
      </c>
      <c r="BL42" s="27" t="n">
        <v>1.900901</v>
      </c>
      <c r="BM42" s="28" t="n">
        <v>0.526066</v>
      </c>
      <c r="BN42" s="28" t="n">
        <v>0.522388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</row>
    <row r="43" ht="36" customHeight="1">
      <c r="A43" s="24" t="inlineStr">
        <is>
          <t>4c364c0842444748</t>
        </is>
      </c>
      <c r="B43" s="24" t="inlineStr">
        <is>
          <t>2026-07-19T12:54:59.612626Z</t>
        </is>
      </c>
      <c r="C43" s="24" t="inlineStr">
        <is>
          <t>2026-07-19T23:20Z</t>
        </is>
      </c>
      <c r="D43" s="24" t="inlineStr">
        <is>
          <t>401816172</t>
        </is>
      </c>
      <c r="E43" s="24" t="inlineStr">
        <is>
          <t>MLB</t>
        </is>
      </c>
      <c r="F43" s="24" t="inlineStr">
        <is>
          <t>Los Angeles Dodgers</t>
        </is>
      </c>
      <c r="G43" s="24" t="inlineStr">
        <is>
          <t>New York Yankees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-108</v>
      </c>
      <c r="M43" s="27" t="n">
        <v>1.925926</v>
      </c>
      <c r="N43" s="28" t="n">
        <v>0.519231</v>
      </c>
      <c r="O43" s="28" t="n">
        <v>0.518236</v>
      </c>
      <c r="P43" s="28" t="n"/>
      <c r="Q43" s="28" t="n">
        <v>-0.000995</v>
      </c>
      <c r="R43" s="26" t="n">
        <v>99</v>
      </c>
      <c r="S43" s="29" t="n">
        <v>0.75</v>
      </c>
      <c r="T43" s="24" t="inlineStr">
        <is>
          <t>mlb-elo-trend-lr-v4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2</v>
      </c>
      <c r="Y43" s="25" t="n"/>
      <c r="Z43" s="26" t="n"/>
      <c r="AA43" s="28" t="n"/>
      <c r="AB43" s="28" t="n"/>
      <c r="AC43" s="30" t="n">
        <v>-0.75</v>
      </c>
      <c r="AD43" s="24" t="inlineStr">
        <is>
          <t>2026-07-20T07:27:21.588181Z</t>
        </is>
      </c>
      <c r="AE43" s="31" t="inlineStr">
        <is>
          <t>Learned LR call at threshold 0.5150; executable ask 0.5200 (aec-mlb-lad-nyy-2026-07-19).</t>
        </is>
      </c>
      <c r="AF43" s="31" t="inlineStr">
        <is>
          <t>Learned model; promotion gate not yet open; zero-unit research until review.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mlb-lad</t>
        </is>
      </c>
      <c r="AQ43" s="24" t="inlineStr">
        <is>
          <t>Los Angeles Dodgers</t>
        </is>
      </c>
      <c r="AR43" s="24" t="inlineStr">
        <is>
          <t>Los Angeles Dodgers</t>
        </is>
      </c>
      <c r="AS43" s="24" t="inlineStr">
        <is>
          <t>mlb-nyy</t>
        </is>
      </c>
      <c r="AT43" s="24" t="inlineStr">
        <is>
          <t>New York Yankees</t>
        </is>
      </c>
      <c r="AU43" s="24" t="inlineStr">
        <is>
          <t>New York Yankees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5224fb6ffbc9ddf8fa517627b830ac851192da94d241963d556945393a42bb9d</t>
        </is>
      </c>
      <c r="BB43" s="24" t="inlineStr">
        <is>
          <t>learned_lr</t>
        </is>
      </c>
      <c r="BC43" s="24" t="inlineStr">
        <is>
          <t>mlb-elo-trend-lr-v4</t>
        </is>
      </c>
      <c r="BD43" s="24" t="inlineStr">
        <is>
          <t>5224fb6ffbc9ddf8fa517627b830ac851192da94d241963d556945393a42bb9d</t>
        </is>
      </c>
      <c r="BE43" s="24" t="inlineStr">
        <is>
          <t>3d0e5a17bc5bf87f</t>
        </is>
      </c>
      <c r="BF43" s="24" t="inlineStr">
        <is>
          <t>1</t>
        </is>
      </c>
      <c r="BG43" s="24" t="inlineStr">
        <is>
          <t>mlb-elo-trend-lr-v3</t>
        </is>
      </c>
      <c r="BH43" s="24" t="inlineStr">
        <is>
          <t>2026-07-19T12:20:50.977544Z</t>
        </is>
      </c>
      <c r="BI43" s="24" t="inlineStr">
        <is>
          <t>["same_event","same_team_same_day","same_league_same_day"]</t>
        </is>
      </c>
      <c r="BJ43" s="25" t="n"/>
      <c r="BK43" s="26" t="n">
        <v>-108</v>
      </c>
      <c r="BL43" s="27" t="n">
        <v>1.925926</v>
      </c>
      <c r="BM43" s="28" t="n">
        <v>0.519231</v>
      </c>
      <c r="BN43" s="28" t="n">
        <v>0.517413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</row>
    <row r="44" ht="36" customHeight="1">
      <c r="A44" s="24" t="inlineStr">
        <is>
          <t>660d896695654e99</t>
        </is>
      </c>
      <c r="B44" s="24" t="inlineStr">
        <is>
          <t>2026-07-19T12:55:04.872783Z</t>
        </is>
      </c>
      <c r="C44" s="24" t="inlineStr">
        <is>
          <t>2026-07-19T17:00Z</t>
        </is>
      </c>
      <c r="D44" s="24" t="inlineStr">
        <is>
          <t>401857080</t>
        </is>
      </c>
      <c r="E44" s="24" t="inlineStr">
        <is>
          <t>WNBA</t>
        </is>
      </c>
      <c r="F44" s="24" t="inlineStr">
        <is>
          <t>Los Angeles Sparks</t>
        </is>
      </c>
      <c r="G44" s="24" t="inlineStr">
        <is>
          <t>Dallas Wings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-400</v>
      </c>
      <c r="M44" s="27" t="n">
        <v>1.25</v>
      </c>
      <c r="N44" s="28" t="n">
        <v>0.8</v>
      </c>
      <c r="O44" s="28" t="n">
        <v>0.7509749999999999</v>
      </c>
      <c r="P44" s="28" t="n"/>
      <c r="Q44" s="28" t="n">
        <v>-0.049025</v>
      </c>
      <c r="R44" s="26" t="n">
        <v>25</v>
      </c>
      <c r="S44" s="29" t="n">
        <v>2</v>
      </c>
      <c r="T44" s="24" t="inlineStr">
        <is>
          <t>wnba-elo-trend-lr-v3</t>
        </is>
      </c>
      <c r="U44" s="24" t="inlineStr">
        <is>
          <t>settled</t>
        </is>
      </c>
      <c r="V44" s="24" t="inlineStr">
        <is>
          <t>win</t>
        </is>
      </c>
      <c r="W44" s="26" t="n">
        <v>82</v>
      </c>
      <c r="X44" s="26" t="n">
        <v>90</v>
      </c>
      <c r="Y44" s="25" t="n"/>
      <c r="Z44" s="26" t="n"/>
      <c r="AA44" s="28" t="n"/>
      <c r="AB44" s="28" t="n"/>
      <c r="AC44" s="30" t="n">
        <v>0.5</v>
      </c>
      <c r="AD44" s="24" t="inlineStr">
        <is>
          <t>2026-07-19T23:12:45.958826Z</t>
        </is>
      </c>
      <c r="AE44" s="31" t="inlineStr">
        <is>
          <t>Learned LR call at threshold 0.5000; executable ask 0.8000 (aec-wnba-la-dal-2026-07-19).</t>
        </is>
      </c>
      <c r="AF44" s="31" t="inlineStr">
        <is>
          <t>Learned model; promotion gate not yet open; zero-unit research until review.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wnba-las</t>
        </is>
      </c>
      <c r="AQ44" s="24" t="inlineStr">
        <is>
          <t>Los Angeles Sparks</t>
        </is>
      </c>
      <c r="AR44" s="24" t="inlineStr">
        <is>
          <t>Los Angeles Sparks</t>
        </is>
      </c>
      <c r="AS44" s="24" t="inlineStr">
        <is>
          <t>wnba-dal</t>
        </is>
      </c>
      <c r="AT44" s="24" t="inlineStr">
        <is>
          <t>Dallas Wings</t>
        </is>
      </c>
      <c r="AU44" s="24" t="inlineStr">
        <is>
          <t>Dallas Wings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d339198b196cb3fcd02950ed5efbdd4cefbeb95b2cd63cd756e77f99dc483719</t>
        </is>
      </c>
      <c r="BB44" s="24" t="inlineStr">
        <is>
          <t>learned_lr</t>
        </is>
      </c>
      <c r="BC44" s="24" t="inlineStr">
        <is>
          <t>wnba-elo-trend-lr-v3</t>
        </is>
      </c>
      <c r="BD44" s="24" t="inlineStr">
        <is>
          <t>d339198b196cb3fcd02950ed5efbdd4cefbeb95b2cd63cd756e77f99dc483719</t>
        </is>
      </c>
      <c r="BE44" s="24" t="inlineStr">
        <is>
          <t>1105570c96caae80</t>
        </is>
      </c>
      <c r="BF44" s="24" t="inlineStr">
        <is>
          <t>1</t>
        </is>
      </c>
      <c r="BG44" s="24" t="inlineStr">
        <is>
          <t>wnba-elo-trend-lr-v3</t>
        </is>
      </c>
      <c r="BH44" s="24" t="inlineStr">
        <is>
          <t>2026-07-19T12:20:54.245538Z</t>
        </is>
      </c>
      <c r="BI44" s="24" t="inlineStr">
        <is>
          <t>["same_event","same_team_same_day","same_league_same_day"]</t>
        </is>
      </c>
      <c r="BJ44" s="25" t="n"/>
      <c r="BK44" s="26" t="n">
        <v>-400</v>
      </c>
      <c r="BL44" s="27" t="n">
        <v>1.25</v>
      </c>
      <c r="BM44" s="28" t="n">
        <v>0.8</v>
      </c>
      <c r="BN44" s="28" t="n">
        <v>0.792079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</row>
    <row r="45" ht="36" customHeight="1">
      <c r="A45" s="24" t="inlineStr">
        <is>
          <t>9f52810e7f374e1c</t>
        </is>
      </c>
      <c r="B45" s="24" t="inlineStr">
        <is>
          <t>2026-07-19T12:55:04.872783Z</t>
        </is>
      </c>
      <c r="C45" s="24" t="inlineStr">
        <is>
          <t>2026-07-19T20:00Z</t>
        </is>
      </c>
      <c r="D45" s="24" t="inlineStr">
        <is>
          <t>401857081</t>
        </is>
      </c>
      <c r="E45" s="24" t="inlineStr">
        <is>
          <t>WNBA</t>
        </is>
      </c>
      <c r="F45" s="24" t="inlineStr">
        <is>
          <t>Chicago Sky</t>
        </is>
      </c>
      <c r="G45" s="24" t="inlineStr">
        <is>
          <t>Atlanta Dream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-426</v>
      </c>
      <c r="M45" s="27" t="n">
        <v>1.234742</v>
      </c>
      <c r="N45" s="28" t="n">
        <v>0.809886</v>
      </c>
      <c r="O45" s="28" t="n">
        <v>0.675714</v>
      </c>
      <c r="P45" s="28" t="n"/>
      <c r="Q45" s="28" t="n">
        <v>-0.134172</v>
      </c>
      <c r="R45" s="26" t="n">
        <v>0</v>
      </c>
      <c r="S45" s="29" t="n">
        <v>2</v>
      </c>
      <c r="T45" s="24" t="inlineStr">
        <is>
          <t>wnba-elo-trend-lr-v3</t>
        </is>
      </c>
      <c r="U45" s="24" t="inlineStr">
        <is>
          <t>settled</t>
        </is>
      </c>
      <c r="V45" s="24" t="inlineStr">
        <is>
          <t>win</t>
        </is>
      </c>
      <c r="W45" s="26" t="n">
        <v>91</v>
      </c>
      <c r="X45" s="26" t="n">
        <v>93</v>
      </c>
      <c r="Y45" s="25" t="n"/>
      <c r="Z45" s="26" t="n"/>
      <c r="AA45" s="28" t="n"/>
      <c r="AB45" s="28" t="n"/>
      <c r="AC45" s="30" t="n">
        <v>0.4695</v>
      </c>
      <c r="AD45" s="24" t="inlineStr">
        <is>
          <t>2026-07-19T23:12:46.205387Z</t>
        </is>
      </c>
      <c r="AE45" s="31" t="inlineStr">
        <is>
          <t>Learned LR call at threshold 0.5000; executable ask 0.8100 (aec-wnba-chi-atl-2026-07-19).</t>
        </is>
      </c>
      <c r="AF45" s="31" t="inlineStr">
        <is>
          <t>Learned model; promotion gate not yet open; zero-unit research until review.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wnba-chi</t>
        </is>
      </c>
      <c r="AQ45" s="24" t="inlineStr">
        <is>
          <t>Chicago Sky</t>
        </is>
      </c>
      <c r="AR45" s="24" t="inlineStr">
        <is>
          <t>Chicago Sky</t>
        </is>
      </c>
      <c r="AS45" s="24" t="inlineStr">
        <is>
          <t>wnba-atl</t>
        </is>
      </c>
      <c r="AT45" s="24" t="inlineStr">
        <is>
          <t>Atlanta Dream</t>
        </is>
      </c>
      <c r="AU45" s="24" t="inlineStr">
        <is>
          <t>Atlanta Dream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d339198b196cb3fcd02950ed5efbdd4cefbeb95b2cd63cd756e77f99dc483719</t>
        </is>
      </c>
      <c r="BB45" s="24" t="inlineStr">
        <is>
          <t>learned_lr</t>
        </is>
      </c>
      <c r="BC45" s="24" t="inlineStr">
        <is>
          <t>wnba-elo-trend-lr-v3</t>
        </is>
      </c>
      <c r="BD45" s="24" t="inlineStr">
        <is>
          <t>d339198b196cb3fcd02950ed5efbdd4cefbeb95b2cd63cd756e77f99dc483719</t>
        </is>
      </c>
      <c r="BE45" s="24" t="inlineStr">
        <is>
          <t>6a68fc6e2a5a0b4a</t>
        </is>
      </c>
      <c r="BF45" s="24" t="inlineStr">
        <is>
          <t>1</t>
        </is>
      </c>
      <c r="BG45" s="24" t="inlineStr">
        <is>
          <t>wnba-elo-trend-lr-v3</t>
        </is>
      </c>
      <c r="BH45" s="24" t="inlineStr">
        <is>
          <t>2026-07-19T12:20:55.900740Z</t>
        </is>
      </c>
      <c r="BI45" s="24" t="inlineStr">
        <is>
          <t>["same_event","same_team_same_day","same_league_same_day"]</t>
        </is>
      </c>
      <c r="BJ45" s="25" t="n"/>
      <c r="BK45" s="26" t="n">
        <v>-426</v>
      </c>
      <c r="BL45" s="27" t="n">
        <v>1.234742</v>
      </c>
      <c r="BM45" s="28" t="n">
        <v>0.809886</v>
      </c>
      <c r="BN45" s="28" t="n">
        <v>0.80198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</row>
    <row r="46" ht="36" customHeight="1">
      <c r="A46" s="24" t="inlineStr">
        <is>
          <t>44eda71121684cc1</t>
        </is>
      </c>
      <c r="B46" s="24" t="inlineStr">
        <is>
          <t>2026-07-19T12:55:04.872783Z</t>
        </is>
      </c>
      <c r="C46" s="24" t="inlineStr">
        <is>
          <t>2026-07-19T23:00Z</t>
        </is>
      </c>
      <c r="D46" s="24" t="inlineStr">
        <is>
          <t>401857082</t>
        </is>
      </c>
      <c r="E46" s="24" t="inlineStr">
        <is>
          <t>WNBA</t>
        </is>
      </c>
      <c r="F46" s="24" t="inlineStr">
        <is>
          <t>Connecticut Sun</t>
        </is>
      </c>
      <c r="G46" s="24" t="inlineStr">
        <is>
          <t>Phoenix Mercury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-156</v>
      </c>
      <c r="M46" s="27" t="n">
        <v>1.641026</v>
      </c>
      <c r="N46" s="28" t="n">
        <v>0.609375</v>
      </c>
      <c r="O46" s="28" t="n">
        <v>0.565769</v>
      </c>
      <c r="P46" s="28" t="n"/>
      <c r="Q46" s="28" t="n">
        <v>-0.043606</v>
      </c>
      <c r="R46" s="26" t="n">
        <v>28</v>
      </c>
      <c r="S46" s="29" t="n">
        <v>1.25</v>
      </c>
      <c r="T46" s="24" t="inlineStr">
        <is>
          <t>wnba-elo-trend-lr-v3</t>
        </is>
      </c>
      <c r="U46" s="24" t="inlineStr">
        <is>
          <t>settled</t>
        </is>
      </c>
      <c r="V46" s="24" t="inlineStr">
        <is>
          <t>win</t>
        </is>
      </c>
      <c r="W46" s="26" t="n">
        <v>63</v>
      </c>
      <c r="X46" s="26" t="n">
        <v>72</v>
      </c>
      <c r="Y46" s="25" t="n"/>
      <c r="Z46" s="26" t="n"/>
      <c r="AA46" s="28" t="n"/>
      <c r="AB46" s="28" t="n"/>
      <c r="AC46" s="30" t="n">
        <v>0.8013</v>
      </c>
      <c r="AD46" s="24" t="inlineStr">
        <is>
          <t>2026-07-20T07:27:22.185310Z</t>
        </is>
      </c>
      <c r="AE46" s="31" t="inlineStr">
        <is>
          <t>Learned LR call at threshold 0.5000; executable ask 0.6100 (aec-wnba-conn-phx-2026-07-19).</t>
        </is>
      </c>
      <c r="AF46" s="31" t="inlineStr">
        <is>
          <t>Learned model; promotion gate not yet open; zero-unit research until review.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wnba-con</t>
        </is>
      </c>
      <c r="AQ46" s="24" t="inlineStr">
        <is>
          <t>Connecticut Sun</t>
        </is>
      </c>
      <c r="AR46" s="24" t="inlineStr">
        <is>
          <t>Connecticut Sun</t>
        </is>
      </c>
      <c r="AS46" s="24" t="inlineStr">
        <is>
          <t>wnba-phx</t>
        </is>
      </c>
      <c r="AT46" s="24" t="inlineStr">
        <is>
          <t>Phoenix Mercury</t>
        </is>
      </c>
      <c r="AU46" s="24" t="inlineStr">
        <is>
          <t>Phoenix Mercury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d339198b196cb3fcd02950ed5efbdd4cefbeb95b2cd63cd756e77f99dc483719</t>
        </is>
      </c>
      <c r="BB46" s="24" t="inlineStr">
        <is>
          <t>learned_lr</t>
        </is>
      </c>
      <c r="BC46" s="24" t="inlineStr">
        <is>
          <t>wnba-elo-trend-lr-v3</t>
        </is>
      </c>
      <c r="BD46" s="24" t="inlineStr">
        <is>
          <t>d339198b196cb3fcd02950ed5efbdd4cefbeb95b2cd63cd756e77f99dc483719</t>
        </is>
      </c>
      <c r="BE46" s="24" t="inlineStr">
        <is>
          <t>25b3f96c5c4591d1</t>
        </is>
      </c>
      <c r="BF46" s="24" t="inlineStr">
        <is>
          <t>1</t>
        </is>
      </c>
      <c r="BG46" s="24" t="inlineStr">
        <is>
          <t>wnba-elo-trend-lr-v3</t>
        </is>
      </c>
      <c r="BH46" s="24" t="inlineStr">
        <is>
          <t>2026-07-19T12:20:56.954791Z</t>
        </is>
      </c>
      <c r="BI46" s="24" t="inlineStr">
        <is>
          <t>["same_event","same_team_same_day","same_league_same_day"]</t>
        </is>
      </c>
      <c r="BJ46" s="25" t="n"/>
      <c r="BK46" s="26" t="n">
        <v>-156</v>
      </c>
      <c r="BL46" s="27" t="n">
        <v>1.641026</v>
      </c>
      <c r="BM46" s="28" t="n">
        <v>0.609375</v>
      </c>
      <c r="BN46" s="28" t="n">
        <v>0.6039600000000001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</row>
    <row r="47" ht="18" customHeight="1">
      <c r="A47" s="24" t="inlineStr">
        <is>
          <t>607e61329ed3424c</t>
        </is>
      </c>
      <c r="B47" s="24" t="inlineStr">
        <is>
          <t>2026-07-17T14:02:17Z</t>
        </is>
      </c>
      <c r="C47" s="24" t="inlineStr">
        <is>
          <t>2026-07-18T19:30:00-0400</t>
        </is>
      </c>
      <c r="D47" s="24" t="inlineStr">
        <is>
          <t>401857073</t>
        </is>
      </c>
      <c r="E47" s="24" t="inlineStr">
        <is>
          <t>WNBA</t>
        </is>
      </c>
      <c r="F47" s="24" t="inlineStr">
        <is>
          <t>Seattle Storm</t>
        </is>
      </c>
      <c r="G47" s="24" t="inlineStr">
        <is>
          <t>Indiana Fever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-354</v>
      </c>
      <c r="M47" s="27" t="n">
        <v>1.282486</v>
      </c>
      <c r="N47" s="28" t="n">
        <v>0.779736</v>
      </c>
      <c r="O47" s="28" t="n">
        <v>0.6207</v>
      </c>
      <c r="P47" s="28" t="n"/>
      <c r="Q47" s="28" t="n">
        <v>-0.159036</v>
      </c>
      <c r="R47" s="26" t="n"/>
      <c r="S47" s="29" t="n">
        <v>1.75</v>
      </c>
      <c r="T47" s="24" t="inlineStr">
        <is>
          <t>wnba-elo-trend-lr-v3</t>
        </is>
      </c>
      <c r="U47" s="24" t="inlineStr">
        <is>
          <t>settled</t>
        </is>
      </c>
      <c r="V47" s="24" t="inlineStr">
        <is>
          <t>win</t>
        </is>
      </c>
      <c r="W47" s="26" t="n">
        <v>107</v>
      </c>
      <c r="X47" s="26" t="n">
        <v>110</v>
      </c>
      <c r="Y47" s="25" t="n"/>
      <c r="Z47" s="26" t="n"/>
      <c r="AA47" s="28" t="n"/>
      <c r="AB47" s="28" t="n"/>
      <c r="AC47" s="30" t="n">
        <v>0.4944</v>
      </c>
      <c r="AD47" s="24" t="inlineStr">
        <is>
          <t>2026-07-18T14:36:00Z</t>
        </is>
      </c>
      <c r="AE47" s="31" t="n"/>
      <c r="AF47" s="31" t="n"/>
      <c r="AG47" s="24" t="n"/>
      <c r="AH47" s="24" t="n"/>
      <c r="AI47" s="31" t="n"/>
      <c r="AJ47" s="31" t="n"/>
      <c r="AK47" s="24" t="inlineStr">
        <is>
          <t>QUALIFIED_SHADOW_CALL</t>
        </is>
      </c>
      <c r="AL47" s="26" t="n">
        <v>1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CALL_LEARNED_CONFIDENCE</t>
        </is>
      </c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inlineStr">
        <is>
          <t>learned</t>
        </is>
      </c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5" t="n"/>
      <c r="BK47" s="26" t="n">
        <v>-354</v>
      </c>
      <c r="BL47" s="27" t="n">
        <v>1.282486</v>
      </c>
      <c r="BM47" s="28" t="n">
        <v>0.779736</v>
      </c>
      <c r="BN47" s="28" t="n">
        <v>0.779736</v>
      </c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</row>
    <row r="48" ht="36" customHeight="1">
      <c r="A48" s="24" t="inlineStr">
        <is>
          <t>ba6d8918b5e04b6c</t>
        </is>
      </c>
      <c r="B48" s="24" t="inlineStr">
        <is>
          <t>2026-07-19T10:49:38.448695+00:00</t>
        </is>
      </c>
      <c r="C48" s="24" t="inlineStr">
        <is>
          <t>2026-07-17T14:00:00-0400</t>
        </is>
      </c>
      <c r="D48" s="24" t="inlineStr">
        <is>
          <t>Texa-Atla-2026-07-17</t>
        </is>
      </c>
      <c r="E48" s="24" t="inlineStr">
        <is>
          <t>MLB</t>
        </is>
      </c>
      <c r="F48" s="24" t="inlineStr">
        <is>
          <t>Texas Rangers</t>
        </is>
      </c>
      <c r="G48" s="24" t="inlineStr">
        <is>
          <t>Atlanta Braves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</t>
        </is>
      </c>
      <c r="L48" s="26" t="n">
        <v>-194</v>
      </c>
      <c r="M48" s="27" t="n">
        <v>1.515464</v>
      </c>
      <c r="N48" s="28" t="n">
        <v>0.659864</v>
      </c>
      <c r="O48" s="28" t="n">
        <v>0.577396</v>
      </c>
      <c r="P48" s="28" t="n">
        <v>0.05</v>
      </c>
      <c r="Q48" s="28" t="n">
        <v>-0.082468</v>
      </c>
      <c r="R48" s="26" t="n">
        <v>17</v>
      </c>
      <c r="S48" s="29" t="n">
        <v>1.25</v>
      </c>
      <c r="T48" s="24" t="inlineStr">
        <is>
          <t>mlb-elo-trend-lr-v4</t>
        </is>
      </c>
      <c r="U48" s="24" t="inlineStr">
        <is>
          <t>settled</t>
        </is>
      </c>
      <c r="V48" s="24" t="inlineStr">
        <is>
          <t>win</t>
        </is>
      </c>
      <c r="W48" s="26" t="n">
        <v>1</v>
      </c>
      <c r="X48" s="26" t="n">
        <v>15</v>
      </c>
      <c r="Y48" s="25" t="n"/>
      <c r="Z48" s="26" t="n"/>
      <c r="AA48" s="28" t="n"/>
      <c r="AB48" s="28" t="n"/>
      <c r="AC48" s="30" t="n">
        <v>0.6443</v>
      </c>
      <c r="AD48" s="24" t="inlineStr">
        <is>
          <t>2026-07-19T12:18:56.424168+00:00</t>
        </is>
      </c>
      <c r="AE48" s="31" t="inlineStr">
        <is>
          <t>backtest</t>
        </is>
      </c>
      <c r="AF48" s="31" t="n"/>
      <c r="AG48" s="24" t="n"/>
      <c r="AH48" s="24" t="n"/>
      <c r="AI48" s="31" t="n"/>
      <c r="AJ48" s="31" t="n"/>
      <c r="AK48" s="24" t="n"/>
      <c r="AL48" s="26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inlineStr">
        <is>
          <t>5224fb6ffbc9ddf8fa517627b830ac851192da94d241963d556945393a42bb9d</t>
        </is>
      </c>
      <c r="BB48" s="24" t="n"/>
      <c r="BC48" s="24" t="inlineStr">
        <is>
          <t>mlb-elo-trend-lr-v4</t>
        </is>
      </c>
      <c r="BD48" s="24" t="inlineStr">
        <is>
          <t>5224fb6ffbc9ddf8fa517627b830ac851192da94d241963d556945393a42bb9d</t>
        </is>
      </c>
      <c r="BE48" s="24" t="n"/>
      <c r="BF48" s="24" t="n"/>
      <c r="BG48" s="24" t="n"/>
      <c r="BH48" s="24" t="inlineStr">
        <is>
          <t>2026-07-17T16:26:07.030893Z</t>
        </is>
      </c>
      <c r="BI48" s="24" t="n"/>
      <c r="BJ48" s="25" t="n"/>
      <c r="BK48" s="26" t="n">
        <v>-194</v>
      </c>
      <c r="BL48" s="27" t="n">
        <v>1.515464</v>
      </c>
      <c r="BM48" s="28" t="n">
        <v>0.659864</v>
      </c>
      <c r="BN48" s="28" t="n">
        <v>0.656716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</row>
    <row r="49" ht="36" customHeight="1">
      <c r="A49" s="24" t="inlineStr">
        <is>
          <t>713f57aaeede4418</t>
        </is>
      </c>
      <c r="B49" s="24" t="inlineStr">
        <is>
          <t>2026-07-19T10:49:38.448695+00:00</t>
        </is>
      </c>
      <c r="C49" s="24" t="inlineStr">
        <is>
          <t>2026-07-17T14:00:00-0400</t>
        </is>
      </c>
      <c r="D49" s="24" t="inlineStr">
        <is>
          <t>Chic-Toro-2026-07-17</t>
        </is>
      </c>
      <c r="E49" s="24" t="inlineStr">
        <is>
          <t>MLB</t>
        </is>
      </c>
      <c r="F49" s="24" t="inlineStr">
        <is>
          <t>Chicago White Sox</t>
        </is>
      </c>
      <c r="G49" s="24" t="inlineStr">
        <is>
          <t>Toronto Blue Jays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</t>
        </is>
      </c>
      <c r="L49" s="26" t="n">
        <v>-122</v>
      </c>
      <c r="M49" s="27" t="n">
        <v>1.819672</v>
      </c>
      <c r="N49" s="28" t="n">
        <v>0.54955</v>
      </c>
      <c r="O49" s="28" t="n">
        <v>0.551581</v>
      </c>
      <c r="P49" s="28" t="n">
        <v>0.05</v>
      </c>
      <c r="Q49" s="28" t="n">
        <v>0.002031</v>
      </c>
      <c r="R49" s="26" t="n">
        <v>2</v>
      </c>
      <c r="S49" s="29" t="n">
        <v>1</v>
      </c>
      <c r="T49" s="24" t="inlineStr">
        <is>
          <t>mlb-elo-trend-lr-v4</t>
        </is>
      </c>
      <c r="U49" s="24" t="inlineStr">
        <is>
          <t>settled</t>
        </is>
      </c>
      <c r="V49" s="24" t="inlineStr">
        <is>
          <t>loss</t>
        </is>
      </c>
      <c r="W49" s="26" t="n">
        <v>12</v>
      </c>
      <c r="X49" s="26" t="n">
        <v>4</v>
      </c>
      <c r="Y49" s="25" t="n"/>
      <c r="Z49" s="26" t="n"/>
      <c r="AA49" s="28" t="n"/>
      <c r="AB49" s="28" t="n"/>
      <c r="AC49" s="30" t="n">
        <v>-1</v>
      </c>
      <c r="AD49" s="24" t="inlineStr">
        <is>
          <t>2026-07-19T12:18:56.424376+00:00</t>
        </is>
      </c>
      <c r="AE49" s="31" t="inlineStr">
        <is>
          <t>backtest</t>
        </is>
      </c>
      <c r="AF49" s="31" t="n"/>
      <c r="AG49" s="24" t="n"/>
      <c r="AH49" s="24" t="n"/>
      <c r="AI49" s="31" t="n"/>
      <c r="AJ49" s="31" t="n"/>
      <c r="AK49" s="24" t="n"/>
      <c r="AL49" s="26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inlineStr">
        <is>
          <t>5224fb6ffbc9ddf8fa517627b830ac851192da94d241963d556945393a42bb9d</t>
        </is>
      </c>
      <c r="BB49" s="24" t="n"/>
      <c r="BC49" s="24" t="inlineStr">
        <is>
          <t>mlb-elo-trend-lr-v4</t>
        </is>
      </c>
      <c r="BD49" s="24" t="inlineStr">
        <is>
          <t>5224fb6ffbc9ddf8fa517627b830ac851192da94d241963d556945393a42bb9d</t>
        </is>
      </c>
      <c r="BE49" s="24" t="n"/>
      <c r="BF49" s="24" t="n"/>
      <c r="BG49" s="24" t="n"/>
      <c r="BH49" s="24" t="inlineStr">
        <is>
          <t>2026-07-17T16:26:05.906965Z</t>
        </is>
      </c>
      <c r="BI49" s="24" t="n"/>
      <c r="BJ49" s="25" t="n"/>
      <c r="BK49" s="26" t="n">
        <v>-122</v>
      </c>
      <c r="BL49" s="27" t="n">
        <v>1.819672</v>
      </c>
      <c r="BM49" s="28" t="n">
        <v>0.54955</v>
      </c>
      <c r="BN49" s="28" t="n">
        <v>0.547264</v>
      </c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</row>
    <row r="50" ht="36" customHeight="1">
      <c r="A50" s="24" t="inlineStr">
        <is>
          <t>4224d3689d5b44ed</t>
        </is>
      </c>
      <c r="B50" s="24" t="inlineStr">
        <is>
          <t>2026-07-19T10:49:38.448695+00:00</t>
        </is>
      </c>
      <c r="C50" s="24" t="inlineStr">
        <is>
          <t>2026-07-17T14:00:00-0400</t>
        </is>
      </c>
      <c r="D50" s="24" t="inlineStr">
        <is>
          <t>SanD-Kans-2026-07-17</t>
        </is>
      </c>
      <c r="E50" s="24" t="inlineStr">
        <is>
          <t>MLB</t>
        </is>
      </c>
      <c r="F50" s="24" t="inlineStr">
        <is>
          <t>San Diego Padres</t>
        </is>
      </c>
      <c r="G50" s="24" t="inlineStr">
        <is>
          <t>Kansas City Royals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</t>
        </is>
      </c>
      <c r="L50" s="26" t="n">
        <v>-113</v>
      </c>
      <c r="M50" s="27" t="n">
        <v>1.884956</v>
      </c>
      <c r="N50" s="28" t="n">
        <v>0.530516</v>
      </c>
      <c r="O50" s="28" t="n">
        <v>0.521172</v>
      </c>
      <c r="P50" s="28" t="n">
        <v>0.05</v>
      </c>
      <c r="Q50" s="28" t="n">
        <v>-0.009344</v>
      </c>
      <c r="R50" s="26" t="n">
        <v>90</v>
      </c>
      <c r="S50" s="29" t="n">
        <v>0.75</v>
      </c>
      <c r="T50" s="24" t="inlineStr">
        <is>
          <t>mlb-elo-trend-lr-v4</t>
        </is>
      </c>
      <c r="U50" s="24" t="inlineStr">
        <is>
          <t>settled</t>
        </is>
      </c>
      <c r="V50" s="24" t="inlineStr">
        <is>
          <t>loss</t>
        </is>
      </c>
      <c r="W50" s="26" t="n">
        <v>6</v>
      </c>
      <c r="X50" s="26" t="n">
        <v>7</v>
      </c>
      <c r="Y50" s="25" t="n"/>
      <c r="Z50" s="26" t="n"/>
      <c r="AA50" s="28" t="n"/>
      <c r="AB50" s="28" t="n"/>
      <c r="AC50" s="30" t="n">
        <v>-0.75</v>
      </c>
      <c r="AD50" s="24" t="inlineStr">
        <is>
          <t>2026-07-19T12:18:56.424980+00:00</t>
        </is>
      </c>
      <c r="AE50" s="31" t="inlineStr">
        <is>
          <t>backtest</t>
        </is>
      </c>
      <c r="AF50" s="31" t="n"/>
      <c r="AG50" s="24" t="n"/>
      <c r="AH50" s="24" t="n"/>
      <c r="AI50" s="31" t="n"/>
      <c r="AJ50" s="31" t="n"/>
      <c r="AK50" s="24" t="n"/>
      <c r="AL50" s="26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inlineStr">
        <is>
          <t>5224fb6ffbc9ddf8fa517627b830ac851192da94d241963d556945393a42bb9d</t>
        </is>
      </c>
      <c r="BB50" s="24" t="n"/>
      <c r="BC50" s="24" t="inlineStr">
        <is>
          <t>mlb-elo-trend-lr-v4</t>
        </is>
      </c>
      <c r="BD50" s="24" t="inlineStr">
        <is>
          <t>5224fb6ffbc9ddf8fa517627b830ac851192da94d241963d556945393a42bb9d</t>
        </is>
      </c>
      <c r="BE50" s="24" t="n"/>
      <c r="BF50" s="24" t="n"/>
      <c r="BG50" s="24" t="n"/>
      <c r="BH50" s="24" t="inlineStr">
        <is>
          <t>2026-07-17T16:26:09.836107Z</t>
        </is>
      </c>
      <c r="BI50" s="24" t="n"/>
      <c r="BJ50" s="25" t="n"/>
      <c r="BK50" s="26" t="n">
        <v>-113</v>
      </c>
      <c r="BL50" s="27" t="n">
        <v>1.884956</v>
      </c>
      <c r="BM50" s="28" t="n">
        <v>0.530516</v>
      </c>
      <c r="BN50" s="28" t="n">
        <v>0.527363</v>
      </c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</row>
    <row r="51" ht="36" customHeight="1">
      <c r="A51" s="24" t="inlineStr">
        <is>
          <t>caa582b839304286</t>
        </is>
      </c>
      <c r="B51" s="24" t="inlineStr">
        <is>
          <t>2026-07-19T10:49:38.448695+00:00</t>
        </is>
      </c>
      <c r="C51" s="24" t="inlineStr">
        <is>
          <t>2026-07-17T14:00:00-0400</t>
        </is>
      </c>
      <c r="D51" s="24" t="inlineStr">
        <is>
          <t>Balt-Hous-2026-07-17</t>
        </is>
      </c>
      <c r="E51" s="24" t="inlineStr">
        <is>
          <t>MLB</t>
        </is>
      </c>
      <c r="F51" s="24" t="inlineStr">
        <is>
          <t>Baltimore Orioles</t>
        </is>
      </c>
      <c r="G51" s="24" t="inlineStr">
        <is>
          <t>Houston Astros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</t>
        </is>
      </c>
      <c r="L51" s="26" t="n">
        <v>-106</v>
      </c>
      <c r="M51" s="27" t="n">
        <v>1.943396</v>
      </c>
      <c r="N51" s="28" t="n">
        <v>0.514563</v>
      </c>
      <c r="O51" s="28" t="n">
        <v>0.524624</v>
      </c>
      <c r="P51" s="28" t="n">
        <v>0.05</v>
      </c>
      <c r="Q51" s="28" t="n">
        <v>0.010061</v>
      </c>
      <c r="R51" s="26" t="n">
        <v>10</v>
      </c>
      <c r="S51" s="29" t="n">
        <v>0.75</v>
      </c>
      <c r="T51" s="24" t="inlineStr">
        <is>
          <t>mlb-elo-trend-lr-v4</t>
        </is>
      </c>
      <c r="U51" s="24" t="inlineStr">
        <is>
          <t>settled</t>
        </is>
      </c>
      <c r="V51" s="24" t="inlineStr">
        <is>
          <t>loss</t>
        </is>
      </c>
      <c r="W51" s="26" t="n">
        <v>3</v>
      </c>
      <c r="X51" s="26" t="n">
        <v>2</v>
      </c>
      <c r="Y51" s="25" t="n"/>
      <c r="Z51" s="26" t="n"/>
      <c r="AA51" s="28" t="n"/>
      <c r="AB51" s="28" t="n"/>
      <c r="AC51" s="30" t="n">
        <v>-0.75</v>
      </c>
      <c r="AD51" s="24" t="inlineStr">
        <is>
          <t>2026-07-19T12:18:56.425183+00:00</t>
        </is>
      </c>
      <c r="AE51" s="31" t="inlineStr">
        <is>
          <t>backtest</t>
        </is>
      </c>
      <c r="AF51" s="31" t="n"/>
      <c r="AG51" s="24" t="n"/>
      <c r="AH51" s="24" t="n"/>
      <c r="AI51" s="31" t="n"/>
      <c r="AJ51" s="31" t="n"/>
      <c r="AK51" s="24" t="n"/>
      <c r="AL51" s="26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inlineStr">
        <is>
          <t>5224fb6ffbc9ddf8fa517627b830ac851192da94d241963d556945393a42bb9d</t>
        </is>
      </c>
      <c r="BB51" s="24" t="n"/>
      <c r="BC51" s="24" t="inlineStr">
        <is>
          <t>mlb-elo-trend-lr-v4</t>
        </is>
      </c>
      <c r="BD51" s="24" t="inlineStr">
        <is>
          <t>5224fb6ffbc9ddf8fa517627b830ac851192da94d241963d556945393a42bb9d</t>
        </is>
      </c>
      <c r="BE51" s="24" t="n"/>
      <c r="BF51" s="24" t="n"/>
      <c r="BG51" s="24" t="n"/>
      <c r="BH51" s="24" t="inlineStr">
        <is>
          <t>2026-07-17T16:26:10.857493Z</t>
        </is>
      </c>
      <c r="BI51" s="24" t="n"/>
      <c r="BJ51" s="25" t="n"/>
      <c r="BK51" s="26" t="n">
        <v>-106</v>
      </c>
      <c r="BL51" s="27" t="n">
        <v>1.943396</v>
      </c>
      <c r="BM51" s="28" t="n">
        <v>0.514563</v>
      </c>
      <c r="BN51" s="28" t="n">
        <v>0.5124379999999999</v>
      </c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</row>
    <row r="52" ht="36" customHeight="1">
      <c r="A52" s="24" t="inlineStr">
        <is>
          <t>cebdc679239c4a7e</t>
        </is>
      </c>
      <c r="B52" s="24" t="inlineStr">
        <is>
          <t>2026-07-19T10:49:38.448695+00:00</t>
        </is>
      </c>
      <c r="C52" s="24" t="inlineStr">
        <is>
          <t>2026-07-17T14:00:00-0400</t>
        </is>
      </c>
      <c r="D52" s="24" t="inlineStr">
        <is>
          <t>SanF-Seat-2026-07-17</t>
        </is>
      </c>
      <c r="E52" s="24" t="inlineStr">
        <is>
          <t>MLB</t>
        </is>
      </c>
      <c r="F52" s="24" t="inlineStr">
        <is>
          <t>San Francisco Giants</t>
        </is>
      </c>
      <c r="G52" s="24" t="inlineStr">
        <is>
          <t>Seattle Mariners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</t>
        </is>
      </c>
      <c r="L52" s="26" t="n">
        <v>-174</v>
      </c>
      <c r="M52" s="27" t="n">
        <v>1.574713</v>
      </c>
      <c r="N52" s="28" t="n">
        <v>0.635036</v>
      </c>
      <c r="O52" s="28" t="n">
        <v>0.597575</v>
      </c>
      <c r="P52" s="28" t="n">
        <v>0.05</v>
      </c>
      <c r="Q52" s="28" t="n">
        <v>-0.037461</v>
      </c>
      <c r="R52" s="26" t="n">
        <v>62</v>
      </c>
      <c r="S52" s="29" t="n">
        <v>1.5</v>
      </c>
      <c r="T52" s="24" t="inlineStr">
        <is>
          <t>mlb-elo-trend-lr-v4</t>
        </is>
      </c>
      <c r="U52" s="24" t="inlineStr">
        <is>
          <t>settled</t>
        </is>
      </c>
      <c r="V52" s="24" t="inlineStr">
        <is>
          <t>loss</t>
        </is>
      </c>
      <c r="W52" s="26" t="n">
        <v>7</v>
      </c>
      <c r="X52" s="26" t="n">
        <v>0</v>
      </c>
      <c r="Y52" s="25" t="n"/>
      <c r="Z52" s="26" t="n"/>
      <c r="AA52" s="28" t="n"/>
      <c r="AB52" s="28" t="n"/>
      <c r="AC52" s="30" t="n">
        <v>-1.5</v>
      </c>
      <c r="AD52" s="24" t="inlineStr">
        <is>
          <t>2026-07-19T12:18:56.426191+00:00</t>
        </is>
      </c>
      <c r="AE52" s="31" t="inlineStr">
        <is>
          <t>backtest</t>
        </is>
      </c>
      <c r="AF52" s="31" t="n"/>
      <c r="AG52" s="24" t="n"/>
      <c r="AH52" s="24" t="n"/>
      <c r="AI52" s="31" t="n"/>
      <c r="AJ52" s="31" t="n"/>
      <c r="AK52" s="24" t="n"/>
      <c r="AL52" s="26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inlineStr">
        <is>
          <t>5224fb6ffbc9ddf8fa517627b830ac851192da94d241963d556945393a42bb9d</t>
        </is>
      </c>
      <c r="BB52" s="24" t="n"/>
      <c r="BC52" s="24" t="inlineStr">
        <is>
          <t>mlb-elo-trend-lr-v4</t>
        </is>
      </c>
      <c r="BD52" s="24" t="inlineStr">
        <is>
          <t>5224fb6ffbc9ddf8fa517627b830ac851192da94d241963d556945393a42bb9d</t>
        </is>
      </c>
      <c r="BE52" s="24" t="n"/>
      <c r="BF52" s="24" t="n"/>
      <c r="BG52" s="24" t="n"/>
      <c r="BH52" s="24" t="inlineStr">
        <is>
          <t>2026-07-17T16:26:16.071100Z</t>
        </is>
      </c>
      <c r="BI52" s="24" t="n"/>
      <c r="BJ52" s="25" t="n"/>
      <c r="BK52" s="26" t="n">
        <v>-174</v>
      </c>
      <c r="BL52" s="27" t="n">
        <v>1.574713</v>
      </c>
      <c r="BM52" s="28" t="n">
        <v>0.635036</v>
      </c>
      <c r="BN52" s="28" t="n">
        <v>0.631841</v>
      </c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</row>
    <row r="53" ht="36" customHeight="1">
      <c r="A53" s="24" t="inlineStr">
        <is>
          <t>deb68aa7d25042de</t>
        </is>
      </c>
      <c r="B53" s="24" t="inlineStr">
        <is>
          <t>2026-07-19T10:49:38.448695+00:00</t>
        </is>
      </c>
      <c r="C53" s="24" t="inlineStr">
        <is>
          <t>2026-07-17T14:00:00-0400</t>
        </is>
      </c>
      <c r="D53" s="24" t="inlineStr">
        <is>
          <t>Atla-Toro-2026-07-17</t>
        </is>
      </c>
      <c r="E53" s="24" t="inlineStr">
        <is>
          <t>WNBA</t>
        </is>
      </c>
      <c r="F53" s="24" t="inlineStr">
        <is>
          <t>Atlanta Dream</t>
        </is>
      </c>
      <c r="G53" s="24" t="inlineStr">
        <is>
          <t>Toronto Tempo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</t>
        </is>
      </c>
      <c r="L53" s="26" t="n">
        <v>-376</v>
      </c>
      <c r="M53" s="27" t="n">
        <v>1.265957</v>
      </c>
      <c r="N53" s="28" t="n">
        <v>0.789916</v>
      </c>
      <c r="O53" s="28" t="n">
        <v>0.534506</v>
      </c>
      <c r="P53" s="28" t="n">
        <v>0.05</v>
      </c>
      <c r="Q53" s="28" t="n">
        <v>-0.25541</v>
      </c>
      <c r="R53" s="26" t="n"/>
      <c r="S53" s="29" t="n">
        <v>0.75</v>
      </c>
      <c r="T53" s="24" t="inlineStr">
        <is>
          <t>wnba-elo-trend-lr-v3</t>
        </is>
      </c>
      <c r="U53" s="24" t="inlineStr">
        <is>
          <t>settled</t>
        </is>
      </c>
      <c r="V53" s="24" t="inlineStr">
        <is>
          <t>win</t>
        </is>
      </c>
      <c r="W53" s="26" t="n">
        <v>111</v>
      </c>
      <c r="X53" s="26" t="n">
        <v>92</v>
      </c>
      <c r="Y53" s="25" t="n"/>
      <c r="Z53" s="26" t="n"/>
      <c r="AA53" s="28" t="n"/>
      <c r="AB53" s="28" t="n"/>
      <c r="AC53" s="30" t="n">
        <v>0.1995</v>
      </c>
      <c r="AD53" s="24" t="inlineStr">
        <is>
          <t>2026-07-19T12:18:56.426270+00:00</t>
        </is>
      </c>
      <c r="AE53" s="31" t="inlineStr">
        <is>
          <t>backtest</t>
        </is>
      </c>
      <c r="AF53" s="31" t="n"/>
      <c r="AG53" s="24" t="n"/>
      <c r="AH53" s="24" t="n"/>
      <c r="AI53" s="31" t="n"/>
      <c r="AJ53" s="31" t="n"/>
      <c r="AK53" s="24" t="n"/>
      <c r="AL53" s="26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inlineStr">
        <is>
          <t>2026-07-17T16:26:18.670439Z</t>
        </is>
      </c>
      <c r="BI53" s="24" t="n"/>
      <c r="BJ53" s="25" t="n"/>
      <c r="BK53" s="26" t="n">
        <v>-376</v>
      </c>
      <c r="BL53" s="27" t="n">
        <v>1.265957</v>
      </c>
      <c r="BM53" s="28" t="n">
        <v>0.789916</v>
      </c>
      <c r="BN53" s="28" t="n">
        <v>0.782178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</row>
    <row r="54" ht="36" customHeight="1">
      <c r="A54" s="24" t="inlineStr">
        <is>
          <t>9d42b77cda3d44a7</t>
        </is>
      </c>
      <c r="B54" s="24" t="inlineStr">
        <is>
          <t>2026-07-19T10:49:38.448695+00:00</t>
        </is>
      </c>
      <c r="C54" s="24" t="inlineStr">
        <is>
          <t>2026-07-17T14:00:00-0400</t>
        </is>
      </c>
      <c r="D54" s="24" t="inlineStr">
        <is>
          <t>LosA-Chic-2026-07-17</t>
        </is>
      </c>
      <c r="E54" s="24" t="inlineStr">
        <is>
          <t>WNBA</t>
        </is>
      </c>
      <c r="F54" s="24" t="inlineStr">
        <is>
          <t>Los Angeles Sparks</t>
        </is>
      </c>
      <c r="G54" s="24" t="inlineStr">
        <is>
          <t>Chicago Sky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</t>
        </is>
      </c>
      <c r="L54" s="26" t="n">
        <v>-113</v>
      </c>
      <c r="M54" s="27" t="n">
        <v>1.884956</v>
      </c>
      <c r="N54" s="28" t="n">
        <v>0.530516</v>
      </c>
      <c r="O54" s="28" t="n">
        <v>0.505358</v>
      </c>
      <c r="P54" s="28" t="n">
        <v>0.05</v>
      </c>
      <c r="Q54" s="28" t="n">
        <v>-0.025158</v>
      </c>
      <c r="R54" s="26" t="n"/>
      <c r="S54" s="29" t="n">
        <v>0.5</v>
      </c>
      <c r="T54" s="24" t="inlineStr">
        <is>
          <t>wnba-elo-trend-lr-v3</t>
        </is>
      </c>
      <c r="U54" s="24" t="inlineStr">
        <is>
          <t>settled</t>
        </is>
      </c>
      <c r="V54" s="24" t="inlineStr">
        <is>
          <t>win</t>
        </is>
      </c>
      <c r="W54" s="26" t="n">
        <v>82</v>
      </c>
      <c r="X54" s="26" t="n">
        <v>96</v>
      </c>
      <c r="Y54" s="25" t="n"/>
      <c r="Z54" s="26" t="n"/>
      <c r="AA54" s="28" t="n"/>
      <c r="AB54" s="28" t="n"/>
      <c r="AC54" s="30" t="n">
        <v>0.4425</v>
      </c>
      <c r="AD54" s="24" t="inlineStr">
        <is>
          <t>2026-07-19T12:18:56.426343+00:00</t>
        </is>
      </c>
      <c r="AE54" s="31" t="inlineStr">
        <is>
          <t>backtest</t>
        </is>
      </c>
      <c r="AF54" s="31" t="n"/>
      <c r="AG54" s="24" t="n"/>
      <c r="AH54" s="24" t="n"/>
      <c r="AI54" s="31" t="n"/>
      <c r="AJ54" s="31" t="n"/>
      <c r="AK54" s="24" t="n"/>
      <c r="AL54" s="26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inlineStr">
        <is>
          <t>2026-07-17T17:12:46.881853Z</t>
        </is>
      </c>
      <c r="BI54" s="24" t="n"/>
      <c r="BJ54" s="25" t="n"/>
      <c r="BK54" s="26" t="n">
        <v>-113</v>
      </c>
      <c r="BL54" s="27" t="n">
        <v>1.884956</v>
      </c>
      <c r="BM54" s="28" t="n">
        <v>0.530516</v>
      </c>
      <c r="BN54" s="28" t="n">
        <v>0.524752</v>
      </c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</row>
    <row r="55" ht="36" customHeight="1">
      <c r="A55" s="24" t="inlineStr">
        <is>
          <t>33934bb67697420b</t>
        </is>
      </c>
      <c r="B55" s="24" t="inlineStr">
        <is>
          <t>2026-07-19T10:49:38.448695+00:00</t>
        </is>
      </c>
      <c r="C55" s="24" t="inlineStr">
        <is>
          <t>2026-07-17T14:00:00-0400</t>
        </is>
      </c>
      <c r="D55" s="24" t="inlineStr">
        <is>
          <t>Conn-Phoe-2026-07-17</t>
        </is>
      </c>
      <c r="E55" s="24" t="inlineStr">
        <is>
          <t>WNBA</t>
        </is>
      </c>
      <c r="F55" s="24" t="inlineStr">
        <is>
          <t>Connecticut Sun</t>
        </is>
      </c>
      <c r="G55" s="24" t="inlineStr">
        <is>
          <t>Phoenix Mercury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</t>
        </is>
      </c>
      <c r="L55" s="26" t="n">
        <v>-178</v>
      </c>
      <c r="M55" s="27" t="n">
        <v>1.561798</v>
      </c>
      <c r="N55" s="28" t="n">
        <v>0.640288</v>
      </c>
      <c r="O55" s="28" t="n">
        <v>0.637935</v>
      </c>
      <c r="P55" s="28" t="n">
        <v>0.05</v>
      </c>
      <c r="Q55" s="28" t="n">
        <v>-0.002353</v>
      </c>
      <c r="R55" s="26" t="n"/>
      <c r="S55" s="29" t="n">
        <v>2</v>
      </c>
      <c r="T55" s="24" t="inlineStr">
        <is>
          <t>wnba-elo-trend-lr-v3</t>
        </is>
      </c>
      <c r="U55" s="24" t="inlineStr">
        <is>
          <t>settled</t>
        </is>
      </c>
      <c r="V55" s="24" t="inlineStr">
        <is>
          <t>loss</t>
        </is>
      </c>
      <c r="W55" s="26" t="n">
        <v>96</v>
      </c>
      <c r="X55" s="26" t="n">
        <v>83</v>
      </c>
      <c r="Y55" s="25" t="n"/>
      <c r="Z55" s="26" t="n"/>
      <c r="AA55" s="28" t="n"/>
      <c r="AB55" s="28" t="n"/>
      <c r="AC55" s="30" t="n">
        <v>-2</v>
      </c>
      <c r="AD55" s="24" t="inlineStr">
        <is>
          <t>2026-07-19T12:18:56.426414+00:00</t>
        </is>
      </c>
      <c r="AE55" s="31" t="inlineStr">
        <is>
          <t>backtest</t>
        </is>
      </c>
      <c r="AF55" s="31" t="n"/>
      <c r="AG55" s="24" t="n"/>
      <c r="AH55" s="24" t="n"/>
      <c r="AI55" s="31" t="n"/>
      <c r="AJ55" s="31" t="n"/>
      <c r="AK55" s="24" t="n"/>
      <c r="AL55" s="26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inlineStr">
        <is>
          <t>2026-07-17T17:12:46.282679Z</t>
        </is>
      </c>
      <c r="BI55" s="24" t="n"/>
      <c r="BJ55" s="25" t="n"/>
      <c r="BK55" s="26" t="n">
        <v>-178</v>
      </c>
      <c r="BL55" s="27" t="n">
        <v>1.561798</v>
      </c>
      <c r="BM55" s="28" t="n">
        <v>0.640288</v>
      </c>
      <c r="BN55" s="28" t="n">
        <v>0.633663</v>
      </c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</row>
    <row r="56" ht="36" customHeight="1">
      <c r="A56" s="24" t="inlineStr">
        <is>
          <t>9e5a3c9d33b2497b</t>
        </is>
      </c>
      <c r="B56" s="24" t="inlineStr">
        <is>
          <t>2026-07-19T10:49:38.448695+00:00</t>
        </is>
      </c>
      <c r="C56" s="24" t="inlineStr">
        <is>
          <t>2026-07-18T14:00:00-0400</t>
        </is>
      </c>
      <c r="D56" s="24" t="inlineStr">
        <is>
          <t>NewY-Phil-2026-07-18</t>
        </is>
      </c>
      <c r="E56" s="24" t="inlineStr">
        <is>
          <t>MLB</t>
        </is>
      </c>
      <c r="F56" s="24" t="inlineStr">
        <is>
          <t>New York Mets</t>
        </is>
      </c>
      <c r="G56" s="24" t="inlineStr">
        <is>
          <t>Philadelphia Phillies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</t>
        </is>
      </c>
      <c r="L56" s="26" t="n">
        <v>-163</v>
      </c>
      <c r="M56" s="27" t="n">
        <v>1.613497</v>
      </c>
      <c r="N56" s="28" t="n">
        <v>0.619772</v>
      </c>
      <c r="O56" s="28" t="n">
        <v>0.611768</v>
      </c>
      <c r="P56" s="28" t="n">
        <v>0.05</v>
      </c>
      <c r="Q56" s="28" t="n">
        <v>-0.008004000000000001</v>
      </c>
      <c r="R56" s="26" t="n">
        <v>91</v>
      </c>
      <c r="S56" s="29" t="n">
        <v>1.5</v>
      </c>
      <c r="T56" s="24" t="inlineStr">
        <is>
          <t>mlb-elo-trend-lr-v4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6</v>
      </c>
      <c r="Y56" s="25" t="n"/>
      <c r="Z56" s="26" t="n"/>
      <c r="AA56" s="28" t="n"/>
      <c r="AB56" s="28" t="n"/>
      <c r="AC56" s="30" t="n">
        <v>0.9202</v>
      </c>
      <c r="AD56" s="24" t="inlineStr">
        <is>
          <t>2026-07-19T12:18:56.426817+00:00</t>
        </is>
      </c>
      <c r="AE56" s="31" t="inlineStr">
        <is>
          <t>backtest</t>
        </is>
      </c>
      <c r="AF56" s="31" t="n"/>
      <c r="AG56" s="24" t="n"/>
      <c r="AH56" s="24" t="n"/>
      <c r="AI56" s="31" t="n"/>
      <c r="AJ56" s="31" t="n"/>
      <c r="AK56" s="24" t="n"/>
      <c r="AL56" s="26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inlineStr">
        <is>
          <t>5224fb6ffbc9ddf8fa517627b830ac851192da94d241963d556945393a42bb9d</t>
        </is>
      </c>
      <c r="BB56" s="24" t="n"/>
      <c r="BC56" s="24" t="inlineStr">
        <is>
          <t>mlb-elo-trend-lr-v4</t>
        </is>
      </c>
      <c r="BD56" s="24" t="inlineStr">
        <is>
          <t>5224fb6ffbc9ddf8fa517627b830ac851192da94d241963d556945393a42bb9d</t>
        </is>
      </c>
      <c r="BE56" s="24" t="n"/>
      <c r="BF56" s="24" t="n"/>
      <c r="BG56" s="24" t="n"/>
      <c r="BH56" s="24" t="inlineStr">
        <is>
          <t>2026-07-18T17:33:12.199724Z</t>
        </is>
      </c>
      <c r="BI56" s="24" t="n"/>
      <c r="BJ56" s="25" t="n"/>
      <c r="BK56" s="26" t="n">
        <v>-163</v>
      </c>
      <c r="BL56" s="27" t="n">
        <v>1.613497</v>
      </c>
      <c r="BM56" s="28" t="n">
        <v>0.619772</v>
      </c>
      <c r="BN56" s="28" t="n">
        <v>0.616915</v>
      </c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</row>
    <row r="57" ht="36" customHeight="1">
      <c r="A57" s="24" t="inlineStr">
        <is>
          <t>f8293c8d16d748f5</t>
        </is>
      </c>
      <c r="B57" s="24" t="inlineStr">
        <is>
          <t>2026-07-19T10:49:38.448695+00:00</t>
        </is>
      </c>
      <c r="C57" s="24" t="inlineStr">
        <is>
          <t>2026-07-18T14:00:00-0400</t>
        </is>
      </c>
      <c r="D57" s="24" t="inlineStr">
        <is>
          <t>St.L-Ariz-2026-07-18</t>
        </is>
      </c>
      <c r="E57" s="24" t="inlineStr">
        <is>
          <t>MLB</t>
        </is>
      </c>
      <c r="F57" s="24" t="inlineStr">
        <is>
          <t>St. Louis Cardinals</t>
        </is>
      </c>
      <c r="G57" s="24" t="inlineStr">
        <is>
          <t>Arizona Diamondbacks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</t>
        </is>
      </c>
      <c r="L57" s="26" t="n">
        <v>-111</v>
      </c>
      <c r="M57" s="27" t="n">
        <v>1.900901</v>
      </c>
      <c r="N57" s="28" t="n">
        <v>0.526066</v>
      </c>
      <c r="O57" s="28" t="n">
        <v>0.525388</v>
      </c>
      <c r="P57" s="28" t="n">
        <v>0.05</v>
      </c>
      <c r="Q57" s="28" t="n">
        <v>-0.000678</v>
      </c>
      <c r="R57" s="26" t="n">
        <v>99</v>
      </c>
      <c r="S57" s="29" t="n">
        <v>0.75</v>
      </c>
      <c r="T57" s="24" t="inlineStr">
        <is>
          <t>mlb-elo-trend-lr-v4</t>
        </is>
      </c>
      <c r="U57" s="24" t="inlineStr">
        <is>
          <t>settled</t>
        </is>
      </c>
      <c r="V57" s="24" t="inlineStr">
        <is>
          <t>win</t>
        </is>
      </c>
      <c r="W57" s="26" t="n">
        <v>3</v>
      </c>
      <c r="X57" s="26" t="n">
        <v>5</v>
      </c>
      <c r="Y57" s="25" t="n"/>
      <c r="Z57" s="26" t="n"/>
      <c r="AA57" s="28" t="n"/>
      <c r="AB57" s="28" t="n"/>
      <c r="AC57" s="30" t="n">
        <v>0.6757</v>
      </c>
      <c r="AD57" s="24" t="inlineStr">
        <is>
          <t>2026-07-19T12:18:56.427204+00:00</t>
        </is>
      </c>
      <c r="AE57" s="31" t="inlineStr">
        <is>
          <t>backtest</t>
        </is>
      </c>
      <c r="AF57" s="31" t="n"/>
      <c r="AG57" s="24" t="n"/>
      <c r="AH57" s="24" t="n"/>
      <c r="AI57" s="31" t="n"/>
      <c r="AJ57" s="31" t="n"/>
      <c r="AK57" s="24" t="n"/>
      <c r="AL57" s="26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inlineStr">
        <is>
          <t>5224fb6ffbc9ddf8fa517627b830ac851192da94d241963d556945393a42bb9d</t>
        </is>
      </c>
      <c r="BB57" s="24" t="n"/>
      <c r="BC57" s="24" t="inlineStr">
        <is>
          <t>mlb-elo-trend-lr-v4</t>
        </is>
      </c>
      <c r="BD57" s="24" t="inlineStr">
        <is>
          <t>5224fb6ffbc9ddf8fa517627b830ac851192da94d241963d556945393a42bb9d</t>
        </is>
      </c>
      <c r="BE57" s="24" t="n"/>
      <c r="BF57" s="24" t="n"/>
      <c r="BG57" s="24" t="n"/>
      <c r="BH57" s="24" t="inlineStr">
        <is>
          <t>2026-07-18T17:33:15.460034Z</t>
        </is>
      </c>
      <c r="BI57" s="24" t="n"/>
      <c r="BJ57" s="25" t="n"/>
      <c r="BK57" s="26" t="n">
        <v>-111</v>
      </c>
      <c r="BL57" s="27" t="n">
        <v>1.900901</v>
      </c>
      <c r="BM57" s="28" t="n">
        <v>0.526066</v>
      </c>
      <c r="BN57" s="28" t="n">
        <v>0.522388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</row>
    <row r="58" ht="36" customHeight="1">
      <c r="A58" s="24" t="inlineStr">
        <is>
          <t>f1019aa0671049ee</t>
        </is>
      </c>
      <c r="B58" s="24" t="inlineStr">
        <is>
          <t>2026-07-19T10:49:38.448695+00:00</t>
        </is>
      </c>
      <c r="C58" s="24" t="inlineStr">
        <is>
          <t>2026-07-18T14:00:00-0400</t>
        </is>
      </c>
      <c r="D58" s="24" t="inlineStr">
        <is>
          <t>SanF-Seat-2026-07-18</t>
        </is>
      </c>
      <c r="E58" s="24" t="inlineStr">
        <is>
          <t>MLB</t>
        </is>
      </c>
      <c r="F58" s="24" t="inlineStr">
        <is>
          <t>San Francisco Giants</t>
        </is>
      </c>
      <c r="G58" s="24" t="inlineStr">
        <is>
          <t>Seattle Mariners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</t>
        </is>
      </c>
      <c r="L58" s="26" t="n">
        <v>-138</v>
      </c>
      <c r="M58" s="27" t="n">
        <v>1.724638</v>
      </c>
      <c r="N58" s="28" t="n">
        <v>0.579832</v>
      </c>
      <c r="O58" s="28" t="n">
        <v>0.597575</v>
      </c>
      <c r="P58" s="28" t="n">
        <v>0.05</v>
      </c>
      <c r="Q58" s="28" t="n">
        <v>0.017743</v>
      </c>
      <c r="R58" s="26" t="n">
        <v>17</v>
      </c>
      <c r="S58" s="29" t="n">
        <v>1.5</v>
      </c>
      <c r="T58" s="24" t="inlineStr">
        <is>
          <t>mlb-elo-trend-lr-v4</t>
        </is>
      </c>
      <c r="U58" s="24" t="inlineStr">
        <is>
          <t>settled</t>
        </is>
      </c>
      <c r="V58" s="24" t="inlineStr">
        <is>
          <t>win</t>
        </is>
      </c>
      <c r="W58" s="26" t="n">
        <v>3</v>
      </c>
      <c r="X58" s="26" t="n">
        <v>4</v>
      </c>
      <c r="Y58" s="25" t="n"/>
      <c r="Z58" s="26" t="n"/>
      <c r="AA58" s="28" t="n"/>
      <c r="AB58" s="28" t="n"/>
      <c r="AC58" s="30" t="n">
        <v>1.087</v>
      </c>
      <c r="AD58" s="24" t="inlineStr">
        <is>
          <t>2026-07-19T12:18:56.427590+00:00</t>
        </is>
      </c>
      <c r="AE58" s="31" t="inlineStr">
        <is>
          <t>backtest</t>
        </is>
      </c>
      <c r="AF58" s="31" t="n"/>
      <c r="AG58" s="24" t="n"/>
      <c r="AH58" s="24" t="n"/>
      <c r="AI58" s="31" t="n"/>
      <c r="AJ58" s="31" t="n"/>
      <c r="AK58" s="24" t="n"/>
      <c r="AL58" s="26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inlineStr">
        <is>
          <t>5224fb6ffbc9ddf8fa517627b830ac851192da94d241963d556945393a42bb9d</t>
        </is>
      </c>
      <c r="BB58" s="24" t="n"/>
      <c r="BC58" s="24" t="inlineStr">
        <is>
          <t>mlb-elo-trend-lr-v4</t>
        </is>
      </c>
      <c r="BD58" s="24" t="inlineStr">
        <is>
          <t>5224fb6ffbc9ddf8fa517627b830ac851192da94d241963d556945393a42bb9d</t>
        </is>
      </c>
      <c r="BE58" s="24" t="n"/>
      <c r="BF58" s="24" t="n"/>
      <c r="BG58" s="24" t="n"/>
      <c r="BH58" s="24" t="inlineStr">
        <is>
          <t>2026-07-18T17:35:05.699206Z</t>
        </is>
      </c>
      <c r="BI58" s="24" t="n"/>
      <c r="BJ58" s="25" t="n"/>
      <c r="BK58" s="26" t="n">
        <v>-138</v>
      </c>
      <c r="BL58" s="27" t="n">
        <v>1.724638</v>
      </c>
      <c r="BM58" s="28" t="n">
        <v>0.579832</v>
      </c>
      <c r="BN58" s="28" t="n">
        <v>0.577114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</row>
    <row r="59" ht="36" customHeight="1">
      <c r="A59" s="24" t="inlineStr">
        <is>
          <t>7e8754f391d2475e</t>
        </is>
      </c>
      <c r="B59" s="24" t="inlineStr">
        <is>
          <t>2026-07-19T10:49:38.448695+00:00</t>
        </is>
      </c>
      <c r="C59" s="24" t="inlineStr">
        <is>
          <t>2026-07-18T14:00:00-0400</t>
        </is>
      </c>
      <c r="D59" s="24" t="inlineStr">
        <is>
          <t>Detr-LosA-2026-07-18</t>
        </is>
      </c>
      <c r="E59" s="24" t="inlineStr">
        <is>
          <t>MLB</t>
        </is>
      </c>
      <c r="F59" s="24" t="inlineStr">
        <is>
          <t>Detroit Tigers</t>
        </is>
      </c>
      <c r="G59" s="24" t="inlineStr">
        <is>
          <t>Los Angeles Angels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</t>
        </is>
      </c>
      <c r="L59" s="26" t="n">
        <v>-178</v>
      </c>
      <c r="M59" s="27" t="n">
        <v>1.561798</v>
      </c>
      <c r="N59" s="28" t="n">
        <v>0.640288</v>
      </c>
      <c r="O59" s="28" t="n">
        <v>0.550233</v>
      </c>
      <c r="P59" s="28" t="n">
        <v>0.05</v>
      </c>
      <c r="Q59" s="28" t="n">
        <v>-0.090055</v>
      </c>
      <c r="R59" s="26" t="n">
        <v>9</v>
      </c>
      <c r="S59" s="29" t="n">
        <v>1</v>
      </c>
      <c r="T59" s="24" t="inlineStr">
        <is>
          <t>mlb-elo-trend-lr-v4</t>
        </is>
      </c>
      <c r="U59" s="24" t="inlineStr">
        <is>
          <t>settled</t>
        </is>
      </c>
      <c r="V59" s="24" t="inlineStr">
        <is>
          <t>win</t>
        </is>
      </c>
      <c r="W59" s="26" t="n">
        <v>7</v>
      </c>
      <c r="X59" s="26" t="n">
        <v>0</v>
      </c>
      <c r="Y59" s="25" t="n"/>
      <c r="Z59" s="26" t="n"/>
      <c r="AA59" s="28" t="n"/>
      <c r="AB59" s="28" t="n"/>
      <c r="AC59" s="30" t="n">
        <v>0.5618</v>
      </c>
      <c r="AD59" s="24" t="inlineStr">
        <is>
          <t>2026-07-19T12:18:56.428327+00:00</t>
        </is>
      </c>
      <c r="AE59" s="31" t="inlineStr">
        <is>
          <t>backtest</t>
        </is>
      </c>
      <c r="AF59" s="31" t="n"/>
      <c r="AG59" s="24" t="n"/>
      <c r="AH59" s="24" t="n"/>
      <c r="AI59" s="31" t="n"/>
      <c r="AJ59" s="31" t="n"/>
      <c r="AK59" s="24" t="n"/>
      <c r="AL59" s="26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inlineStr">
        <is>
          <t>5224fb6ffbc9ddf8fa517627b830ac851192da94d241963d556945393a42bb9d</t>
        </is>
      </c>
      <c r="BB59" s="24" t="n"/>
      <c r="BC59" s="24" t="inlineStr">
        <is>
          <t>mlb-elo-trend-lr-v4</t>
        </is>
      </c>
      <c r="BD59" s="24" t="inlineStr">
        <is>
          <t>5224fb6ffbc9ddf8fa517627b830ac851192da94d241963d556945393a42bb9d</t>
        </is>
      </c>
      <c r="BE59" s="24" t="n"/>
      <c r="BF59" s="24" t="n"/>
      <c r="BG59" s="24" t="n"/>
      <c r="BH59" s="24" t="inlineStr">
        <is>
          <t>2026-07-18T17:33:26.013189Z</t>
        </is>
      </c>
      <c r="BI59" s="24" t="n"/>
      <c r="BJ59" s="25" t="n"/>
      <c r="BK59" s="26" t="n">
        <v>-178</v>
      </c>
      <c r="BL59" s="27" t="n">
        <v>1.561798</v>
      </c>
      <c r="BM59" s="28" t="n">
        <v>0.640288</v>
      </c>
      <c r="BN59" s="28" t="n">
        <v>0.636816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</row>
    <row r="60" ht="36" customHeight="1">
      <c r="A60" s="24" t="inlineStr">
        <is>
          <t>5c32fca0897f4465</t>
        </is>
      </c>
      <c r="B60" s="24" t="inlineStr">
        <is>
          <t>2026-07-19T10:49:38.448695+00:00</t>
        </is>
      </c>
      <c r="C60" s="24" t="inlineStr">
        <is>
          <t>2026-07-18T14:00:00-0400</t>
        </is>
      </c>
      <c r="D60" s="24" t="inlineStr">
        <is>
          <t>Port-Minn-2026-07-18</t>
        </is>
      </c>
      <c r="E60" s="24" t="inlineStr">
        <is>
          <t>WNBA</t>
        </is>
      </c>
      <c r="F60" s="24" t="inlineStr">
        <is>
          <t>Portland Fire</t>
        </is>
      </c>
      <c r="G60" s="24" t="inlineStr">
        <is>
          <t>Minnesota Lynx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</t>
        </is>
      </c>
      <c r="L60" s="26" t="n">
        <v>-669</v>
      </c>
      <c r="M60" s="27" t="n">
        <v>1.149477</v>
      </c>
      <c r="N60" s="28" t="n">
        <v>0.869961</v>
      </c>
      <c r="O60" s="28" t="n">
        <v>0.741703</v>
      </c>
      <c r="P60" s="28" t="n">
        <v>0.05</v>
      </c>
      <c r="Q60" s="28" t="n">
        <v>-0.128258</v>
      </c>
      <c r="R60" s="26" t="n"/>
      <c r="S60" s="29" t="n">
        <v>2</v>
      </c>
      <c r="T60" s="24" t="inlineStr">
        <is>
          <t>wnba-elo-trend-lr-v3</t>
        </is>
      </c>
      <c r="U60" s="24" t="inlineStr">
        <is>
          <t>settled</t>
        </is>
      </c>
      <c r="V60" s="24" t="inlineStr">
        <is>
          <t>win</t>
        </is>
      </c>
      <c r="W60" s="26" t="n">
        <v>93</v>
      </c>
      <c r="X60" s="26" t="n">
        <v>101</v>
      </c>
      <c r="Y60" s="25" t="n"/>
      <c r="Z60" s="26" t="n"/>
      <c r="AA60" s="28" t="n"/>
      <c r="AB60" s="28" t="n"/>
      <c r="AC60" s="30" t="n">
        <v>0.299</v>
      </c>
      <c r="AD60" s="24" t="inlineStr">
        <is>
          <t>2026-07-19T12:18:56.428398+00:00</t>
        </is>
      </c>
      <c r="AE60" s="31" t="inlineStr">
        <is>
          <t>backtest</t>
        </is>
      </c>
      <c r="AF60" s="31" t="n"/>
      <c r="AG60" s="24" t="n"/>
      <c r="AH60" s="24" t="n"/>
      <c r="AI60" s="31" t="n"/>
      <c r="AJ60" s="31" t="n"/>
      <c r="AK60" s="24" t="n"/>
      <c r="AL60" s="26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inlineStr">
        <is>
          <t>2026-07-18T17:33:30.250960Z</t>
        </is>
      </c>
      <c r="BI60" s="24" t="n"/>
      <c r="BJ60" s="25" t="n"/>
      <c r="BK60" s="26" t="n">
        <v>-669</v>
      </c>
      <c r="BL60" s="27" t="n">
        <v>1.149477</v>
      </c>
      <c r="BM60" s="28" t="n">
        <v>0.869961</v>
      </c>
      <c r="BN60" s="28" t="n">
        <v>0.861386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</row>
    <row r="61" ht="36" customHeight="1">
      <c r="A61" s="24" t="inlineStr">
        <is>
          <t>413a2bc86aab48de</t>
        </is>
      </c>
      <c r="B61" s="24" t="inlineStr">
        <is>
          <t>2026-07-19T10:49:38.448695+00:00</t>
        </is>
      </c>
      <c r="C61" s="24" t="inlineStr">
        <is>
          <t>2026-07-18T14:00:00-0400</t>
        </is>
      </c>
      <c r="D61" s="24" t="inlineStr">
        <is>
          <t>Wash-Gold-2026-07-18</t>
        </is>
      </c>
      <c r="E61" s="24" t="inlineStr">
        <is>
          <t>WNBA</t>
        </is>
      </c>
      <c r="F61" s="24" t="inlineStr">
        <is>
          <t>Washington Mystics</t>
        </is>
      </c>
      <c r="G61" s="24" t="inlineStr">
        <is>
          <t>Golden State Valkyries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</t>
        </is>
      </c>
      <c r="L61" s="26" t="n">
        <v>-355</v>
      </c>
      <c r="M61" s="27" t="n">
        <v>1.28169</v>
      </c>
      <c r="N61" s="28" t="n">
        <v>0.78022</v>
      </c>
      <c r="O61" s="28" t="n">
        <v>0.743891</v>
      </c>
      <c r="P61" s="28" t="n">
        <v>0.05</v>
      </c>
      <c r="Q61" s="28" t="n">
        <v>-0.036329</v>
      </c>
      <c r="R61" s="26" t="n"/>
      <c r="S61" s="29" t="n">
        <v>2</v>
      </c>
      <c r="T61" s="24" t="inlineStr">
        <is>
          <t>wnba-elo-trend-lr-v3</t>
        </is>
      </c>
      <c r="U61" s="24" t="inlineStr">
        <is>
          <t>settled</t>
        </is>
      </c>
      <c r="V61" s="24" t="inlineStr">
        <is>
          <t>win</t>
        </is>
      </c>
      <c r="W61" s="26" t="n">
        <v>69</v>
      </c>
      <c r="X61" s="26" t="n">
        <v>74</v>
      </c>
      <c r="Y61" s="25" t="n"/>
      <c r="Z61" s="26" t="n"/>
      <c r="AA61" s="28" t="n"/>
      <c r="AB61" s="28" t="n"/>
      <c r="AC61" s="30" t="n">
        <v>0.5634</v>
      </c>
      <c r="AD61" s="24" t="inlineStr">
        <is>
          <t>2026-07-19T12:18:56.428540+00:00</t>
        </is>
      </c>
      <c r="AE61" s="31" t="inlineStr">
        <is>
          <t>backtest</t>
        </is>
      </c>
      <c r="AF61" s="31" t="n"/>
      <c r="AG61" s="24" t="n"/>
      <c r="AH61" s="24" t="n"/>
      <c r="AI61" s="31" t="n"/>
      <c r="AJ61" s="31" t="n"/>
      <c r="AK61" s="24" t="n"/>
      <c r="AL61" s="26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inlineStr">
        <is>
          <t>2026-07-18T17:33:31.640957Z</t>
        </is>
      </c>
      <c r="BI61" s="24" t="n"/>
      <c r="BJ61" s="25" t="n"/>
      <c r="BK61" s="26" t="n">
        <v>-355</v>
      </c>
      <c r="BL61" s="27" t="n">
        <v>1.28169</v>
      </c>
      <c r="BM61" s="28" t="n">
        <v>0.78022</v>
      </c>
      <c r="BN61" s="28" t="n">
        <v>0.772277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</row>
    <row r="62" ht="36" customHeight="1">
      <c r="A62" s="24" t="inlineStr">
        <is>
          <t>6decd852a8dd4c0b</t>
        </is>
      </c>
      <c r="B62" s="24" t="inlineStr">
        <is>
          <t>2026-07-20T16:51:22.921041Z</t>
        </is>
      </c>
      <c r="C62" s="24" t="inlineStr">
        <is>
          <t>2026-07-20T18:40:00-0400</t>
        </is>
      </c>
      <c r="D62" s="24" t="inlineStr">
        <is>
          <t>401816188</t>
        </is>
      </c>
      <c r="E62" s="24" t="inlineStr">
        <is>
          <t>MLB</t>
        </is>
      </c>
      <c r="F62" s="24" t="inlineStr">
        <is>
          <t>Minnesota Twins</t>
        </is>
      </c>
      <c r="G62" s="24" t="inlineStr">
        <is>
          <t>Cleveland Guardians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115</v>
      </c>
      <c r="M62" s="27" t="n">
        <v>2.15</v>
      </c>
      <c r="N62" s="28" t="n">
        <v>0.465116</v>
      </c>
      <c r="O62" s="28" t="n">
        <v>0.5726869999999999</v>
      </c>
      <c r="P62" s="28" t="n"/>
      <c r="Q62" s="28" t="n">
        <v>0.107571</v>
      </c>
      <c r="R62" s="26" t="n">
        <v>100</v>
      </c>
      <c r="S62" s="29" t="n">
        <v>1.25</v>
      </c>
      <c r="T62" s="24" t="inlineStr">
        <is>
          <t>mlb-elo-trend-lr-v4</t>
        </is>
      </c>
      <c r="U62" s="24" t="inlineStr">
        <is>
          <t>settled</t>
        </is>
      </c>
      <c r="V62" s="24" t="inlineStr">
        <is>
          <t>win</t>
        </is>
      </c>
      <c r="W62" s="26" t="n">
        <v>4</v>
      </c>
      <c r="X62" s="26" t="n">
        <v>13</v>
      </c>
      <c r="Y62" s="25" t="n"/>
      <c r="Z62" s="26" t="n"/>
      <c r="AA62" s="28" t="n"/>
      <c r="AB62" s="28" t="n"/>
      <c r="AC62" s="30" t="n">
        <v>1.4375</v>
      </c>
      <c r="AD62" s="24" t="inlineStr">
        <is>
          <t>2026-07-21T03:22:56.453059Z</t>
        </is>
      </c>
      <c r="AE62" s="31" t="inlineStr">
        <is>
          <t>Learned LR call at threshold 0.5500; executable ask 0.4650 (aec-mlb-min-cle-2026-07-20).</t>
        </is>
      </c>
      <c r="AF62" s="31" t="inlineStr">
        <is>
          <t>Learned model; promotion gate not yet open; zero-unit research until review.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NO_CALL_LARGE_DISAGREEMENT_REVIEW</t>
        </is>
      </c>
      <c r="AP62" s="24" t="inlineStr">
        <is>
          <t>mlb-min</t>
        </is>
      </c>
      <c r="AQ62" s="24" t="inlineStr">
        <is>
          <t>Minnesota Twins</t>
        </is>
      </c>
      <c r="AR62" s="24" t="inlineStr">
        <is>
          <t>Minnesota Twins</t>
        </is>
      </c>
      <c r="AS62" s="24" t="inlineStr">
        <is>
          <t>mlb-cle</t>
        </is>
      </c>
      <c r="AT62" s="24" t="inlineStr">
        <is>
          <t>Cleveland Guardians</t>
        </is>
      </c>
      <c r="AU62" s="24" t="inlineStr">
        <is>
          <t>Cleveland Guardians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5224fb6ffbc9ddf8fa517627b830ac851192da94d241963d556945393a42bb9d</t>
        </is>
      </c>
      <c r="BB62" s="24" t="inlineStr">
        <is>
          <t>learned_lr</t>
        </is>
      </c>
      <c r="BC62" s="24" t="inlineStr">
        <is>
          <t>mlb-elo-trend-lr-v4</t>
        </is>
      </c>
      <c r="BD62" s="24" t="inlineStr">
        <is>
          <t>5224fb6ffbc9ddf8fa517627b830ac851192da94d241963d556945393a42bb9d</t>
        </is>
      </c>
      <c r="BE62" s="24" t="inlineStr">
        <is>
          <t>2170ac399ced5417</t>
        </is>
      </c>
      <c r="BF62" s="24" t="inlineStr">
        <is>
          <t>1</t>
        </is>
      </c>
      <c r="BG62" s="24" t="inlineStr">
        <is>
          <t>mlb-elo-trend-lr-v4</t>
        </is>
      </c>
      <c r="BH62" s="24" t="inlineStr">
        <is>
          <t>2026-07-20T16:49:43.428041Z</t>
        </is>
      </c>
      <c r="BI62" s="24" t="inlineStr">
        <is>
          <t>["same_event","same_team_same_day","same_league_same_day"]</t>
        </is>
      </c>
      <c r="BJ62" s="25" t="n"/>
      <c r="BK62" s="26" t="n">
        <v>115</v>
      </c>
      <c r="BL62" s="27" t="n">
        <v>2.15</v>
      </c>
      <c r="BM62" s="28" t="n">
        <v>0.465116</v>
      </c>
      <c r="BN62" s="28" t="n">
        <v>0.462687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</row>
    <row r="63" ht="36" customHeight="1">
      <c r="A63" s="24" t="inlineStr">
        <is>
          <t>861a5e055b304313</t>
        </is>
      </c>
      <c r="B63" s="24" t="inlineStr">
        <is>
          <t>2026-07-20T16:51:22.921041Z</t>
        </is>
      </c>
      <c r="C63" s="24" t="inlineStr">
        <is>
          <t>2026-07-20T19:00:00-0400</t>
        </is>
      </c>
      <c r="D63" s="24" t="inlineStr">
        <is>
          <t>401816187</t>
        </is>
      </c>
      <c r="E63" s="24" t="inlineStr">
        <is>
          <t>MLB</t>
        </is>
      </c>
      <c r="F63" s="24" t="inlineStr">
        <is>
          <t>Los Angeles Dodgers</t>
        </is>
      </c>
      <c r="G63" s="24" t="inlineStr">
        <is>
          <t>Philadelphia Phillies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125</v>
      </c>
      <c r="M63" s="27" t="n">
        <v>2.25</v>
      </c>
      <c r="N63" s="28" t="n">
        <v>0.444444</v>
      </c>
      <c r="O63" s="28" t="n">
        <v>0.513332</v>
      </c>
      <c r="P63" s="28" t="n"/>
      <c r="Q63" s="28" t="n">
        <v>0.068888</v>
      </c>
      <c r="R63" s="26" t="n">
        <v>54</v>
      </c>
      <c r="S63" s="29" t="n">
        <v>0.75</v>
      </c>
      <c r="T63" s="24" t="inlineStr">
        <is>
          <t>mlb-elo-trend-lr-v4</t>
        </is>
      </c>
      <c r="U63" s="24" t="inlineStr">
        <is>
          <t>settled</t>
        </is>
      </c>
      <c r="V63" s="24" t="inlineStr">
        <is>
          <t>loss</t>
        </is>
      </c>
      <c r="W63" s="26" t="n">
        <v>7</v>
      </c>
      <c r="X63" s="26" t="n">
        <v>10</v>
      </c>
      <c r="Y63" s="25" t="n"/>
      <c r="Z63" s="26" t="n"/>
      <c r="AA63" s="28" t="n"/>
      <c r="AB63" s="28" t="n"/>
      <c r="AC63" s="30" t="n">
        <v>-0.75</v>
      </c>
      <c r="AD63" s="24" t="inlineStr">
        <is>
          <t>2026-07-21T03:22:56.976964Z</t>
        </is>
      </c>
      <c r="AE63" s="31" t="inlineStr">
        <is>
          <t>Learned LR call at threshold 0.5500; executable ask 0.4450 (aec-mlb-lad-phi-2026-07-20).</t>
        </is>
      </c>
      <c r="AF63" s="31" t="inlineStr">
        <is>
          <t>Learned model; promotion gate not yet open; zero-unit research until review.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NO_CALL_LOW_EDGE</t>
        </is>
      </c>
      <c r="AP63" s="24" t="inlineStr">
        <is>
          <t>mlb-lad</t>
        </is>
      </c>
      <c r="AQ63" s="24" t="inlineStr">
        <is>
          <t>Los Angeles Dodgers</t>
        </is>
      </c>
      <c r="AR63" s="24" t="inlineStr">
        <is>
          <t>Los Angeles Dodgers</t>
        </is>
      </c>
      <c r="AS63" s="24" t="inlineStr">
        <is>
          <t>mlb-phi</t>
        </is>
      </c>
      <c r="AT63" s="24" t="inlineStr">
        <is>
          <t>Philadelphia Phillies</t>
        </is>
      </c>
      <c r="AU63" s="24" t="inlineStr">
        <is>
          <t>Philadelphia Phillies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5224fb6ffbc9ddf8fa517627b830ac851192da94d241963d556945393a42bb9d</t>
        </is>
      </c>
      <c r="BB63" s="24" t="inlineStr">
        <is>
          <t>learned_lr</t>
        </is>
      </c>
      <c r="BC63" s="24" t="inlineStr">
        <is>
          <t>mlb-elo-trend-lr-v4</t>
        </is>
      </c>
      <c r="BD63" s="24" t="inlineStr">
        <is>
          <t>5224fb6ffbc9ddf8fa517627b830ac851192da94d241963d556945393a42bb9d</t>
        </is>
      </c>
      <c r="BE63" s="24" t="inlineStr">
        <is>
          <t>bac520e15b938e92</t>
        </is>
      </c>
      <c r="BF63" s="24" t="inlineStr">
        <is>
          <t>1</t>
        </is>
      </c>
      <c r="BG63" s="24" t="inlineStr">
        <is>
          <t>mlb-elo-trend-lr-v4</t>
        </is>
      </c>
      <c r="BH63" s="24" t="inlineStr">
        <is>
          <t>2026-07-20T16:49:49.060953Z</t>
        </is>
      </c>
      <c r="BI63" s="24" t="inlineStr">
        <is>
          <t>["same_event","same_team_same_day","same_league_same_day"]</t>
        </is>
      </c>
      <c r="BJ63" s="25" t="n"/>
      <c r="BK63" s="26" t="n">
        <v>125</v>
      </c>
      <c r="BL63" s="27" t="n">
        <v>2.25</v>
      </c>
      <c r="BM63" s="28" t="n">
        <v>0.444444</v>
      </c>
      <c r="BN63" s="28" t="n">
        <v>0.442786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</row>
    <row r="64" ht="36" customHeight="1">
      <c r="A64" s="24" t="inlineStr">
        <is>
          <t>ece2750201f94d16</t>
        </is>
      </c>
      <c r="B64" s="24" t="inlineStr">
        <is>
          <t>2026-07-20T16:51:22.921041Z</t>
        </is>
      </c>
      <c r="C64" s="24" t="inlineStr">
        <is>
          <t>2026-07-20T19:05:00-0400</t>
        </is>
      </c>
      <c r="D64" s="24" t="inlineStr">
        <is>
          <t>401816189</t>
        </is>
      </c>
      <c r="E64" s="24" t="inlineStr">
        <is>
          <t>MLB</t>
        </is>
      </c>
      <c r="F64" s="24" t="inlineStr">
        <is>
          <t>Pittsburgh Pirates</t>
        </is>
      </c>
      <c r="G64" s="24" t="inlineStr">
        <is>
          <t>New York Yankees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-108</v>
      </c>
      <c r="M64" s="27" t="n">
        <v>1.925926</v>
      </c>
      <c r="N64" s="28" t="n">
        <v>0.519231</v>
      </c>
      <c r="O64" s="28" t="n">
        <v>0.578558</v>
      </c>
      <c r="P64" s="28" t="n"/>
      <c r="Q64" s="28" t="n">
        <v>0.059327</v>
      </c>
      <c r="R64" s="26" t="n">
        <v>50</v>
      </c>
      <c r="S64" s="29" t="n">
        <v>1.25</v>
      </c>
      <c r="T64" s="24" t="inlineStr">
        <is>
          <t>mlb-elo-trend-lr-v4</t>
        </is>
      </c>
      <c r="U64" s="24" t="inlineStr">
        <is>
          <t>settled</t>
        </is>
      </c>
      <c r="V64" s="24" t="inlineStr">
        <is>
          <t>win</t>
        </is>
      </c>
      <c r="W64" s="26" t="n">
        <v>5</v>
      </c>
      <c r="X64" s="26" t="n">
        <v>8</v>
      </c>
      <c r="Y64" s="25" t="n"/>
      <c r="Z64" s="26" t="n"/>
      <c r="AA64" s="28" t="n"/>
      <c r="AB64" s="28" t="n"/>
      <c r="AC64" s="30" t="n">
        <v>1.1574</v>
      </c>
      <c r="AD64" s="24" t="inlineStr">
        <is>
          <t>2026-07-21T03:22:57.501856Z</t>
        </is>
      </c>
      <c r="AE64" s="31" t="inlineStr">
        <is>
          <t>Learned LR call at threshold 0.5500; executable ask 0.5200 (aec-mlb-pit-nyy-2026-07-20).</t>
        </is>
      </c>
      <c r="AF64" s="31" t="inlineStr">
        <is>
          <t>Learned model; promotion gate not yet open; zero-unit research until review.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NO_CALL_LOW_EDGE</t>
        </is>
      </c>
      <c r="AP64" s="24" t="inlineStr">
        <is>
          <t>mlb-pit</t>
        </is>
      </c>
      <c r="AQ64" s="24" t="inlineStr">
        <is>
          <t>Pittsburgh Pirates</t>
        </is>
      </c>
      <c r="AR64" s="24" t="inlineStr">
        <is>
          <t>Pittsburgh Pirates</t>
        </is>
      </c>
      <c r="AS64" s="24" t="inlineStr">
        <is>
          <t>mlb-nyy</t>
        </is>
      </c>
      <c r="AT64" s="24" t="inlineStr">
        <is>
          <t>New York Yankees</t>
        </is>
      </c>
      <c r="AU64" s="24" t="inlineStr">
        <is>
          <t>New York Yankees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5224fb6ffbc9ddf8fa517627b830ac851192da94d241963d556945393a42bb9d</t>
        </is>
      </c>
      <c r="BB64" s="24" t="inlineStr">
        <is>
          <t>learned_lr</t>
        </is>
      </c>
      <c r="BC64" s="24" t="inlineStr">
        <is>
          <t>mlb-elo-trend-lr-v4</t>
        </is>
      </c>
      <c r="BD64" s="24" t="inlineStr">
        <is>
          <t>5224fb6ffbc9ddf8fa517627b830ac851192da94d241963d556945393a42bb9d</t>
        </is>
      </c>
      <c r="BE64" s="24" t="inlineStr">
        <is>
          <t>38ab7db5a3798f0c</t>
        </is>
      </c>
      <c r="BF64" s="24" t="inlineStr">
        <is>
          <t>1</t>
        </is>
      </c>
      <c r="BG64" s="24" t="inlineStr">
        <is>
          <t>mlb-elo-trend-lr-v4</t>
        </is>
      </c>
      <c r="BH64" s="24" t="inlineStr">
        <is>
          <t>2026-07-20T16:49:45.032018Z</t>
        </is>
      </c>
      <c r="BI64" s="24" t="inlineStr">
        <is>
          <t>["same_event","same_team_same_day","same_league_same_day"]</t>
        </is>
      </c>
      <c r="BJ64" s="25" t="n"/>
      <c r="BK64" s="26" t="n">
        <v>-108</v>
      </c>
      <c r="BL64" s="27" t="n">
        <v>1.925926</v>
      </c>
      <c r="BM64" s="28" t="n">
        <v>0.519231</v>
      </c>
      <c r="BN64" s="28" t="n">
        <v>0.517413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</row>
    <row r="65" ht="36" customHeight="1">
      <c r="A65" s="24" t="inlineStr">
        <is>
          <t>cb75d7c2e48146fd</t>
        </is>
      </c>
      <c r="B65" s="24" t="inlineStr">
        <is>
          <t>2026-07-20T16:51:22.921041Z</t>
        </is>
      </c>
      <c r="C65" s="24" t="inlineStr">
        <is>
          <t>2026-07-20T19:07:00-0400</t>
        </is>
      </c>
      <c r="D65" s="24" t="inlineStr">
        <is>
          <t>401816191</t>
        </is>
      </c>
      <c r="E65" s="24" t="inlineStr">
        <is>
          <t>MLB</t>
        </is>
      </c>
      <c r="F65" s="24" t="inlineStr">
        <is>
          <t>Tampa Bay Rays</t>
        </is>
      </c>
      <c r="G65" s="24" t="inlineStr">
        <is>
          <t>Toronto Blue Jays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-147</v>
      </c>
      <c r="M65" s="27" t="n">
        <v>1.680272</v>
      </c>
      <c r="N65" s="28" t="n">
        <v>0.5951419999999999</v>
      </c>
      <c r="O65" s="28" t="n">
        <v>0.530206</v>
      </c>
      <c r="P65" s="28" t="n"/>
      <c r="Q65" s="28" t="n">
        <v>-0.06493599999999999</v>
      </c>
      <c r="R65" s="26" t="n">
        <v>0</v>
      </c>
      <c r="S65" s="29" t="n">
        <v>0.75</v>
      </c>
      <c r="T65" s="24" t="inlineStr">
        <is>
          <t>mlb-elo-trend-lr-v4</t>
        </is>
      </c>
      <c r="U65" s="24" t="inlineStr">
        <is>
          <t>settled</t>
        </is>
      </c>
      <c r="V65" s="24" t="inlineStr">
        <is>
          <t>loss</t>
        </is>
      </c>
      <c r="W65" s="26" t="n">
        <v>7</v>
      </c>
      <c r="X65" s="26" t="n">
        <v>1</v>
      </c>
      <c r="Y65" s="25" t="n"/>
      <c r="Z65" s="26" t="n"/>
      <c r="AA65" s="28" t="n"/>
      <c r="AB65" s="28" t="n"/>
      <c r="AC65" s="30" t="n">
        <v>-0.75</v>
      </c>
      <c r="AD65" s="24" t="inlineStr">
        <is>
          <t>2026-07-21T03:22:58.024771Z</t>
        </is>
      </c>
      <c r="AE65" s="31" t="inlineStr">
        <is>
          <t>Learned LR call at threshold 0.5500; executable ask 0.5950 (aec-mlb-tb-tor-2026-07-20).</t>
        </is>
      </c>
      <c r="AF65" s="31" t="inlineStr">
        <is>
          <t>Learned model; promotion gate not yet open; zero-unit research until review.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mlb-tb</t>
        </is>
      </c>
      <c r="AQ65" s="24" t="inlineStr">
        <is>
          <t>Tampa Bay Rays</t>
        </is>
      </c>
      <c r="AR65" s="24" t="inlineStr">
        <is>
          <t>Tampa Bay Rays</t>
        </is>
      </c>
      <c r="AS65" s="24" t="inlineStr">
        <is>
          <t>mlb-tor</t>
        </is>
      </c>
      <c r="AT65" s="24" t="inlineStr">
        <is>
          <t>Toronto Blue Jays</t>
        </is>
      </c>
      <c r="AU65" s="24" t="inlineStr">
        <is>
          <t>Toronto Blue Jays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5224fb6ffbc9ddf8fa517627b830ac851192da94d241963d556945393a42bb9d</t>
        </is>
      </c>
      <c r="BB65" s="24" t="inlineStr">
        <is>
          <t>learned_lr</t>
        </is>
      </c>
      <c r="BC65" s="24" t="inlineStr">
        <is>
          <t>mlb-elo-trend-lr-v4</t>
        </is>
      </c>
      <c r="BD65" s="24" t="inlineStr">
        <is>
          <t>5224fb6ffbc9ddf8fa517627b830ac851192da94d241963d556945393a42bb9d</t>
        </is>
      </c>
      <c r="BE65" s="24" t="inlineStr">
        <is>
          <t>78559912fe10ab9f</t>
        </is>
      </c>
      <c r="BF65" s="24" t="inlineStr">
        <is>
          <t>1</t>
        </is>
      </c>
      <c r="BG65" s="24" t="inlineStr">
        <is>
          <t>mlb-elo-trend-lr-v4</t>
        </is>
      </c>
      <c r="BH65" s="24" t="inlineStr">
        <is>
          <t>2026-07-20T16:49:46.297746Z</t>
        </is>
      </c>
      <c r="BI65" s="24" t="inlineStr">
        <is>
          <t>["same_event","same_team_same_day","same_league_same_day"]</t>
        </is>
      </c>
      <c r="BJ65" s="25" t="n"/>
      <c r="BK65" s="26" t="n">
        <v>-147</v>
      </c>
      <c r="BL65" s="27" t="n">
        <v>1.680272</v>
      </c>
      <c r="BM65" s="28" t="n">
        <v>0.5951419999999999</v>
      </c>
      <c r="BN65" s="28" t="n">
        <v>0.59204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</row>
    <row r="66" ht="36" customHeight="1">
      <c r="A66" s="24" t="inlineStr">
        <is>
          <t>4e0b58352844406f</t>
        </is>
      </c>
      <c r="B66" s="24" t="inlineStr">
        <is>
          <t>2026-07-20T16:51:22.921041Z</t>
        </is>
      </c>
      <c r="C66" s="24" t="inlineStr">
        <is>
          <t>2026-07-20T19:10:00-0400</t>
        </is>
      </c>
      <c r="D66" s="24" t="inlineStr">
        <is>
          <t>401816186</t>
        </is>
      </c>
      <c r="E66" s="24" t="inlineStr">
        <is>
          <t>MLB</t>
        </is>
      </c>
      <c r="F66" s="24" t="inlineStr">
        <is>
          <t>Baltimore Orioles</t>
        </is>
      </c>
      <c r="G66" s="24" t="inlineStr">
        <is>
          <t>Boston Red Sox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-144</v>
      </c>
      <c r="M66" s="27" t="n">
        <v>1.694444</v>
      </c>
      <c r="N66" s="28" t="n">
        <v>0.590164</v>
      </c>
      <c r="O66" s="28" t="n">
        <v>0.565797</v>
      </c>
      <c r="P66" s="28" t="n"/>
      <c r="Q66" s="28" t="n">
        <v>-0.024367</v>
      </c>
      <c r="R66" s="26" t="n">
        <v>8</v>
      </c>
      <c r="S66" s="29" t="n">
        <v>1.25</v>
      </c>
      <c r="T66" s="24" t="inlineStr">
        <is>
          <t>mlb-elo-trend-lr-v4</t>
        </is>
      </c>
      <c r="U66" s="24" t="inlineStr">
        <is>
          <t>settled</t>
        </is>
      </c>
      <c r="V66" s="24" t="inlineStr">
        <is>
          <t>win</t>
        </is>
      </c>
      <c r="W66" s="26" t="n">
        <v>5</v>
      </c>
      <c r="X66" s="26" t="n">
        <v>6</v>
      </c>
      <c r="Y66" s="25" t="n"/>
      <c r="Z66" s="26" t="n"/>
      <c r="AA66" s="28" t="n"/>
      <c r="AB66" s="28" t="n"/>
      <c r="AC66" s="30" t="n">
        <v>0.8681</v>
      </c>
      <c r="AD66" s="24" t="inlineStr">
        <is>
          <t>2026-07-21T03:22:58.604560Z</t>
        </is>
      </c>
      <c r="AE66" s="31" t="inlineStr">
        <is>
          <t>Learned LR call at threshold 0.5500; executable ask 0.5900 (aec-mlb-bal-bos-2026-07-20).</t>
        </is>
      </c>
      <c r="AF66" s="31" t="inlineStr">
        <is>
          <t>Learned model; promotion gate not yet open; zero-unit research until review.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NO_CALL_LOW_EDGE</t>
        </is>
      </c>
      <c r="AP66" s="24" t="inlineStr">
        <is>
          <t>mlb-bal</t>
        </is>
      </c>
      <c r="AQ66" s="24" t="inlineStr">
        <is>
          <t>Baltimore Orioles</t>
        </is>
      </c>
      <c r="AR66" s="24" t="inlineStr">
        <is>
          <t>Baltimore Orioles</t>
        </is>
      </c>
      <c r="AS66" s="24" t="inlineStr">
        <is>
          <t>mlb-bos</t>
        </is>
      </c>
      <c r="AT66" s="24" t="inlineStr">
        <is>
          <t>Boston Red Sox</t>
        </is>
      </c>
      <c r="AU66" s="24" t="inlineStr">
        <is>
          <t>Boston Red Sox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5224fb6ffbc9ddf8fa517627b830ac851192da94d241963d556945393a42bb9d</t>
        </is>
      </c>
      <c r="BB66" s="24" t="inlineStr">
        <is>
          <t>learned_lr</t>
        </is>
      </c>
      <c r="BC66" s="24" t="inlineStr">
        <is>
          <t>mlb-elo-trend-lr-v4</t>
        </is>
      </c>
      <c r="BD66" s="24" t="inlineStr">
        <is>
          <t>5224fb6ffbc9ddf8fa517627b830ac851192da94d241963d556945393a42bb9d</t>
        </is>
      </c>
      <c r="BE66" s="24" t="inlineStr">
        <is>
          <t>9fe2d27778a72dfe</t>
        </is>
      </c>
      <c r="BF66" s="24" t="inlineStr">
        <is>
          <t>1</t>
        </is>
      </c>
      <c r="BG66" s="24" t="inlineStr">
        <is>
          <t>mlb-elo-trend-lr-v4</t>
        </is>
      </c>
      <c r="BH66" s="24" t="inlineStr">
        <is>
          <t>2026-07-20T16:49:47.890533Z</t>
        </is>
      </c>
      <c r="BI66" s="24" t="inlineStr">
        <is>
          <t>["same_event","same_team_same_day","same_league_same_day"]</t>
        </is>
      </c>
      <c r="BJ66" s="25" t="n"/>
      <c r="BK66" s="26" t="n">
        <v>-144</v>
      </c>
      <c r="BL66" s="27" t="n">
        <v>1.694444</v>
      </c>
      <c r="BM66" s="28" t="n">
        <v>0.590164</v>
      </c>
      <c r="BN66" s="28" t="n">
        <v>0.5870649999999999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</row>
    <row r="67" ht="36" customHeight="1">
      <c r="A67" s="24" t="inlineStr">
        <is>
          <t>7d9b0c728f2a41c2</t>
        </is>
      </c>
      <c r="B67" s="24" t="inlineStr">
        <is>
          <t>2026-07-20T16:51:22.921041Z</t>
        </is>
      </c>
      <c r="C67" s="24" t="inlineStr">
        <is>
          <t>2026-07-20T19:15:00-0400</t>
        </is>
      </c>
      <c r="D67" s="24" t="inlineStr">
        <is>
          <t>401816190</t>
        </is>
      </c>
      <c r="E67" s="24" t="inlineStr">
        <is>
          <t>MLB</t>
        </is>
      </c>
      <c r="F67" s="24" t="inlineStr">
        <is>
          <t>San Diego Padres</t>
        </is>
      </c>
      <c r="G67" s="24" t="inlineStr">
        <is>
          <t>Atlanta Braves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-127</v>
      </c>
      <c r="M67" s="27" t="n">
        <v>1.787402</v>
      </c>
      <c r="N67" s="28" t="n">
        <v>0.5594710000000001</v>
      </c>
      <c r="O67" s="28" t="n">
        <v>0.550915</v>
      </c>
      <c r="P67" s="28" t="n"/>
      <c r="Q67" s="28" t="n">
        <v>-0.008555999999999999</v>
      </c>
      <c r="R67" s="26" t="n">
        <v>16</v>
      </c>
      <c r="S67" s="29" t="n">
        <v>1</v>
      </c>
      <c r="T67" s="24" t="inlineStr">
        <is>
          <t>mlb-elo-trend-lr-v4</t>
        </is>
      </c>
      <c r="U67" s="24" t="inlineStr">
        <is>
          <t>settled</t>
        </is>
      </c>
      <c r="V67" s="24" t="inlineStr">
        <is>
          <t>win</t>
        </is>
      </c>
      <c r="W67" s="26" t="n">
        <v>2</v>
      </c>
      <c r="X67" s="26" t="n">
        <v>3</v>
      </c>
      <c r="Y67" s="25" t="n"/>
      <c r="Z67" s="26" t="n"/>
      <c r="AA67" s="28" t="n"/>
      <c r="AB67" s="28" t="n"/>
      <c r="AC67" s="30" t="n">
        <v>0.7874</v>
      </c>
      <c r="AD67" s="24" t="inlineStr">
        <is>
          <t>2026-07-21T03:22:59.127193Z</t>
        </is>
      </c>
      <c r="AE67" s="31" t="inlineStr">
        <is>
          <t>Learned LR call at threshold 0.5500; executable ask 0.5600 (aec-mlb-sd-atl-2026-07-20).</t>
        </is>
      </c>
      <c r="AF67" s="31" t="inlineStr">
        <is>
          <t>Learned model; promotion gate not yet open; zero-unit research until review.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NO_CALL_LOW_EDGE</t>
        </is>
      </c>
      <c r="AP67" s="24" t="inlineStr">
        <is>
          <t>mlb-sd</t>
        </is>
      </c>
      <c r="AQ67" s="24" t="inlineStr">
        <is>
          <t>San Diego Padres</t>
        </is>
      </c>
      <c r="AR67" s="24" t="inlineStr">
        <is>
          <t>San Diego Padres</t>
        </is>
      </c>
      <c r="AS67" s="24" t="inlineStr">
        <is>
          <t>mlb-atl</t>
        </is>
      </c>
      <c r="AT67" s="24" t="inlineStr">
        <is>
          <t>Atlanta Braves</t>
        </is>
      </c>
      <c r="AU67" s="24" t="inlineStr">
        <is>
          <t>Atlanta Braves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5224fb6ffbc9ddf8fa517627b830ac851192da94d241963d556945393a42bb9d</t>
        </is>
      </c>
      <c r="BB67" s="24" t="inlineStr">
        <is>
          <t>learned_lr</t>
        </is>
      </c>
      <c r="BC67" s="24" t="inlineStr">
        <is>
          <t>mlb-elo-trend-lr-v4</t>
        </is>
      </c>
      <c r="BD67" s="24" t="inlineStr">
        <is>
          <t>5224fb6ffbc9ddf8fa517627b830ac851192da94d241963d556945393a42bb9d</t>
        </is>
      </c>
      <c r="BE67" s="24" t="inlineStr">
        <is>
          <t>f0b5eac7c97d1146</t>
        </is>
      </c>
      <c r="BF67" s="24" t="inlineStr">
        <is>
          <t>1</t>
        </is>
      </c>
      <c r="BG67" s="24" t="inlineStr">
        <is>
          <t>mlb-elo-trend-lr-v4</t>
        </is>
      </c>
      <c r="BH67" s="24" t="inlineStr">
        <is>
          <t>2026-07-20T16:49:50.749198Z</t>
        </is>
      </c>
      <c r="BI67" s="24" t="inlineStr">
        <is>
          <t>["same_event","same_team_same_day","same_league_same_day"]</t>
        </is>
      </c>
      <c r="BJ67" s="25" t="n"/>
      <c r="BK67" s="26" t="n">
        <v>-127</v>
      </c>
      <c r="BL67" s="27" t="n">
        <v>1.787402</v>
      </c>
      <c r="BM67" s="28" t="n">
        <v>0.5594710000000001</v>
      </c>
      <c r="BN67" s="28" t="n">
        <v>0.557214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</row>
    <row r="68" ht="36" customHeight="1">
      <c r="A68" s="24" t="inlineStr">
        <is>
          <t>bf92a3a0bb864f15</t>
        </is>
      </c>
      <c r="B68" s="24" t="inlineStr">
        <is>
          <t>2026-07-20T16:51:22.921041Z</t>
        </is>
      </c>
      <c r="C68" s="24" t="inlineStr">
        <is>
          <t>2026-07-20T19:40:00-0400</t>
        </is>
      </c>
      <c r="D68" s="24" t="inlineStr">
        <is>
          <t>401816195</t>
        </is>
      </c>
      <c r="E68" s="24" t="inlineStr">
        <is>
          <t>MLB</t>
        </is>
      </c>
      <c r="F68" s="24" t="inlineStr">
        <is>
          <t>New York Mets</t>
        </is>
      </c>
      <c r="G68" s="24" t="inlineStr">
        <is>
          <t>Milwaukee Brewers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-199</v>
      </c>
      <c r="M68" s="27" t="n">
        <v>1.502513</v>
      </c>
      <c r="N68" s="28" t="n">
        <v>0.665552</v>
      </c>
      <c r="O68" s="28" t="n">
        <v>0.640995</v>
      </c>
      <c r="P68" s="28" t="n"/>
      <c r="Q68" s="28" t="n">
        <v>-0.024557</v>
      </c>
      <c r="R68" s="26" t="n">
        <v>8</v>
      </c>
      <c r="S68" s="29" t="n">
        <v>2</v>
      </c>
      <c r="T68" s="24" t="inlineStr">
        <is>
          <t>mlb-elo-trend-lr-v4</t>
        </is>
      </c>
      <c r="U68" s="24" t="inlineStr">
        <is>
          <t>settled</t>
        </is>
      </c>
      <c r="V68" s="24" t="inlineStr">
        <is>
          <t>win</t>
        </is>
      </c>
      <c r="W68" s="26" t="n">
        <v>3</v>
      </c>
      <c r="X68" s="26" t="n">
        <v>8</v>
      </c>
      <c r="Y68" s="25" t="n"/>
      <c r="Z68" s="26" t="n"/>
      <c r="AA68" s="28" t="n"/>
      <c r="AB68" s="28" t="n"/>
      <c r="AC68" s="30" t="n">
        <v>1.005</v>
      </c>
      <c r="AD68" s="24" t="inlineStr">
        <is>
          <t>2026-07-21T03:22:59.646932Z</t>
        </is>
      </c>
      <c r="AE68" s="31" t="inlineStr">
        <is>
          <t>Learned LR call at threshold 0.5500; executable ask 0.6650 (aec-mlb-nym-mil-2026-07-20).</t>
        </is>
      </c>
      <c r="AF68" s="31" t="inlineStr">
        <is>
          <t>Learned model; promotion gate not yet open; zero-unit research until review.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mlb-nym</t>
        </is>
      </c>
      <c r="AQ68" s="24" t="inlineStr">
        <is>
          <t>New York Mets</t>
        </is>
      </c>
      <c r="AR68" s="24" t="inlineStr">
        <is>
          <t>New York Mets</t>
        </is>
      </c>
      <c r="AS68" s="24" t="inlineStr">
        <is>
          <t>mlb-mil</t>
        </is>
      </c>
      <c r="AT68" s="24" t="inlineStr">
        <is>
          <t>Milwaukee Brewers</t>
        </is>
      </c>
      <c r="AU68" s="24" t="inlineStr">
        <is>
          <t>Milwaukee Brewers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5224fb6ffbc9ddf8fa517627b830ac851192da94d241963d556945393a42bb9d</t>
        </is>
      </c>
      <c r="BB68" s="24" t="inlineStr">
        <is>
          <t>learned_lr</t>
        </is>
      </c>
      <c r="BC68" s="24" t="inlineStr">
        <is>
          <t>mlb-elo-trend-lr-v4</t>
        </is>
      </c>
      <c r="BD68" s="24" t="inlineStr">
        <is>
          <t>5224fb6ffbc9ddf8fa517627b830ac851192da94d241963d556945393a42bb9d</t>
        </is>
      </c>
      <c r="BE68" s="24" t="inlineStr">
        <is>
          <t>6d5f3f5e8f75cb2b</t>
        </is>
      </c>
      <c r="BF68" s="24" t="inlineStr">
        <is>
          <t>1</t>
        </is>
      </c>
      <c r="BG68" s="24" t="inlineStr">
        <is>
          <t>mlb-elo-trend-lr-v4</t>
        </is>
      </c>
      <c r="BH68" s="24" t="inlineStr">
        <is>
          <t>2026-07-20T16:49:52.302406Z</t>
        </is>
      </c>
      <c r="BI68" s="24" t="inlineStr">
        <is>
          <t>["same_event","same_team_same_day","same_league_same_day"]</t>
        </is>
      </c>
      <c r="BJ68" s="25" t="n"/>
      <c r="BK68" s="26" t="n">
        <v>-199</v>
      </c>
      <c r="BL68" s="27" t="n">
        <v>1.502513</v>
      </c>
      <c r="BM68" s="28" t="n">
        <v>0.665552</v>
      </c>
      <c r="BN68" s="28" t="n">
        <v>0.6616919999999999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</row>
    <row r="69" ht="36" customHeight="1">
      <c r="A69" s="24" t="inlineStr">
        <is>
          <t>b94d181b3fce488d</t>
        </is>
      </c>
      <c r="B69" s="24" t="inlineStr">
        <is>
          <t>2026-07-20T16:51:22.921041Z</t>
        </is>
      </c>
      <c r="C69" s="24" t="inlineStr">
        <is>
          <t>2026-07-20T19:40:00-0400</t>
        </is>
      </c>
      <c r="D69" s="24" t="inlineStr">
        <is>
          <t>401816196</t>
        </is>
      </c>
      <c r="E69" s="24" t="inlineStr">
        <is>
          <t>MLB</t>
        </is>
      </c>
      <c r="F69" s="24" t="inlineStr">
        <is>
          <t>San Francisco Giants</t>
        </is>
      </c>
      <c r="G69" s="24" t="inlineStr">
        <is>
          <t>Kansas City Royals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-111</v>
      </c>
      <c r="M69" s="27" t="n">
        <v>1.900901</v>
      </c>
      <c r="N69" s="28" t="n">
        <v>0.526066</v>
      </c>
      <c r="O69" s="28" t="n">
        <v>0.514213</v>
      </c>
      <c r="P69" s="28" t="n"/>
      <c r="Q69" s="28" t="n">
        <v>-0.011853</v>
      </c>
      <c r="R69" s="26" t="n">
        <v>14</v>
      </c>
      <c r="S69" s="29" t="n">
        <v>0.75</v>
      </c>
      <c r="T69" s="24" t="inlineStr">
        <is>
          <t>mlb-elo-trend-lr-v4</t>
        </is>
      </c>
      <c r="U69" s="24" t="inlineStr">
        <is>
          <t>settled</t>
        </is>
      </c>
      <c r="V69" s="24" t="inlineStr">
        <is>
          <t>win</t>
        </is>
      </c>
      <c r="W69" s="26" t="n">
        <v>3</v>
      </c>
      <c r="X69" s="26" t="n">
        <v>4</v>
      </c>
      <c r="Y69" s="25" t="n"/>
      <c r="Z69" s="26" t="n"/>
      <c r="AA69" s="28" t="n"/>
      <c r="AB69" s="28" t="n"/>
      <c r="AC69" s="30" t="n">
        <v>0.6757</v>
      </c>
      <c r="AD69" s="24" t="inlineStr">
        <is>
          <t>2026-07-21T03:23:00.166900Z</t>
        </is>
      </c>
      <c r="AE69" s="31" t="inlineStr">
        <is>
          <t>Learned LR call at threshold 0.5500; executable ask 0.5250 (aec-mlb-sf-kc-2026-07-20).</t>
        </is>
      </c>
      <c r="AF69" s="31" t="inlineStr">
        <is>
          <t>Learned model; promotion gate not yet open; zero-unit research until review.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mlb-sf</t>
        </is>
      </c>
      <c r="AQ69" s="24" t="inlineStr">
        <is>
          <t>San Francisco Giants</t>
        </is>
      </c>
      <c r="AR69" s="24" t="inlineStr">
        <is>
          <t>San Francisco Giants</t>
        </is>
      </c>
      <c r="AS69" s="24" t="inlineStr">
        <is>
          <t>mlb-kc</t>
        </is>
      </c>
      <c r="AT69" s="24" t="inlineStr">
        <is>
          <t>Kansas City Royals</t>
        </is>
      </c>
      <c r="AU69" s="24" t="inlineStr">
        <is>
          <t>Kansas City Royals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5224fb6ffbc9ddf8fa517627b830ac851192da94d241963d556945393a42bb9d</t>
        </is>
      </c>
      <c r="BB69" s="24" t="inlineStr">
        <is>
          <t>learned_lr</t>
        </is>
      </c>
      <c r="BC69" s="24" t="inlineStr">
        <is>
          <t>mlb-elo-trend-lr-v4</t>
        </is>
      </c>
      <c r="BD69" s="24" t="inlineStr">
        <is>
          <t>5224fb6ffbc9ddf8fa517627b830ac851192da94d241963d556945393a42bb9d</t>
        </is>
      </c>
      <c r="BE69" s="24" t="inlineStr">
        <is>
          <t>9c457d5cc4752804</t>
        </is>
      </c>
      <c r="BF69" s="24" t="inlineStr">
        <is>
          <t>1</t>
        </is>
      </c>
      <c r="BG69" s="24" t="inlineStr">
        <is>
          <t>mlb-elo-trend-lr-v4</t>
        </is>
      </c>
      <c r="BH69" s="24" t="inlineStr">
        <is>
          <t>2026-07-20T16:49:53.625598Z</t>
        </is>
      </c>
      <c r="BI69" s="24" t="inlineStr">
        <is>
          <t>["same_event","same_team_same_day","same_league_same_day"]</t>
        </is>
      </c>
      <c r="BJ69" s="25" t="n"/>
      <c r="BK69" s="26" t="n">
        <v>-111</v>
      </c>
      <c r="BL69" s="27" t="n">
        <v>1.900901</v>
      </c>
      <c r="BM69" s="28" t="n">
        <v>0.526066</v>
      </c>
      <c r="BN69" s="28" t="n">
        <v>0.522388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</row>
    <row r="70" ht="36" customHeight="1">
      <c r="A70" s="24" t="inlineStr">
        <is>
          <t>622d03ff4b5e4bae</t>
        </is>
      </c>
      <c r="B70" s="24" t="inlineStr">
        <is>
          <t>2026-07-20T16:51:22.921041Z</t>
        </is>
      </c>
      <c r="C70" s="24" t="inlineStr">
        <is>
          <t>2026-07-20T20:05:00-0400</t>
        </is>
      </c>
      <c r="D70" s="24" t="inlineStr">
        <is>
          <t>401816192</t>
        </is>
      </c>
      <c r="E70" s="24" t="inlineStr">
        <is>
          <t>MLB</t>
        </is>
      </c>
      <c r="F70" s="24" t="inlineStr">
        <is>
          <t>Chicago White Sox</t>
        </is>
      </c>
      <c r="G70" s="24" t="inlineStr">
        <is>
          <t>Texas Rangers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-160</v>
      </c>
      <c r="M70" s="27" t="n">
        <v>1.625</v>
      </c>
      <c r="N70" s="28" t="n">
        <v>0.615385</v>
      </c>
      <c r="O70" s="28" t="n">
        <v>0.524518</v>
      </c>
      <c r="P70" s="28" t="n"/>
      <c r="Q70" s="28" t="n">
        <v>-0.090867</v>
      </c>
      <c r="R70" s="26" t="n">
        <v>0</v>
      </c>
      <c r="S70" s="29" t="n">
        <v>0.75</v>
      </c>
      <c r="T70" s="24" t="inlineStr">
        <is>
          <t>mlb-elo-trend-lr-v4</t>
        </is>
      </c>
      <c r="U70" s="24" t="inlineStr">
        <is>
          <t>settled</t>
        </is>
      </c>
      <c r="V70" s="24" t="inlineStr">
        <is>
          <t>loss</t>
        </is>
      </c>
      <c r="W70" s="26" t="n">
        <v>10</v>
      </c>
      <c r="X70" s="26" t="n">
        <v>3</v>
      </c>
      <c r="Y70" s="25" t="n"/>
      <c r="Z70" s="26" t="n"/>
      <c r="AA70" s="28" t="n"/>
      <c r="AB70" s="28" t="n"/>
      <c r="AC70" s="30" t="n">
        <v>-0.75</v>
      </c>
      <c r="AD70" s="24" t="inlineStr">
        <is>
          <t>2026-07-21T03:23:00.689939Z</t>
        </is>
      </c>
      <c r="AE70" s="31" t="inlineStr">
        <is>
          <t>Learned LR call at threshold 0.5500; executable ask 0.6150 (aec-mlb-cws-tex-2026-07-20).</t>
        </is>
      </c>
      <c r="AF70" s="31" t="inlineStr">
        <is>
          <t>Learned model; promotion gate not yet open; zero-unit research until review.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NO_CALL_LOW_EDGE</t>
        </is>
      </c>
      <c r="AP70" s="24" t="inlineStr">
        <is>
          <t>mlb-cws</t>
        </is>
      </c>
      <c r="AQ70" s="24" t="inlineStr">
        <is>
          <t>Chicago White Sox</t>
        </is>
      </c>
      <c r="AR70" s="24" t="inlineStr">
        <is>
          <t>Chicago White Sox</t>
        </is>
      </c>
      <c r="AS70" s="24" t="inlineStr">
        <is>
          <t>mlb-tex</t>
        </is>
      </c>
      <c r="AT70" s="24" t="inlineStr">
        <is>
          <t>Texas Rangers</t>
        </is>
      </c>
      <c r="AU70" s="24" t="inlineStr">
        <is>
          <t>Texas Rangers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5224fb6ffbc9ddf8fa517627b830ac851192da94d241963d556945393a42bb9d</t>
        </is>
      </c>
      <c r="BB70" s="24" t="inlineStr">
        <is>
          <t>learned_lr</t>
        </is>
      </c>
      <c r="BC70" s="24" t="inlineStr">
        <is>
          <t>mlb-elo-trend-lr-v4</t>
        </is>
      </c>
      <c r="BD70" s="24" t="inlineStr">
        <is>
          <t>5224fb6ffbc9ddf8fa517627b830ac851192da94d241963d556945393a42bb9d</t>
        </is>
      </c>
      <c r="BE70" s="24" t="inlineStr">
        <is>
          <t>87e15ff2f82f8974</t>
        </is>
      </c>
      <c r="BF70" s="24" t="inlineStr">
        <is>
          <t>1</t>
        </is>
      </c>
      <c r="BG70" s="24" t="inlineStr">
        <is>
          <t>mlb-elo-trend-lr-v4</t>
        </is>
      </c>
      <c r="BH70" s="24" t="inlineStr">
        <is>
          <t>2026-07-20T16:49:54.280329Z</t>
        </is>
      </c>
      <c r="BI70" s="24" t="inlineStr">
        <is>
          <t>["same_event","same_team_same_day","same_league_same_day"]</t>
        </is>
      </c>
      <c r="BJ70" s="25" t="n"/>
      <c r="BK70" s="26" t="n">
        <v>-160</v>
      </c>
      <c r="BL70" s="27" t="n">
        <v>1.625</v>
      </c>
      <c r="BM70" s="28" t="n">
        <v>0.615385</v>
      </c>
      <c r="BN70" s="28" t="n">
        <v>0.61194</v>
      </c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</row>
    <row r="71" ht="36" customHeight="1">
      <c r="A71" s="24" t="inlineStr">
        <is>
          <t>7618df835a764a49</t>
        </is>
      </c>
      <c r="B71" s="24" t="inlineStr">
        <is>
          <t>2026-07-20T16:51:22.921041Z</t>
        </is>
      </c>
      <c r="C71" s="24" t="inlineStr">
        <is>
          <t>2026-07-20T20:05:00-0400</t>
        </is>
      </c>
      <c r="D71" s="24" t="inlineStr">
        <is>
          <t>401816193</t>
        </is>
      </c>
      <c r="E71" s="24" t="inlineStr">
        <is>
          <t>MLB</t>
        </is>
      </c>
      <c r="F71" s="24" t="inlineStr">
        <is>
          <t>Detroit Tigers</t>
        </is>
      </c>
      <c r="G71" s="24" t="inlineStr">
        <is>
          <t>Chicago Cubs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-106</v>
      </c>
      <c r="M71" s="27" t="n">
        <v>1.943396</v>
      </c>
      <c r="N71" s="28" t="n">
        <v>0.514563</v>
      </c>
      <c r="O71" s="28" t="n">
        <v>0.566967</v>
      </c>
      <c r="P71" s="28" t="n"/>
      <c r="Q71" s="28" t="n">
        <v>0.052404</v>
      </c>
      <c r="R71" s="26" t="n">
        <v>46</v>
      </c>
      <c r="S71" s="29" t="n">
        <v>1.25</v>
      </c>
      <c r="T71" s="24" t="inlineStr">
        <is>
          <t>mlb-elo-trend-lr-v4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Learned LR call at threshold 0.5500; executable ask 0.5150 (aec-mlb-det-chc-2026-07-20).</t>
        </is>
      </c>
      <c r="AF71" s="31" t="inlineStr">
        <is>
          <t>Learned model; promotion gate not yet open; zero-unit research until review.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mlb-det</t>
        </is>
      </c>
      <c r="AQ71" s="24" t="inlineStr">
        <is>
          <t>Detroit Tigers</t>
        </is>
      </c>
      <c r="AR71" s="24" t="inlineStr">
        <is>
          <t>Detroit Tigers</t>
        </is>
      </c>
      <c r="AS71" s="24" t="inlineStr">
        <is>
          <t>mlb-chc</t>
        </is>
      </c>
      <c r="AT71" s="24" t="inlineStr">
        <is>
          <t>Chicago Cubs</t>
        </is>
      </c>
      <c r="AU71" s="24" t="inlineStr">
        <is>
          <t>Chicago Cubs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5224fb6ffbc9ddf8fa517627b830ac851192da94d241963d556945393a42bb9d</t>
        </is>
      </c>
      <c r="BB71" s="24" t="inlineStr">
        <is>
          <t>learned_lr</t>
        </is>
      </c>
      <c r="BC71" s="24" t="inlineStr">
        <is>
          <t>mlb-elo-trend-lr-v4</t>
        </is>
      </c>
      <c r="BD71" s="24" t="inlineStr">
        <is>
          <t>5224fb6ffbc9ddf8fa517627b830ac851192da94d241963d556945393a42bb9d</t>
        </is>
      </c>
      <c r="BE71" s="24" t="inlineStr">
        <is>
          <t>b84afb2c70e14d93</t>
        </is>
      </c>
      <c r="BF71" s="24" t="inlineStr">
        <is>
          <t>1</t>
        </is>
      </c>
      <c r="BG71" s="24" t="inlineStr">
        <is>
          <t>mlb-elo-trend-lr-v4</t>
        </is>
      </c>
      <c r="BH71" s="24" t="inlineStr">
        <is>
          <t>2026-07-20T16:49:55.275935Z</t>
        </is>
      </c>
      <c r="BI71" s="24" t="inlineStr">
        <is>
          <t>["same_event","same_team_same_day","same_league_same_day"]</t>
        </is>
      </c>
      <c r="BJ71" s="25" t="n"/>
      <c r="BK71" s="26" t="n">
        <v>-106</v>
      </c>
      <c r="BL71" s="27" t="n">
        <v>1.943396</v>
      </c>
      <c r="BM71" s="28" t="n">
        <v>0.514563</v>
      </c>
      <c r="BN71" s="28" t="n">
        <v>0.5124379999999999</v>
      </c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</row>
    <row r="72" ht="36" customHeight="1">
      <c r="A72" s="24" t="inlineStr">
        <is>
          <t>72ce2bb793db4274</t>
        </is>
      </c>
      <c r="B72" s="24" t="inlineStr">
        <is>
          <t>2026-07-20T16:51:22.921041Z</t>
        </is>
      </c>
      <c r="C72" s="24" t="inlineStr">
        <is>
          <t>2026-07-20T20:10:00-0400</t>
        </is>
      </c>
      <c r="D72" s="24" t="inlineStr">
        <is>
          <t>401816194</t>
        </is>
      </c>
      <c r="E72" s="24" t="inlineStr">
        <is>
          <t>MLB</t>
        </is>
      </c>
      <c r="F72" s="24" t="inlineStr">
        <is>
          <t>Miami Marlins</t>
        </is>
      </c>
      <c r="G72" s="24" t="inlineStr">
        <is>
          <t>Houston Astros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-115</v>
      </c>
      <c r="M72" s="27" t="n">
        <v>1.869565</v>
      </c>
      <c r="N72" s="28" t="n">
        <v>0.534884</v>
      </c>
      <c r="O72" s="28" t="n">
        <v>0.512555</v>
      </c>
      <c r="P72" s="28" t="n"/>
      <c r="Q72" s="28" t="n">
        <v>-0.022329</v>
      </c>
      <c r="R72" s="26" t="n">
        <v>9</v>
      </c>
      <c r="S72" s="29" t="n">
        <v>0.75</v>
      </c>
      <c r="T72" s="24" t="inlineStr">
        <is>
          <t>mlb-elo-trend-lr-v4</t>
        </is>
      </c>
      <c r="U72" s="24" t="inlineStr">
        <is>
          <t>settled</t>
        </is>
      </c>
      <c r="V72" s="24" t="inlineStr">
        <is>
          <t>win</t>
        </is>
      </c>
      <c r="W72" s="26" t="n">
        <v>5</v>
      </c>
      <c r="X72" s="26" t="n">
        <v>8</v>
      </c>
      <c r="Y72" s="25" t="n"/>
      <c r="Z72" s="26" t="n"/>
      <c r="AA72" s="28" t="n"/>
      <c r="AB72" s="28" t="n"/>
      <c r="AC72" s="30" t="n">
        <v>0.6522</v>
      </c>
      <c r="AD72" s="24" t="inlineStr">
        <is>
          <t>2026-07-21T03:23:01.217645Z</t>
        </is>
      </c>
      <c r="AE72" s="31" t="inlineStr">
        <is>
          <t>Learned LR call at threshold 0.5500; executable ask 0.5350 (aec-mlb-mia-hou-2026-07-20).</t>
        </is>
      </c>
      <c r="AF72" s="31" t="inlineStr">
        <is>
          <t>Learned model; promotion gate not yet open; zero-unit research until review.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NO_CALL_LOW_EDGE</t>
        </is>
      </c>
      <c r="AP72" s="24" t="inlineStr">
        <is>
          <t>mlb-mia</t>
        </is>
      </c>
      <c r="AQ72" s="24" t="inlineStr">
        <is>
          <t>Miami Marlins</t>
        </is>
      </c>
      <c r="AR72" s="24" t="inlineStr">
        <is>
          <t>Miami Marlins</t>
        </is>
      </c>
      <c r="AS72" s="24" t="inlineStr">
        <is>
          <t>mlb-hou</t>
        </is>
      </c>
      <c r="AT72" s="24" t="inlineStr">
        <is>
          <t>Houston Astros</t>
        </is>
      </c>
      <c r="AU72" s="24" t="inlineStr">
        <is>
          <t>Houston Astros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5224fb6ffbc9ddf8fa517627b830ac851192da94d241963d556945393a42bb9d</t>
        </is>
      </c>
      <c r="BB72" s="24" t="inlineStr">
        <is>
          <t>learned_lr</t>
        </is>
      </c>
      <c r="BC72" s="24" t="inlineStr">
        <is>
          <t>mlb-elo-trend-lr-v4</t>
        </is>
      </c>
      <c r="BD72" s="24" t="inlineStr">
        <is>
          <t>5224fb6ffbc9ddf8fa517627b830ac851192da94d241963d556945393a42bb9d</t>
        </is>
      </c>
      <c r="BE72" s="24" t="inlineStr">
        <is>
          <t>ba8ef6f8648f77b7</t>
        </is>
      </c>
      <c r="BF72" s="24" t="inlineStr">
        <is>
          <t>1</t>
        </is>
      </c>
      <c r="BG72" s="24" t="inlineStr">
        <is>
          <t>mlb-elo-trend-lr-v4</t>
        </is>
      </c>
      <c r="BH72" s="24" t="inlineStr">
        <is>
          <t>2026-07-20T16:49:57.999184Z</t>
        </is>
      </c>
      <c r="BI72" s="24" t="inlineStr">
        <is>
          <t>["same_event","same_team_same_day","same_league_same_day"]</t>
        </is>
      </c>
      <c r="BJ72" s="25" t="n"/>
      <c r="BK72" s="26" t="n">
        <v>-115</v>
      </c>
      <c r="BL72" s="27" t="n">
        <v>1.869565</v>
      </c>
      <c r="BM72" s="28" t="n">
        <v>0.534884</v>
      </c>
      <c r="BN72" s="28" t="n">
        <v>0.532338</v>
      </c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</row>
    <row r="73" ht="36" customHeight="1">
      <c r="A73" s="24" t="inlineStr">
        <is>
          <t>f81ea303cbeb49b7</t>
        </is>
      </c>
      <c r="B73" s="24" t="inlineStr">
        <is>
          <t>2026-07-20T16:51:22.921041Z</t>
        </is>
      </c>
      <c r="C73" s="24" t="inlineStr">
        <is>
          <t>2026-07-20T20:40:00-0400</t>
        </is>
      </c>
      <c r="D73" s="24" t="inlineStr">
        <is>
          <t>401816197</t>
        </is>
      </c>
      <c r="E73" s="24" t="inlineStr">
        <is>
          <t>MLB</t>
        </is>
      </c>
      <c r="F73" s="24" t="inlineStr">
        <is>
          <t>Washington Nationals</t>
        </is>
      </c>
      <c r="G73" s="24" t="inlineStr">
        <is>
          <t>Colorado Rockies</t>
        </is>
      </c>
      <c r="H73" s="24" t="inlineStr">
        <is>
          <t>moneyline</t>
        </is>
      </c>
      <c r="I73" s="24" t="inlineStr">
        <is>
          <t>away</t>
        </is>
      </c>
      <c r="J73" s="25" t="n"/>
      <c r="K73" s="24" t="inlineStr">
        <is>
          <t>polymarket_us</t>
        </is>
      </c>
      <c r="L73" s="26" t="n">
        <v>-117</v>
      </c>
      <c r="M73" s="27" t="n">
        <v>1.854701</v>
      </c>
      <c r="N73" s="28" t="n">
        <v>0.539171</v>
      </c>
      <c r="O73" s="28" t="n">
        <v>0.5563709999999999</v>
      </c>
      <c r="P73" s="28" t="n"/>
      <c r="Q73" s="28" t="n">
        <v>0.0172</v>
      </c>
      <c r="R73" s="26" t="n">
        <v>29</v>
      </c>
      <c r="S73" s="29" t="n">
        <v>1</v>
      </c>
      <c r="T73" s="24" t="inlineStr">
        <is>
          <t>mlb-elo-trend-lr-v4</t>
        </is>
      </c>
      <c r="U73" s="24" t="inlineStr">
        <is>
          <t>settled</t>
        </is>
      </c>
      <c r="V73" s="24" t="inlineStr">
        <is>
          <t>win</t>
        </is>
      </c>
      <c r="W73" s="26" t="n">
        <v>7</v>
      </c>
      <c r="X73" s="26" t="n">
        <v>3</v>
      </c>
      <c r="Y73" s="25" t="n"/>
      <c r="Z73" s="26" t="n"/>
      <c r="AA73" s="28" t="n"/>
      <c r="AB73" s="28" t="n"/>
      <c r="AC73" s="30" t="n">
        <v>0.8547</v>
      </c>
      <c r="AD73" s="24" t="inlineStr">
        <is>
          <t>2026-07-21T03:23:01.741923Z</t>
        </is>
      </c>
      <c r="AE73" s="31" t="inlineStr">
        <is>
          <t>Learned LR call at threshold 0.5500; executable ask 0.5400 (aec-mlb-wsh-col-2026-07-20).</t>
        </is>
      </c>
      <c r="AF73" s="31" t="inlineStr">
        <is>
          <t>Learned model; promotion gate not yet open; zero-unit research until review.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NO_CALL_LOW_EDGE</t>
        </is>
      </c>
      <c r="AP73" s="24" t="inlineStr">
        <is>
          <t>mlb-wsh</t>
        </is>
      </c>
      <c r="AQ73" s="24" t="inlineStr">
        <is>
          <t>Washington Nationals</t>
        </is>
      </c>
      <c r="AR73" s="24" t="inlineStr">
        <is>
          <t>Washington Nationals</t>
        </is>
      </c>
      <c r="AS73" s="24" t="inlineStr">
        <is>
          <t>mlb-col</t>
        </is>
      </c>
      <c r="AT73" s="24" t="inlineStr">
        <is>
          <t>Colorado Rockies</t>
        </is>
      </c>
      <c r="AU73" s="24" t="inlineStr">
        <is>
          <t>Colorado Rockies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5224fb6ffbc9ddf8fa517627b830ac851192da94d241963d556945393a42bb9d</t>
        </is>
      </c>
      <c r="BB73" s="24" t="inlineStr">
        <is>
          <t>learned_lr</t>
        </is>
      </c>
      <c r="BC73" s="24" t="inlineStr">
        <is>
          <t>mlb-elo-trend-lr-v4</t>
        </is>
      </c>
      <c r="BD73" s="24" t="inlineStr">
        <is>
          <t>5224fb6ffbc9ddf8fa517627b830ac851192da94d241963d556945393a42bb9d</t>
        </is>
      </c>
      <c r="BE73" s="24" t="inlineStr">
        <is>
          <t>a2f336c1cee8c92e</t>
        </is>
      </c>
      <c r="BF73" s="24" t="inlineStr">
        <is>
          <t>1</t>
        </is>
      </c>
      <c r="BG73" s="24" t="inlineStr">
        <is>
          <t>mlb-elo-trend-lr-v4</t>
        </is>
      </c>
      <c r="BH73" s="24" t="inlineStr">
        <is>
          <t>2026-07-20T16:49:57.889100Z</t>
        </is>
      </c>
      <c r="BI73" s="24" t="inlineStr">
        <is>
          <t>["same_event","same_team_same_day","same_league_same_day"]</t>
        </is>
      </c>
      <c r="BJ73" s="25" t="n"/>
      <c r="BK73" s="26" t="n">
        <v>-117</v>
      </c>
      <c r="BL73" s="27" t="n">
        <v>1.854701</v>
      </c>
      <c r="BM73" s="28" t="n">
        <v>0.539171</v>
      </c>
      <c r="BN73" s="28" t="n">
        <v>0.537313</v>
      </c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</row>
    <row r="74" ht="36" customHeight="1">
      <c r="A74" s="24" t="inlineStr">
        <is>
          <t>8c04d5d23e3b43ce</t>
        </is>
      </c>
      <c r="B74" s="24" t="inlineStr">
        <is>
          <t>2026-07-20T16:51:22.921041Z</t>
        </is>
      </c>
      <c r="C74" s="24" t="inlineStr">
        <is>
          <t>2026-07-20T21:40:00-0400</t>
        </is>
      </c>
      <c r="D74" s="24" t="inlineStr">
        <is>
          <t>401816198</t>
        </is>
      </c>
      <c r="E74" s="24" t="inlineStr">
        <is>
          <t>MLB</t>
        </is>
      </c>
      <c r="F74" s="24" t="inlineStr">
        <is>
          <t>Athletics</t>
        </is>
      </c>
      <c r="G74" s="24" t="inlineStr">
        <is>
          <t>Arizona Diamondbacks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-141</v>
      </c>
      <c r="M74" s="27" t="n">
        <v>1.70922</v>
      </c>
      <c r="N74" s="28" t="n">
        <v>0.585062</v>
      </c>
      <c r="O74" s="28" t="n">
        <v>0.58189</v>
      </c>
      <c r="P74" s="28" t="n"/>
      <c r="Q74" s="28" t="n">
        <v>-0.003172</v>
      </c>
      <c r="R74" s="26" t="n">
        <v>18</v>
      </c>
      <c r="S74" s="29" t="n">
        <v>1.25</v>
      </c>
      <c r="T74" s="24" t="inlineStr">
        <is>
          <t>mlb-elo-trend-lr-v4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Learned LR call at threshold 0.5500; executable ask 0.5850 (aec-mlb-ath-az-2026-07-20).</t>
        </is>
      </c>
      <c r="AF74" s="31" t="inlineStr">
        <is>
          <t>Learned model; promotion gate not yet open; zero-unit research until review.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NO_CALL_LOW_EDGE</t>
        </is>
      </c>
      <c r="AP74" s="24" t="inlineStr">
        <is>
          <t>mlb-ath</t>
        </is>
      </c>
      <c r="AQ74" s="24" t="inlineStr">
        <is>
          <t>Athletics</t>
        </is>
      </c>
      <c r="AR74" s="24" t="inlineStr">
        <is>
          <t>Athletics</t>
        </is>
      </c>
      <c r="AS74" s="24" t="inlineStr">
        <is>
          <t>mlb-ari</t>
        </is>
      </c>
      <c r="AT74" s="24" t="inlineStr">
        <is>
          <t>Arizona Diamondbacks</t>
        </is>
      </c>
      <c r="AU74" s="24" t="inlineStr">
        <is>
          <t>Arizona Diamondbacks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5224fb6ffbc9ddf8fa517627b830ac851192da94d241963d556945393a42bb9d</t>
        </is>
      </c>
      <c r="BB74" s="24" t="inlineStr">
        <is>
          <t>learned_lr</t>
        </is>
      </c>
      <c r="BC74" s="24" t="inlineStr">
        <is>
          <t>mlb-elo-trend-lr-v4</t>
        </is>
      </c>
      <c r="BD74" s="24" t="inlineStr">
        <is>
          <t>5224fb6ffbc9ddf8fa517627b830ac851192da94d241963d556945393a42bb9d</t>
        </is>
      </c>
      <c r="BE74" s="24" t="inlineStr">
        <is>
          <t>7b682aa5da86e2a4</t>
        </is>
      </c>
      <c r="BF74" s="24" t="inlineStr">
        <is>
          <t>1</t>
        </is>
      </c>
      <c r="BG74" s="24" t="inlineStr">
        <is>
          <t>mlb-elo-trend-lr-v4</t>
        </is>
      </c>
      <c r="BH74" s="24" t="inlineStr">
        <is>
          <t>2026-07-20T16:49:59.810461Z</t>
        </is>
      </c>
      <c r="BI74" s="24" t="inlineStr">
        <is>
          <t>["same_event","same_team_same_day","same_league_same_day"]</t>
        </is>
      </c>
      <c r="BJ74" s="25" t="n"/>
      <c r="BK74" s="26" t="n">
        <v>-141</v>
      </c>
      <c r="BL74" s="27" t="n">
        <v>1.70922</v>
      </c>
      <c r="BM74" s="28" t="n">
        <v>0.585062</v>
      </c>
      <c r="BN74" s="28" t="n">
        <v>0.58209</v>
      </c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</row>
    <row r="75" ht="36" customHeight="1">
      <c r="A75" s="24" t="inlineStr">
        <is>
          <t>7cb37a4f69df4942</t>
        </is>
      </c>
      <c r="B75" s="24" t="inlineStr">
        <is>
          <t>2026-07-20T16:51:22.921041Z</t>
        </is>
      </c>
      <c r="C75" s="24" t="inlineStr">
        <is>
          <t>2026-07-20T21:40:00-0400</t>
        </is>
      </c>
      <c r="D75" s="24" t="inlineStr">
        <is>
          <t>401816199</t>
        </is>
      </c>
      <c r="E75" s="24" t="inlineStr">
        <is>
          <t>MLB</t>
        </is>
      </c>
      <c r="F75" s="24" t="inlineStr">
        <is>
          <t>Cincinnati Reds</t>
        </is>
      </c>
      <c r="G75" s="24" t="inlineStr">
        <is>
          <t>Seattle Mariners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-141</v>
      </c>
      <c r="M75" s="27" t="n">
        <v>1.70922</v>
      </c>
      <c r="N75" s="28" t="n">
        <v>0.585062</v>
      </c>
      <c r="O75" s="28" t="n">
        <v>0.592852</v>
      </c>
      <c r="P75" s="28" t="n"/>
      <c r="Q75" s="28" t="n">
        <v>0.00779</v>
      </c>
      <c r="R75" s="26" t="n">
        <v>24</v>
      </c>
      <c r="S75" s="29" t="n">
        <v>1.5</v>
      </c>
      <c r="T75" s="24" t="inlineStr">
        <is>
          <t>mlb-elo-trend-lr-v4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Learned LR call at threshold 0.5500; executable ask 0.5850 (aec-mlb-cin-sea-2026-07-20).</t>
        </is>
      </c>
      <c r="AF75" s="31" t="inlineStr">
        <is>
          <t>Learned model; promotion gate not yet open; zero-unit research until review.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NO_CALL_LOW_EDGE</t>
        </is>
      </c>
      <c r="AP75" s="24" t="inlineStr">
        <is>
          <t>mlb-cin</t>
        </is>
      </c>
      <c r="AQ75" s="24" t="inlineStr">
        <is>
          <t>Cincinnati Reds</t>
        </is>
      </c>
      <c r="AR75" s="24" t="inlineStr">
        <is>
          <t>Cincinnati Reds</t>
        </is>
      </c>
      <c r="AS75" s="24" t="inlineStr">
        <is>
          <t>mlb-sea</t>
        </is>
      </c>
      <c r="AT75" s="24" t="inlineStr">
        <is>
          <t>Seattle Mariners</t>
        </is>
      </c>
      <c r="AU75" s="24" t="inlineStr">
        <is>
          <t>Seattle Mariners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5224fb6ffbc9ddf8fa517627b830ac851192da94d241963d556945393a42bb9d</t>
        </is>
      </c>
      <c r="BB75" s="24" t="inlineStr">
        <is>
          <t>learned_lr</t>
        </is>
      </c>
      <c r="BC75" s="24" t="inlineStr">
        <is>
          <t>mlb-elo-trend-lr-v4</t>
        </is>
      </c>
      <c r="BD75" s="24" t="inlineStr">
        <is>
          <t>5224fb6ffbc9ddf8fa517627b830ac851192da94d241963d556945393a42bb9d</t>
        </is>
      </c>
      <c r="BE75" s="24" t="inlineStr">
        <is>
          <t>af7ccafcacf69681</t>
        </is>
      </c>
      <c r="BF75" s="24" t="inlineStr">
        <is>
          <t>1</t>
        </is>
      </c>
      <c r="BG75" s="24" t="inlineStr">
        <is>
          <t>mlb-elo-trend-lr-v4</t>
        </is>
      </c>
      <c r="BH75" s="24" t="inlineStr">
        <is>
          <t>2026-07-20T16:50:00.666883Z</t>
        </is>
      </c>
      <c r="BI75" s="24" t="inlineStr">
        <is>
          <t>["same_event","same_team_same_day","same_league_same_day"]</t>
        </is>
      </c>
      <c r="BJ75" s="25" t="n"/>
      <c r="BK75" s="26" t="n">
        <v>-141</v>
      </c>
      <c r="BL75" s="27" t="n">
        <v>1.70922</v>
      </c>
      <c r="BM75" s="28" t="n">
        <v>0.585062</v>
      </c>
      <c r="BN75" s="28" t="n">
        <v>0.58209</v>
      </c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</row>
    <row r="76" ht="36" customHeight="1">
      <c r="A76" s="24" t="inlineStr">
        <is>
          <t>94e10378aa314fd4</t>
        </is>
      </c>
      <c r="B76" s="24" t="inlineStr">
        <is>
          <t>2026-07-20T16:51:22.921041Z</t>
        </is>
      </c>
      <c r="C76" s="24" t="inlineStr">
        <is>
          <t>2026-07-20T22:00:00-0400</t>
        </is>
      </c>
      <c r="D76" s="24" t="inlineStr">
        <is>
          <t>401816200</t>
        </is>
      </c>
      <c r="E76" s="24" t="inlineStr">
        <is>
          <t>MLB</t>
        </is>
      </c>
      <c r="F76" s="24" t="inlineStr">
        <is>
          <t>St. Louis Cardinals</t>
        </is>
      </c>
      <c r="G76" s="24" t="inlineStr">
        <is>
          <t>Los Angeles Angels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102</v>
      </c>
      <c r="M76" s="27" t="n">
        <v>2.02</v>
      </c>
      <c r="N76" s="28" t="n">
        <v>0.49505</v>
      </c>
      <c r="O76" s="28" t="n">
        <v>0.52919</v>
      </c>
      <c r="P76" s="28" t="n"/>
      <c r="Q76" s="28" t="n">
        <v>0.03414</v>
      </c>
      <c r="R76" s="26" t="n">
        <v>37</v>
      </c>
      <c r="S76" s="29" t="n">
        <v>0.75</v>
      </c>
      <c r="T76" s="24" t="inlineStr">
        <is>
          <t>mlb-elo-trend-lr-v4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Learned LR call at threshold 0.5500; executable ask 0.4950 (aec-mlb-stl-laa-2026-07-20).</t>
        </is>
      </c>
      <c r="AF76" s="31" t="inlineStr">
        <is>
          <t>Learned model; promotion gate not yet open; zero-unit research until review.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mlb-stl</t>
        </is>
      </c>
      <c r="AQ76" s="24" t="inlineStr">
        <is>
          <t>St. Louis Cardinals</t>
        </is>
      </c>
      <c r="AR76" s="24" t="inlineStr">
        <is>
          <t>St. Louis Cardinals</t>
        </is>
      </c>
      <c r="AS76" s="24" t="inlineStr">
        <is>
          <t>mlb-laa</t>
        </is>
      </c>
      <c r="AT76" s="24" t="inlineStr">
        <is>
          <t>Los Angeles Angels</t>
        </is>
      </c>
      <c r="AU76" s="24" t="inlineStr">
        <is>
          <t>Los Angeles Angels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5224fb6ffbc9ddf8fa517627b830ac851192da94d241963d556945393a42bb9d</t>
        </is>
      </c>
      <c r="BB76" s="24" t="inlineStr">
        <is>
          <t>learned_lr</t>
        </is>
      </c>
      <c r="BC76" s="24" t="inlineStr">
        <is>
          <t>mlb-elo-trend-lr-v4</t>
        </is>
      </c>
      <c r="BD76" s="24" t="inlineStr">
        <is>
          <t>5224fb6ffbc9ddf8fa517627b830ac851192da94d241963d556945393a42bb9d</t>
        </is>
      </c>
      <c r="BE76" s="24" t="inlineStr">
        <is>
          <t>e8de503e18ea775f</t>
        </is>
      </c>
      <c r="BF76" s="24" t="inlineStr">
        <is>
          <t>1</t>
        </is>
      </c>
      <c r="BG76" s="24" t="inlineStr">
        <is>
          <t>mlb-elo-trend-lr-v4</t>
        </is>
      </c>
      <c r="BH76" s="24" t="inlineStr">
        <is>
          <t>2026-07-20T16:50:01.882720Z</t>
        </is>
      </c>
      <c r="BI76" s="24" t="inlineStr">
        <is>
          <t>["same_event","same_team_same_day","same_league_same_day"]</t>
        </is>
      </c>
      <c r="BJ76" s="25" t="n"/>
      <c r="BK76" s="26" t="n">
        <v>102</v>
      </c>
      <c r="BL76" s="27" t="n">
        <v>2.02</v>
      </c>
      <c r="BM76" s="28" t="n">
        <v>0.49505</v>
      </c>
      <c r="BN76" s="28" t="n">
        <v>0.492537</v>
      </c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</row>
    <row r="77" ht="36" customHeight="1">
      <c r="A77" s="24" t="inlineStr">
        <is>
          <t>8e32ac1402eb48d9</t>
        </is>
      </c>
      <c r="B77" s="24" t="inlineStr">
        <is>
          <t>2026-07-20T16:51:29.251336Z</t>
        </is>
      </c>
      <c r="C77" s="24" t="inlineStr">
        <is>
          <t>2026-07-20T20:00:00-0400</t>
        </is>
      </c>
      <c r="D77" s="24" t="inlineStr">
        <is>
          <t>401857083</t>
        </is>
      </c>
      <c r="E77" s="24" t="inlineStr">
        <is>
          <t>WNBA</t>
        </is>
      </c>
      <c r="F77" s="24" t="inlineStr">
        <is>
          <t>Las Vegas Aces</t>
        </is>
      </c>
      <c r="G77" s="24" t="inlineStr">
        <is>
          <t>Toronto Tempo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-488</v>
      </c>
      <c r="M77" s="27" t="n">
        <v>1.204918</v>
      </c>
      <c r="N77" s="28" t="n">
        <v>0.829932</v>
      </c>
      <c r="O77" s="28" t="n">
        <v>0.6572210000000001</v>
      </c>
      <c r="P77" s="28" t="n"/>
      <c r="Q77" s="28" t="n">
        <v>-0.172711</v>
      </c>
      <c r="R77" s="26" t="n">
        <v>0</v>
      </c>
      <c r="S77" s="29" t="n">
        <v>2</v>
      </c>
      <c r="T77" s="24" t="inlineStr">
        <is>
          <t>wnba-elo-trend-lr-v3</t>
        </is>
      </c>
      <c r="U77" s="24" t="inlineStr">
        <is>
          <t>settled</t>
        </is>
      </c>
      <c r="V77" s="24" t="inlineStr">
        <is>
          <t>win</t>
        </is>
      </c>
      <c r="W77" s="26" t="n">
        <v>109</v>
      </c>
      <c r="X77" s="26" t="n">
        <v>83</v>
      </c>
      <c r="Y77" s="25" t="n"/>
      <c r="Z77" s="26" t="n"/>
      <c r="AA77" s="28" t="n"/>
      <c r="AB77" s="28" t="n"/>
      <c r="AC77" s="30" t="n">
        <v>0.4098</v>
      </c>
      <c r="AD77" s="24" t="inlineStr">
        <is>
          <t>2026-07-21T03:23:02.722081Z</t>
        </is>
      </c>
      <c r="AE77" s="31" t="inlineStr">
        <is>
          <t>Learned LR call at threshold 0.5051; executable ask 0.8300 (aec-wnba-lv-tor-2026-07-20).</t>
        </is>
      </c>
      <c r="AF77" s="31" t="inlineStr">
        <is>
          <t>Learned model; promotion gate not yet open; zero-unit research until review.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NO_CALL_LARGE_DISAGREEMENT_REVIEW</t>
        </is>
      </c>
      <c r="AP77" s="24" t="inlineStr">
        <is>
          <t>wnba-lva</t>
        </is>
      </c>
      <c r="AQ77" s="24" t="inlineStr">
        <is>
          <t>Las Vegas Aces</t>
        </is>
      </c>
      <c r="AR77" s="24" t="inlineStr">
        <is>
          <t>Las Vegas Aces</t>
        </is>
      </c>
      <c r="AS77" s="24" t="inlineStr">
        <is>
          <t>wnba-tor</t>
        </is>
      </c>
      <c r="AT77" s="24" t="inlineStr">
        <is>
          <t>Toronto Tempo</t>
        </is>
      </c>
      <c r="AU77" s="24" t="inlineStr">
        <is>
          <t>Toronto Tempo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43ee2f84f025c10f83f80a8c22d49c35c420734a8a730b5f272287225cceee4b</t>
        </is>
      </c>
      <c r="BB77" s="24" t="inlineStr">
        <is>
          <t>learned_lr</t>
        </is>
      </c>
      <c r="BC77" s="24" t="inlineStr">
        <is>
          <t>wnba-elo-trend-lr-v3</t>
        </is>
      </c>
      <c r="BD77" s="24" t="inlineStr">
        <is>
          <t>43ee2f84f025c10f83f80a8c22d49c35c420734a8a730b5f272287225cceee4b</t>
        </is>
      </c>
      <c r="BE77" s="24" t="inlineStr">
        <is>
          <t>32740a9f4976946d</t>
        </is>
      </c>
      <c r="BF77" s="24" t="inlineStr">
        <is>
          <t>1</t>
        </is>
      </c>
      <c r="BG77" s="24" t="inlineStr">
        <is>
          <t>wnba-elo-trend-lr-v3</t>
        </is>
      </c>
      <c r="BH77" s="24" t="inlineStr">
        <is>
          <t>2026-07-20T16:50:03.139284Z</t>
        </is>
      </c>
      <c r="BI77" s="24" t="inlineStr">
        <is>
          <t>["same_event","same_team_same_day","same_league_same_day"]</t>
        </is>
      </c>
      <c r="BJ77" s="25" t="n"/>
      <c r="BK77" s="26" t="n">
        <v>-488</v>
      </c>
      <c r="BL77" s="27" t="n">
        <v>1.204918</v>
      </c>
      <c r="BM77" s="28" t="n">
        <v>0.829932</v>
      </c>
      <c r="BN77" s="28" t="n">
        <v>0.821782</v>
      </c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</row>
    <row r="78" ht="36" customHeight="1">
      <c r="A78" s="24" t="inlineStr">
        <is>
          <t>bad6de5495784c26</t>
        </is>
      </c>
      <c r="B78" s="24" t="inlineStr">
        <is>
          <t>2026-07-20T16:51:29.251336Z</t>
        </is>
      </c>
      <c r="C78" s="24" t="inlineStr">
        <is>
          <t>2026-07-20T20:00:00-0400</t>
        </is>
      </c>
      <c r="D78" s="24" t="inlineStr">
        <is>
          <t>401892393</t>
        </is>
      </c>
      <c r="E78" s="24" t="inlineStr">
        <is>
          <t>WNBA</t>
        </is>
      </c>
      <c r="F78" s="24" t="inlineStr">
        <is>
          <t>New York Liberty</t>
        </is>
      </c>
      <c r="G78" s="24" t="inlineStr">
        <is>
          <t>Dallas Wings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150</v>
      </c>
      <c r="M78" s="27" t="n">
        <v>2.5</v>
      </c>
      <c r="N78" s="28" t="n">
        <v>0.4</v>
      </c>
      <c r="O78" s="28" t="n">
        <v>0.751217</v>
      </c>
      <c r="P78" s="28" t="n"/>
      <c r="Q78" s="28" t="n">
        <v>0.351217</v>
      </c>
      <c r="R78" s="26" t="n">
        <v>100</v>
      </c>
      <c r="S78" s="29" t="n">
        <v>2</v>
      </c>
      <c r="T78" s="24" t="inlineStr">
        <is>
          <t>wnba-elo-trend-lr-v3</t>
        </is>
      </c>
      <c r="U78" s="24" t="inlineStr">
        <is>
          <t>settled</t>
        </is>
      </c>
      <c r="V78" s="24" t="inlineStr">
        <is>
          <t>loss</t>
        </is>
      </c>
      <c r="W78" s="26" t="n">
        <v>99</v>
      </c>
      <c r="X78" s="26" t="n">
        <v>98</v>
      </c>
      <c r="Y78" s="25" t="n"/>
      <c r="Z78" s="26" t="n"/>
      <c r="AA78" s="28" t="n"/>
      <c r="AB78" s="28" t="n"/>
      <c r="AC78" s="30" t="n">
        <v>-2</v>
      </c>
      <c r="AD78" s="24" t="inlineStr">
        <is>
          <t>2026-07-21T03:23:03.319616Z</t>
        </is>
      </c>
      <c r="AE78" s="31" t="inlineStr">
        <is>
          <t>Learned LR call at threshold 0.5051; executable ask 0.4000 (aec-wnba-ny-dal-2026-07-20).</t>
        </is>
      </c>
      <c r="AF78" s="31" t="inlineStr">
        <is>
          <t>Learned model; promotion gate not yet open; zero-unit research until review.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NO_CALL_LARGE_DISAGREEMENT_REVIEW</t>
        </is>
      </c>
      <c r="AP78" s="24" t="inlineStr">
        <is>
          <t>wnba-nyl</t>
        </is>
      </c>
      <c r="AQ78" s="24" t="inlineStr">
        <is>
          <t>New York Liberty</t>
        </is>
      </c>
      <c r="AR78" s="24" t="inlineStr">
        <is>
          <t>New York Liberty</t>
        </is>
      </c>
      <c r="AS78" s="24" t="inlineStr">
        <is>
          <t>wnba-dal</t>
        </is>
      </c>
      <c r="AT78" s="24" t="inlineStr">
        <is>
          <t>Dallas Wings</t>
        </is>
      </c>
      <c r="AU78" s="24" t="inlineStr">
        <is>
          <t>Dallas Wings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43ee2f84f025c10f83f80a8c22d49c35c420734a8a730b5f272287225cceee4b</t>
        </is>
      </c>
      <c r="BB78" s="24" t="inlineStr">
        <is>
          <t>learned_lr</t>
        </is>
      </c>
      <c r="BC78" s="24" t="inlineStr">
        <is>
          <t>wnba-elo-trend-lr-v3</t>
        </is>
      </c>
      <c r="BD78" s="24" t="inlineStr">
        <is>
          <t>43ee2f84f025c10f83f80a8c22d49c35c420734a8a730b5f272287225cceee4b</t>
        </is>
      </c>
      <c r="BE78" s="24" t="inlineStr">
        <is>
          <t>3b474aa853a60d81</t>
        </is>
      </c>
      <c r="BF78" s="24" t="inlineStr">
        <is>
          <t>1</t>
        </is>
      </c>
      <c r="BG78" s="24" t="inlineStr">
        <is>
          <t>wnba-elo-trend-lr-v3</t>
        </is>
      </c>
      <c r="BH78" s="24" t="inlineStr">
        <is>
          <t>2026-07-20T16:50:05.640054Z</t>
        </is>
      </c>
      <c r="BI78" s="24" t="inlineStr">
        <is>
          <t>["same_event","same_team_same_day","same_league_same_day"]</t>
        </is>
      </c>
      <c r="BJ78" s="25" t="n"/>
      <c r="BK78" s="26" t="n">
        <v>150</v>
      </c>
      <c r="BL78" s="27" t="n">
        <v>2.5</v>
      </c>
      <c r="BM78" s="28" t="n">
        <v>0.4</v>
      </c>
      <c r="BN78" s="28" t="n">
        <v>0.39604</v>
      </c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</row>
    <row r="79" ht="36" customHeight="1">
      <c r="A79" s="24" t="inlineStr">
        <is>
          <t>1448d26963064074</t>
        </is>
      </c>
      <c r="B79" s="24" t="inlineStr">
        <is>
          <t>2026-07-20T16:51:29.251336Z</t>
        </is>
      </c>
      <c r="C79" s="24" t="inlineStr">
        <is>
          <t>2026-07-20T22:00:00-0400</t>
        </is>
      </c>
      <c r="D79" s="24" t="inlineStr">
        <is>
          <t>401857084</t>
        </is>
      </c>
      <c r="E79" s="24" t="inlineStr">
        <is>
          <t>WNBA</t>
        </is>
      </c>
      <c r="F79" s="24" t="inlineStr">
        <is>
          <t>Washington Mystics</t>
        </is>
      </c>
      <c r="G79" s="24" t="inlineStr">
        <is>
          <t>Golden State Valkyries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-317</v>
      </c>
      <c r="M79" s="27" t="n">
        <v>1.315457</v>
      </c>
      <c r="N79" s="28" t="n">
        <v>0.760192</v>
      </c>
      <c r="O79" s="28" t="n">
        <v>0.750463</v>
      </c>
      <c r="P79" s="28" t="n"/>
      <c r="Q79" s="28" t="n">
        <v>-0.009729</v>
      </c>
      <c r="R79" s="26" t="n">
        <v>15</v>
      </c>
      <c r="S79" s="29" t="n">
        <v>2</v>
      </c>
      <c r="T79" s="24" t="inlineStr">
        <is>
          <t>wnba-elo-trend-lr-v3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Learned LR call at threshold 0.5051; executable ask 0.7600 (aec-wnba-wsh-gsv-2026-07-20).</t>
        </is>
      </c>
      <c r="AF79" s="31" t="inlineStr">
        <is>
          <t>Learned model; promotion gate not yet open; zero-unit research until review.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NO_CALL_LOW_EDGE</t>
        </is>
      </c>
      <c r="AP79" s="24" t="inlineStr">
        <is>
          <t>wnba-was</t>
        </is>
      </c>
      <c r="AQ79" s="24" t="inlineStr">
        <is>
          <t>Washington Mystics</t>
        </is>
      </c>
      <c r="AR79" s="24" t="inlineStr">
        <is>
          <t>Washington Mystics</t>
        </is>
      </c>
      <c r="AS79" s="24" t="inlineStr">
        <is>
          <t>wnba-gsv</t>
        </is>
      </c>
      <c r="AT79" s="24" t="inlineStr">
        <is>
          <t>Golden State Valkyries</t>
        </is>
      </c>
      <c r="AU79" s="24" t="inlineStr">
        <is>
          <t>Golden State Valkyries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43ee2f84f025c10f83f80a8c22d49c35c420734a8a730b5f272287225cceee4b</t>
        </is>
      </c>
      <c r="BB79" s="24" t="inlineStr">
        <is>
          <t>learned_lr</t>
        </is>
      </c>
      <c r="BC79" s="24" t="inlineStr">
        <is>
          <t>wnba-elo-trend-lr-v3</t>
        </is>
      </c>
      <c r="BD79" s="24" t="inlineStr">
        <is>
          <t>43ee2f84f025c10f83f80a8c22d49c35c420734a8a730b5f272287225cceee4b</t>
        </is>
      </c>
      <c r="BE79" s="24" t="inlineStr">
        <is>
          <t>a82314f65618b567</t>
        </is>
      </c>
      <c r="BF79" s="24" t="inlineStr">
        <is>
          <t>1</t>
        </is>
      </c>
      <c r="BG79" s="24" t="inlineStr">
        <is>
          <t>wnba-elo-trend-lr-v3</t>
        </is>
      </c>
      <c r="BH79" s="24" t="inlineStr">
        <is>
          <t>2026-07-20T16:50:08.487466Z</t>
        </is>
      </c>
      <c r="BI79" s="24" t="inlineStr">
        <is>
          <t>["same_event","same_team_same_day","same_league_same_day"]</t>
        </is>
      </c>
      <c r="BJ79" s="25" t="n"/>
      <c r="BK79" s="26" t="n">
        <v>-317</v>
      </c>
      <c r="BL79" s="27" t="n">
        <v>1.315457</v>
      </c>
      <c r="BM79" s="28" t="n">
        <v>0.760192</v>
      </c>
      <c r="BN79" s="28" t="n">
        <v>0.752475</v>
      </c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</row>
    <row r="80" ht="36" customHeight="1">
      <c r="A80" s="24" t="inlineStr">
        <is>
          <t>88b26afefe2f4e23</t>
        </is>
      </c>
      <c r="B80" s="24" t="inlineStr">
        <is>
          <t>2026-07-20T16:51:29.251336Z</t>
        </is>
      </c>
      <c r="C80" s="24" t="inlineStr">
        <is>
          <t>2026-07-20T22:00:00-0400</t>
        </is>
      </c>
      <c r="D80" s="24" t="inlineStr">
        <is>
          <t>401857085</t>
        </is>
      </c>
      <c r="E80" s="24" t="inlineStr">
        <is>
          <t>WNBA</t>
        </is>
      </c>
      <c r="F80" s="24" t="inlineStr">
        <is>
          <t>Minnesota Lynx</t>
        </is>
      </c>
      <c r="G80" s="24" t="inlineStr">
        <is>
          <t>Seattle Storm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-426</v>
      </c>
      <c r="M80" s="27" t="n">
        <v>1.234742</v>
      </c>
      <c r="N80" s="28" t="n">
        <v>0.809886</v>
      </c>
      <c r="O80" s="28" t="n">
        <v>0.738843</v>
      </c>
      <c r="P80" s="28" t="n"/>
      <c r="Q80" s="28" t="n">
        <v>-0.071043</v>
      </c>
      <c r="R80" s="26" t="n">
        <v>0</v>
      </c>
      <c r="S80" s="29" t="n">
        <v>2</v>
      </c>
      <c r="T80" s="24" t="inlineStr">
        <is>
          <t>wnba-elo-trend-lr-v3</t>
        </is>
      </c>
      <c r="U80" s="24" t="inlineStr">
        <is>
          <t>open</t>
        </is>
      </c>
      <c r="V80" s="24" t="n"/>
      <c r="W80" s="26" t="n"/>
      <c r="X80" s="26" t="n"/>
      <c r="Y80" s="25" t="n"/>
      <c r="Z80" s="26" t="n"/>
      <c r="AA80" s="28" t="n"/>
      <c r="AB80" s="28" t="n"/>
      <c r="AC80" s="30" t="n"/>
      <c r="AD80" s="24" t="n"/>
      <c r="AE80" s="31" t="inlineStr">
        <is>
          <t>Learned LR call at threshold 0.5051; executable ask 0.8100 (aec-wnba-min-sea-2026-07-20).</t>
        </is>
      </c>
      <c r="AF80" s="31" t="inlineStr">
        <is>
          <t>Learned model; promotion gate not yet open; zero-unit research until review.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wnba-min</t>
        </is>
      </c>
      <c r="AQ80" s="24" t="inlineStr">
        <is>
          <t>Minnesota Lynx</t>
        </is>
      </c>
      <c r="AR80" s="24" t="inlineStr">
        <is>
          <t>Minnesota Lynx</t>
        </is>
      </c>
      <c r="AS80" s="24" t="inlineStr">
        <is>
          <t>wnba-sea</t>
        </is>
      </c>
      <c r="AT80" s="24" t="inlineStr">
        <is>
          <t>Seattle Storm</t>
        </is>
      </c>
      <c r="AU80" s="24" t="inlineStr">
        <is>
          <t>Seattle Storm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43ee2f84f025c10f83f80a8c22d49c35c420734a8a730b5f272287225cceee4b</t>
        </is>
      </c>
      <c r="BB80" s="24" t="inlineStr">
        <is>
          <t>learned_lr</t>
        </is>
      </c>
      <c r="BC80" s="24" t="inlineStr">
        <is>
          <t>wnba-elo-trend-lr-v3</t>
        </is>
      </c>
      <c r="BD80" s="24" t="inlineStr">
        <is>
          <t>43ee2f84f025c10f83f80a8c22d49c35c420734a8a730b5f272287225cceee4b</t>
        </is>
      </c>
      <c r="BE80" s="24" t="inlineStr">
        <is>
          <t>c7928758cc04b6e5</t>
        </is>
      </c>
      <c r="BF80" s="24" t="inlineStr">
        <is>
          <t>1</t>
        </is>
      </c>
      <c r="BG80" s="24" t="inlineStr">
        <is>
          <t>wnba-elo-trend-lr-v3</t>
        </is>
      </c>
      <c r="BH80" s="24" t="inlineStr">
        <is>
          <t>2026-07-20T16:50:09.431257Z</t>
        </is>
      </c>
      <c r="BI80" s="24" t="inlineStr">
        <is>
          <t>["same_event","same_team_same_day","same_league_same_day"]</t>
        </is>
      </c>
      <c r="BJ80" s="25" t="n"/>
      <c r="BK80" s="26" t="n">
        <v>-426</v>
      </c>
      <c r="BL80" s="27" t="n">
        <v>1.234742</v>
      </c>
      <c r="BM80" s="28" t="n">
        <v>0.809886</v>
      </c>
      <c r="BN80" s="28" t="n">
        <v>0.80198</v>
      </c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</row>
    <row r="81" ht="36" customHeight="1">
      <c r="A81" s="24" t="inlineStr">
        <is>
          <t>00698bf5e8b946c3</t>
        </is>
      </c>
      <c r="B81" s="24" t="inlineStr">
        <is>
          <t>2026-07-20T23:55:06.227542Z</t>
        </is>
      </c>
      <c r="C81" s="24" t="inlineStr">
        <is>
          <t>2026-07-21T00:00:00Z</t>
        </is>
      </c>
      <c r="D81" s="24" t="inlineStr">
        <is>
          <t>54745</t>
        </is>
      </c>
      <c r="E81" s="24" t="inlineStr">
        <is>
          <t>LOL</t>
        </is>
      </c>
      <c r="F81" s="24" t="inlineStr">
        <is>
          <t>paiN Gaming Academy</t>
        </is>
      </c>
      <c r="G81" s="24" t="inlineStr">
        <is>
          <t>Estral Esports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203</v>
      </c>
      <c r="M81" s="27" t="n">
        <v>3.03</v>
      </c>
      <c r="N81" s="28" t="n">
        <v>0.330033</v>
      </c>
      <c r="O81" s="28" t="n">
        <v>0.619265</v>
      </c>
      <c r="P81" s="28" t="n"/>
      <c r="Q81" s="28" t="n">
        <v>0.289265</v>
      </c>
      <c r="R81" s="26" t="n">
        <v>100</v>
      </c>
      <c r="S81" s="29" t="n">
        <v>1.75</v>
      </c>
      <c r="T81" s="24" t="inlineStr">
        <is>
          <t>lol-neutral-series-elo-v1</t>
        </is>
      </c>
      <c r="U81" s="24" t="inlineStr">
        <is>
          <t>open</t>
        </is>
      </c>
      <c r="V81" s="24" t="n"/>
      <c r="W81" s="26" t="n"/>
      <c r="X81" s="26" t="n"/>
      <c r="Y81" s="25" t="n"/>
      <c r="Z81" s="26" t="n"/>
      <c r="AA81" s="28" t="n"/>
      <c r="AB81" s="28" t="n"/>
      <c r="AC81" s="30" t="n"/>
      <c r="AD81" s="24" t="n"/>
      <c r="AE81" s="31" t="inlineStr">
        <is>
          <t>Neutral Elo baseline; executable ask 0.3300 (aec-lol-est-pnga-2026-07-21).</t>
        </is>
      </c>
      <c r="AF81" s="31" t="inlineStr">
        <is>
          <t>Research baseline; zero-unit shadow until qualified.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paiN Gaming Academy</t>
        </is>
      </c>
      <c r="AQ81" s="24" t="inlineStr">
        <is>
          <t>paiN Gaming Academy</t>
        </is>
      </c>
      <c r="AR81" s="24" t="inlineStr">
        <is>
          <t>paiN Gaming Academy</t>
        </is>
      </c>
      <c r="AS81" s="24" t="inlineStr">
        <is>
          <t>Estral Esports</t>
        </is>
      </c>
      <c r="AT81" s="24" t="inlineStr">
        <is>
          <t>Estral Esports</t>
        </is>
      </c>
      <c r="AU81" s="24" t="inlineStr">
        <is>
          <t>Estral Esports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82612f1b27d5065af8d70fd6669509ff00dc1c7e3a91bb423192bf3b0a9736ce</t>
        </is>
      </c>
      <c r="BB81" s="24" t="inlineStr">
        <is>
          <t>neutral_elo</t>
        </is>
      </c>
      <c r="BC81" s="24" t="inlineStr">
        <is>
          <t>lol-neutral-series-elo-v1</t>
        </is>
      </c>
      <c r="BD81" s="24" t="inlineStr">
        <is>
          <t>82612f1b27d5065af8d70fd6669509ff00dc1c7e3a91bb423192bf3b0a9736ce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unknown</t>
        </is>
      </c>
      <c r="BH81" s="24" t="inlineStr">
        <is>
          <t>2026-07-20T23:55:06.227542Z</t>
        </is>
      </c>
      <c r="BI81" s="24" t="inlineStr">
        <is>
          <t>["same_event","same_team_same_day","same_league_same_day"]</t>
        </is>
      </c>
      <c r="BJ81" s="25" t="n"/>
      <c r="BK81" s="26" t="n">
        <v>203</v>
      </c>
      <c r="BL81" s="27" t="n">
        <v>3.03</v>
      </c>
      <c r="BM81" s="28" t="n">
        <v>0.330033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</row>
    <row r="82" ht="36" customHeight="1">
      <c r="A82" s="24" t="inlineStr">
        <is>
          <t>304f05c6457d411c</t>
        </is>
      </c>
      <c r="B82" s="24" t="inlineStr">
        <is>
          <t>2026-07-20T23:55:06.590534Z</t>
        </is>
      </c>
      <c r="C82" s="24" t="inlineStr">
        <is>
          <t>2026-07-21T06:00:00Z</t>
        </is>
      </c>
      <c r="D82" s="24" t="inlineStr">
        <is>
          <t>54870</t>
        </is>
      </c>
      <c r="E82" s="24" t="inlineStr">
        <is>
          <t>LOL</t>
        </is>
      </c>
      <c r="F82" s="24" t="inlineStr">
        <is>
          <t>Hanwha Life Esports</t>
        </is>
      </c>
      <c r="G82" s="24" t="inlineStr">
        <is>
          <t>Gen.G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100</v>
      </c>
      <c r="M82" s="27" t="n">
        <v>2</v>
      </c>
      <c r="N82" s="28" t="n">
        <v>0.5</v>
      </c>
      <c r="O82" s="28" t="n">
        <v>0.685001</v>
      </c>
      <c r="P82" s="28" t="n"/>
      <c r="Q82" s="28" t="n">
        <v>0.185001</v>
      </c>
      <c r="R82" s="26" t="n">
        <v>100</v>
      </c>
      <c r="S82" s="29" t="n">
        <v>2</v>
      </c>
      <c r="T82" s="24" t="inlineStr">
        <is>
          <t>lol-neutral-series-elo-v1</t>
        </is>
      </c>
      <c r="U82" s="24" t="inlineStr">
        <is>
          <t>open</t>
        </is>
      </c>
      <c r="V82" s="24" t="n"/>
      <c r="W82" s="26" t="n"/>
      <c r="X82" s="26" t="n"/>
      <c r="Y82" s="25" t="n"/>
      <c r="Z82" s="26" t="n"/>
      <c r="AA82" s="28" t="n"/>
      <c r="AB82" s="28" t="n"/>
      <c r="AC82" s="30" t="n"/>
      <c r="AD82" s="24" t="n"/>
      <c r="AE82" s="31" t="inlineStr">
        <is>
          <t>Neutral Elo baseline; executable ask 0.5000 (aec-lol-gen-hle-2026-07-21).</t>
        </is>
      </c>
      <c r="AF82" s="31" t="inlineStr">
        <is>
          <t>Research baseline; zero-unit shadow until qualified.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Hanwha Life Esports</t>
        </is>
      </c>
      <c r="AQ82" s="24" t="inlineStr">
        <is>
          <t>Hanwha Life Esports</t>
        </is>
      </c>
      <c r="AR82" s="24" t="inlineStr">
        <is>
          <t>Hanwha Life Esports</t>
        </is>
      </c>
      <c r="AS82" s="24" t="inlineStr">
        <is>
          <t>Gen.G</t>
        </is>
      </c>
      <c r="AT82" s="24" t="inlineStr">
        <is>
          <t>Gen.G</t>
        </is>
      </c>
      <c r="AU82" s="24" t="inlineStr">
        <is>
          <t>Gen.G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82612f1b27d5065af8d70fd6669509ff00dc1c7e3a91bb423192bf3b0a9736ce</t>
        </is>
      </c>
      <c r="BB82" s="24" t="inlineStr">
        <is>
          <t>neutral_elo</t>
        </is>
      </c>
      <c r="BC82" s="24" t="inlineStr">
        <is>
          <t>lol-neutral-series-elo-v1</t>
        </is>
      </c>
      <c r="BD82" s="24" t="inlineStr">
        <is>
          <t>82612f1b27d5065af8d70fd6669509ff00dc1c7e3a91bb423192bf3b0a9736ce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unknown</t>
        </is>
      </c>
      <c r="BH82" s="24" t="inlineStr">
        <is>
          <t>2026-07-20T23:55:06.590534Z</t>
        </is>
      </c>
      <c r="BI82" s="24" t="inlineStr">
        <is>
          <t>["same_event","same_team_same_day","same_league_same_day"]</t>
        </is>
      </c>
      <c r="BJ82" s="25" t="n"/>
      <c r="BK82" s="26" t="n">
        <v>100</v>
      </c>
      <c r="BL82" s="27" t="n">
        <v>2</v>
      </c>
      <c r="BM82" s="28" t="n">
        <v>0.5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</row>
    <row r="83" ht="36" customHeight="1">
      <c r="A83" s="24" t="inlineStr">
        <is>
          <t>15b4cbec2a9a47d3</t>
        </is>
      </c>
      <c r="B83" s="24" t="inlineStr">
        <is>
          <t>2026-07-20T23:55:06.953203Z</t>
        </is>
      </c>
      <c r="C83" s="24" t="inlineStr">
        <is>
          <t>2026-07-21T06:45:00Z</t>
        </is>
      </c>
      <c r="D83" s="24" t="inlineStr">
        <is>
          <t>54872</t>
        </is>
      </c>
      <c r="E83" s="24" t="inlineStr">
        <is>
          <t>LOL</t>
        </is>
      </c>
      <c r="F83" s="24" t="inlineStr">
        <is>
          <t>Dplus KIA</t>
        </is>
      </c>
      <c r="G83" s="24" t="inlineStr">
        <is>
          <t>BNK FEARX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-186</v>
      </c>
      <c r="M83" s="27" t="n">
        <v>1.537634</v>
      </c>
      <c r="N83" s="28" t="n">
        <v>0.65035</v>
      </c>
      <c r="O83" s="28" t="n">
        <v>0.743682</v>
      </c>
      <c r="P83" s="28" t="n"/>
      <c r="Q83" s="28" t="n">
        <v>0.093682</v>
      </c>
      <c r="R83" s="26" t="n">
        <v>93</v>
      </c>
      <c r="S83" s="29" t="n">
        <v>2</v>
      </c>
      <c r="T83" s="24" t="inlineStr">
        <is>
          <t>lol-neutral-series-elo-v1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Neutral Elo baseline; executable ask 0.6500 (aec-lol-bfx-dk-2026-07-21).</t>
        </is>
      </c>
      <c r="AF83" s="31" t="inlineStr">
        <is>
          <t>Research baseline; zero-unit shadow until qualified.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Dplus KIA</t>
        </is>
      </c>
      <c r="AQ83" s="24" t="inlineStr">
        <is>
          <t>Dplus KIA</t>
        </is>
      </c>
      <c r="AR83" s="24" t="inlineStr">
        <is>
          <t>Dplus KIA</t>
        </is>
      </c>
      <c r="AS83" s="24" t="inlineStr">
        <is>
          <t>BNK FEARX</t>
        </is>
      </c>
      <c r="AT83" s="24" t="inlineStr">
        <is>
          <t>BNK FEARX</t>
        </is>
      </c>
      <c r="AU83" s="24" t="inlineStr">
        <is>
          <t>BNK FEARX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82612f1b27d5065af8d70fd6669509ff00dc1c7e3a91bb423192bf3b0a9736ce</t>
        </is>
      </c>
      <c r="BB83" s="24" t="inlineStr">
        <is>
          <t>neutral_elo</t>
        </is>
      </c>
      <c r="BC83" s="24" t="inlineStr">
        <is>
          <t>lol-neutral-series-elo-v1</t>
        </is>
      </c>
      <c r="BD83" s="24" t="inlineStr">
        <is>
          <t>82612f1b27d5065af8d70fd6669509ff00dc1c7e3a91bb423192bf3b0a9736ce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unknown</t>
        </is>
      </c>
      <c r="BH83" s="24" t="inlineStr">
        <is>
          <t>2026-07-20T23:55:06.953203Z</t>
        </is>
      </c>
      <c r="BI83" s="24" t="inlineStr">
        <is>
          <t>["same_event","same_team_same_day","same_league_same_day"]</t>
        </is>
      </c>
      <c r="BJ83" s="25" t="n"/>
      <c r="BK83" s="26" t="n">
        <v>-186</v>
      </c>
      <c r="BL83" s="27" t="n">
        <v>1.537634</v>
      </c>
      <c r="BM83" s="28" t="n">
        <v>0.65035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</row>
    <row r="84" ht="36" customHeight="1">
      <c r="A84" s="24" t="inlineStr">
        <is>
          <t>977a137a53e145e3</t>
        </is>
      </c>
      <c r="B84" s="24" t="inlineStr">
        <is>
          <t>2026-07-20T23:55:07.323848Z</t>
        </is>
      </c>
      <c r="C84" s="24" t="inlineStr">
        <is>
          <t>2026-07-21T07:30:00Z</t>
        </is>
      </c>
      <c r="D84" s="24" t="inlineStr">
        <is>
          <t>54874</t>
        </is>
      </c>
      <c r="E84" s="24" t="inlineStr">
        <is>
          <t>LOL</t>
        </is>
      </c>
      <c r="F84" s="24" t="inlineStr">
        <is>
          <t>T1</t>
        </is>
      </c>
      <c r="G84" s="24" t="inlineStr">
        <is>
          <t>Gen.G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117</v>
      </c>
      <c r="M84" s="27" t="n">
        <v>2.17</v>
      </c>
      <c r="N84" s="28" t="n">
        <v>0.460829</v>
      </c>
      <c r="O84" s="28" t="n">
        <v>0.708943</v>
      </c>
      <c r="P84" s="28" t="n"/>
      <c r="Q84" s="28" t="n">
        <v>0.248943</v>
      </c>
      <c r="R84" s="26" t="n">
        <v>100</v>
      </c>
      <c r="S84" s="29" t="n">
        <v>2</v>
      </c>
      <c r="T84" s="24" t="inlineStr">
        <is>
          <t>lol-neutral-series-elo-v1</t>
        </is>
      </c>
      <c r="U84" s="24" t="inlineStr">
        <is>
          <t>open</t>
        </is>
      </c>
      <c r="V84" s="24" t="n"/>
      <c r="W84" s="26" t="n"/>
      <c r="X84" s="26" t="n"/>
      <c r="Y84" s="25" t="n"/>
      <c r="Z84" s="26" t="n"/>
      <c r="AA84" s="28" t="n"/>
      <c r="AB84" s="28" t="n"/>
      <c r="AC84" s="30" t="n"/>
      <c r="AD84" s="24" t="n"/>
      <c r="AE84" s="31" t="inlineStr">
        <is>
          <t>Neutral Elo baseline; executable ask 0.4600 (aec-lol-gen-t1-2026-07-21).</t>
        </is>
      </c>
      <c r="AF84" s="31" t="inlineStr">
        <is>
          <t>Research baseline; zero-unit shadow until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T1</t>
        </is>
      </c>
      <c r="AQ84" s="24" t="inlineStr">
        <is>
          <t>T1</t>
        </is>
      </c>
      <c r="AR84" s="24" t="inlineStr">
        <is>
          <t>T1</t>
        </is>
      </c>
      <c r="AS84" s="24" t="inlineStr">
        <is>
          <t>Gen.G</t>
        </is>
      </c>
      <c r="AT84" s="24" t="inlineStr">
        <is>
          <t>Gen.G</t>
        </is>
      </c>
      <c r="AU84" s="24" t="inlineStr">
        <is>
          <t>Gen.G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82612f1b27d5065af8d70fd6669509ff00dc1c7e3a91bb423192bf3b0a9736ce</t>
        </is>
      </c>
      <c r="BB84" s="24" t="inlineStr">
        <is>
          <t>neutral_elo</t>
        </is>
      </c>
      <c r="BC84" s="24" t="inlineStr">
        <is>
          <t>lol-neutral-series-elo-v1</t>
        </is>
      </c>
      <c r="BD84" s="24" t="inlineStr">
        <is>
          <t>82612f1b27d5065af8d70fd6669509ff00dc1c7e3a91bb423192bf3b0a9736ce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unknown</t>
        </is>
      </c>
      <c r="BH84" s="24" t="inlineStr">
        <is>
          <t>2026-07-20T23:55:07.323848Z</t>
        </is>
      </c>
      <c r="BI84" s="24" t="inlineStr">
        <is>
          <t>["same_event","same_team_same_day","same_league_same_day"]</t>
        </is>
      </c>
      <c r="BJ84" s="25" t="n"/>
      <c r="BK84" s="26" t="n">
        <v>117</v>
      </c>
      <c r="BL84" s="27" t="n">
        <v>2.17</v>
      </c>
      <c r="BM84" s="28" t="n">
        <v>0.460829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</row>
    <row r="85" ht="36" customHeight="1">
      <c r="A85" s="24" t="inlineStr">
        <is>
          <t>d5685e57f4b4409a</t>
        </is>
      </c>
      <c r="B85" s="24" t="inlineStr">
        <is>
          <t>2026-07-20T23:55:07.804796Z</t>
        </is>
      </c>
      <c r="C85" s="24" t="inlineStr">
        <is>
          <t>2026-07-21T08:15:00Z</t>
        </is>
      </c>
      <c r="D85" s="24" t="inlineStr">
        <is>
          <t>54877</t>
        </is>
      </c>
      <c r="E85" s="24" t="inlineStr">
        <is>
          <t>LOL</t>
        </is>
      </c>
      <c r="F85" s="24" t="inlineStr">
        <is>
          <t>Dplus KIA</t>
        </is>
      </c>
      <c r="G85" s="24" t="inlineStr">
        <is>
          <t>KT Rolster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122</v>
      </c>
      <c r="M85" s="27" t="n">
        <v>2.22</v>
      </c>
      <c r="N85" s="28" t="n">
        <v>0.45045</v>
      </c>
      <c r="O85" s="28" t="n">
        <v>0.678236</v>
      </c>
      <c r="P85" s="28" t="n"/>
      <c r="Q85" s="28" t="n">
        <v>0.228236</v>
      </c>
      <c r="R85" s="26" t="n">
        <v>100</v>
      </c>
      <c r="S85" s="29" t="n">
        <v>2</v>
      </c>
      <c r="T85" s="24" t="inlineStr">
        <is>
          <t>lol-neutral-series-elo-v1</t>
        </is>
      </c>
      <c r="U85" s="24" t="inlineStr">
        <is>
          <t>open</t>
        </is>
      </c>
      <c r="V85" s="24" t="n"/>
      <c r="W85" s="26" t="n"/>
      <c r="X85" s="26" t="n"/>
      <c r="Y85" s="25" t="n"/>
      <c r="Z85" s="26" t="n"/>
      <c r="AA85" s="28" t="n"/>
      <c r="AB85" s="28" t="n"/>
      <c r="AC85" s="30" t="n"/>
      <c r="AD85" s="24" t="n"/>
      <c r="AE85" s="31" t="inlineStr">
        <is>
          <t>Neutral Elo baseline; executable ask 0.4500 (aec-lol-kt-dk-2026-07-21).</t>
        </is>
      </c>
      <c r="AF85" s="31" t="inlineStr">
        <is>
          <t>Research baseline; zero-unit shadow until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Dplus KIA</t>
        </is>
      </c>
      <c r="AQ85" s="24" t="inlineStr">
        <is>
          <t>Dplus KIA</t>
        </is>
      </c>
      <c r="AR85" s="24" t="inlineStr">
        <is>
          <t>Dplus KIA</t>
        </is>
      </c>
      <c r="AS85" s="24" t="inlineStr">
        <is>
          <t>KT Rolster</t>
        </is>
      </c>
      <c r="AT85" s="24" t="inlineStr">
        <is>
          <t>KT Rolster</t>
        </is>
      </c>
      <c r="AU85" s="24" t="inlineStr">
        <is>
          <t>KT Rolster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82612f1b27d5065af8d70fd6669509ff00dc1c7e3a91bb423192bf3b0a9736ce</t>
        </is>
      </c>
      <c r="BB85" s="24" t="inlineStr">
        <is>
          <t>neutral_elo</t>
        </is>
      </c>
      <c r="BC85" s="24" t="inlineStr">
        <is>
          <t>lol-neutral-series-elo-v1</t>
        </is>
      </c>
      <c r="BD85" s="24" t="inlineStr">
        <is>
          <t>82612f1b27d5065af8d70fd6669509ff00dc1c7e3a91bb423192bf3b0a9736ce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unknown</t>
        </is>
      </c>
      <c r="BH85" s="24" t="inlineStr">
        <is>
          <t>2026-07-20T23:55:07.804796Z</t>
        </is>
      </c>
      <c r="BI85" s="24" t="inlineStr">
        <is>
          <t>["same_event","same_team_same_day","same_league_same_day"]</t>
        </is>
      </c>
      <c r="BJ85" s="25" t="n"/>
      <c r="BK85" s="26" t="n">
        <v>122</v>
      </c>
      <c r="BL85" s="27" t="n">
        <v>2.22</v>
      </c>
      <c r="BM85" s="28" t="n">
        <v>0.45045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</row>
    <row r="86" ht="36" customHeight="1">
      <c r="A86" s="24" t="inlineStr">
        <is>
          <t>dab9c880f7034c2f</t>
        </is>
      </c>
      <c r="B86" s="24" t="inlineStr">
        <is>
          <t>2026-07-20T23:55:08.377761Z</t>
        </is>
      </c>
      <c r="C86" s="24" t="inlineStr">
        <is>
          <t>2026-07-21T09:00:00Z</t>
        </is>
      </c>
      <c r="D86" s="24" t="inlineStr">
        <is>
          <t>54883</t>
        </is>
      </c>
      <c r="E86" s="24" t="inlineStr">
        <is>
          <t>LOL</t>
        </is>
      </c>
      <c r="F86" s="24" t="inlineStr">
        <is>
          <t>Gen.G</t>
        </is>
      </c>
      <c r="G86" s="24" t="inlineStr">
        <is>
          <t>HANJIN BRION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100</v>
      </c>
      <c r="M86" s="27" t="n">
        <v>2</v>
      </c>
      <c r="N86" s="28" t="n">
        <v>0.5</v>
      </c>
      <c r="O86" s="28" t="n">
        <v>0.75</v>
      </c>
      <c r="P86" s="28" t="n"/>
      <c r="Q86" s="28" t="n">
        <v>0.25</v>
      </c>
      <c r="R86" s="26" t="n">
        <v>100</v>
      </c>
      <c r="S86" s="29" t="n">
        <v>2</v>
      </c>
      <c r="T86" s="24" t="inlineStr">
        <is>
          <t>lol-neutral-series-elo-v1</t>
        </is>
      </c>
      <c r="U86" s="24" t="inlineStr">
        <is>
          <t>open</t>
        </is>
      </c>
      <c r="V86" s="24" t="n"/>
      <c r="W86" s="26" t="n"/>
      <c r="X86" s="26" t="n"/>
      <c r="Y86" s="25" t="n"/>
      <c r="Z86" s="26" t="n"/>
      <c r="AA86" s="28" t="n"/>
      <c r="AB86" s="28" t="n"/>
      <c r="AC86" s="30" t="n"/>
      <c r="AD86" s="24" t="n"/>
      <c r="AE86" s="31" t="inlineStr">
        <is>
          <t>Neutral Elo baseline; executable ask 0.5000 (aec-lol-bro-gen-2026-07-21).</t>
        </is>
      </c>
      <c r="AF86" s="31" t="inlineStr">
        <is>
          <t>Research baseline; zero-unit shadow until qualified.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Gen.G</t>
        </is>
      </c>
      <c r="AQ86" s="24" t="inlineStr">
        <is>
          <t>Gen.G</t>
        </is>
      </c>
      <c r="AR86" s="24" t="inlineStr">
        <is>
          <t>Gen.G</t>
        </is>
      </c>
      <c r="AS86" s="24" t="inlineStr">
        <is>
          <t>HANJIN BRION</t>
        </is>
      </c>
      <c r="AT86" s="24" t="inlineStr">
        <is>
          <t>HANJIN BRION</t>
        </is>
      </c>
      <c r="AU86" s="24" t="inlineStr">
        <is>
          <t>HANJIN BRION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82612f1b27d5065af8d70fd6669509ff00dc1c7e3a91bb423192bf3b0a9736ce</t>
        </is>
      </c>
      <c r="BB86" s="24" t="inlineStr">
        <is>
          <t>neutral_elo</t>
        </is>
      </c>
      <c r="BC86" s="24" t="inlineStr">
        <is>
          <t>lol-neutral-series-elo-v1</t>
        </is>
      </c>
      <c r="BD86" s="24" t="inlineStr">
        <is>
          <t>82612f1b27d5065af8d70fd6669509ff00dc1c7e3a91bb423192bf3b0a9736ce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unknown</t>
        </is>
      </c>
      <c r="BH86" s="24" t="inlineStr">
        <is>
          <t>2026-07-20T23:55:08.377761Z</t>
        </is>
      </c>
      <c r="BI86" s="24" t="inlineStr">
        <is>
          <t>["same_event","same_team_same_day","same_league_same_day"]</t>
        </is>
      </c>
      <c r="BJ86" s="25" t="n"/>
      <c r="BK86" s="26" t="n">
        <v>100</v>
      </c>
      <c r="BL86" s="27" t="n">
        <v>2</v>
      </c>
      <c r="BM86" s="28" t="n">
        <v>0.5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</row>
    <row r="87" ht="36" customHeight="1">
      <c r="A87" s="24" t="inlineStr">
        <is>
          <t>868b9946f6f2482c</t>
        </is>
      </c>
      <c r="B87" s="24" t="inlineStr">
        <is>
          <t>2026-07-20T23:55:09.205293Z</t>
        </is>
      </c>
      <c r="C87" s="24" t="inlineStr">
        <is>
          <t>2026-07-21T09:45:00Z</t>
        </is>
      </c>
      <c r="D87" s="24" t="inlineStr">
        <is>
          <t>54930</t>
        </is>
      </c>
      <c r="E87" s="24" t="inlineStr">
        <is>
          <t>LOL</t>
        </is>
      </c>
      <c r="F87" s="24" t="inlineStr">
        <is>
          <t>Nongshim Red Force</t>
        </is>
      </c>
      <c r="G87" s="24" t="inlineStr">
        <is>
          <t>Hanwha Life Esports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108</v>
      </c>
      <c r="M87" s="27" t="n">
        <v>2.08</v>
      </c>
      <c r="N87" s="28" t="n">
        <v>0.480769</v>
      </c>
      <c r="O87" s="28" t="n">
        <v>0.749995</v>
      </c>
      <c r="P87" s="28" t="n"/>
      <c r="Q87" s="28" t="n">
        <v>0.269995</v>
      </c>
      <c r="R87" s="26" t="n">
        <v>100</v>
      </c>
      <c r="S87" s="29" t="n">
        <v>2</v>
      </c>
      <c r="T87" s="24" t="inlineStr">
        <is>
          <t>lol-neutral-series-elo-v1</t>
        </is>
      </c>
      <c r="U87" s="24" t="inlineStr">
        <is>
          <t>open</t>
        </is>
      </c>
      <c r="V87" s="24" t="n"/>
      <c r="W87" s="26" t="n"/>
      <c r="X87" s="26" t="n"/>
      <c r="Y87" s="25" t="n"/>
      <c r="Z87" s="26" t="n"/>
      <c r="AA87" s="28" t="n"/>
      <c r="AB87" s="28" t="n"/>
      <c r="AC87" s="30" t="n"/>
      <c r="AD87" s="24" t="n"/>
      <c r="AE87" s="31" t="inlineStr">
        <is>
          <t>Neutral Elo baseline; executable ask 0.4800 (aec-lol-hle-ns-2026-07-21).</t>
        </is>
      </c>
      <c r="AF87" s="31" t="inlineStr">
        <is>
          <t>Research baseline; zero-unit shadow until qualified.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Nongshim Red Force</t>
        </is>
      </c>
      <c r="AQ87" s="24" t="inlineStr">
        <is>
          <t>Nongshim Red Force</t>
        </is>
      </c>
      <c r="AR87" s="24" t="inlineStr">
        <is>
          <t>Nongshim Red Force</t>
        </is>
      </c>
      <c r="AS87" s="24" t="inlineStr">
        <is>
          <t>Hanwha Life Esports</t>
        </is>
      </c>
      <c r="AT87" s="24" t="inlineStr">
        <is>
          <t>Hanwha Life Esports</t>
        </is>
      </c>
      <c r="AU87" s="24" t="inlineStr">
        <is>
          <t>Hanwha Life Esports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82612f1b27d5065af8d70fd6669509ff00dc1c7e3a91bb423192bf3b0a9736ce</t>
        </is>
      </c>
      <c r="BB87" s="24" t="inlineStr">
        <is>
          <t>neutral_elo</t>
        </is>
      </c>
      <c r="BC87" s="24" t="inlineStr">
        <is>
          <t>lol-neutral-series-elo-v1</t>
        </is>
      </c>
      <c r="BD87" s="24" t="inlineStr">
        <is>
          <t>82612f1b27d5065af8d70fd6669509ff00dc1c7e3a91bb423192bf3b0a9736ce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unknown</t>
        </is>
      </c>
      <c r="BH87" s="24" t="inlineStr">
        <is>
          <t>2026-07-20T23:55:09.205293Z</t>
        </is>
      </c>
      <c r="BI87" s="24" t="inlineStr">
        <is>
          <t>["same_event","same_team_same_day","same_league_same_day"]</t>
        </is>
      </c>
      <c r="BJ87" s="25" t="n"/>
      <c r="BK87" s="26" t="n">
        <v>108</v>
      </c>
      <c r="BL87" s="27" t="n">
        <v>2.08</v>
      </c>
      <c r="BM87" s="28" t="n">
        <v>0.480769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</row>
    <row r="88" ht="36" customHeight="1">
      <c r="A88" s="24" t="inlineStr">
        <is>
          <t>2ddfa11fc2ab4c69</t>
        </is>
      </c>
      <c r="B88" s="24" t="inlineStr">
        <is>
          <t>2026-07-20T23:55:09.588150Z</t>
        </is>
      </c>
      <c r="C88" s="24" t="inlineStr">
        <is>
          <t>2026-07-21T10:30:00Z</t>
        </is>
      </c>
      <c r="D88" s="24" t="inlineStr">
        <is>
          <t>54950</t>
        </is>
      </c>
      <c r="E88" s="24" t="inlineStr">
        <is>
          <t>LOL</t>
        </is>
      </c>
      <c r="F88" s="24" t="inlineStr">
        <is>
          <t>Kiwoom DRX</t>
        </is>
      </c>
      <c r="G88" s="24" t="inlineStr">
        <is>
          <t>T1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-133</v>
      </c>
      <c r="M88" s="27" t="n">
        <v>1.75188</v>
      </c>
      <c r="N88" s="28" t="n">
        <v>0.570815</v>
      </c>
      <c r="O88" s="28" t="n">
        <v>0.7499980000000001</v>
      </c>
      <c r="P88" s="28" t="n"/>
      <c r="Q88" s="28" t="n">
        <v>0.179998</v>
      </c>
      <c r="R88" s="26" t="n">
        <v>100</v>
      </c>
      <c r="S88" s="29" t="n">
        <v>2</v>
      </c>
      <c r="T88" s="24" t="inlineStr">
        <is>
          <t>lol-neutral-series-elo-v1</t>
        </is>
      </c>
      <c r="U88" s="24" t="inlineStr">
        <is>
          <t>open</t>
        </is>
      </c>
      <c r="V88" s="24" t="n"/>
      <c r="W88" s="26" t="n"/>
      <c r="X88" s="26" t="n"/>
      <c r="Y88" s="25" t="n"/>
      <c r="Z88" s="26" t="n"/>
      <c r="AA88" s="28" t="n"/>
      <c r="AB88" s="28" t="n"/>
      <c r="AC88" s="30" t="n"/>
      <c r="AD88" s="24" t="n"/>
      <c r="AE88" s="31" t="inlineStr">
        <is>
          <t>Neutral Elo baseline; executable ask 0.5700 (aec-lol-t1-krx-2026-07-21).</t>
        </is>
      </c>
      <c r="AF88" s="31" t="inlineStr">
        <is>
          <t>Research baseline; zero-unit shadow until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Kiwoom DRX</t>
        </is>
      </c>
      <c r="AQ88" s="24" t="inlineStr">
        <is>
          <t>Kiwoom DRX</t>
        </is>
      </c>
      <c r="AR88" s="24" t="inlineStr">
        <is>
          <t>Kiwoom DRX</t>
        </is>
      </c>
      <c r="AS88" s="24" t="inlineStr">
        <is>
          <t>T1</t>
        </is>
      </c>
      <c r="AT88" s="24" t="inlineStr">
        <is>
          <t>T1</t>
        </is>
      </c>
      <c r="AU88" s="24" t="inlineStr">
        <is>
          <t>T1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82612f1b27d5065af8d70fd6669509ff00dc1c7e3a91bb423192bf3b0a9736ce</t>
        </is>
      </c>
      <c r="BB88" s="24" t="inlineStr">
        <is>
          <t>neutral_elo</t>
        </is>
      </c>
      <c r="BC88" s="24" t="inlineStr">
        <is>
          <t>lol-neutral-series-elo-v1</t>
        </is>
      </c>
      <c r="BD88" s="24" t="inlineStr">
        <is>
          <t>82612f1b27d5065af8d70fd6669509ff00dc1c7e3a91bb423192bf3b0a9736ce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unknown</t>
        </is>
      </c>
      <c r="BH88" s="24" t="inlineStr">
        <is>
          <t>2026-07-20T23:55:09.588150Z</t>
        </is>
      </c>
      <c r="BI88" s="24" t="inlineStr">
        <is>
          <t>["same_event","same_team_same_day","same_league_same_day"]</t>
        </is>
      </c>
      <c r="BJ88" s="25" t="n"/>
      <c r="BK88" s="26" t="n">
        <v>-133</v>
      </c>
      <c r="BL88" s="27" t="n">
        <v>1.75188</v>
      </c>
      <c r="BM88" s="28" t="n">
        <v>0.570815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</row>
    <row r="89" ht="36" customHeight="1">
      <c r="A89" s="24" t="inlineStr">
        <is>
          <t>95f5292cd8534733</t>
        </is>
      </c>
      <c r="B89" s="24" t="inlineStr">
        <is>
          <t>2026-07-20T23:55:09.976403Z</t>
        </is>
      </c>
      <c r="C89" s="24" t="inlineStr">
        <is>
          <t>2026-07-21T11:15:00Z</t>
        </is>
      </c>
      <c r="D89" s="24" t="inlineStr">
        <is>
          <t>54961</t>
        </is>
      </c>
      <c r="E89" s="24" t="inlineStr">
        <is>
          <t>LOL</t>
        </is>
      </c>
      <c r="F89" s="24" t="inlineStr">
        <is>
          <t>DN SOOPers</t>
        </is>
      </c>
      <c r="G89" s="24" t="inlineStr">
        <is>
          <t>Hanwha Life Esports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-113</v>
      </c>
      <c r="M89" s="27" t="n">
        <v>1.884956</v>
      </c>
      <c r="N89" s="28" t="n">
        <v>0.530516</v>
      </c>
      <c r="O89" s="28" t="n">
        <v>0.75</v>
      </c>
      <c r="P89" s="28" t="n"/>
      <c r="Q89" s="28" t="n">
        <v>0.22</v>
      </c>
      <c r="R89" s="26" t="n">
        <v>100</v>
      </c>
      <c r="S89" s="29" t="n">
        <v>2</v>
      </c>
      <c r="T89" s="24" t="inlineStr">
        <is>
          <t>lol-neutral-series-elo-v1</t>
        </is>
      </c>
      <c r="U89" s="24" t="inlineStr">
        <is>
          <t>open</t>
        </is>
      </c>
      <c r="V89" s="24" t="n"/>
      <c r="W89" s="26" t="n"/>
      <c r="X89" s="26" t="n"/>
      <c r="Y89" s="25" t="n"/>
      <c r="Z89" s="26" t="n"/>
      <c r="AA89" s="28" t="n"/>
      <c r="AB89" s="28" t="n"/>
      <c r="AC89" s="30" t="n"/>
      <c r="AD89" s="24" t="n"/>
      <c r="AE89" s="31" t="inlineStr">
        <is>
          <t>Neutral Elo baseline; executable ask 0.5300 (aec-lol-hle-dns-2026-07-21).</t>
        </is>
      </c>
      <c r="AF89" s="31" t="inlineStr">
        <is>
          <t>Research baseline; zero-unit shadow until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DN SOOPers</t>
        </is>
      </c>
      <c r="AQ89" s="24" t="inlineStr">
        <is>
          <t>DN SOOPers</t>
        </is>
      </c>
      <c r="AR89" s="24" t="inlineStr">
        <is>
          <t>DN SOOPers</t>
        </is>
      </c>
      <c r="AS89" s="24" t="inlineStr">
        <is>
          <t>Hanwha Life Esports</t>
        </is>
      </c>
      <c r="AT89" s="24" t="inlineStr">
        <is>
          <t>Hanwha Life Esports</t>
        </is>
      </c>
      <c r="AU89" s="24" t="inlineStr">
        <is>
          <t>Hanwha Life Esports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82612f1b27d5065af8d70fd6669509ff00dc1c7e3a91bb423192bf3b0a9736ce</t>
        </is>
      </c>
      <c r="BB89" s="24" t="inlineStr">
        <is>
          <t>neutral_elo</t>
        </is>
      </c>
      <c r="BC89" s="24" t="inlineStr">
        <is>
          <t>lol-neutral-series-elo-v1</t>
        </is>
      </c>
      <c r="BD89" s="24" t="inlineStr">
        <is>
          <t>82612f1b27d5065af8d70fd6669509ff00dc1c7e3a91bb423192bf3b0a9736ce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unknown</t>
        </is>
      </c>
      <c r="BH89" s="24" t="inlineStr">
        <is>
          <t>2026-07-20T23:55:09.976403Z</t>
        </is>
      </c>
      <c r="BI89" s="24" t="inlineStr">
        <is>
          <t>["same_event","same_team_same_day","same_league_same_day"]</t>
        </is>
      </c>
      <c r="BJ89" s="25" t="n"/>
      <c r="BK89" s="26" t="n">
        <v>-113</v>
      </c>
      <c r="BL89" s="27" t="n">
        <v>1.884956</v>
      </c>
      <c r="BM89" s="28" t="n">
        <v>0.530516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</row>
    <row r="90" ht="36" customHeight="1">
      <c r="A90" s="24" t="inlineStr">
        <is>
          <t>2111e97a0e9e497c</t>
        </is>
      </c>
      <c r="B90" s="24" t="inlineStr">
        <is>
          <t>2026-07-21T03:21:26.198739Z</t>
        </is>
      </c>
      <c r="C90" s="24" t="inlineStr">
        <is>
          <t>2026-07-21T16:00:00Z</t>
        </is>
      </c>
      <c r="D90" s="24" t="inlineStr">
        <is>
          <t>56853</t>
        </is>
      </c>
      <c r="E90" s="24" t="inlineStr">
        <is>
          <t>LOL</t>
        </is>
      </c>
      <c r="F90" s="24" t="inlineStr">
        <is>
          <t>Ici Japon Corp. Esport</t>
        </is>
      </c>
      <c r="G90" s="24" t="inlineStr">
        <is>
          <t>TLN Pirates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-144</v>
      </c>
      <c r="M90" s="27" t="n">
        <v>1.694444</v>
      </c>
      <c r="N90" s="28" t="n">
        <v>0.590164</v>
      </c>
      <c r="O90" s="28" t="n">
        <v>0.650242</v>
      </c>
      <c r="P90" s="28" t="n"/>
      <c r="Q90" s="28" t="n">
        <v>0.060242</v>
      </c>
      <c r="R90" s="26" t="n">
        <v>60</v>
      </c>
      <c r="S90" s="29" t="n">
        <v>2</v>
      </c>
      <c r="T90" s="24" t="inlineStr">
        <is>
          <t>lol-neutral-series-elo-v1</t>
        </is>
      </c>
      <c r="U90" s="24" t="inlineStr">
        <is>
          <t>open</t>
        </is>
      </c>
      <c r="V90" s="24" t="n"/>
      <c r="W90" s="26" t="n"/>
      <c r="X90" s="26" t="n"/>
      <c r="Y90" s="25" t="n"/>
      <c r="Z90" s="26" t="n"/>
      <c r="AA90" s="28" t="n"/>
      <c r="AB90" s="28" t="n"/>
      <c r="AC90" s="30" t="n"/>
      <c r="AD90" s="24" t="n"/>
      <c r="AE90" s="31" t="inlineStr">
        <is>
          <t>Neutral Elo baseline; executable ask 0.5900 (aec-lol-tlnp-ijc-2026-07-21).</t>
        </is>
      </c>
      <c r="AF90" s="31" t="inlineStr">
        <is>
          <t>Research baseline; zero-unit shadow until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Ici Japon Corp. Esport</t>
        </is>
      </c>
      <c r="AQ90" s="24" t="inlineStr">
        <is>
          <t>Ici Japon Corp. Esport</t>
        </is>
      </c>
      <c r="AR90" s="24" t="inlineStr">
        <is>
          <t>Ici Japon Corp. Esport</t>
        </is>
      </c>
      <c r="AS90" s="24" t="inlineStr">
        <is>
          <t>TLN Pirates</t>
        </is>
      </c>
      <c r="AT90" s="24" t="inlineStr">
        <is>
          <t>TLN Pirates</t>
        </is>
      </c>
      <c r="AU90" s="24" t="inlineStr">
        <is>
          <t>TLN Pirates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82612f1b27d5065af8d70fd6669509ff00dc1c7e3a91bb423192bf3b0a9736ce</t>
        </is>
      </c>
      <c r="BB90" s="24" t="inlineStr">
        <is>
          <t>neutral_elo</t>
        </is>
      </c>
      <c r="BC90" s="24" t="inlineStr">
        <is>
          <t>lol-neutral-series-elo-v1</t>
        </is>
      </c>
      <c r="BD90" s="24" t="inlineStr">
        <is>
          <t>82612f1b27d5065af8d70fd6669509ff00dc1c7e3a91bb423192bf3b0a9736ce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unknown</t>
        </is>
      </c>
      <c r="BH90" s="24" t="inlineStr">
        <is>
          <t>2026-07-21T03:21:26.198739Z</t>
        </is>
      </c>
      <c r="BI90" s="24" t="inlineStr">
        <is>
          <t>["same_event","same_team_same_day","same_league_same_day"]</t>
        </is>
      </c>
      <c r="BJ90" s="25" t="n"/>
      <c r="BK90" s="26" t="n">
        <v>-144</v>
      </c>
      <c r="BL90" s="27" t="n">
        <v>1.694444</v>
      </c>
      <c r="BM90" s="28" t="n">
        <v>0.590164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</row>
    <row r="91" ht="36" customHeight="1">
      <c r="A91" s="24" t="inlineStr">
        <is>
          <t>38a496b1b8574e11</t>
        </is>
      </c>
      <c r="B91" s="24" t="inlineStr">
        <is>
          <t>2026-07-21T03:21:26.605078Z</t>
        </is>
      </c>
      <c r="C91" s="24" t="inlineStr">
        <is>
          <t>2026-07-21T17:00:00Z</t>
        </is>
      </c>
      <c r="D91" s="24" t="inlineStr">
        <is>
          <t>55198</t>
        </is>
      </c>
      <c r="E91" s="24" t="inlineStr">
        <is>
          <t>LOL</t>
        </is>
      </c>
      <c r="F91" s="24" t="inlineStr">
        <is>
          <t>Once Upon A Team</t>
        </is>
      </c>
      <c r="G91" s="24" t="inlineStr">
        <is>
          <t>mCon esports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-144</v>
      </c>
      <c r="M91" s="27" t="n">
        <v>1.694444</v>
      </c>
      <c r="N91" s="28" t="n">
        <v>0.590164</v>
      </c>
      <c r="O91" s="28" t="n">
        <v>0.650024</v>
      </c>
      <c r="P91" s="28" t="n"/>
      <c r="Q91" s="28" t="n">
        <v>0.060024</v>
      </c>
      <c r="R91" s="26" t="n">
        <v>60</v>
      </c>
      <c r="S91" s="29" t="n">
        <v>2</v>
      </c>
      <c r="T91" s="24" t="inlineStr">
        <is>
          <t>lol-neutral-series-elo-v1</t>
        </is>
      </c>
      <c r="U91" s="24" t="inlineStr">
        <is>
          <t>open</t>
        </is>
      </c>
      <c r="V91" s="24" t="n"/>
      <c r="W91" s="26" t="n"/>
      <c r="X91" s="26" t="n"/>
      <c r="Y91" s="25" t="n"/>
      <c r="Z91" s="26" t="n"/>
      <c r="AA91" s="28" t="n"/>
      <c r="AB91" s="28" t="n"/>
      <c r="AC91" s="30" t="n"/>
      <c r="AD91" s="24" t="n"/>
      <c r="AE91" s="31" t="inlineStr">
        <is>
          <t>Neutral Elo baseline; executable ask 0.5900 (aec-lol-mcn-ouat-2026-07-21).</t>
        </is>
      </c>
      <c r="AF91" s="31" t="inlineStr">
        <is>
          <t>Research baseline; zero-unit shadow until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Once Upon A Team</t>
        </is>
      </c>
      <c r="AQ91" s="24" t="inlineStr">
        <is>
          <t>Once Upon A Team</t>
        </is>
      </c>
      <c r="AR91" s="24" t="inlineStr">
        <is>
          <t>Once Upon A Team</t>
        </is>
      </c>
      <c r="AS91" s="24" t="inlineStr">
        <is>
          <t>mCon esports</t>
        </is>
      </c>
      <c r="AT91" s="24" t="inlineStr">
        <is>
          <t>mCon esports</t>
        </is>
      </c>
      <c r="AU91" s="24" t="inlineStr">
        <is>
          <t>mCon esports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82612f1b27d5065af8d70fd6669509ff00dc1c7e3a91bb423192bf3b0a9736ce</t>
        </is>
      </c>
      <c r="BB91" s="24" t="inlineStr">
        <is>
          <t>neutral_elo</t>
        </is>
      </c>
      <c r="BC91" s="24" t="inlineStr">
        <is>
          <t>lol-neutral-series-elo-v1</t>
        </is>
      </c>
      <c r="BD91" s="24" t="inlineStr">
        <is>
          <t>82612f1b27d5065af8d70fd6669509ff00dc1c7e3a91bb423192bf3b0a9736ce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unknown</t>
        </is>
      </c>
      <c r="BH91" s="24" t="inlineStr">
        <is>
          <t>2026-07-21T03:21:26.605078Z</t>
        </is>
      </c>
      <c r="BI91" s="24" t="inlineStr">
        <is>
          <t>["same_event","same_team_same_day","same_league_same_day"]</t>
        </is>
      </c>
      <c r="BJ91" s="25" t="n"/>
      <c r="BK91" s="26" t="n">
        <v>-144</v>
      </c>
      <c r="BL91" s="27" t="n">
        <v>1.694444</v>
      </c>
      <c r="BM91" s="28" t="n">
        <v>0.590164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</row>
    <row r="92" ht="36" customHeight="1">
      <c r="A92" s="24" t="inlineStr">
        <is>
          <t>4fba17ec933a48b2</t>
        </is>
      </c>
      <c r="B92" s="24" t="inlineStr">
        <is>
          <t>2026-07-21T03:21:27.019904Z</t>
        </is>
      </c>
      <c r="C92" s="24" t="inlineStr">
        <is>
          <t>2026-07-21T18:30:00Z</t>
        </is>
      </c>
      <c r="D92" s="24" t="inlineStr">
        <is>
          <t>57016</t>
        </is>
      </c>
      <c r="E92" s="24" t="inlineStr">
        <is>
          <t>LOL</t>
        </is>
      </c>
      <c r="F92" s="24" t="inlineStr">
        <is>
          <t>Baam Esports</t>
        </is>
      </c>
      <c r="G92" s="24" t="inlineStr">
        <is>
          <t>Pyramid IV Esports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113</v>
      </c>
      <c r="M92" s="27" t="n">
        <v>2.13</v>
      </c>
      <c r="N92" s="28" t="n">
        <v>0.469484</v>
      </c>
      <c r="O92" s="28" t="n">
        <v>0.503502</v>
      </c>
      <c r="P92" s="28" t="n"/>
      <c r="Q92" s="28" t="n">
        <v>0.033502</v>
      </c>
      <c r="R92" s="26" t="n">
        <v>33</v>
      </c>
      <c r="S92" s="29" t="n">
        <v>0.5</v>
      </c>
      <c r="T92" s="24" t="inlineStr">
        <is>
          <t>lol-neutral-series-elo-v1</t>
        </is>
      </c>
      <c r="U92" s="24" t="inlineStr">
        <is>
          <t>open</t>
        </is>
      </c>
      <c r="V92" s="24" t="n"/>
      <c r="W92" s="26" t="n"/>
      <c r="X92" s="26" t="n"/>
      <c r="Y92" s="25" t="n"/>
      <c r="Z92" s="26" t="n"/>
      <c r="AA92" s="28" t="n"/>
      <c r="AB92" s="28" t="n"/>
      <c r="AC92" s="30" t="n"/>
      <c r="AD92" s="24" t="n"/>
      <c r="AE92" s="31" t="inlineStr">
        <is>
          <t>Neutral Elo baseline; executable ask 0.4700 (aec-lol-piv-bam-2026-07-21).</t>
        </is>
      </c>
      <c r="AF92" s="31" t="inlineStr">
        <is>
          <t>Research baseline; zero-unit shadow until qualified.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Baam Esports</t>
        </is>
      </c>
      <c r="AQ92" s="24" t="inlineStr">
        <is>
          <t>Baam Esports</t>
        </is>
      </c>
      <c r="AR92" s="24" t="inlineStr">
        <is>
          <t>Baam Esports</t>
        </is>
      </c>
      <c r="AS92" s="24" t="inlineStr">
        <is>
          <t>Pyramid IV Esports</t>
        </is>
      </c>
      <c r="AT92" s="24" t="inlineStr">
        <is>
          <t>Pyramid IV Esports</t>
        </is>
      </c>
      <c r="AU92" s="24" t="inlineStr">
        <is>
          <t>Pyramid IV Esports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82612f1b27d5065af8d70fd6669509ff00dc1c7e3a91bb423192bf3b0a9736ce</t>
        </is>
      </c>
      <c r="BB92" s="24" t="inlineStr">
        <is>
          <t>neutral_elo</t>
        </is>
      </c>
      <c r="BC92" s="24" t="inlineStr">
        <is>
          <t>lol-neutral-series-elo-v1</t>
        </is>
      </c>
      <c r="BD92" s="24" t="inlineStr">
        <is>
          <t>82612f1b27d5065af8d70fd6669509ff00dc1c7e3a91bb423192bf3b0a9736ce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unknown</t>
        </is>
      </c>
      <c r="BH92" s="24" t="inlineStr">
        <is>
          <t>2026-07-21T03:21:27.019904Z</t>
        </is>
      </c>
      <c r="BI92" s="24" t="inlineStr">
        <is>
          <t>["same_event","same_team_same_day","same_league_same_day"]</t>
        </is>
      </c>
      <c r="BJ92" s="25" t="n"/>
      <c r="BK92" s="26" t="n">
        <v>113</v>
      </c>
      <c r="BL92" s="27" t="n">
        <v>2.13</v>
      </c>
      <c r="BM92" s="28" t="n">
        <v>0.469484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</row>
    <row r="93" ht="36" customHeight="1">
      <c r="A93" s="24" t="inlineStr">
        <is>
          <t>5160b32a6a164665</t>
        </is>
      </c>
      <c r="B93" s="24" t="inlineStr">
        <is>
          <t>2026-07-21T03:21:27.441332Z</t>
        </is>
      </c>
      <c r="C93" s="24" t="inlineStr">
        <is>
          <t>2026-07-21T19:00:00Z</t>
        </is>
      </c>
      <c r="D93" s="24" t="inlineStr">
        <is>
          <t>56856</t>
        </is>
      </c>
      <c r="E93" s="24" t="inlineStr">
        <is>
          <t>LOL</t>
        </is>
      </c>
      <c r="F93" s="24" t="inlineStr">
        <is>
          <t>Joblife</t>
        </is>
      </c>
      <c r="G93" s="24" t="inlineStr">
        <is>
          <t>Galions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-194</v>
      </c>
      <c r="M93" s="27" t="n">
        <v>1.515464</v>
      </c>
      <c r="N93" s="28" t="n">
        <v>0.659864</v>
      </c>
      <c r="O93" s="28" t="n">
        <v>0.748054</v>
      </c>
      <c r="P93" s="28" t="n"/>
      <c r="Q93" s="28" t="n">
        <v>0.08805399999999999</v>
      </c>
      <c r="R93" s="26" t="n">
        <v>88</v>
      </c>
      <c r="S93" s="29" t="n">
        <v>2</v>
      </c>
      <c r="T93" s="24" t="inlineStr">
        <is>
          <t>lol-neutral-series-elo-v1</t>
        </is>
      </c>
      <c r="U93" s="24" t="inlineStr">
        <is>
          <t>open</t>
        </is>
      </c>
      <c r="V93" s="24" t="n"/>
      <c r="W93" s="26" t="n"/>
      <c r="X93" s="26" t="n"/>
      <c r="Y93" s="25" t="n"/>
      <c r="Z93" s="26" t="n"/>
      <c r="AA93" s="28" t="n"/>
      <c r="AB93" s="28" t="n"/>
      <c r="AC93" s="30" t="n"/>
      <c r="AD93" s="24" t="n"/>
      <c r="AE93" s="31" t="inlineStr">
        <is>
          <t>Neutral Elo baseline; executable ask 0.6600 (aec-lol-gal-jl-2026-07-21).</t>
        </is>
      </c>
      <c r="AF93" s="31" t="inlineStr">
        <is>
          <t>Research baseline; zero-unit shadow until qualified.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3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Joblife</t>
        </is>
      </c>
      <c r="AQ93" s="24" t="inlineStr">
        <is>
          <t>Joblife</t>
        </is>
      </c>
      <c r="AR93" s="24" t="inlineStr">
        <is>
          <t>Joblife</t>
        </is>
      </c>
      <c r="AS93" s="24" t="inlineStr">
        <is>
          <t>Galions</t>
        </is>
      </c>
      <c r="AT93" s="24" t="inlineStr">
        <is>
          <t>Galions</t>
        </is>
      </c>
      <c r="AU93" s="24" t="inlineStr">
        <is>
          <t>Galions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82612f1b27d5065af8d70fd6669509ff00dc1c7e3a91bb423192bf3b0a9736ce</t>
        </is>
      </c>
      <c r="BB93" s="24" t="inlineStr">
        <is>
          <t>neutral_elo</t>
        </is>
      </c>
      <c r="BC93" s="24" t="inlineStr">
        <is>
          <t>lol-neutral-series-elo-v1</t>
        </is>
      </c>
      <c r="BD93" s="24" t="inlineStr">
        <is>
          <t>82612f1b27d5065af8d70fd6669509ff00dc1c7e3a91bb423192bf3b0a9736ce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unknown</t>
        </is>
      </c>
      <c r="BH93" s="24" t="inlineStr">
        <is>
          <t>2026-07-21T03:21:27.441332Z</t>
        </is>
      </c>
      <c r="BI93" s="24" t="inlineStr">
        <is>
          <t>["same_event","same_team_same_day","same_league_same_day"]</t>
        </is>
      </c>
      <c r="BJ93" s="25" t="n"/>
      <c r="BK93" s="26" t="n">
        <v>-194</v>
      </c>
      <c r="BL93" s="27" t="n">
        <v>1.515464</v>
      </c>
      <c r="BM93" s="28" t="n">
        <v>0.659864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</row>
    <row r="94" ht="36" customHeight="1">
      <c r="A94" s="24" t="inlineStr">
        <is>
          <t>6868a72473fc4401</t>
        </is>
      </c>
      <c r="B94" s="24" t="inlineStr">
        <is>
          <t>2026-07-21T03:21:27.918833Z</t>
        </is>
      </c>
      <c r="C94" s="24" t="inlineStr">
        <is>
          <t>2026-07-21T21:00:00Z</t>
        </is>
      </c>
      <c r="D94" s="24" t="inlineStr">
        <is>
          <t>55205</t>
        </is>
      </c>
      <c r="E94" s="24" t="inlineStr">
        <is>
          <t>LOL</t>
        </is>
      </c>
      <c r="F94" s="24" t="inlineStr">
        <is>
          <t>RMD Gaming</t>
        </is>
      </c>
      <c r="G94" s="24" t="inlineStr">
        <is>
          <t>paiN Gaming Academy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-203</v>
      </c>
      <c r="M94" s="27" t="n">
        <v>1.492611</v>
      </c>
      <c r="N94" s="28" t="n">
        <v>0.669967</v>
      </c>
      <c r="O94" s="28" t="n">
        <v>0.731785</v>
      </c>
      <c r="P94" s="28" t="n"/>
      <c r="Q94" s="28" t="n">
        <v>0.061785</v>
      </c>
      <c r="R94" s="26" t="n">
        <v>61</v>
      </c>
      <c r="S94" s="29" t="n">
        <v>2</v>
      </c>
      <c r="T94" s="24" t="inlineStr">
        <is>
          <t>lol-neutral-series-elo-v1</t>
        </is>
      </c>
      <c r="U94" s="24" t="inlineStr">
        <is>
          <t>open</t>
        </is>
      </c>
      <c r="V94" s="24" t="n"/>
      <c r="W94" s="26" t="n"/>
      <c r="X94" s="26" t="n"/>
      <c r="Y94" s="25" t="n"/>
      <c r="Z94" s="26" t="n"/>
      <c r="AA94" s="28" t="n"/>
      <c r="AB94" s="28" t="n"/>
      <c r="AC94" s="30" t="n"/>
      <c r="AD94" s="24" t="n"/>
      <c r="AE94" s="31" t="inlineStr">
        <is>
          <t>Neutral Elo baseline; executable ask 0.6700 (aec-lol-pnga-rmd-2026-07-21).</t>
        </is>
      </c>
      <c r="AF94" s="31" t="inlineStr">
        <is>
          <t>Research baseline; zero-unit shadow until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RMD Gaming</t>
        </is>
      </c>
      <c r="AQ94" s="24" t="inlineStr">
        <is>
          <t>RMD Gaming</t>
        </is>
      </c>
      <c r="AR94" s="24" t="inlineStr">
        <is>
          <t>RMD Gaming</t>
        </is>
      </c>
      <c r="AS94" s="24" t="inlineStr">
        <is>
          <t>paiN Gaming Academy</t>
        </is>
      </c>
      <c r="AT94" s="24" t="inlineStr">
        <is>
          <t>paiN Gaming Academy</t>
        </is>
      </c>
      <c r="AU94" s="24" t="inlineStr">
        <is>
          <t>paiN Gaming Academy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82612f1b27d5065af8d70fd6669509ff00dc1c7e3a91bb423192bf3b0a9736ce</t>
        </is>
      </c>
      <c r="BB94" s="24" t="inlineStr">
        <is>
          <t>neutral_elo</t>
        </is>
      </c>
      <c r="BC94" s="24" t="inlineStr">
        <is>
          <t>lol-neutral-series-elo-v1</t>
        </is>
      </c>
      <c r="BD94" s="24" t="inlineStr">
        <is>
          <t>82612f1b27d5065af8d70fd6669509ff00dc1c7e3a91bb423192bf3b0a9736ce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unknown</t>
        </is>
      </c>
      <c r="BH94" s="24" t="inlineStr">
        <is>
          <t>2026-07-21T03:21:27.918833Z</t>
        </is>
      </c>
      <c r="BI94" s="24" t="inlineStr">
        <is>
          <t>["same_event","same_team_same_day","same_league_same_day"]</t>
        </is>
      </c>
      <c r="BJ94" s="25" t="n"/>
      <c r="BK94" s="26" t="n">
        <v>-203</v>
      </c>
      <c r="BL94" s="27" t="n">
        <v>1.492611</v>
      </c>
      <c r="BM94" s="28" t="n">
        <v>0.669967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</row>
    <row r="95" ht="36" customHeight="1">
      <c r="A95" s="24" t="inlineStr">
        <is>
          <t>82721f2308604572</t>
        </is>
      </c>
      <c r="B95" s="24" t="inlineStr">
        <is>
          <t>2026-07-21T03:21:28.339720Z</t>
        </is>
      </c>
      <c r="C95" s="24" t="inlineStr">
        <is>
          <t>2026-07-21T22:00:00Z</t>
        </is>
      </c>
      <c r="D95" s="24" t="inlineStr">
        <is>
          <t>55206</t>
        </is>
      </c>
      <c r="E95" s="24" t="inlineStr">
        <is>
          <t>LOL</t>
        </is>
      </c>
      <c r="F95" s="24" t="inlineStr">
        <is>
          <t>Estral Esports</t>
        </is>
      </c>
      <c r="G95" s="24" t="inlineStr">
        <is>
          <t>KaBuM! Ilha das Lendas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163</v>
      </c>
      <c r="M95" s="27" t="n">
        <v>2.63</v>
      </c>
      <c r="N95" s="28" t="n">
        <v>0.380228</v>
      </c>
      <c r="O95" s="28" t="n">
        <v>0.59232</v>
      </c>
      <c r="P95" s="28" t="n"/>
      <c r="Q95" s="28" t="n">
        <v>0.21232</v>
      </c>
      <c r="R95" s="26" t="n">
        <v>100</v>
      </c>
      <c r="S95" s="29" t="n">
        <v>1.5</v>
      </c>
      <c r="T95" s="24" t="inlineStr">
        <is>
          <t>lol-neutral-series-elo-v1</t>
        </is>
      </c>
      <c r="U95" s="24" t="inlineStr">
        <is>
          <t>open</t>
        </is>
      </c>
      <c r="V95" s="24" t="n"/>
      <c r="W95" s="26" t="n"/>
      <c r="X95" s="26" t="n"/>
      <c r="Y95" s="25" t="n"/>
      <c r="Z95" s="26" t="n"/>
      <c r="AA95" s="28" t="n"/>
      <c r="AB95" s="28" t="n"/>
      <c r="AC95" s="30" t="n"/>
      <c r="AD95" s="24" t="n"/>
      <c r="AE95" s="31" t="inlineStr">
        <is>
          <t>Neutral Elo baseline; executable ask 0.3800 (aec-lol-kbm-est-2026-07-21).</t>
        </is>
      </c>
      <c r="AF95" s="31" t="inlineStr">
        <is>
          <t>Research baseline; zero-unit shadow until qualified.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3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Estral Esports</t>
        </is>
      </c>
      <c r="AQ95" s="24" t="inlineStr">
        <is>
          <t>Estral Esports</t>
        </is>
      </c>
      <c r="AR95" s="24" t="inlineStr">
        <is>
          <t>Estral Esports</t>
        </is>
      </c>
      <c r="AS95" s="24" t="inlineStr">
        <is>
          <t>KaBuM! Ilha das Lendas</t>
        </is>
      </c>
      <c r="AT95" s="24" t="inlineStr">
        <is>
          <t>KaBuM! Ilha das Lendas</t>
        </is>
      </c>
      <c r="AU95" s="24" t="inlineStr">
        <is>
          <t>KaBuM! Ilha das Lendas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82612f1b27d5065af8d70fd6669509ff00dc1c7e3a91bb423192bf3b0a9736ce</t>
        </is>
      </c>
      <c r="BB95" s="24" t="inlineStr">
        <is>
          <t>neutral_elo</t>
        </is>
      </c>
      <c r="BC95" s="24" t="inlineStr">
        <is>
          <t>lol-neutral-series-elo-v1</t>
        </is>
      </c>
      <c r="BD95" s="24" t="inlineStr">
        <is>
          <t>82612f1b27d5065af8d70fd6669509ff00dc1c7e3a91bb423192bf3b0a9736ce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unknown</t>
        </is>
      </c>
      <c r="BH95" s="24" t="inlineStr">
        <is>
          <t>2026-07-21T03:21:28.339720Z</t>
        </is>
      </c>
      <c r="BI95" s="24" t="inlineStr">
        <is>
          <t>["same_event","same_team_same_day","same_league_same_day"]</t>
        </is>
      </c>
      <c r="BJ95" s="25" t="n"/>
      <c r="BK95" s="26" t="n">
        <v>163</v>
      </c>
      <c r="BL95" s="27" t="n">
        <v>2.63</v>
      </c>
      <c r="BM95" s="28" t="n">
        <v>0.380228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</row>
    <row r="96" ht="36" customHeight="1">
      <c r="A96" s="24" t="inlineStr">
        <is>
          <t>4bcd0b04c03045be</t>
        </is>
      </c>
      <c r="B96" s="24" t="inlineStr">
        <is>
          <t>2026-07-21T03:21:28.922918Z</t>
        </is>
      </c>
      <c r="C96" s="24" t="inlineStr">
        <is>
          <t>2026-07-21T23:00:00Z</t>
        </is>
      </c>
      <c r="D96" s="24" t="inlineStr">
        <is>
          <t>55208</t>
        </is>
      </c>
      <c r="E96" s="24" t="inlineStr">
        <is>
          <t>LOL</t>
        </is>
      </c>
      <c r="F96" s="24" t="inlineStr">
        <is>
          <t>Ei Nerd Esports</t>
        </is>
      </c>
      <c r="G96" s="24" t="inlineStr">
        <is>
          <t>Team Solid</t>
        </is>
      </c>
      <c r="H96" s="24" t="inlineStr">
        <is>
          <t>moneyline</t>
        </is>
      </c>
      <c r="I96" s="24" t="inlineStr">
        <is>
          <t>away</t>
        </is>
      </c>
      <c r="J96" s="25" t="n"/>
      <c r="K96" s="24" t="inlineStr">
        <is>
          <t>polymarket_us</t>
        </is>
      </c>
      <c r="L96" s="26" t="n">
        <v>-186</v>
      </c>
      <c r="M96" s="27" t="n">
        <v>1.537634</v>
      </c>
      <c r="N96" s="28" t="n">
        <v>0.65035</v>
      </c>
      <c r="O96" s="28" t="n">
        <v>0.603723</v>
      </c>
      <c r="P96" s="28" t="n"/>
      <c r="Q96" s="28" t="n">
        <v>-0.046277</v>
      </c>
      <c r="R96" s="26" t="n">
        <v>0</v>
      </c>
      <c r="S96" s="29" t="n">
        <v>1.5</v>
      </c>
      <c r="T96" s="24" t="inlineStr">
        <is>
          <t>lol-neutral-series-elo-v1</t>
        </is>
      </c>
      <c r="U96" s="24" t="inlineStr">
        <is>
          <t>open</t>
        </is>
      </c>
      <c r="V96" s="24" t="n"/>
      <c r="W96" s="26" t="n"/>
      <c r="X96" s="26" t="n"/>
      <c r="Y96" s="25" t="n"/>
      <c r="Z96" s="26" t="n"/>
      <c r="AA96" s="28" t="n"/>
      <c r="AB96" s="28" t="n"/>
      <c r="AC96" s="30" t="n"/>
      <c r="AD96" s="24" t="n"/>
      <c r="AE96" s="31" t="inlineStr">
        <is>
          <t>Neutral Elo baseline; executable ask 0.6500 (aec-lol-tse-nerd-2026-07-21).</t>
        </is>
      </c>
      <c r="AF96" s="31" t="inlineStr">
        <is>
          <t>Research baseline; zero-unit shadow until qualified.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3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Ei Nerd Esports</t>
        </is>
      </c>
      <c r="AQ96" s="24" t="inlineStr">
        <is>
          <t>Ei Nerd Esports</t>
        </is>
      </c>
      <c r="AR96" s="24" t="inlineStr">
        <is>
          <t>Ei Nerd Esports</t>
        </is>
      </c>
      <c r="AS96" s="24" t="inlineStr">
        <is>
          <t>Team Solid</t>
        </is>
      </c>
      <c r="AT96" s="24" t="inlineStr">
        <is>
          <t>Team Solid</t>
        </is>
      </c>
      <c r="AU96" s="24" t="inlineStr">
        <is>
          <t>Team Solid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82612f1b27d5065af8d70fd6669509ff00dc1c7e3a91bb423192bf3b0a9736ce</t>
        </is>
      </c>
      <c r="BB96" s="24" t="inlineStr">
        <is>
          <t>neutral_elo</t>
        </is>
      </c>
      <c r="BC96" s="24" t="inlineStr">
        <is>
          <t>lol-neutral-series-elo-v1</t>
        </is>
      </c>
      <c r="BD96" s="24" t="inlineStr">
        <is>
          <t>82612f1b27d5065af8d70fd6669509ff00dc1c7e3a91bb423192bf3b0a9736ce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unknown</t>
        </is>
      </c>
      <c r="BH96" s="24" t="inlineStr">
        <is>
          <t>2026-07-21T03:21:28.922918Z</t>
        </is>
      </c>
      <c r="BI96" s="24" t="inlineStr">
        <is>
          <t>["same_event","same_team_same_day","same_league_same_day"]</t>
        </is>
      </c>
      <c r="BJ96" s="25" t="n"/>
      <c r="BK96" s="26" t="n">
        <v>-186</v>
      </c>
      <c r="BL96" s="27" t="n">
        <v>1.537634</v>
      </c>
      <c r="BM96" s="28" t="n">
        <v>0.65035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</row>
    <row r="97" ht="36" customHeight="1">
      <c r="A97" s="24" t="inlineStr">
        <is>
          <t>ce12b29ffaaf4b66</t>
        </is>
      </c>
      <c r="B97" s="24" t="inlineStr">
        <is>
          <t>2026-07-21T03:21:29.411454Z</t>
        </is>
      </c>
      <c r="C97" s="24" t="inlineStr">
        <is>
          <t>2026-07-22T00:00:00Z</t>
        </is>
      </c>
      <c r="D97" s="24" t="inlineStr">
        <is>
          <t>55211</t>
        </is>
      </c>
      <c r="E97" s="24" t="inlineStr">
        <is>
          <t>LOL</t>
        </is>
      </c>
      <c r="F97" s="24" t="inlineStr">
        <is>
          <t>7REX</t>
        </is>
      </c>
      <c r="G97" s="24" t="inlineStr">
        <is>
          <t>Vivo Keyd Stars Academy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-213</v>
      </c>
      <c r="M97" s="27" t="n">
        <v>1.469484</v>
      </c>
      <c r="N97" s="28" t="n">
        <v>0.680511</v>
      </c>
      <c r="O97" s="28" t="n">
        <v>0.704201</v>
      </c>
      <c r="P97" s="28" t="n"/>
      <c r="Q97" s="28" t="n">
        <v>0.024201</v>
      </c>
      <c r="R97" s="26" t="n">
        <v>24</v>
      </c>
      <c r="S97" s="29" t="n">
        <v>2</v>
      </c>
      <c r="T97" s="24" t="inlineStr">
        <is>
          <t>lol-neutral-series-elo-v1</t>
        </is>
      </c>
      <c r="U97" s="24" t="inlineStr">
        <is>
          <t>open</t>
        </is>
      </c>
      <c r="V97" s="24" t="n"/>
      <c r="W97" s="26" t="n"/>
      <c r="X97" s="26" t="n"/>
      <c r="Y97" s="25" t="n"/>
      <c r="Z97" s="26" t="n"/>
      <c r="AA97" s="28" t="n"/>
      <c r="AB97" s="28" t="n"/>
      <c r="AC97" s="30" t="n"/>
      <c r="AD97" s="24" t="n"/>
      <c r="AE97" s="31" t="inlineStr">
        <is>
          <t>Neutral Elo baseline; executable ask 0.6800 (aec-lol-vksa-7rex-2026-07-22).</t>
        </is>
      </c>
      <c r="AF97" s="31" t="inlineStr">
        <is>
          <t>Research baseline; zero-unit shadow until qualified.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3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7REX</t>
        </is>
      </c>
      <c r="AQ97" s="24" t="inlineStr">
        <is>
          <t>7REX</t>
        </is>
      </c>
      <c r="AR97" s="24" t="inlineStr">
        <is>
          <t>7REX</t>
        </is>
      </c>
      <c r="AS97" s="24" t="inlineStr">
        <is>
          <t>Vivo Keyd Stars Academy</t>
        </is>
      </c>
      <c r="AT97" s="24" t="inlineStr">
        <is>
          <t>Vivo Keyd Stars Academy</t>
        </is>
      </c>
      <c r="AU97" s="24" t="inlineStr">
        <is>
          <t>Vivo Keyd Stars Academy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82612f1b27d5065af8d70fd6669509ff00dc1c7e3a91bb423192bf3b0a9736ce</t>
        </is>
      </c>
      <c r="BB97" s="24" t="inlineStr">
        <is>
          <t>neutral_elo</t>
        </is>
      </c>
      <c r="BC97" s="24" t="inlineStr">
        <is>
          <t>lol-neutral-series-elo-v1</t>
        </is>
      </c>
      <c r="BD97" s="24" t="inlineStr">
        <is>
          <t>82612f1b27d5065af8d70fd6669509ff00dc1c7e3a91bb423192bf3b0a9736ce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unknown</t>
        </is>
      </c>
      <c r="BH97" s="24" t="inlineStr">
        <is>
          <t>2026-07-21T03:21:29.411454Z</t>
        </is>
      </c>
      <c r="BI97" s="24" t="inlineStr">
        <is>
          <t>["same_event","same_team_same_day","same_league_same_day"]</t>
        </is>
      </c>
      <c r="BJ97" s="25" t="n"/>
      <c r="BK97" s="26" t="n">
        <v>-213</v>
      </c>
      <c r="BL97" s="27" t="n">
        <v>1.469484</v>
      </c>
      <c r="BM97" s="28" t="n">
        <v>0.680511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</row>
    <row r="98" ht="36" customHeight="1">
      <c r="A98" s="24" t="inlineStr">
        <is>
          <t>96908b8087554e44</t>
        </is>
      </c>
      <c r="B98" s="24" t="inlineStr">
        <is>
          <t>2026-07-21T03:21:56.395714Z</t>
        </is>
      </c>
      <c r="C98" s="24" t="inlineStr">
        <is>
          <t>2026-07-21T08:00:00Z</t>
        </is>
      </c>
      <c r="D98" s="24" t="inlineStr">
        <is>
          <t>56863</t>
        </is>
      </c>
      <c r="E98" s="24" t="inlineStr">
        <is>
          <t>CS2</t>
        </is>
      </c>
      <c r="F98" s="24" t="inlineStr">
        <is>
          <t>eternal premium</t>
        </is>
      </c>
      <c r="G98" s="24" t="inlineStr">
        <is>
          <t>Mai Tai</t>
        </is>
      </c>
      <c r="H98" s="24" t="inlineStr">
        <is>
          <t>moneyline</t>
        </is>
      </c>
      <c r="I98" s="24" t="inlineStr">
        <is>
          <t>away</t>
        </is>
      </c>
      <c r="J98" s="25" t="n"/>
      <c r="K98" s="24" t="inlineStr">
        <is>
          <t>polymarket_us</t>
        </is>
      </c>
      <c r="L98" s="26" t="n">
        <v>156</v>
      </c>
      <c r="M98" s="27" t="n">
        <v>2.56</v>
      </c>
      <c r="N98" s="28" t="n">
        <v>0.390625</v>
      </c>
      <c r="O98" s="28" t="n">
        <v>0.64963</v>
      </c>
      <c r="P98" s="28" t="n"/>
      <c r="Q98" s="28" t="n">
        <v>0.25963</v>
      </c>
      <c r="R98" s="26" t="n">
        <v>100</v>
      </c>
      <c r="S98" s="29" t="n">
        <v>2</v>
      </c>
      <c r="T98" s="24" t="inlineStr">
        <is>
          <t>cs2-neutral-series-elo-v1</t>
        </is>
      </c>
      <c r="U98" s="24" t="inlineStr">
        <is>
          <t>open</t>
        </is>
      </c>
      <c r="V98" s="24" t="n"/>
      <c r="W98" s="26" t="n"/>
      <c r="X98" s="26" t="n"/>
      <c r="Y98" s="25" t="n"/>
      <c r="Z98" s="26" t="n"/>
      <c r="AA98" s="28" t="n"/>
      <c r="AB98" s="28" t="n"/>
      <c r="AC98" s="30" t="n"/>
      <c r="AD98" s="24" t="n"/>
      <c r="AE98" s="31" t="inlineStr">
        <is>
          <t>Neutral Elo baseline; executable ask 0.3900 (aec-cs2-mta-ep-2026-07-21).</t>
        </is>
      </c>
      <c r="AF98" s="31" t="inlineStr">
        <is>
          <t>Research baseline; zero-unit shadow until qualified.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3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eternal premium</t>
        </is>
      </c>
      <c r="AQ98" s="24" t="inlineStr">
        <is>
          <t>eternal premium</t>
        </is>
      </c>
      <c r="AR98" s="24" t="inlineStr">
        <is>
          <t>eternal premium</t>
        </is>
      </c>
      <c r="AS98" s="24" t="inlineStr">
        <is>
          <t>Mai Tai</t>
        </is>
      </c>
      <c r="AT98" s="24" t="inlineStr">
        <is>
          <t>Mai Tai</t>
        </is>
      </c>
      <c r="AU98" s="24" t="inlineStr">
        <is>
          <t>Mai Tai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9dbde86ab8062ac73a51c94b0ad431573ac8b755ccd742d86794849a749958c7</t>
        </is>
      </c>
      <c r="BB98" s="24" t="inlineStr">
        <is>
          <t>neutral_elo</t>
        </is>
      </c>
      <c r="BC98" s="24" t="inlineStr">
        <is>
          <t>cs2-neutral-series-elo-v1</t>
        </is>
      </c>
      <c r="BD98" s="24" t="inlineStr">
        <is>
          <t>9dbde86ab8062ac73a51c94b0ad431573ac8b755ccd742d86794849a749958c7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unknown</t>
        </is>
      </c>
      <c r="BH98" s="24" t="inlineStr">
        <is>
          <t>2026-07-21T03:21:56.395714Z</t>
        </is>
      </c>
      <c r="BI98" s="24" t="inlineStr">
        <is>
          <t>["same_event","same_team_same_day","same_league_same_day"]</t>
        </is>
      </c>
      <c r="BJ98" s="25" t="n"/>
      <c r="BK98" s="26" t="n">
        <v>156</v>
      </c>
      <c r="BL98" s="27" t="n">
        <v>2.56</v>
      </c>
      <c r="BM98" s="28" t="n">
        <v>0.390625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</row>
    <row r="99" ht="36" customHeight="1">
      <c r="A99" s="24" t="inlineStr">
        <is>
          <t>593d220ba3d742e4</t>
        </is>
      </c>
      <c r="B99" s="24" t="inlineStr">
        <is>
          <t>2026-07-21T03:21:56.870389Z</t>
        </is>
      </c>
      <c r="C99" s="24" t="inlineStr">
        <is>
          <t>2026-07-21T08:00:00Z</t>
        </is>
      </c>
      <c r="D99" s="24" t="inlineStr">
        <is>
          <t>57522</t>
        </is>
      </c>
      <c r="E99" s="24" t="inlineStr">
        <is>
          <t>CS2</t>
        </is>
      </c>
      <c r="F99" s="24" t="inlineStr">
        <is>
          <t>G2 Ares</t>
        </is>
      </c>
      <c r="G99" s="24" t="inlineStr">
        <is>
          <t>CYBERSHOKE Prospects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113</v>
      </c>
      <c r="M99" s="27" t="n">
        <v>2.13</v>
      </c>
      <c r="N99" s="28" t="n">
        <v>0.469484</v>
      </c>
      <c r="O99" s="28" t="n">
        <v>0.651424</v>
      </c>
      <c r="P99" s="28" t="n"/>
      <c r="Q99" s="28" t="n">
        <v>0.181424</v>
      </c>
      <c r="R99" s="26" t="n">
        <v>100</v>
      </c>
      <c r="S99" s="29" t="n">
        <v>2</v>
      </c>
      <c r="T99" s="24" t="inlineStr">
        <is>
          <t>cs2-neutral-series-elo-v1</t>
        </is>
      </c>
      <c r="U99" s="24" t="inlineStr">
        <is>
          <t>open</t>
        </is>
      </c>
      <c r="V99" s="24" t="n"/>
      <c r="W99" s="26" t="n"/>
      <c r="X99" s="26" t="n"/>
      <c r="Y99" s="25" t="n"/>
      <c r="Z99" s="26" t="n"/>
      <c r="AA99" s="28" t="n"/>
      <c r="AB99" s="28" t="n"/>
      <c r="AC99" s="30" t="n"/>
      <c r="AD99" s="24" t="n"/>
      <c r="AE99" s="31" t="inlineStr">
        <is>
          <t>Neutral Elo baseline; executable ask 0.4700 (aec-cs2-cshp-g2a-2026-07-21).</t>
        </is>
      </c>
      <c r="AF99" s="31" t="inlineStr">
        <is>
          <t>Research baseline; zero-unit shadow until qualified.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3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G2 Ares</t>
        </is>
      </c>
      <c r="AQ99" s="24" t="inlineStr">
        <is>
          <t>G2 Ares</t>
        </is>
      </c>
      <c r="AR99" s="24" t="inlineStr">
        <is>
          <t>G2 Ares</t>
        </is>
      </c>
      <c r="AS99" s="24" t="inlineStr">
        <is>
          <t>CYBERSHOKE Prospects</t>
        </is>
      </c>
      <c r="AT99" s="24" t="inlineStr">
        <is>
          <t>CYBERSHOKE Prospects</t>
        </is>
      </c>
      <c r="AU99" s="24" t="inlineStr">
        <is>
          <t>CYBERSHOKE Prospects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9dbde86ab8062ac73a51c94b0ad431573ac8b755ccd742d86794849a749958c7</t>
        </is>
      </c>
      <c r="BB99" s="24" t="inlineStr">
        <is>
          <t>neutral_elo</t>
        </is>
      </c>
      <c r="BC99" s="24" t="inlineStr">
        <is>
          <t>cs2-neutral-series-elo-v1</t>
        </is>
      </c>
      <c r="BD99" s="24" t="inlineStr">
        <is>
          <t>9dbde86ab8062ac73a51c94b0ad431573ac8b755ccd742d86794849a749958c7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unknown</t>
        </is>
      </c>
      <c r="BH99" s="24" t="inlineStr">
        <is>
          <t>2026-07-21T03:21:56.870389Z</t>
        </is>
      </c>
      <c r="BI99" s="24" t="inlineStr">
        <is>
          <t>["same_event","same_team_same_day","same_league_same_day"]</t>
        </is>
      </c>
      <c r="BJ99" s="25" t="n"/>
      <c r="BK99" s="26" t="n">
        <v>113</v>
      </c>
      <c r="BL99" s="27" t="n">
        <v>2.13</v>
      </c>
      <c r="BM99" s="28" t="n">
        <v>0.469484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</row>
    <row r="100" ht="36" customHeight="1">
      <c r="A100" s="24" t="inlineStr">
        <is>
          <t>a61e85d4455c4224</t>
        </is>
      </c>
      <c r="B100" s="24" t="inlineStr">
        <is>
          <t>2026-07-21T03:21:57.322750Z</t>
        </is>
      </c>
      <c r="C100" s="24" t="inlineStr">
        <is>
          <t>2026-07-21T08:00:00Z</t>
        </is>
      </c>
      <c r="D100" s="24" t="inlineStr">
        <is>
          <t>54976</t>
        </is>
      </c>
      <c r="E100" s="24" t="inlineStr">
        <is>
          <t>CS2</t>
        </is>
      </c>
      <c r="F100" s="24" t="inlineStr">
        <is>
          <t>Atreides</t>
        </is>
      </c>
      <c r="G100" s="24" t="inlineStr">
        <is>
          <t>Eternal Fire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-233</v>
      </c>
      <c r="M100" s="27" t="n">
        <v>1.429185</v>
      </c>
      <c r="N100" s="28" t="n">
        <v>0.6997</v>
      </c>
      <c r="O100" s="28" t="n">
        <v>0.6250830000000001</v>
      </c>
      <c r="P100" s="28" t="n"/>
      <c r="Q100" s="28" t="n">
        <v>-0.074917</v>
      </c>
      <c r="R100" s="26" t="n">
        <v>0</v>
      </c>
      <c r="S100" s="29" t="n">
        <v>1.75</v>
      </c>
      <c r="T100" s="24" t="inlineStr">
        <is>
          <t>cs2-neutral-series-elo-v1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Neutral Elo baseline; executable ask 0.7000 (aec-cs2-ef-atr-2026-07-21).</t>
        </is>
      </c>
      <c r="AF100" s="31" t="inlineStr">
        <is>
          <t>Research baseline; zero-unit shadow until qualified.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Atreides</t>
        </is>
      </c>
      <c r="AQ100" s="24" t="inlineStr">
        <is>
          <t>Atreides</t>
        </is>
      </c>
      <c r="AR100" s="24" t="inlineStr">
        <is>
          <t>Atreides</t>
        </is>
      </c>
      <c r="AS100" s="24" t="inlineStr">
        <is>
          <t>Eternal Fire</t>
        </is>
      </c>
      <c r="AT100" s="24" t="inlineStr">
        <is>
          <t>Eternal Fire</t>
        </is>
      </c>
      <c r="AU100" s="24" t="inlineStr">
        <is>
          <t>Eternal Fire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9dbde86ab8062ac73a51c94b0ad431573ac8b755ccd742d86794849a749958c7</t>
        </is>
      </c>
      <c r="BB100" s="24" t="inlineStr">
        <is>
          <t>neutral_elo</t>
        </is>
      </c>
      <c r="BC100" s="24" t="inlineStr">
        <is>
          <t>cs2-neutral-series-elo-v1</t>
        </is>
      </c>
      <c r="BD100" s="24" t="inlineStr">
        <is>
          <t>9dbde86ab8062ac73a51c94b0ad431573ac8b755ccd742d86794849a749958c7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unknown</t>
        </is>
      </c>
      <c r="BH100" s="24" t="inlineStr">
        <is>
          <t>2026-07-21T03:21:57.322750Z</t>
        </is>
      </c>
      <c r="BI100" s="24" t="inlineStr">
        <is>
          <t>["same_event","same_team_same_day","same_league_same_day"]</t>
        </is>
      </c>
      <c r="BJ100" s="25" t="n"/>
      <c r="BK100" s="26" t="n">
        <v>-233</v>
      </c>
      <c r="BL100" s="27" t="n">
        <v>1.429185</v>
      </c>
      <c r="BM100" s="28" t="n">
        <v>0.6997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</row>
    <row r="101" ht="36" customHeight="1">
      <c r="A101" s="24" t="inlineStr">
        <is>
          <t>3d67f46baf134d51</t>
        </is>
      </c>
      <c r="B101" s="24" t="inlineStr">
        <is>
          <t>2026-07-21T03:21:57.763495Z</t>
        </is>
      </c>
      <c r="C101" s="24" t="inlineStr">
        <is>
          <t>2026-07-21T10:00:00Z</t>
        </is>
      </c>
      <c r="D101" s="24" t="inlineStr">
        <is>
          <t>54926</t>
        </is>
      </c>
      <c r="E101" s="24" t="inlineStr">
        <is>
          <t>CS2</t>
        </is>
      </c>
      <c r="F101" s="24" t="inlineStr">
        <is>
          <t>NIP</t>
        </is>
      </c>
      <c r="G101" s="24" t="inlineStr">
        <is>
          <t>M80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108</v>
      </c>
      <c r="M101" s="27" t="n">
        <v>2.08</v>
      </c>
      <c r="N101" s="28" t="n">
        <v>0.480769</v>
      </c>
      <c r="O101" s="28" t="n">
        <v>0.670551</v>
      </c>
      <c r="P101" s="28" t="n"/>
      <c r="Q101" s="28" t="n">
        <v>0.190551</v>
      </c>
      <c r="R101" s="26" t="n">
        <v>100</v>
      </c>
      <c r="S101" s="29" t="n">
        <v>2</v>
      </c>
      <c r="T101" s="24" t="inlineStr">
        <is>
          <t>cs2-neutral-series-elo-v1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Neutral Elo baseline; executable ask 0.4800 (aec-cs2-m80-nip-2026-07-21).</t>
        </is>
      </c>
      <c r="AF101" s="31" t="inlineStr">
        <is>
          <t>Research baseline; zero-unit shadow until qualified.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NIP</t>
        </is>
      </c>
      <c r="AQ101" s="24" t="inlineStr">
        <is>
          <t>NIP</t>
        </is>
      </c>
      <c r="AR101" s="24" t="inlineStr">
        <is>
          <t>NIP</t>
        </is>
      </c>
      <c r="AS101" s="24" t="inlineStr">
        <is>
          <t>M80</t>
        </is>
      </c>
      <c r="AT101" s="24" t="inlineStr">
        <is>
          <t>M80</t>
        </is>
      </c>
      <c r="AU101" s="24" t="inlineStr">
        <is>
          <t>M80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9dbde86ab8062ac73a51c94b0ad431573ac8b755ccd742d86794849a749958c7</t>
        </is>
      </c>
      <c r="BB101" s="24" t="inlineStr">
        <is>
          <t>neutral_elo</t>
        </is>
      </c>
      <c r="BC101" s="24" t="inlineStr">
        <is>
          <t>cs2-neutral-series-elo-v1</t>
        </is>
      </c>
      <c r="BD101" s="24" t="inlineStr">
        <is>
          <t>9dbde86ab8062ac73a51c94b0ad431573ac8b755ccd742d86794849a749958c7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unknown</t>
        </is>
      </c>
      <c r="BH101" s="24" t="inlineStr">
        <is>
          <t>2026-07-21T03:21:57.763495Z</t>
        </is>
      </c>
      <c r="BI101" s="24" t="inlineStr">
        <is>
          <t>["same_event","same_team_same_day","same_league_same_day"]</t>
        </is>
      </c>
      <c r="BJ101" s="25" t="n"/>
      <c r="BK101" s="26" t="n">
        <v>108</v>
      </c>
      <c r="BL101" s="27" t="n">
        <v>2.08</v>
      </c>
      <c r="BM101" s="28" t="n">
        <v>0.480769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</row>
    <row r="102" ht="36" customHeight="1">
      <c r="A102" s="24" t="inlineStr">
        <is>
          <t>ea72325b4c804a4a</t>
        </is>
      </c>
      <c r="B102" s="24" t="inlineStr">
        <is>
          <t>2026-07-21T03:21:58.210777Z</t>
        </is>
      </c>
      <c r="C102" s="24" t="inlineStr">
        <is>
          <t>2026-07-21T10:30:00Z</t>
        </is>
      </c>
      <c r="D102" s="24" t="inlineStr">
        <is>
          <t>56029</t>
        </is>
      </c>
      <c r="E102" s="24" t="inlineStr">
        <is>
          <t>CS2</t>
        </is>
      </c>
      <c r="F102" s="24" t="inlineStr">
        <is>
          <t>CYBERSHOKE Esports</t>
        </is>
      </c>
      <c r="G102" s="24" t="inlineStr">
        <is>
          <t>BET-M 33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156</v>
      </c>
      <c r="M102" s="27" t="n">
        <v>2.56</v>
      </c>
      <c r="N102" s="28" t="n">
        <v>0.390625</v>
      </c>
      <c r="O102" s="28" t="n">
        <v>0.7467510000000001</v>
      </c>
      <c r="P102" s="28" t="n"/>
      <c r="Q102" s="28" t="n">
        <v>0.356751</v>
      </c>
      <c r="R102" s="26" t="n">
        <v>100</v>
      </c>
      <c r="S102" s="29" t="n">
        <v>2</v>
      </c>
      <c r="T102" s="24" t="inlineStr">
        <is>
          <t>cs2-neutral-series-elo-v1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Neutral Elo baseline; executable ask 0.3900 (aec-cs2-33-cs-2026-07-21).</t>
        </is>
      </c>
      <c r="AF102" s="31" t="inlineStr">
        <is>
          <t>Research baseline; zero-unit shadow until qualified.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CYBERSHOKE Esports</t>
        </is>
      </c>
      <c r="AQ102" s="24" t="inlineStr">
        <is>
          <t>CYBERSHOKE Esports</t>
        </is>
      </c>
      <c r="AR102" s="24" t="inlineStr">
        <is>
          <t>CYBERSHOKE Esports</t>
        </is>
      </c>
      <c r="AS102" s="24" t="inlineStr">
        <is>
          <t>BET-M 33</t>
        </is>
      </c>
      <c r="AT102" s="24" t="inlineStr">
        <is>
          <t>BET-M 33</t>
        </is>
      </c>
      <c r="AU102" s="24" t="inlineStr">
        <is>
          <t>BET-M 33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9dbde86ab8062ac73a51c94b0ad431573ac8b755ccd742d86794849a749958c7</t>
        </is>
      </c>
      <c r="BB102" s="24" t="inlineStr">
        <is>
          <t>neutral_elo</t>
        </is>
      </c>
      <c r="BC102" s="24" t="inlineStr">
        <is>
          <t>cs2-neutral-series-elo-v1</t>
        </is>
      </c>
      <c r="BD102" s="24" t="inlineStr">
        <is>
          <t>9dbde86ab8062ac73a51c94b0ad431573ac8b755ccd742d86794849a749958c7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unknown</t>
        </is>
      </c>
      <c r="BH102" s="24" t="inlineStr">
        <is>
          <t>2026-07-21T03:21:58.210777Z</t>
        </is>
      </c>
      <c r="BI102" s="24" t="inlineStr">
        <is>
          <t>["same_event","same_team_same_day","same_league_same_day"]</t>
        </is>
      </c>
      <c r="BJ102" s="25" t="n"/>
      <c r="BK102" s="26" t="n">
        <v>156</v>
      </c>
      <c r="BL102" s="27" t="n">
        <v>2.56</v>
      </c>
      <c r="BM102" s="28" t="n">
        <v>0.390625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</row>
    <row r="103" ht="36" customHeight="1">
      <c r="A103" s="24" t="inlineStr">
        <is>
          <t>80b0863f8f3342ee</t>
        </is>
      </c>
      <c r="B103" s="24" t="inlineStr">
        <is>
          <t>2026-07-21T03:21:58.660217Z</t>
        </is>
      </c>
      <c r="C103" s="24" t="inlineStr">
        <is>
          <t>2026-07-21T12:30:00Z</t>
        </is>
      </c>
      <c r="D103" s="24" t="inlineStr">
        <is>
          <t>54977</t>
        </is>
      </c>
      <c r="E103" s="24" t="inlineStr">
        <is>
          <t>CS2</t>
        </is>
      </c>
      <c r="F103" s="24" t="inlineStr">
        <is>
          <t>Astralis</t>
        </is>
      </c>
      <c r="G103" s="24" t="inlineStr">
        <is>
          <t>Team Nemesis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-163</v>
      </c>
      <c r="M103" s="27" t="n">
        <v>1.613497</v>
      </c>
      <c r="N103" s="28" t="n">
        <v>0.619772</v>
      </c>
      <c r="O103" s="28" t="n">
        <v>0.511629</v>
      </c>
      <c r="P103" s="28" t="n"/>
      <c r="Q103" s="28" t="n">
        <v>-0.108371</v>
      </c>
      <c r="R103" s="26" t="n">
        <v>0</v>
      </c>
      <c r="S103" s="29" t="n">
        <v>0.5</v>
      </c>
      <c r="T103" s="24" t="inlineStr">
        <is>
          <t>cs2-neutral-series-elo-v1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Neutral Elo baseline; executable ask 0.6200 (aec-cs2-nem-ast-2026-07-21).</t>
        </is>
      </c>
      <c r="AF103" s="31" t="inlineStr">
        <is>
          <t>Research baseline; zero-unit shadow until qualified.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Astralis</t>
        </is>
      </c>
      <c r="AQ103" s="24" t="inlineStr">
        <is>
          <t>Astralis</t>
        </is>
      </c>
      <c r="AR103" s="24" t="inlineStr">
        <is>
          <t>Astralis</t>
        </is>
      </c>
      <c r="AS103" s="24" t="inlineStr">
        <is>
          <t>Team Nemesis</t>
        </is>
      </c>
      <c r="AT103" s="24" t="inlineStr">
        <is>
          <t>Team Nemesis</t>
        </is>
      </c>
      <c r="AU103" s="24" t="inlineStr">
        <is>
          <t>Team Nemesis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9dbde86ab8062ac73a51c94b0ad431573ac8b755ccd742d86794849a749958c7</t>
        </is>
      </c>
      <c r="BB103" s="24" t="inlineStr">
        <is>
          <t>neutral_elo</t>
        </is>
      </c>
      <c r="BC103" s="24" t="inlineStr">
        <is>
          <t>cs2-neutral-series-elo-v1</t>
        </is>
      </c>
      <c r="BD103" s="24" t="inlineStr">
        <is>
          <t>9dbde86ab8062ac73a51c94b0ad431573ac8b755ccd742d86794849a749958c7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unknown</t>
        </is>
      </c>
      <c r="BH103" s="24" t="inlineStr">
        <is>
          <t>2026-07-21T03:21:58.660217Z</t>
        </is>
      </c>
      <c r="BI103" s="24" t="inlineStr">
        <is>
          <t>["same_event","same_team_same_day","same_league_same_day"]</t>
        </is>
      </c>
      <c r="BJ103" s="25" t="n"/>
      <c r="BK103" s="26" t="n">
        <v>-163</v>
      </c>
      <c r="BL103" s="27" t="n">
        <v>1.613497</v>
      </c>
      <c r="BM103" s="28" t="n">
        <v>0.619772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</row>
    <row r="104" ht="36" customHeight="1">
      <c r="A104" s="24" t="inlineStr">
        <is>
          <t>2d86d55928f249ba</t>
        </is>
      </c>
      <c r="B104" s="24" t="inlineStr">
        <is>
          <t>2026-07-21T03:21:59.117328Z</t>
        </is>
      </c>
      <c r="C104" s="24" t="inlineStr">
        <is>
          <t>2026-07-21T13:00:00Z</t>
        </is>
      </c>
      <c r="D104" s="24" t="inlineStr">
        <is>
          <t>56030</t>
        </is>
      </c>
      <c r="E104" s="24" t="inlineStr">
        <is>
          <t>CS2</t>
        </is>
      </c>
      <c r="F104" s="24" t="inlineStr">
        <is>
          <t>Gentle Mates</t>
        </is>
      </c>
      <c r="G104" s="24" t="inlineStr">
        <is>
          <t>3DMAX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117</v>
      </c>
      <c r="M104" s="27" t="n">
        <v>2.17</v>
      </c>
      <c r="N104" s="28" t="n">
        <v>0.460829</v>
      </c>
      <c r="O104" s="28" t="n">
        <v>0.569167</v>
      </c>
      <c r="P104" s="28" t="n"/>
      <c r="Q104" s="28" t="n">
        <v>0.109167</v>
      </c>
      <c r="R104" s="26" t="n">
        <v>100</v>
      </c>
      <c r="S104" s="29" t="n">
        <v>1.25</v>
      </c>
      <c r="T104" s="24" t="inlineStr">
        <is>
          <t>cs2-neutral-series-elo-v1</t>
        </is>
      </c>
      <c r="U104" s="24" t="inlineStr">
        <is>
          <t>open</t>
        </is>
      </c>
      <c r="V104" s="24" t="n"/>
      <c r="W104" s="26" t="n"/>
      <c r="X104" s="26" t="n"/>
      <c r="Y104" s="25" t="n"/>
      <c r="Z104" s="26" t="n"/>
      <c r="AA104" s="28" t="n"/>
      <c r="AB104" s="28" t="n"/>
      <c r="AC104" s="30" t="n"/>
      <c r="AD104" s="24" t="n"/>
      <c r="AE104" s="31" t="inlineStr">
        <is>
          <t>Neutral Elo baseline; executable ask 0.4600 (aec-cs2-3dmax-m8-2026-07-21).</t>
        </is>
      </c>
      <c r="AF104" s="31" t="inlineStr">
        <is>
          <t>Research baseline; zero-unit shadow until qualified.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Gentle Mates</t>
        </is>
      </c>
      <c r="AQ104" s="24" t="inlineStr">
        <is>
          <t>Gentle Mates</t>
        </is>
      </c>
      <c r="AR104" s="24" t="inlineStr">
        <is>
          <t>Gentle Mates</t>
        </is>
      </c>
      <c r="AS104" s="24" t="inlineStr">
        <is>
          <t>3DMAX</t>
        </is>
      </c>
      <c r="AT104" s="24" t="inlineStr">
        <is>
          <t>3DMAX</t>
        </is>
      </c>
      <c r="AU104" s="24" t="inlineStr">
        <is>
          <t>3DMAX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9dbde86ab8062ac73a51c94b0ad431573ac8b755ccd742d86794849a749958c7</t>
        </is>
      </c>
      <c r="BB104" s="24" t="inlineStr">
        <is>
          <t>neutral_elo</t>
        </is>
      </c>
      <c r="BC104" s="24" t="inlineStr">
        <is>
          <t>cs2-neutral-series-elo-v1</t>
        </is>
      </c>
      <c r="BD104" s="24" t="inlineStr">
        <is>
          <t>9dbde86ab8062ac73a51c94b0ad431573ac8b755ccd742d86794849a749958c7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unknown</t>
        </is>
      </c>
      <c r="BH104" s="24" t="inlineStr">
        <is>
          <t>2026-07-21T03:21:59.117328Z</t>
        </is>
      </c>
      <c r="BI104" s="24" t="inlineStr">
        <is>
          <t>["same_event","same_team_same_day","same_league_same_day"]</t>
        </is>
      </c>
      <c r="BJ104" s="25" t="n"/>
      <c r="BK104" s="26" t="n">
        <v>117</v>
      </c>
      <c r="BL104" s="27" t="n">
        <v>2.17</v>
      </c>
      <c r="BM104" s="28" t="n">
        <v>0.460829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</row>
    <row r="105" ht="36" customHeight="1">
      <c r="A105" s="24" t="inlineStr">
        <is>
          <t>34eb3f017886479e</t>
        </is>
      </c>
      <c r="B105" s="24" t="inlineStr">
        <is>
          <t>2026-07-21T03:21:59.673379Z</t>
        </is>
      </c>
      <c r="C105" s="24" t="inlineStr">
        <is>
          <t>2026-07-21T13:00:00Z</t>
        </is>
      </c>
      <c r="D105" s="24" t="inlineStr">
        <is>
          <t>56031</t>
        </is>
      </c>
      <c r="E105" s="24" t="inlineStr">
        <is>
          <t>CS2</t>
        </is>
      </c>
      <c r="F105" s="24" t="inlineStr">
        <is>
          <t>Heroic</t>
        </is>
      </c>
      <c r="G105" s="24" t="inlineStr">
        <is>
          <t>HOTU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-233</v>
      </c>
      <c r="M105" s="27" t="n">
        <v>1.429185</v>
      </c>
      <c r="N105" s="28" t="n">
        <v>0.6997</v>
      </c>
      <c r="O105" s="28" t="n">
        <v>0.5084920000000001</v>
      </c>
      <c r="P105" s="28" t="n"/>
      <c r="Q105" s="28" t="n">
        <v>-0.191508</v>
      </c>
      <c r="R105" s="26" t="n">
        <v>0</v>
      </c>
      <c r="S105" s="29" t="n">
        <v>0.5</v>
      </c>
      <c r="T105" s="24" t="inlineStr">
        <is>
          <t>cs2-neutral-series-elo-v1</t>
        </is>
      </c>
      <c r="U105" s="24" t="inlineStr">
        <is>
          <t>open</t>
        </is>
      </c>
      <c r="V105" s="24" t="n"/>
      <c r="W105" s="26" t="n"/>
      <c r="X105" s="26" t="n"/>
      <c r="Y105" s="25" t="n"/>
      <c r="Z105" s="26" t="n"/>
      <c r="AA105" s="28" t="n"/>
      <c r="AB105" s="28" t="n"/>
      <c r="AC105" s="30" t="n"/>
      <c r="AD105" s="24" t="n"/>
      <c r="AE105" s="31" t="inlineStr">
        <is>
          <t>Neutral Elo baseline; executable ask 0.7000 (aec-cs2-hotu-hero-2026-07-21).</t>
        </is>
      </c>
      <c r="AF105" s="31" t="inlineStr">
        <is>
          <t>Research baseline; zero-unit shadow until qualified.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Heroic</t>
        </is>
      </c>
      <c r="AQ105" s="24" t="inlineStr">
        <is>
          <t>Heroic</t>
        </is>
      </c>
      <c r="AR105" s="24" t="inlineStr">
        <is>
          <t>Heroic</t>
        </is>
      </c>
      <c r="AS105" s="24" t="inlineStr">
        <is>
          <t>HOTU</t>
        </is>
      </c>
      <c r="AT105" s="24" t="inlineStr">
        <is>
          <t>HOTU</t>
        </is>
      </c>
      <c r="AU105" s="24" t="inlineStr">
        <is>
          <t>HOTU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9dbde86ab8062ac73a51c94b0ad431573ac8b755ccd742d86794849a749958c7</t>
        </is>
      </c>
      <c r="BB105" s="24" t="inlineStr">
        <is>
          <t>neutral_elo</t>
        </is>
      </c>
      <c r="BC105" s="24" t="inlineStr">
        <is>
          <t>cs2-neutral-series-elo-v1</t>
        </is>
      </c>
      <c r="BD105" s="24" t="inlineStr">
        <is>
          <t>9dbde86ab8062ac73a51c94b0ad431573ac8b755ccd742d86794849a749958c7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unknown</t>
        </is>
      </c>
      <c r="BH105" s="24" t="inlineStr">
        <is>
          <t>2026-07-21T03:21:59.673379Z</t>
        </is>
      </c>
      <c r="BI105" s="24" t="inlineStr">
        <is>
          <t>["same_event","same_team_same_day","same_league_same_day"]</t>
        </is>
      </c>
      <c r="BJ105" s="25" t="n"/>
      <c r="BK105" s="26" t="n">
        <v>-233</v>
      </c>
      <c r="BL105" s="27" t="n">
        <v>1.429185</v>
      </c>
      <c r="BM105" s="28" t="n">
        <v>0.6997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</row>
    <row r="106" ht="36" customHeight="1">
      <c r="A106" s="24" t="inlineStr">
        <is>
          <t>ea876db69ed84d8d</t>
        </is>
      </c>
      <c r="B106" s="24" t="inlineStr">
        <is>
          <t>2026-07-21T03:22:00.140588Z</t>
        </is>
      </c>
      <c r="C106" s="24" t="inlineStr">
        <is>
          <t>2026-07-21T14:00:00Z</t>
        </is>
      </c>
      <c r="D106" s="24" t="inlineStr">
        <is>
          <t>56866</t>
        </is>
      </c>
      <c r="E106" s="24" t="inlineStr">
        <is>
          <t>CS2</t>
        </is>
      </c>
      <c r="F106" s="24" t="inlineStr">
        <is>
          <t>QUAZAR</t>
        </is>
      </c>
      <c r="G106" s="24" t="inlineStr">
        <is>
          <t>ENJOY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-223</v>
      </c>
      <c r="M106" s="27" t="n">
        <v>1.44843</v>
      </c>
      <c r="N106" s="28" t="n">
        <v>0.690402</v>
      </c>
      <c r="O106" s="28" t="n">
        <v>0.57243</v>
      </c>
      <c r="P106" s="28" t="n"/>
      <c r="Q106" s="28" t="n">
        <v>-0.11757</v>
      </c>
      <c r="R106" s="26" t="n">
        <v>0</v>
      </c>
      <c r="S106" s="29" t="n">
        <v>1.25</v>
      </c>
      <c r="T106" s="24" t="inlineStr">
        <is>
          <t>cs2-neutral-series-elo-v1</t>
        </is>
      </c>
      <c r="U106" s="24" t="inlineStr">
        <is>
          <t>open</t>
        </is>
      </c>
      <c r="V106" s="24" t="n"/>
      <c r="W106" s="26" t="n"/>
      <c r="X106" s="26" t="n"/>
      <c r="Y106" s="25" t="n"/>
      <c r="Z106" s="26" t="n"/>
      <c r="AA106" s="28" t="n"/>
      <c r="AB106" s="28" t="n"/>
      <c r="AC106" s="30" t="n"/>
      <c r="AD106" s="24" t="n"/>
      <c r="AE106" s="31" t="inlineStr">
        <is>
          <t>Neutral Elo baseline; executable ask 0.6900 (aec-cs2-enjoy-qua-2026-07-21).</t>
        </is>
      </c>
      <c r="AF106" s="31" t="inlineStr">
        <is>
          <t>Research baseline; zero-unit shadow until qualified.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QUAZAR</t>
        </is>
      </c>
      <c r="AQ106" s="24" t="inlineStr">
        <is>
          <t>QUAZAR</t>
        </is>
      </c>
      <c r="AR106" s="24" t="inlineStr">
        <is>
          <t>QUAZAR</t>
        </is>
      </c>
      <c r="AS106" s="24" t="inlineStr">
        <is>
          <t>ENJOY</t>
        </is>
      </c>
      <c r="AT106" s="24" t="inlineStr">
        <is>
          <t>ENJOY</t>
        </is>
      </c>
      <c r="AU106" s="24" t="inlineStr">
        <is>
          <t>ENJOY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9dbde86ab8062ac73a51c94b0ad431573ac8b755ccd742d86794849a749958c7</t>
        </is>
      </c>
      <c r="BB106" s="24" t="inlineStr">
        <is>
          <t>neutral_elo</t>
        </is>
      </c>
      <c r="BC106" s="24" t="inlineStr">
        <is>
          <t>cs2-neutral-series-elo-v1</t>
        </is>
      </c>
      <c r="BD106" s="24" t="inlineStr">
        <is>
          <t>9dbde86ab8062ac73a51c94b0ad431573ac8b755ccd742d86794849a749958c7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unknown</t>
        </is>
      </c>
      <c r="BH106" s="24" t="inlineStr">
        <is>
          <t>2026-07-21T03:22:00.140588Z</t>
        </is>
      </c>
      <c r="BI106" s="24" t="inlineStr">
        <is>
          <t>["same_event","same_team_same_day","same_league_same_day"]</t>
        </is>
      </c>
      <c r="BJ106" s="25" t="n"/>
      <c r="BK106" s="26" t="n">
        <v>-223</v>
      </c>
      <c r="BL106" s="27" t="n">
        <v>1.44843</v>
      </c>
      <c r="BM106" s="28" t="n">
        <v>0.690402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</row>
    <row r="107" ht="36" customHeight="1">
      <c r="A107" s="24" t="inlineStr">
        <is>
          <t>18dad32c30d742f1</t>
        </is>
      </c>
      <c r="B107" s="24" t="inlineStr">
        <is>
          <t>2026-07-21T03:22:00.645591Z</t>
        </is>
      </c>
      <c r="C107" s="24" t="inlineStr">
        <is>
          <t>2026-07-21T16:00:00Z</t>
        </is>
      </c>
      <c r="D107" s="24" t="inlineStr">
        <is>
          <t>50619</t>
        </is>
      </c>
      <c r="E107" s="24" t="inlineStr">
        <is>
          <t>CS2</t>
        </is>
      </c>
      <c r="F107" s="24" t="inlineStr">
        <is>
          <t>BOJONG</t>
        </is>
      </c>
      <c r="G107" s="24" t="inlineStr">
        <is>
          <t>Entropy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-117</v>
      </c>
      <c r="M107" s="27" t="n">
        <v>1.854701</v>
      </c>
      <c r="N107" s="28" t="n">
        <v>0.539171</v>
      </c>
      <c r="O107" s="28" t="n">
        <v>0.71144</v>
      </c>
      <c r="P107" s="28" t="n"/>
      <c r="Q107" s="28" t="n">
        <v>0.17144</v>
      </c>
      <c r="R107" s="26" t="n">
        <v>100</v>
      </c>
      <c r="S107" s="29" t="n">
        <v>2</v>
      </c>
      <c r="T107" s="24" t="inlineStr">
        <is>
          <t>cs2-neutral-series-elo-v1</t>
        </is>
      </c>
      <c r="U107" s="24" t="inlineStr">
        <is>
          <t>open</t>
        </is>
      </c>
      <c r="V107" s="24" t="n"/>
      <c r="W107" s="26" t="n"/>
      <c r="X107" s="26" t="n"/>
      <c r="Y107" s="25" t="n"/>
      <c r="Z107" s="26" t="n"/>
      <c r="AA107" s="28" t="n"/>
      <c r="AB107" s="28" t="n"/>
      <c r="AC107" s="30" t="n"/>
      <c r="AD107" s="24" t="n"/>
      <c r="AE107" s="31" t="inlineStr">
        <is>
          <t>Neutral Elo baseline; executable ask 0.5400 (aec-cs2-ent-bjng-2026-07-14).</t>
        </is>
      </c>
      <c r="AF107" s="31" t="inlineStr">
        <is>
          <t>Research baseline; zero-unit shadow until qualified.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BOJONG</t>
        </is>
      </c>
      <c r="AQ107" s="24" t="inlineStr">
        <is>
          <t>BOJONG</t>
        </is>
      </c>
      <c r="AR107" s="24" t="inlineStr">
        <is>
          <t>BOJONG</t>
        </is>
      </c>
      <c r="AS107" s="24" t="inlineStr">
        <is>
          <t>Entropy</t>
        </is>
      </c>
      <c r="AT107" s="24" t="inlineStr">
        <is>
          <t>Entropy</t>
        </is>
      </c>
      <c r="AU107" s="24" t="inlineStr">
        <is>
          <t>Entropy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9dbde86ab8062ac73a51c94b0ad431573ac8b755ccd742d86794849a749958c7</t>
        </is>
      </c>
      <c r="BB107" s="24" t="inlineStr">
        <is>
          <t>neutral_elo</t>
        </is>
      </c>
      <c r="BC107" s="24" t="inlineStr">
        <is>
          <t>cs2-neutral-series-elo-v1</t>
        </is>
      </c>
      <c r="BD107" s="24" t="inlineStr">
        <is>
          <t>9dbde86ab8062ac73a51c94b0ad431573ac8b755ccd742d86794849a749958c7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unknown</t>
        </is>
      </c>
      <c r="BH107" s="24" t="inlineStr">
        <is>
          <t>2026-07-21T03:22:00.645591Z</t>
        </is>
      </c>
      <c r="BI107" s="24" t="inlineStr">
        <is>
          <t>["same_event","same_team_same_day","same_league_same_day"]</t>
        </is>
      </c>
      <c r="BJ107" s="25" t="n"/>
      <c r="BK107" s="26" t="n">
        <v>-117</v>
      </c>
      <c r="BL107" s="27" t="n">
        <v>1.854701</v>
      </c>
      <c r="BM107" s="28" t="n">
        <v>0.539171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</row>
    <row r="108" ht="36" customHeight="1">
      <c r="A108" s="24" t="inlineStr">
        <is>
          <t>b2267a3a197a4135</t>
        </is>
      </c>
      <c r="B108" s="24" t="inlineStr">
        <is>
          <t>2026-07-21T03:22:01.153970Z</t>
        </is>
      </c>
      <c r="C108" s="24" t="inlineStr">
        <is>
          <t>2026-07-21T17:30:00Z</t>
        </is>
      </c>
      <c r="D108" s="24" t="inlineStr">
        <is>
          <t>55178</t>
        </is>
      </c>
      <c r="E108" s="24" t="inlineStr">
        <is>
          <t>CS2</t>
        </is>
      </c>
      <c r="F108" s="24" t="inlineStr">
        <is>
          <t>Wildcard</t>
        </is>
      </c>
      <c r="G108" s="24" t="inlineStr">
        <is>
          <t>Alliance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-178</v>
      </c>
      <c r="M108" s="27" t="n">
        <v>1.561798</v>
      </c>
      <c r="N108" s="28" t="n">
        <v>0.640288</v>
      </c>
      <c r="O108" s="28" t="n">
        <v>0.715788</v>
      </c>
      <c r="P108" s="28" t="n"/>
      <c r="Q108" s="28" t="n">
        <v>0.07578799999999999</v>
      </c>
      <c r="R108" s="26" t="n">
        <v>75</v>
      </c>
      <c r="S108" s="29" t="n">
        <v>2</v>
      </c>
      <c r="T108" s="24" t="inlineStr">
        <is>
          <t>cs2-neutral-series-elo-v1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Neutral Elo baseline; executable ask 0.6400 (aec-cs2-all-wc-2026-07-21).</t>
        </is>
      </c>
      <c r="AF108" s="31" t="inlineStr">
        <is>
          <t>Research baseline; zero-unit shadow until qualified.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Wildcard</t>
        </is>
      </c>
      <c r="AQ108" s="24" t="inlineStr">
        <is>
          <t>Wildcard</t>
        </is>
      </c>
      <c r="AR108" s="24" t="inlineStr">
        <is>
          <t>Wildcard</t>
        </is>
      </c>
      <c r="AS108" s="24" t="inlineStr">
        <is>
          <t>Alliance</t>
        </is>
      </c>
      <c r="AT108" s="24" t="inlineStr">
        <is>
          <t>Alliance</t>
        </is>
      </c>
      <c r="AU108" s="24" t="inlineStr">
        <is>
          <t>Alliance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9dbde86ab8062ac73a51c94b0ad431573ac8b755ccd742d86794849a749958c7</t>
        </is>
      </c>
      <c r="BB108" s="24" t="inlineStr">
        <is>
          <t>neutral_elo</t>
        </is>
      </c>
      <c r="BC108" s="24" t="inlineStr">
        <is>
          <t>cs2-neutral-series-elo-v1</t>
        </is>
      </c>
      <c r="BD108" s="24" t="inlineStr">
        <is>
          <t>9dbde86ab8062ac73a51c94b0ad431573ac8b755ccd742d86794849a749958c7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unknown</t>
        </is>
      </c>
      <c r="BH108" s="24" t="inlineStr">
        <is>
          <t>2026-07-21T03:22:01.153970Z</t>
        </is>
      </c>
      <c r="BI108" s="24" t="inlineStr">
        <is>
          <t>["same_event","same_team_same_day","same_league_same_day"]</t>
        </is>
      </c>
      <c r="BJ108" s="25" t="n"/>
      <c r="BK108" s="26" t="n">
        <v>-178</v>
      </c>
      <c r="BL108" s="27" t="n">
        <v>1.561798</v>
      </c>
      <c r="BM108" s="28" t="n">
        <v>0.640288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</row>
    <row r="109" ht="36" customHeight="1">
      <c r="A109" s="24" t="inlineStr">
        <is>
          <t>8c112384cd204eea</t>
        </is>
      </c>
      <c r="B109" s="24" t="inlineStr">
        <is>
          <t>2026-07-21T03:22:01.717461Z</t>
        </is>
      </c>
      <c r="C109" s="24" t="inlineStr">
        <is>
          <t>2026-07-21T19:00:00Z</t>
        </is>
      </c>
      <c r="D109" s="24" t="inlineStr">
        <is>
          <t>56760</t>
        </is>
      </c>
      <c r="E109" s="24" t="inlineStr">
        <is>
          <t>CS2</t>
        </is>
      </c>
      <c r="F109" s="24" t="inlineStr">
        <is>
          <t>ALKA GAMING</t>
        </is>
      </c>
      <c r="G109" s="24" t="inlineStr">
        <is>
          <t>Procyon Gaming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-133</v>
      </c>
      <c r="M109" s="27" t="n">
        <v>1.75188</v>
      </c>
      <c r="N109" s="28" t="n">
        <v>0.570815</v>
      </c>
      <c r="O109" s="28" t="n">
        <v>0.700612</v>
      </c>
      <c r="P109" s="28" t="n"/>
      <c r="Q109" s="28" t="n">
        <v>0.130612</v>
      </c>
      <c r="R109" s="26" t="n">
        <v>100</v>
      </c>
      <c r="S109" s="29" t="n">
        <v>2</v>
      </c>
      <c r="T109" s="24" t="inlineStr">
        <is>
          <t>cs2-neutral-series-elo-v1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Neutral Elo baseline; executable ask 0.5700 (aec-cs2-pcy-alka-2026-07-21).</t>
        </is>
      </c>
      <c r="AF109" s="31" t="inlineStr">
        <is>
          <t>Research baseline; zero-unit shadow until qualified.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ALKA GAMING</t>
        </is>
      </c>
      <c r="AQ109" s="24" t="inlineStr">
        <is>
          <t>ALKA GAMING</t>
        </is>
      </c>
      <c r="AR109" s="24" t="inlineStr">
        <is>
          <t>ALKA GAMING</t>
        </is>
      </c>
      <c r="AS109" s="24" t="inlineStr">
        <is>
          <t>Procyon Gaming</t>
        </is>
      </c>
      <c r="AT109" s="24" t="inlineStr">
        <is>
          <t>Procyon Gaming</t>
        </is>
      </c>
      <c r="AU109" s="24" t="inlineStr">
        <is>
          <t>Procyon Gaming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9dbde86ab8062ac73a51c94b0ad431573ac8b755ccd742d86794849a749958c7</t>
        </is>
      </c>
      <c r="BB109" s="24" t="inlineStr">
        <is>
          <t>neutral_elo</t>
        </is>
      </c>
      <c r="BC109" s="24" t="inlineStr">
        <is>
          <t>cs2-neutral-series-elo-v1</t>
        </is>
      </c>
      <c r="BD109" s="24" t="inlineStr">
        <is>
          <t>9dbde86ab8062ac73a51c94b0ad431573ac8b755ccd742d86794849a749958c7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unknown</t>
        </is>
      </c>
      <c r="BH109" s="24" t="inlineStr">
        <is>
          <t>2026-07-21T03:22:01.717461Z</t>
        </is>
      </c>
      <c r="BI109" s="24" t="inlineStr">
        <is>
          <t>["same_event","same_team_same_day","same_league_same_day"]</t>
        </is>
      </c>
      <c r="BJ109" s="25" t="n"/>
      <c r="BK109" s="26" t="n">
        <v>-133</v>
      </c>
      <c r="BL109" s="27" t="n">
        <v>1.75188</v>
      </c>
      <c r="BM109" s="28" t="n">
        <v>0.570815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</row>
    <row r="110" ht="36" customHeight="1">
      <c r="A110" s="24" t="inlineStr">
        <is>
          <t>28ee8ddd3359499c</t>
        </is>
      </c>
      <c r="B110" s="24" t="inlineStr">
        <is>
          <t>2026-07-21T03:22:02.285370Z</t>
        </is>
      </c>
      <c r="C110" s="24" t="inlineStr">
        <is>
          <t>2026-07-21T22:00:00Z</t>
        </is>
      </c>
      <c r="D110" s="24" t="inlineStr">
        <is>
          <t>56761</t>
        </is>
      </c>
      <c r="E110" s="24" t="inlineStr">
        <is>
          <t>CS2</t>
        </is>
      </c>
      <c r="F110" s="24" t="inlineStr">
        <is>
          <t>BESTIA Academy</t>
        </is>
      </c>
      <c r="G110" s="24" t="inlineStr">
        <is>
          <t>BORRACHEIROS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-144</v>
      </c>
      <c r="M110" s="27" t="n">
        <v>1.694444</v>
      </c>
      <c r="N110" s="28" t="n">
        <v>0.590164</v>
      </c>
      <c r="O110" s="28" t="n">
        <v>0.5961070000000001</v>
      </c>
      <c r="P110" s="28" t="n"/>
      <c r="Q110" s="28" t="n">
        <v>0.006107</v>
      </c>
      <c r="R110" s="26" t="n">
        <v>6</v>
      </c>
      <c r="S110" s="29" t="n">
        <v>1.5</v>
      </c>
      <c r="T110" s="24" t="inlineStr">
        <is>
          <t>cs2-neutral-series-elo-v1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Neutral Elo baseline; executable ask 0.5900 (aec-cs2-chama-bsta-2026-07-21).</t>
        </is>
      </c>
      <c r="AF110" s="31" t="inlineStr">
        <is>
          <t>Research baseline; zero-unit shadow until qualified.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BESTIA Academy</t>
        </is>
      </c>
      <c r="AQ110" s="24" t="inlineStr">
        <is>
          <t>BESTIA Academy</t>
        </is>
      </c>
      <c r="AR110" s="24" t="inlineStr">
        <is>
          <t>BESTIA Academy</t>
        </is>
      </c>
      <c r="AS110" s="24" t="inlineStr">
        <is>
          <t>BORRACHEIROS</t>
        </is>
      </c>
      <c r="AT110" s="24" t="inlineStr">
        <is>
          <t>BORRACHEIROS</t>
        </is>
      </c>
      <c r="AU110" s="24" t="inlineStr">
        <is>
          <t>BORRACHEIROS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9dbde86ab8062ac73a51c94b0ad431573ac8b755ccd742d86794849a749958c7</t>
        </is>
      </c>
      <c r="BB110" s="24" t="inlineStr">
        <is>
          <t>neutral_elo</t>
        </is>
      </c>
      <c r="BC110" s="24" t="inlineStr">
        <is>
          <t>cs2-neutral-series-elo-v1</t>
        </is>
      </c>
      <c r="BD110" s="24" t="inlineStr">
        <is>
          <t>9dbde86ab8062ac73a51c94b0ad431573ac8b755ccd742d86794849a749958c7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unknown</t>
        </is>
      </c>
      <c r="BH110" s="24" t="inlineStr">
        <is>
          <t>2026-07-21T03:22:02.285370Z</t>
        </is>
      </c>
      <c r="BI110" s="24" t="inlineStr">
        <is>
          <t>["same_event","same_team_same_day","same_league_same_day"]</t>
        </is>
      </c>
      <c r="BJ110" s="25" t="n"/>
      <c r="BK110" s="26" t="n">
        <v>-144</v>
      </c>
      <c r="BL110" s="27" t="n">
        <v>1.694444</v>
      </c>
      <c r="BM110" s="28" t="n">
        <v>0.590164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</row>
    <row r="111" ht="36" customHeight="1">
      <c r="A111" s="24" t="inlineStr">
        <is>
          <t>f834d0c72f814bdc</t>
        </is>
      </c>
      <c r="B111" s="24" t="inlineStr">
        <is>
          <t>2026-07-21T03:22:02.783221Z</t>
        </is>
      </c>
      <c r="C111" s="24" t="inlineStr">
        <is>
          <t>2026-07-22T08:00:00Z</t>
        </is>
      </c>
      <c r="D111" s="24" t="inlineStr">
        <is>
          <t>57989</t>
        </is>
      </c>
      <c r="E111" s="24" t="inlineStr">
        <is>
          <t>CS2</t>
        </is>
      </c>
      <c r="F111" s="24" t="inlineStr">
        <is>
          <t>Rune Eaters</t>
        </is>
      </c>
      <c r="G111" s="24" t="inlineStr">
        <is>
          <t>Black Phoenix</t>
        </is>
      </c>
      <c r="H111" s="24" t="inlineStr">
        <is>
          <t>moneyline</t>
        </is>
      </c>
      <c r="I111" s="24" t="inlineStr">
        <is>
          <t>away</t>
        </is>
      </c>
      <c r="J111" s="25" t="n"/>
      <c r="K111" s="24" t="inlineStr">
        <is>
          <t>polymarket_us</t>
        </is>
      </c>
      <c r="L111" s="26" t="n">
        <v>138</v>
      </c>
      <c r="M111" s="27" t="n">
        <v>2.38</v>
      </c>
      <c r="N111" s="28" t="n">
        <v>0.420168</v>
      </c>
      <c r="O111" s="28" t="n">
        <v>0.629112</v>
      </c>
      <c r="P111" s="28" t="n"/>
      <c r="Q111" s="28" t="n">
        <v>0.209112</v>
      </c>
      <c r="R111" s="26" t="n">
        <v>100</v>
      </c>
      <c r="S111" s="29" t="n">
        <v>1.75</v>
      </c>
      <c r="T111" s="24" t="inlineStr">
        <is>
          <t>cs2-neutral-series-elo-v1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Neutral Elo baseline; executable ask 0.4200 (aec-cs2-bpl-re-2026-07-22).</t>
        </is>
      </c>
      <c r="AF111" s="31" t="inlineStr">
        <is>
          <t>Research baseline; zero-unit shadow until qualified.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3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Rune Eaters</t>
        </is>
      </c>
      <c r="AQ111" s="24" t="inlineStr">
        <is>
          <t>Rune Eaters</t>
        </is>
      </c>
      <c r="AR111" s="24" t="inlineStr">
        <is>
          <t>Rune Eaters</t>
        </is>
      </c>
      <c r="AS111" s="24" t="inlineStr">
        <is>
          <t>Black Phoenix</t>
        </is>
      </c>
      <c r="AT111" s="24" t="inlineStr">
        <is>
          <t>Black Phoenix</t>
        </is>
      </c>
      <c r="AU111" s="24" t="inlineStr">
        <is>
          <t>Black Phoenix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9dbde86ab8062ac73a51c94b0ad431573ac8b755ccd742d86794849a749958c7</t>
        </is>
      </c>
      <c r="BB111" s="24" t="inlineStr">
        <is>
          <t>neutral_elo</t>
        </is>
      </c>
      <c r="BC111" s="24" t="inlineStr">
        <is>
          <t>cs2-neutral-series-elo-v1</t>
        </is>
      </c>
      <c r="BD111" s="24" t="inlineStr">
        <is>
          <t>9dbde86ab8062ac73a51c94b0ad431573ac8b755ccd742d86794849a749958c7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unknown</t>
        </is>
      </c>
      <c r="BH111" s="24" t="inlineStr">
        <is>
          <t>2026-07-21T03:22:02.783221Z</t>
        </is>
      </c>
      <c r="BI111" s="24" t="inlineStr">
        <is>
          <t>["same_event","same_team_same_day","same_league_same_day"]</t>
        </is>
      </c>
      <c r="BJ111" s="25" t="n"/>
      <c r="BK111" s="26" t="n">
        <v>138</v>
      </c>
      <c r="BL111" s="27" t="n">
        <v>2.38</v>
      </c>
      <c r="BM111" s="28" t="n">
        <v>0.420168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</row>
    <row r="112" ht="36" customHeight="1">
      <c r="A112" s="24" t="inlineStr">
        <is>
          <t>3a4eefaf05bf4cb3</t>
        </is>
      </c>
      <c r="B112" s="24" t="inlineStr">
        <is>
          <t>2026-07-21T03:22:23.027748Z</t>
        </is>
      </c>
      <c r="C112" s="24" t="inlineStr">
        <is>
          <t>2026-07-21T09:00:00Z</t>
        </is>
      </c>
      <c r="D112" s="24" t="inlineStr">
        <is>
          <t>54884</t>
        </is>
      </c>
      <c r="E112" s="24" t="inlineStr">
        <is>
          <t>VALORANT</t>
        </is>
      </c>
      <c r="F112" s="24" t="inlineStr">
        <is>
          <t>Trace Esports</t>
        </is>
      </c>
      <c r="G112" s="24" t="inlineStr">
        <is>
          <t>JD Gaming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-144</v>
      </c>
      <c r="M112" s="27" t="n">
        <v>1.694444</v>
      </c>
      <c r="N112" s="28" t="n">
        <v>0.590164</v>
      </c>
      <c r="O112" s="28" t="n">
        <v>0.5</v>
      </c>
      <c r="P112" s="28" t="n"/>
      <c r="Q112" s="28" t="n">
        <v>-0.09</v>
      </c>
      <c r="R112" s="26" t="n">
        <v>0</v>
      </c>
      <c r="S112" s="29" t="n">
        <v>0.5</v>
      </c>
      <c r="T112" s="24" t="inlineStr">
        <is>
          <t>valorant-neutral-series-elo-v1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Neutral Elo baseline; executable ask 0.5900 (aec-valorant-jdg-te-2026-07-21).</t>
        </is>
      </c>
      <c r="AF112" s="31" t="inlineStr">
        <is>
          <t>Research baseline; zero-unit shadow until qualified.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3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Trace Esports</t>
        </is>
      </c>
      <c r="AQ112" s="24" t="inlineStr">
        <is>
          <t>Trace Esports</t>
        </is>
      </c>
      <c r="AR112" s="24" t="inlineStr">
        <is>
          <t>Trace Esports</t>
        </is>
      </c>
      <c r="AS112" s="24" t="inlineStr">
        <is>
          <t>JD Gaming</t>
        </is>
      </c>
      <c r="AT112" s="24" t="inlineStr">
        <is>
          <t>JD Gaming</t>
        </is>
      </c>
      <c r="AU112" s="24" t="inlineStr">
        <is>
          <t>JD Gaming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6b22a3a7ea7c99994f8e21eaff51dd4a0a9fb984bb31dbc7c1021ad6cd7c53a2</t>
        </is>
      </c>
      <c r="BB112" s="24" t="inlineStr">
        <is>
          <t>neutral_elo</t>
        </is>
      </c>
      <c r="BC112" s="24" t="inlineStr">
        <is>
          <t>valorant-neutral-series-elo-v1</t>
        </is>
      </c>
      <c r="BD112" s="24" t="inlineStr">
        <is>
          <t>6b22a3a7ea7c99994f8e21eaff51dd4a0a9fb984bb31dbc7c1021ad6cd7c53a2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unknown</t>
        </is>
      </c>
      <c r="BH112" s="24" t="inlineStr">
        <is>
          <t>2026-07-21T03:22:23.027748Z</t>
        </is>
      </c>
      <c r="BI112" s="24" t="inlineStr">
        <is>
          <t>["same_event","same_team_same_day","same_league_same_day"]</t>
        </is>
      </c>
      <c r="BJ112" s="25" t="n"/>
      <c r="BK112" s="26" t="n">
        <v>-144</v>
      </c>
      <c r="BL112" s="27" t="n">
        <v>1.694444</v>
      </c>
      <c r="BM112" s="28" t="n">
        <v>0.590164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</row>
    <row r="113" ht="36" customHeight="1">
      <c r="A113" s="24" t="inlineStr">
        <is>
          <t>7107b33b33c04aef</t>
        </is>
      </c>
      <c r="B113" s="24" t="inlineStr">
        <is>
          <t>2026-07-21T03:22:23.528416Z</t>
        </is>
      </c>
      <c r="C113" s="24" t="inlineStr">
        <is>
          <t>2026-07-21T12:00:00Z</t>
        </is>
      </c>
      <c r="D113" s="24" t="inlineStr">
        <is>
          <t>54974</t>
        </is>
      </c>
      <c r="E113" s="24" t="inlineStr">
        <is>
          <t>VALORANT</t>
        </is>
      </c>
      <c r="F113" s="24" t="inlineStr">
        <is>
          <t>Nova Esports</t>
        </is>
      </c>
      <c r="G113" s="24" t="inlineStr">
        <is>
          <t>EDward Gaming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-223</v>
      </c>
      <c r="M113" s="27" t="n">
        <v>1.44843</v>
      </c>
      <c r="N113" s="28" t="n">
        <v>0.690402</v>
      </c>
      <c r="O113" s="28" t="n">
        <v>0.5</v>
      </c>
      <c r="P113" s="28" t="n"/>
      <c r="Q113" s="28" t="n">
        <v>-0.19</v>
      </c>
      <c r="R113" s="26" t="n">
        <v>0</v>
      </c>
      <c r="S113" s="29" t="n">
        <v>0.5</v>
      </c>
      <c r="T113" s="24" t="inlineStr">
        <is>
          <t>valorant-neutral-series-elo-v1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Neutral Elo baseline; executable ask 0.6900 (aec-valorant-edg-nova-2026-07-21).</t>
        </is>
      </c>
      <c r="AF113" s="31" t="inlineStr">
        <is>
          <t>Research baseline; zero-unit shadow until qualified.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3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Nova Esports</t>
        </is>
      </c>
      <c r="AQ113" s="24" t="inlineStr">
        <is>
          <t>Nova Esports</t>
        </is>
      </c>
      <c r="AR113" s="24" t="inlineStr">
        <is>
          <t>Nova Esports</t>
        </is>
      </c>
      <c r="AS113" s="24" t="inlineStr">
        <is>
          <t>EDward Gaming</t>
        </is>
      </c>
      <c r="AT113" s="24" t="inlineStr">
        <is>
          <t>EDward Gaming</t>
        </is>
      </c>
      <c r="AU113" s="24" t="inlineStr">
        <is>
          <t>EDward Gaming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6b22a3a7ea7c99994f8e21eaff51dd4a0a9fb984bb31dbc7c1021ad6cd7c53a2</t>
        </is>
      </c>
      <c r="BB113" s="24" t="inlineStr">
        <is>
          <t>neutral_elo</t>
        </is>
      </c>
      <c r="BC113" s="24" t="inlineStr">
        <is>
          <t>valorant-neutral-series-elo-v1</t>
        </is>
      </c>
      <c r="BD113" s="24" t="inlineStr">
        <is>
          <t>6b22a3a7ea7c99994f8e21eaff51dd4a0a9fb984bb31dbc7c1021ad6cd7c53a2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unknown</t>
        </is>
      </c>
      <c r="BH113" s="24" t="inlineStr">
        <is>
          <t>2026-07-21T03:22:23.528416Z</t>
        </is>
      </c>
      <c r="BI113" s="24" t="inlineStr">
        <is>
          <t>["same_event","same_team_same_day","same_league_same_day"]</t>
        </is>
      </c>
      <c r="BJ113" s="25" t="n"/>
      <c r="BK113" s="26" t="n">
        <v>-223</v>
      </c>
      <c r="BL113" s="27" t="n">
        <v>1.44843</v>
      </c>
      <c r="BM113" s="28" t="n">
        <v>0.690402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</row>
    <row r="114" ht="36" customHeight="1">
      <c r="A114" s="24" t="inlineStr">
        <is>
          <t>e9eaa259230f4336</t>
        </is>
      </c>
      <c r="B114" s="24" t="inlineStr">
        <is>
          <t>2026-07-21T03:22:24.021363Z</t>
        </is>
      </c>
      <c r="C114" s="24" t="inlineStr">
        <is>
          <t>2026-07-22T09:00:00Z</t>
        </is>
      </c>
      <c r="D114" s="24" t="inlineStr">
        <is>
          <t>55955</t>
        </is>
      </c>
      <c r="E114" s="24" t="inlineStr">
        <is>
          <t>VALORANT</t>
        </is>
      </c>
      <c r="F114" s="24" t="inlineStr">
        <is>
          <t>Wolves Esports</t>
        </is>
      </c>
      <c r="G114" s="24" t="inlineStr">
        <is>
          <t>XLG Gaming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-213</v>
      </c>
      <c r="M114" s="27" t="n">
        <v>1.469484</v>
      </c>
      <c r="N114" s="28" t="n">
        <v>0.680511</v>
      </c>
      <c r="O114" s="28" t="n">
        <v>0.5</v>
      </c>
      <c r="P114" s="28" t="n"/>
      <c r="Q114" s="28" t="n">
        <v>-0.18</v>
      </c>
      <c r="R114" s="26" t="n">
        <v>0</v>
      </c>
      <c r="S114" s="29" t="n">
        <v>0.5</v>
      </c>
      <c r="T114" s="24" t="inlineStr">
        <is>
          <t>valorant-neutral-series-elo-v1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Neutral Elo baseline; executable ask 0.6800 (aec-valorant-xlg-wol-2026-07-22).</t>
        </is>
      </c>
      <c r="AF114" s="31" t="inlineStr">
        <is>
          <t>Research baseline; zero-unit shadow until qualified.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3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Wolves Esports</t>
        </is>
      </c>
      <c r="AQ114" s="24" t="inlineStr">
        <is>
          <t>Wolves Esports</t>
        </is>
      </c>
      <c r="AR114" s="24" t="inlineStr">
        <is>
          <t>Wolves Esports</t>
        </is>
      </c>
      <c r="AS114" s="24" t="inlineStr">
        <is>
          <t>XLG Gaming</t>
        </is>
      </c>
      <c r="AT114" s="24" t="inlineStr">
        <is>
          <t>XLG Gaming</t>
        </is>
      </c>
      <c r="AU114" s="24" t="inlineStr">
        <is>
          <t>XLG Gaming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6b22a3a7ea7c99994f8e21eaff51dd4a0a9fb984bb31dbc7c1021ad6cd7c53a2</t>
        </is>
      </c>
      <c r="BB114" s="24" t="inlineStr">
        <is>
          <t>neutral_elo</t>
        </is>
      </c>
      <c r="BC114" s="24" t="inlineStr">
        <is>
          <t>valorant-neutral-series-elo-v1</t>
        </is>
      </c>
      <c r="BD114" s="24" t="inlineStr">
        <is>
          <t>6b22a3a7ea7c99994f8e21eaff51dd4a0a9fb984bb31dbc7c1021ad6cd7c53a2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unknown</t>
        </is>
      </c>
      <c r="BH114" s="24" t="inlineStr">
        <is>
          <t>2026-07-21T03:22:24.021363Z</t>
        </is>
      </c>
      <c r="BI114" s="24" t="inlineStr">
        <is>
          <t>["same_event","same_team_same_day","same_league_same_day"]</t>
        </is>
      </c>
      <c r="BJ114" s="25" t="n"/>
      <c r="BK114" s="26" t="n">
        <v>-213</v>
      </c>
      <c r="BL114" s="27" t="n">
        <v>1.469484</v>
      </c>
      <c r="BM114" s="28" t="n">
        <v>0.680511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</row>
    <row r="115" ht="36" customHeight="1">
      <c r="A115" s="24" t="inlineStr">
        <is>
          <t>cf641257296744c5</t>
        </is>
      </c>
      <c r="B115" s="24" t="inlineStr">
        <is>
          <t>2026-07-21T03:22:24.514767Z</t>
        </is>
      </c>
      <c r="C115" s="24" t="inlineStr">
        <is>
          <t>2026-07-22T12:00:00Z</t>
        </is>
      </c>
      <c r="D115" s="24" t="inlineStr">
        <is>
          <t>56012</t>
        </is>
      </c>
      <c r="E115" s="24" t="inlineStr">
        <is>
          <t>VALORANT</t>
        </is>
      </c>
      <c r="F115" s="24" t="inlineStr">
        <is>
          <t>Dragon Ranger Gaming</t>
        </is>
      </c>
      <c r="G115" s="24" t="inlineStr">
        <is>
          <t>All Gamers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-113</v>
      </c>
      <c r="M115" s="27" t="n">
        <v>1.884956</v>
      </c>
      <c r="N115" s="28" t="n">
        <v>0.530516</v>
      </c>
      <c r="O115" s="28" t="n">
        <v>0.5</v>
      </c>
      <c r="P115" s="28" t="n"/>
      <c r="Q115" s="28" t="n">
        <v>-0.03</v>
      </c>
      <c r="R115" s="26" t="n">
        <v>0</v>
      </c>
      <c r="S115" s="29" t="n">
        <v>0.5</v>
      </c>
      <c r="T115" s="24" t="inlineStr">
        <is>
          <t>valorant-neutral-series-elo-v1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Neutral Elo baseline; executable ask 0.5300 (aec-valorant-ag-drg-2026-07-22).</t>
        </is>
      </c>
      <c r="AF115" s="31" t="inlineStr">
        <is>
          <t>Research baseline; zero-unit shadow until qualified.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Dragon Ranger Gaming</t>
        </is>
      </c>
      <c r="AQ115" s="24" t="inlineStr">
        <is>
          <t>Dragon Ranger Gaming</t>
        </is>
      </c>
      <c r="AR115" s="24" t="inlineStr">
        <is>
          <t>Dragon Ranger Gaming</t>
        </is>
      </c>
      <c r="AS115" s="24" t="inlineStr">
        <is>
          <t>All Gamers</t>
        </is>
      </c>
      <c r="AT115" s="24" t="inlineStr">
        <is>
          <t>All Gamers</t>
        </is>
      </c>
      <c r="AU115" s="24" t="inlineStr">
        <is>
          <t>All Gamers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6b22a3a7ea7c99994f8e21eaff51dd4a0a9fb984bb31dbc7c1021ad6cd7c53a2</t>
        </is>
      </c>
      <c r="BB115" s="24" t="inlineStr">
        <is>
          <t>neutral_elo</t>
        </is>
      </c>
      <c r="BC115" s="24" t="inlineStr">
        <is>
          <t>valorant-neutral-series-elo-v1</t>
        </is>
      </c>
      <c r="BD115" s="24" t="inlineStr">
        <is>
          <t>6b22a3a7ea7c99994f8e21eaff51dd4a0a9fb984bb31dbc7c1021ad6cd7c53a2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unknown</t>
        </is>
      </c>
      <c r="BH115" s="24" t="inlineStr">
        <is>
          <t>2026-07-21T03:22:24.514767Z</t>
        </is>
      </c>
      <c r="BI115" s="24" t="inlineStr">
        <is>
          <t>["same_event","same_team_same_day","same_league_same_day"]</t>
        </is>
      </c>
      <c r="BJ115" s="25" t="n"/>
      <c r="BK115" s="26" t="n">
        <v>-113</v>
      </c>
      <c r="BL115" s="27" t="n">
        <v>1.884956</v>
      </c>
      <c r="BM115" s="28" t="n">
        <v>0.530516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</row>
    <row r="116" ht="36" customHeight="1">
      <c r="A116" s="24" t="inlineStr">
        <is>
          <t>b20ae40c11744ef6</t>
        </is>
      </c>
      <c r="B116" s="24" t="inlineStr">
        <is>
          <t>2026-07-21T03:22:25.017639Z</t>
        </is>
      </c>
      <c r="C116" s="24" t="inlineStr">
        <is>
          <t>2026-07-22T18:00:00Z</t>
        </is>
      </c>
      <c r="D116" s="24" t="inlineStr">
        <is>
          <t>56142</t>
        </is>
      </c>
      <c r="E116" s="24" t="inlineStr">
        <is>
          <t>VALORANT</t>
        </is>
      </c>
      <c r="F116" s="24" t="inlineStr">
        <is>
          <t>Karmine Corp</t>
        </is>
      </c>
      <c r="G116" s="24" t="inlineStr">
        <is>
          <t>Fnatic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-127</v>
      </c>
      <c r="M116" s="27" t="n">
        <v>1.787402</v>
      </c>
      <c r="N116" s="28" t="n">
        <v>0.5594710000000001</v>
      </c>
      <c r="O116" s="28" t="n">
        <v>0.5</v>
      </c>
      <c r="P116" s="28" t="n"/>
      <c r="Q116" s="28" t="n">
        <v>-0.06</v>
      </c>
      <c r="R116" s="26" t="n">
        <v>0</v>
      </c>
      <c r="S116" s="29" t="n">
        <v>0.5</v>
      </c>
      <c r="T116" s="24" t="inlineStr">
        <is>
          <t>valorant-neutral-series-elo-v1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Neutral Elo baseline; executable ask 0.5600 (aec-valorant-fnc-kc-2026-07-22).</t>
        </is>
      </c>
      <c r="AF116" s="31" t="inlineStr">
        <is>
          <t>Research baseline; zero-unit shadow until qualified.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3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Karmine Corp</t>
        </is>
      </c>
      <c r="AQ116" s="24" t="inlineStr">
        <is>
          <t>Karmine Corp</t>
        </is>
      </c>
      <c r="AR116" s="24" t="inlineStr">
        <is>
          <t>Karmine Corp</t>
        </is>
      </c>
      <c r="AS116" s="24" t="inlineStr">
        <is>
          <t>Fnatic</t>
        </is>
      </c>
      <c r="AT116" s="24" t="inlineStr">
        <is>
          <t>Fnatic</t>
        </is>
      </c>
      <c r="AU116" s="24" t="inlineStr">
        <is>
          <t>Fnatic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6b22a3a7ea7c99994f8e21eaff51dd4a0a9fb984bb31dbc7c1021ad6cd7c53a2</t>
        </is>
      </c>
      <c r="BB116" s="24" t="inlineStr">
        <is>
          <t>neutral_elo</t>
        </is>
      </c>
      <c r="BC116" s="24" t="inlineStr">
        <is>
          <t>valorant-neutral-series-elo-v1</t>
        </is>
      </c>
      <c r="BD116" s="24" t="inlineStr">
        <is>
          <t>6b22a3a7ea7c99994f8e21eaff51dd4a0a9fb984bb31dbc7c1021ad6cd7c53a2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unknown</t>
        </is>
      </c>
      <c r="BH116" s="24" t="inlineStr">
        <is>
          <t>2026-07-21T03:22:25.017639Z</t>
        </is>
      </c>
      <c r="BI116" s="24" t="inlineStr">
        <is>
          <t>["same_event","same_team_same_day","same_league_same_day"]</t>
        </is>
      </c>
      <c r="BJ116" s="25" t="n"/>
      <c r="BK116" s="26" t="n">
        <v>-127</v>
      </c>
      <c r="BL116" s="27" t="n">
        <v>1.787402</v>
      </c>
      <c r="BM116" s="28" t="n">
        <v>0.5594710000000001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</row>
    <row r="117" ht="36" customHeight="1">
      <c r="A117" s="24" t="inlineStr">
        <is>
          <t>4124fa6d4bbe434b</t>
        </is>
      </c>
      <c r="B117" s="24" t="inlineStr">
        <is>
          <t>2026-07-21T03:22:34.693493Z</t>
        </is>
      </c>
      <c r="C117" s="24" t="inlineStr">
        <is>
          <t>2026-07-21T07:00:00Z</t>
        </is>
      </c>
      <c r="D117" s="24" t="inlineStr">
        <is>
          <t>56048</t>
        </is>
      </c>
      <c r="E117" s="24" t="inlineStr">
        <is>
          <t>DOTA2</t>
        </is>
      </c>
      <c r="F117" s="24" t="inlineStr">
        <is>
          <t>Dandelions</t>
        </is>
      </c>
      <c r="G117" s="24" t="inlineStr">
        <is>
          <t>Nemiga Gaming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-203</v>
      </c>
      <c r="M117" s="27" t="n">
        <v>1.492611</v>
      </c>
      <c r="N117" s="28" t="n">
        <v>0.669967</v>
      </c>
      <c r="O117" s="28" t="n">
        <v>0.5</v>
      </c>
      <c r="P117" s="28" t="n"/>
      <c r="Q117" s="28" t="n">
        <v>-0.17</v>
      </c>
      <c r="R117" s="26" t="n">
        <v>0</v>
      </c>
      <c r="S117" s="29" t="n">
        <v>0.5</v>
      </c>
      <c r="T117" s="24" t="inlineStr">
        <is>
          <t>dota2-neutral-series-elo-v1</t>
        </is>
      </c>
      <c r="U117" s="24" t="inlineStr">
        <is>
          <t>open</t>
        </is>
      </c>
      <c r="V117" s="24" t="n"/>
      <c r="W117" s="26" t="n"/>
      <c r="X117" s="26" t="n"/>
      <c r="Y117" s="25" t="n"/>
      <c r="Z117" s="26" t="n"/>
      <c r="AA117" s="28" t="n"/>
      <c r="AB117" s="28" t="n"/>
      <c r="AC117" s="30" t="n"/>
      <c r="AD117" s="24" t="n"/>
      <c r="AE117" s="31" t="inlineStr">
        <is>
          <t>Neutral Elo baseline; executable ask 0.6700 (aec-dota2-nemiga-dan-2026-07-21).</t>
        </is>
      </c>
      <c r="AF117" s="31" t="inlineStr">
        <is>
          <t>Research baseline; zero-unit shadow until qualified.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model_qualified</t>
        </is>
      </c>
      <c r="AL117" s="26" t="n">
        <v>3</v>
      </c>
      <c r="AM117" s="24" t="inlineStr">
        <is>
          <t>QUALIFIED_SHADOW_CALL</t>
        </is>
      </c>
      <c r="AN117" s="24" t="inlineStr">
        <is>
          <t>CALL</t>
        </is>
      </c>
      <c r="AO117" s="24" t="inlineStr">
        <is>
          <t>QUALIFIED</t>
        </is>
      </c>
      <c r="AP117" s="24" t="inlineStr">
        <is>
          <t>Dandelions</t>
        </is>
      </c>
      <c r="AQ117" s="24" t="inlineStr">
        <is>
          <t>Dandelions</t>
        </is>
      </c>
      <c r="AR117" s="24" t="inlineStr">
        <is>
          <t>Dandelions</t>
        </is>
      </c>
      <c r="AS117" s="24" t="inlineStr">
        <is>
          <t>Nemiga Gaming</t>
        </is>
      </c>
      <c r="AT117" s="24" t="inlineStr">
        <is>
          <t>Nemiga Gaming</t>
        </is>
      </c>
      <c r="AU117" s="24" t="inlineStr">
        <is>
          <t>Nemiga Gaming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49f270d8f51f0b2c3b3b0871fcc3d417b066d581a7c8372852b7997baa35bcf0</t>
        </is>
      </c>
      <c r="BB117" s="24" t="inlineStr">
        <is>
          <t>neutral_elo</t>
        </is>
      </c>
      <c r="BC117" s="24" t="inlineStr">
        <is>
          <t>dota2-neutral-series-elo-v1</t>
        </is>
      </c>
      <c r="BD117" s="24" t="inlineStr">
        <is>
          <t>49f270d8f51f0b2c3b3b0871fcc3d417b066d581a7c8372852b7997baa35bcf0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unknown</t>
        </is>
      </c>
      <c r="BH117" s="24" t="inlineStr">
        <is>
          <t>2026-07-21T03:22:34.693493Z</t>
        </is>
      </c>
      <c r="BI117" s="24" t="inlineStr">
        <is>
          <t>["same_event","same_team_same_day","same_league_same_day"]</t>
        </is>
      </c>
      <c r="BJ117" s="25" t="n"/>
      <c r="BK117" s="26" t="n">
        <v>-203</v>
      </c>
      <c r="BL117" s="27" t="n">
        <v>1.492611</v>
      </c>
      <c r="BM117" s="28" t="n">
        <v>0.669967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</row>
    <row r="118" ht="36" customHeight="1">
      <c r="A118" s="24" t="inlineStr">
        <is>
          <t>0e5158c2463c4474</t>
        </is>
      </c>
      <c r="B118" s="24" t="inlineStr">
        <is>
          <t>2026-07-21T03:22:35.365653Z</t>
        </is>
      </c>
      <c r="C118" s="24" t="inlineStr">
        <is>
          <t>2026-07-21T16:00:00Z</t>
        </is>
      </c>
      <c r="D118" s="24" t="inlineStr">
        <is>
          <t>55054</t>
        </is>
      </c>
      <c r="E118" s="24" t="inlineStr">
        <is>
          <t>DOTA2</t>
        </is>
      </c>
      <c r="F118" s="24" t="inlineStr">
        <is>
          <t>Team Lynx</t>
        </is>
      </c>
      <c r="G118" s="24" t="inlineStr">
        <is>
          <t>Team Jenz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-223</v>
      </c>
      <c r="M118" s="27" t="n">
        <v>1.44843</v>
      </c>
      <c r="N118" s="28" t="n">
        <v>0.690402</v>
      </c>
      <c r="O118" s="28" t="n">
        <v>0.5</v>
      </c>
      <c r="P118" s="28" t="n"/>
      <c r="Q118" s="28" t="n">
        <v>-0.19</v>
      </c>
      <c r="R118" s="26" t="n">
        <v>0</v>
      </c>
      <c r="S118" s="29" t="n">
        <v>0.5</v>
      </c>
      <c r="T118" s="24" t="inlineStr">
        <is>
          <t>dota2-neutral-series-elo-v1</t>
        </is>
      </c>
      <c r="U118" s="24" t="inlineStr">
        <is>
          <t>open</t>
        </is>
      </c>
      <c r="V118" s="24" t="n"/>
      <c r="W118" s="26" t="n"/>
      <c r="X118" s="26" t="n"/>
      <c r="Y118" s="25" t="n"/>
      <c r="Z118" s="26" t="n"/>
      <c r="AA118" s="28" t="n"/>
      <c r="AB118" s="28" t="n"/>
      <c r="AC118" s="30" t="n"/>
      <c r="AD118" s="24" t="n"/>
      <c r="AE118" s="31" t="inlineStr">
        <is>
          <t>Neutral Elo baseline; executable ask 0.6900 (aec-dota2-tje-lynx-2026-07-21).</t>
        </is>
      </c>
      <c r="AF118" s="31" t="inlineStr">
        <is>
          <t>Research baseline; zero-unit shadow until qualified.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model_qualified</t>
        </is>
      </c>
      <c r="AL118" s="26" t="n">
        <v>3</v>
      </c>
      <c r="AM118" s="24" t="inlineStr">
        <is>
          <t>QUALIFIED_SHADOW_CALL</t>
        </is>
      </c>
      <c r="AN118" s="24" t="inlineStr">
        <is>
          <t>CALL</t>
        </is>
      </c>
      <c r="AO118" s="24" t="inlineStr">
        <is>
          <t>QUALIFIED</t>
        </is>
      </c>
      <c r="AP118" s="24" t="inlineStr">
        <is>
          <t>Team Lynx</t>
        </is>
      </c>
      <c r="AQ118" s="24" t="inlineStr">
        <is>
          <t>Team Lynx</t>
        </is>
      </c>
      <c r="AR118" s="24" t="inlineStr">
        <is>
          <t>Team Lynx</t>
        </is>
      </c>
      <c r="AS118" s="24" t="inlineStr">
        <is>
          <t>Team Jenz</t>
        </is>
      </c>
      <c r="AT118" s="24" t="inlineStr">
        <is>
          <t>Team Jenz</t>
        </is>
      </c>
      <c r="AU118" s="24" t="inlineStr">
        <is>
          <t>Team Jenz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49f270d8f51f0b2c3b3b0871fcc3d417b066d581a7c8372852b7997baa35bcf0</t>
        </is>
      </c>
      <c r="BB118" s="24" t="inlineStr">
        <is>
          <t>neutral_elo</t>
        </is>
      </c>
      <c r="BC118" s="24" t="inlineStr">
        <is>
          <t>dota2-neutral-series-elo-v1</t>
        </is>
      </c>
      <c r="BD118" s="24" t="inlineStr">
        <is>
          <t>49f270d8f51f0b2c3b3b0871fcc3d417b066d581a7c8372852b7997baa35bcf0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unknown</t>
        </is>
      </c>
      <c r="BH118" s="24" t="inlineStr">
        <is>
          <t>2026-07-21T03:22:35.365653Z</t>
        </is>
      </c>
      <c r="BI118" s="24" t="inlineStr">
        <is>
          <t>["same_event","same_team_same_day","same_league_same_day"]</t>
        </is>
      </c>
      <c r="BJ118" s="25" t="n"/>
      <c r="BK118" s="26" t="n">
        <v>-223</v>
      </c>
      <c r="BL118" s="27" t="n">
        <v>1.44843</v>
      </c>
      <c r="BM118" s="28" t="n">
        <v>0.690402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2026-07-21T03:23:03Z</dcterms:created>
  <dcterms:modified xsi:type="dcterms:W3CDTF">2026-07-21T03:23:03Z</dcterms:modified>
</cp:coreProperties>
</file>