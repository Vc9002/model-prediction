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54" headerRowCount="1">
  <autoFilter ref="A1:CM154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COUNTA('Picks'!$A$2:$A$154)</f>
        <v/>
      </c>
      <c r="C4" s="6">
        <f>COUNTIF('Picks'!$U$2:$U$154,"open")</f>
        <v/>
      </c>
      <c r="E4" s="6">
        <f>COUNTIF('Picks'!$U$2:$U$154,"settled")</f>
        <v/>
      </c>
      <c r="G4" s="6">
        <f>IF(COUNTIFS('Picks'!$U$2:$U$154,"settled",'Picks'!$V$2:$V$154,"win")+COUNTIFS('Picks'!$U$2:$U$154,"settled",'Picks'!$V$2:$V$154,"loss")&gt;=$L$2,"Ready","Insufficient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COUNTIF('Picks'!$BX$2:$BX$154,"&gt;0")</f>
        <v/>
      </c>
      <c r="C7" s="6">
        <f>COUNTIFS('Picks'!$BX$2:$BX$154,"&gt;0",'Picks'!$V$2:$V$154,"win")&amp;"-"&amp;COUNTIFS('Picks'!$BX$2:$BX$154,"&gt;0",'Picks'!$V$2:$V$154,"loss")</f>
        <v/>
      </c>
      <c r="E7" s="7">
        <f>IFERROR(COUNTIFS('Picks'!$BX$2:$BX$154,"&gt;0",'Picks'!$V$2:$V$154,"win")/(COUNTIFS('Picks'!$BX$2:$BX$154,"&gt;0",'Picks'!$V$2:$V$154,"win")+COUNTIFS('Picks'!$BX$2:$BX$154,"&gt;0",'Picks'!$V$2:$V$154,"loss")),0)</f>
        <v/>
      </c>
      <c r="G7" s="7">
        <f>IFERROR(SUM('Picks'!$BY$2:$BY$154)/SUM('Picks'!$BX$2:$BX$154),0)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SUM('Picks'!$BY$2:$BY$154)</f>
        <v/>
      </c>
      <c r="C10" s="9">
        <f>IFERROR(AVERAGEIF('Picks'!$AB$2:$AB$154,"&lt;&gt;",'Picks'!$AB$2:$AB$154),0)</f>
        <v/>
      </c>
      <c r="E10" s="6">
        <f>COUNTIFS('Picks'!$AM$2:$AM$154,"QUALIFIED_SHADOW_CALL",'Picks'!$U$2:$U$154,"settled")</f>
        <v/>
      </c>
      <c r="G10" s="8">
        <f>SUMIFS('Picks'!$AC$2:$AC$154,'Picks'!$AM$2:$AM$154,"QUALIFIED_SHADOW_CALL")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COUNTIFS('Picks'!$H$2:$H$154,$A14,'Picks'!$U$2:$U$154,"settled")</f>
        <v/>
      </c>
      <c r="C14" s="13">
        <f>COUNTIFS('Picks'!$H$2:$H$154,$A14,'Picks'!$U$2:$U$154,"settled",'Picks'!$V$2:$V$154,"win")</f>
        <v/>
      </c>
      <c r="D14" s="13">
        <f>COUNTIFS('Picks'!$H$2:$H$154,$A14,'Picks'!$U$2:$U$154,"settled",'Picks'!$V$2:$V$154,"loss")</f>
        <v/>
      </c>
      <c r="E14" s="14">
        <f>IFERROR(C14/(C14+D14),0)</f>
        <v/>
      </c>
      <c r="F14" s="15">
        <f>SUMIFS('Picks'!$BY$2:$BY$154,'Picks'!$H$2:$H$154,$A14)</f>
        <v/>
      </c>
      <c r="G14" s="16">
        <f>IFERROR(AVERAGEIFS('Picks'!$AB$2:$AB$154,'Picks'!$H$2:$H$154,$A14,'Picks'!$U$2:$U$154,"settled"),0)</f>
        <v/>
      </c>
    </row>
    <row r="15">
      <c r="A15" s="17" t="inlineStr">
        <is>
          <t>spread</t>
        </is>
      </c>
      <c r="B15" s="18">
        <f>COUNTIFS('Picks'!$H$2:$H$154,$A15,'Picks'!$U$2:$U$154,"settled")</f>
        <v/>
      </c>
      <c r="C15" s="18">
        <f>COUNTIFS('Picks'!$H$2:$H$154,$A15,'Picks'!$U$2:$U$154,"settled",'Picks'!$V$2:$V$154,"win")</f>
        <v/>
      </c>
      <c r="D15" s="18">
        <f>COUNTIFS('Picks'!$H$2:$H$154,$A15,'Picks'!$U$2:$U$154,"settled",'Picks'!$V$2:$V$154,"loss")</f>
        <v/>
      </c>
      <c r="E15" s="19">
        <f>IFERROR(C15/(C15+D15),0)</f>
        <v/>
      </c>
      <c r="F15" s="20">
        <f>SUMIFS('Picks'!$BY$2:$BY$154,'Picks'!$H$2:$H$154,$A15)</f>
        <v/>
      </c>
      <c r="G15" s="21">
        <f>IFERROR(AVERAGEIFS('Picks'!$AB$2:$AB$154,'Picks'!$H$2:$H$154,$A15,'Picks'!$U$2:$U$154,"settled"),0)</f>
        <v/>
      </c>
    </row>
    <row r="16">
      <c r="A16" s="12" t="inlineStr">
        <is>
          <t>total</t>
        </is>
      </c>
      <c r="B16" s="13">
        <f>COUNTIFS('Picks'!$H$2:$H$154,$A16,'Picks'!$U$2:$U$154,"settled")</f>
        <v/>
      </c>
      <c r="C16" s="13">
        <f>COUNTIFS('Picks'!$H$2:$H$154,$A16,'Picks'!$U$2:$U$154,"settled",'Picks'!$V$2:$V$154,"win")</f>
        <v/>
      </c>
      <c r="D16" s="13">
        <f>COUNTIFS('Picks'!$H$2:$H$154,$A16,'Picks'!$U$2:$U$154,"settled",'Picks'!$V$2:$V$154,"loss")</f>
        <v/>
      </c>
      <c r="E16" s="14">
        <f>IFERROR(C16/(C16+D16),0)</f>
        <v/>
      </c>
      <c r="F16" s="15">
        <f>SUMIFS('Picks'!$BY$2:$BY$154,'Picks'!$H$2:$H$154,$A16)</f>
        <v/>
      </c>
      <c r="G16" s="16">
        <f>IFERROR(AVERAGEIFS('Picks'!$AB$2:$AB$154,'Picks'!$H$2:$H$154,$A16,'Picks'!$U$2:$U$154,"settled"),0)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0.4545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RESEARCH_OBSERVATION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/>
      <c r="BY2" s="27" t="n"/>
      <c r="BZ2" s="24" t="n"/>
      <c r="CA2" s="31" t="n"/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0.4545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RESEARCH_OBSERVATION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/>
      <c r="BY3" s="27" t="n"/>
      <c r="BZ3" s="24" t="n"/>
      <c r="CA3" s="31" t="n"/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-0.65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RESEARCH_OBSERVATION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/>
      <c r="BY4" s="27" t="n"/>
      <c r="BZ4" s="24" t="n"/>
      <c r="CA4" s="31" t="n"/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0.4545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RESEARCH_OBSERVATION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/>
      <c r="BY5" s="27" t="n"/>
      <c r="BZ5" s="24" t="n"/>
      <c r="CA5" s="31" t="n"/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-0.75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RESEARCH_OBSERVATION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/>
      <c r="BY6" s="27" t="n"/>
      <c r="BZ6" s="24" t="n"/>
      <c r="CA6" s="31" t="n"/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0.5181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RESEARCH_OBSERVATION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/>
      <c r="BY7" s="27" t="n"/>
      <c r="BZ7" s="24" t="n"/>
      <c r="CA7" s="31" t="n"/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-110</v>
      </c>
      <c r="M8" s="27" t="n">
        <v>1.909091</v>
      </c>
      <c r="N8" s="28" t="n">
        <v>0.52381</v>
      </c>
      <c r="O8" s="28" t="n">
        <v>0.661872</v>
      </c>
      <c r="P8" s="28" t="n">
        <v>0.05</v>
      </c>
      <c r="Q8" s="28" t="n">
        <v>0.138062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1.818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RESEARCH_OBSERVATION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-110</v>
      </c>
      <c r="BL8" s="27" t="n">
        <v>1.909</v>
      </c>
      <c r="BM8" s="28" t="n">
        <v>0.523834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/>
      <c r="BY8" s="27" t="n"/>
      <c r="BZ8" s="24" t="n"/>
      <c r="CA8" s="31" t="n"/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-110</v>
      </c>
      <c r="M9" s="27" t="n">
        <v>1.909091</v>
      </c>
      <c r="N9" s="28" t="n">
        <v>0.52381</v>
      </c>
      <c r="O9" s="28" t="n">
        <v>0.597579</v>
      </c>
      <c r="P9" s="28" t="n">
        <v>0.05</v>
      </c>
      <c r="Q9" s="28" t="n">
        <v>0.073769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1.4453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RESEARCH_OBSERVATION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-110</v>
      </c>
      <c r="BL9" s="27" t="n">
        <v>1.909</v>
      </c>
      <c r="BM9" s="28" t="n">
        <v>0.523834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/>
      <c r="BY9" s="27" t="n"/>
      <c r="BZ9" s="24" t="n"/>
      <c r="CA9" s="31" t="n"/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-0.5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RESEARCH_OBSERVATION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RESEARCH_OBSERVATION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-1.12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RESEARCH_OBSERVATION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0.4545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RESEARCH_OBSERVATION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0.4545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RESEARCH_OBSERVATION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/>
      <c r="BY14" s="27" t="n"/>
      <c r="BZ14" s="24" t="n"/>
      <c r="CA14" s="31" t="n"/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-110</v>
      </c>
      <c r="M15" s="27" t="n">
        <v>1.909091</v>
      </c>
      <c r="N15" s="28" t="n">
        <v>0.52381</v>
      </c>
      <c r="O15" s="28" t="n">
        <v>0.595782</v>
      </c>
      <c r="P15" s="28" t="n">
        <v>0.05</v>
      </c>
      <c r="Q15" s="28" t="n">
        <v>0.071973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0.4545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RESEARCH_OBSERVATION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-110</v>
      </c>
      <c r="BL15" s="27" t="n">
        <v>1.909</v>
      </c>
      <c r="BM15" s="28" t="n">
        <v>0.523834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0.603011</v>
      </c>
      <c r="P16" s="28" t="n">
        <v>0.05</v>
      </c>
      <c r="Q16" s="28" t="n">
        <v>0.07920099999999999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1.4362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RESEARCH_OBSERVATION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</v>
      </c>
      <c r="BM16" s="28" t="n">
        <v>0.523834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-0.66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RESEARCH_OBSERVATION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0.610546</v>
      </c>
      <c r="P18" s="28" t="n">
        <v>0.05</v>
      </c>
      <c r="Q18" s="28" t="n">
        <v>0.08673699999999999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1.4362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RESEARCH_OBSERVATION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</v>
      </c>
      <c r="BM18" s="28" t="n">
        <v>0.523834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-110</v>
      </c>
      <c r="M19" s="27" t="n">
        <v>1.909091</v>
      </c>
      <c r="N19" s="28" t="n">
        <v>0.52381</v>
      </c>
      <c r="O19" s="28" t="n">
        <v>0.63014</v>
      </c>
      <c r="P19" s="28" t="n">
        <v>0.05</v>
      </c>
      <c r="Q19" s="28" t="n">
        <v>0.106331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1.6635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RESEARCH_OBSERVATION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-110</v>
      </c>
      <c r="BL19" s="27" t="n">
        <v>1.909</v>
      </c>
      <c r="BM19" s="28" t="n">
        <v>0.523834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-110</v>
      </c>
      <c r="M20" s="27" t="n">
        <v>1.909091</v>
      </c>
      <c r="N20" s="28" t="n">
        <v>0.52381</v>
      </c>
      <c r="O20" s="28" t="n">
        <v>0.619498</v>
      </c>
      <c r="P20" s="28" t="n">
        <v>0.05</v>
      </c>
      <c r="Q20" s="28" t="n">
        <v>0.095688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0.8636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RESEARCH_OBSERVATION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-110</v>
      </c>
      <c r="BL20" s="27" t="n">
        <v>1.909</v>
      </c>
      <c r="BM20" s="28" t="n">
        <v>0.523834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-1.06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RESEARCH_OBSERVATION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0.4545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RESEARCH_OBSERVATION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-0.5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RESEARCH_OBSERVATION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-110</v>
      </c>
      <c r="M24" s="27" t="n">
        <v>1.909091</v>
      </c>
      <c r="N24" s="28" t="n">
        <v>0.52381</v>
      </c>
      <c r="O24" s="28" t="n">
        <v>0.581151</v>
      </c>
      <c r="P24" s="28" t="n">
        <v>0.05</v>
      </c>
      <c r="Q24" s="28" t="n">
        <v>0.057342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-0.5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RESEARCH_OBSERVATION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-110</v>
      </c>
      <c r="BL24" s="27" t="n">
        <v>1.909</v>
      </c>
      <c r="BM24" s="28" t="n">
        <v>0.523834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-110</v>
      </c>
      <c r="M25" s="27" t="n">
        <v>1.909091</v>
      </c>
      <c r="N25" s="28" t="n">
        <v>0.52381</v>
      </c>
      <c r="O25" s="28" t="n">
        <v>0.64599</v>
      </c>
      <c r="P25" s="28" t="n">
        <v>0.05</v>
      </c>
      <c r="Q25" s="28" t="n">
        <v>0.12218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1.818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RESEARCH_OBSERVATION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-110</v>
      </c>
      <c r="BL25" s="27" t="n">
        <v>1.909</v>
      </c>
      <c r="BM25" s="28" t="n">
        <v>0.523834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-0.5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RESEARCH_OBSERVATION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0.4545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RESEARCH_OBSERVATION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0.5999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RESEARCH_OBSERVATION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-0.5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RESEARCH_OBSERVATION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-110</v>
      </c>
      <c r="M30" s="27" t="n">
        <v>1.909091</v>
      </c>
      <c r="N30" s="28" t="n">
        <v>0.52381</v>
      </c>
      <c r="O30" s="28" t="n">
        <v>0.669207</v>
      </c>
      <c r="P30" s="28" t="n">
        <v>0.05</v>
      </c>
      <c r="Q30" s="28" t="n">
        <v>0.145397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1.7089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RESEARCH_OBSERVATION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-110</v>
      </c>
      <c r="BL30" s="27" t="n">
        <v>1.909</v>
      </c>
      <c r="BM30" s="28" t="n">
        <v>0.523834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-110</v>
      </c>
      <c r="M31" s="27" t="n">
        <v>1.909091</v>
      </c>
      <c r="N31" s="28" t="n">
        <v>0.52381</v>
      </c>
      <c r="O31" s="28" t="n">
        <v>0.686028</v>
      </c>
      <c r="P31" s="28" t="n">
        <v>0.05</v>
      </c>
      <c r="Q31" s="28" t="n">
        <v>0.162218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0.7907999999999999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RESEARCH_OBSERVATION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-110</v>
      </c>
      <c r="BL31" s="27" t="n">
        <v>1.909</v>
      </c>
      <c r="BM31" s="28" t="n">
        <v>0.523834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-0.5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RESEARCH_OBSERVATION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-110</v>
      </c>
      <c r="M33" s="27" t="n">
        <v>1.909091</v>
      </c>
      <c r="N33" s="28" t="n">
        <v>0.52381</v>
      </c>
      <c r="O33" s="28" t="n">
        <v>0.617167</v>
      </c>
      <c r="P33" s="28" t="n">
        <v>0.05</v>
      </c>
      <c r="Q33" s="28" t="n">
        <v>0.093357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-0.97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RESEARCH_OBSERVATION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-110</v>
      </c>
      <c r="BL33" s="27" t="n">
        <v>1.909</v>
      </c>
      <c r="BM33" s="28" t="n">
        <v>0.523834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0.4545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RESEARCH_OBSERVATION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-1.52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RESEARCH_OBSERVATION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/>
      <c r="BY35" s="27" t="n"/>
      <c r="BZ35" s="24" t="n"/>
      <c r="CA35" s="31" t="n"/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0.4545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RESEARCH_OBSERVATION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/>
      <c r="BY36" s="27" t="n"/>
      <c r="BZ36" s="24" t="n"/>
      <c r="CA36" s="31" t="n"/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0.4545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RESEARCH_OBSERVATION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/>
      <c r="BY37" s="27" t="n"/>
      <c r="BZ37" s="24" t="n"/>
      <c r="CA37" s="31" t="n"/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-0.63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RESEARCH_OBSERVATION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/>
      <c r="BY38" s="27" t="n"/>
      <c r="BZ38" s="24" t="n"/>
      <c r="CA38" s="31" t="n"/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-0.5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RESEARCH_OBSERVATION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/>
      <c r="BY39" s="27" t="n"/>
      <c r="BZ39" s="24" t="n"/>
      <c r="CA39" s="31" t="n"/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-110</v>
      </c>
      <c r="M40" s="27" t="n">
        <v>1.909091</v>
      </c>
      <c r="N40" s="28" t="n">
        <v>0.52381</v>
      </c>
      <c r="O40" s="28" t="n">
        <v>0.644369</v>
      </c>
      <c r="P40" s="28" t="n">
        <v>0.05</v>
      </c>
      <c r="Q40" s="28" t="n">
        <v>0.120559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1.818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RESEARCH_OBSERVATION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-110</v>
      </c>
      <c r="BL40" s="27" t="n">
        <v>1.909</v>
      </c>
      <c r="BM40" s="28" t="n">
        <v>0.523834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/>
      <c r="BY40" s="27" t="n"/>
      <c r="BZ40" s="24" t="n"/>
      <c r="CA40" s="31" t="n"/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18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RESEARCH_OBSERVATION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/>
      <c r="BY41" s="27" t="n"/>
      <c r="BZ41" s="24" t="n"/>
      <c r="CA41" s="31" t="n"/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18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-110</v>
      </c>
      <c r="M42" s="27" t="n">
        <v>1.909091</v>
      </c>
      <c r="N42" s="28" t="n">
        <v>0.52381</v>
      </c>
      <c r="O42" s="28" t="n">
        <v>0.596494</v>
      </c>
      <c r="P42" s="28" t="n">
        <v>0.05</v>
      </c>
      <c r="Q42" s="28" t="n">
        <v>0.072684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1.4089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RESEARCH_OBSERVATION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-110</v>
      </c>
      <c r="BL42" s="27" t="n">
        <v>1.909</v>
      </c>
      <c r="BM42" s="28" t="n">
        <v>0.523834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/>
      <c r="BY42" s="27" t="n"/>
      <c r="BZ42" s="24" t="n"/>
      <c r="CA42" s="31" t="n"/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18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1.2271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RESEARCH_OBSERVATION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/>
      <c r="BY43" s="27" t="n"/>
      <c r="BZ43" s="24" t="n"/>
      <c r="CA43" s="31" t="n"/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18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-110</v>
      </c>
      <c r="M44" s="27" t="n">
        <v>1.909091</v>
      </c>
      <c r="N44" s="28" t="n">
        <v>0.52381</v>
      </c>
      <c r="O44" s="28" t="n">
        <v>0.583901</v>
      </c>
      <c r="P44" s="28" t="n">
        <v>0.05</v>
      </c>
      <c r="Q44" s="28" t="n">
        <v>0.060091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-0.5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RESEARCH_OBSERVATION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-110</v>
      </c>
      <c r="BL44" s="27" t="n">
        <v>1.909</v>
      </c>
      <c r="BM44" s="28" t="n">
        <v>0.523834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/>
      <c r="BY44" s="27" t="n"/>
      <c r="BZ44" s="24" t="n"/>
      <c r="CA44" s="31" t="n"/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18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-0.5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RESEARCH_OBSERVATION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/>
      <c r="BY45" s="27" t="n"/>
      <c r="BZ45" s="24" t="n"/>
      <c r="CA45" s="31" t="n"/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18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-110</v>
      </c>
      <c r="M46" s="27" t="n">
        <v>1.909091</v>
      </c>
      <c r="N46" s="28" t="n">
        <v>0.52381</v>
      </c>
      <c r="O46" s="28" t="n">
        <v>0.64408</v>
      </c>
      <c r="P46" s="28" t="n">
        <v>0.05</v>
      </c>
      <c r="Q46" s="28" t="n">
        <v>0.120271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1.5817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RESEARCH_OBSERVATION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-110</v>
      </c>
      <c r="BL46" s="27" t="n">
        <v>1.909</v>
      </c>
      <c r="BM46" s="28" t="n">
        <v>0.523834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/>
      <c r="BY46" s="27" t="n"/>
      <c r="BZ46" s="24" t="n"/>
      <c r="CA46" s="31" t="n"/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18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0.4545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RESEARCH_OBSERVATION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/>
      <c r="BY47" s="27" t="n"/>
      <c r="BZ47" s="24" t="n"/>
      <c r="CA47" s="31" t="n"/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18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-0.5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RESEARCH_OBSERVATION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/>
      <c r="BY48" s="27" t="n"/>
      <c r="BZ48" s="24" t="n"/>
      <c r="CA48" s="31" t="n"/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18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0.8817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RESEARCH_OBSERVATION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/>
      <c r="BY49" s="27" t="n"/>
      <c r="BZ49" s="24" t="n"/>
      <c r="CA49" s="31" t="n"/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18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-0.5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RESEARCH_OBSERVATION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/>
      <c r="BY50" s="27" t="n"/>
      <c r="BZ50" s="24" t="n"/>
      <c r="CA50" s="31" t="n"/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18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-110</v>
      </c>
      <c r="M51" s="27" t="n">
        <v>1.909091</v>
      </c>
      <c r="N51" s="28" t="n">
        <v>0.52381</v>
      </c>
      <c r="O51" s="28" t="n">
        <v>0.625068</v>
      </c>
      <c r="P51" s="28" t="n">
        <v>0.05</v>
      </c>
      <c r="Q51" s="28" t="n">
        <v>0.101259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1.0726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RESEARCH_OBSERVATION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-110</v>
      </c>
      <c r="BL51" s="27" t="n">
        <v>1.909</v>
      </c>
      <c r="BM51" s="28" t="n">
        <v>0.523834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/>
      <c r="BY51" s="27" t="n"/>
      <c r="BZ51" s="24" t="n"/>
      <c r="CA51" s="31" t="n"/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18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RESEARCH_OBSERVATION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/>
      <c r="BY52" s="27" t="n"/>
      <c r="BZ52" s="24" t="n"/>
      <c r="CA52" s="31" t="n"/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18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0.8908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RESEARCH_OBSERVATION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/>
      <c r="BY53" s="27" t="n"/>
      <c r="BZ53" s="24" t="n"/>
      <c r="CA53" s="31" t="n"/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18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0.6363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RESEARCH_OBSERVATION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/>
      <c r="BY54" s="27" t="n"/>
      <c r="BZ54" s="24" t="n"/>
      <c r="CA54" s="31" t="n"/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18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-110</v>
      </c>
      <c r="M55" s="27" t="n">
        <v>1.909091</v>
      </c>
      <c r="N55" s="28" t="n">
        <v>0.52381</v>
      </c>
      <c r="O55" s="28" t="n">
        <v>0.67463</v>
      </c>
      <c r="P55" s="28" t="n">
        <v>0.05</v>
      </c>
      <c r="Q55" s="28" t="n">
        <v>0.150821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1.818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RESEARCH_OBSERVATION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-110</v>
      </c>
      <c r="BL55" s="27" t="n">
        <v>1.909</v>
      </c>
      <c r="BM55" s="28" t="n">
        <v>0.523834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/>
      <c r="BY55" s="27" t="n"/>
      <c r="BZ55" s="24" t="n"/>
      <c r="CA55" s="31" t="n"/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18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-110</v>
      </c>
      <c r="M56" s="27" t="n">
        <v>1.909091</v>
      </c>
      <c r="N56" s="28" t="n">
        <v>0.52381</v>
      </c>
      <c r="O56" s="28" t="n">
        <v>0.595328</v>
      </c>
      <c r="P56" s="28" t="n">
        <v>0.05</v>
      </c>
      <c r="Q56" s="28" t="n">
        <v>0.071518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0.4545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RESEARCH_OBSERVATION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-110</v>
      </c>
      <c r="BL56" s="27" t="n">
        <v>1.909</v>
      </c>
      <c r="BM56" s="28" t="n">
        <v>0.523834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/>
      <c r="BY56" s="27" t="n"/>
      <c r="BZ56" s="24" t="n"/>
      <c r="CA56" s="31" t="n"/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18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-110</v>
      </c>
      <c r="M57" s="27" t="n">
        <v>1.909091</v>
      </c>
      <c r="N57" s="28" t="n">
        <v>0.52381</v>
      </c>
      <c r="O57" s="28" t="n">
        <v>0.6185310000000001</v>
      </c>
      <c r="P57" s="28" t="n">
        <v>0.05</v>
      </c>
      <c r="Q57" s="28" t="n">
        <v>0.094722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0.5363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RESEARCH_OBSERVATION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-110</v>
      </c>
      <c r="BL57" s="27" t="n">
        <v>1.909</v>
      </c>
      <c r="BM57" s="28" t="n">
        <v>0.523834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/>
      <c r="BY57" s="27" t="n"/>
      <c r="BZ57" s="24" t="n"/>
      <c r="CA57" s="31" t="n"/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18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0.8454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RESEARCH_OBSERVATION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/>
      <c r="BY58" s="27" t="n"/>
      <c r="BZ58" s="24" t="n"/>
      <c r="CA58" s="31" t="n"/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18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0.4545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RESEARCH_OBSERVATION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/>
      <c r="BY59" s="27" t="n"/>
      <c r="BZ59" s="24" t="n"/>
      <c r="CA59" s="31" t="n"/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18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-1.19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RESEARCH_OBSERVATION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/>
      <c r="BY60" s="27" t="n"/>
      <c r="BZ60" s="24" t="n"/>
      <c r="CA60" s="31" t="n"/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18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0.7635999999999999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RESEARCH_OBSERVATION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/>
      <c r="BY61" s="27" t="n"/>
      <c r="BZ61" s="24" t="n"/>
      <c r="CA61" s="31" t="n"/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18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-1.3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RESEARCH_OBSERVATION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/>
      <c r="BY62" s="27" t="n"/>
      <c r="BZ62" s="24" t="n"/>
      <c r="CA62" s="31" t="n"/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18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-0.5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RESEARCH_OBSERVATION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/>
      <c r="BY63" s="27" t="n"/>
      <c r="BZ63" s="24" t="n"/>
      <c r="CA63" s="31" t="n"/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18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0.4545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RESEARCH_OBSERVATION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/>
      <c r="BY64" s="27" t="n"/>
      <c r="BZ64" s="24" t="n"/>
      <c r="CA64" s="31" t="n"/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18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0.7181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RESEARCH_OBSERVATION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/>
      <c r="BY65" s="27" t="n"/>
      <c r="BZ65" s="24" t="n"/>
      <c r="CA65" s="31" t="n"/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18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-110</v>
      </c>
      <c r="M66" s="27" t="n">
        <v>1.909091</v>
      </c>
      <c r="N66" s="28" t="n">
        <v>0.52381</v>
      </c>
      <c r="O66" s="28" t="n">
        <v>0.593809</v>
      </c>
      <c r="P66" s="28" t="n">
        <v>0.05</v>
      </c>
      <c r="Q66" s="28" t="n">
        <v>0.06999900000000001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0.9454</v>
      </c>
      <c r="AD66" s="24" t="inlineStr">
        <is>
          <t>2026-07-23T00:01:14Z</t>
        </is>
      </c>
      <c r="AE66" s="31" t="n"/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RESEARCH_OBSERVATION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-110</v>
      </c>
      <c r="BL66" s="27" t="n">
        <v>1.909</v>
      </c>
      <c r="BM66" s="28" t="n">
        <v>0.523834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n"/>
      <c r="BX66" s="30" t="n"/>
      <c r="BY66" s="27" t="n"/>
      <c r="BZ66" s="24" t="n"/>
      <c r="CA66" s="31" t="n"/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18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-0.5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RESEARCH_OBSERVATION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/>
      <c r="BY67" s="27" t="n"/>
      <c r="BZ67" s="24" t="n"/>
      <c r="CA67" s="31" t="n"/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18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0.9181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RESEARCH_OBSERVATION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/>
      <c r="BY68" s="27" t="n"/>
      <c r="BZ68" s="24" t="n"/>
      <c r="CA68" s="31" t="n"/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18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-0.76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RESEARCH_OBSERVATION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/>
      <c r="BY69" s="27" t="n"/>
      <c r="BZ69" s="24" t="n"/>
      <c r="CA69" s="31" t="n"/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18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-110</v>
      </c>
      <c r="M70" s="27" t="n">
        <v>1.909091</v>
      </c>
      <c r="N70" s="28" t="n">
        <v>0.52381</v>
      </c>
      <c r="O70" s="28" t="n">
        <v>0.657843</v>
      </c>
      <c r="P70" s="28" t="n">
        <v>0.05</v>
      </c>
      <c r="Q70" s="28" t="n">
        <v>0.134034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-2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RESEARCH_OBSERVATION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-110</v>
      </c>
      <c r="BL70" s="27" t="n">
        <v>1.909</v>
      </c>
      <c r="BM70" s="28" t="n">
        <v>0.523834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/>
      <c r="BY70" s="27" t="n"/>
      <c r="BZ70" s="24" t="n"/>
      <c r="CA70" s="31" t="n"/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18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-110</v>
      </c>
      <c r="M71" s="27" t="n">
        <v>1.909091</v>
      </c>
      <c r="N71" s="28" t="n">
        <v>0.52381</v>
      </c>
      <c r="O71" s="28" t="n">
        <v>0.581277</v>
      </c>
      <c r="P71" s="28" t="n">
        <v>0.05</v>
      </c>
      <c r="Q71" s="28" t="n">
        <v>0.057467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0.4545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RESEARCH_OBSERVATION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-110</v>
      </c>
      <c r="BL71" s="27" t="n">
        <v>1.909</v>
      </c>
      <c r="BM71" s="28" t="n">
        <v>0.523834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/>
      <c r="BY71" s="27" t="n"/>
      <c r="BZ71" s="24" t="n"/>
      <c r="CA71" s="31" t="n"/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18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RESEARCH_OBSERVATION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/>
      <c r="BY72" s="27" t="n"/>
      <c r="BZ72" s="24" t="n"/>
      <c r="CA72" s="31" t="n"/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18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RESEARCH_OBSERVATION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/>
      <c r="BY73" s="27" t="n"/>
      <c r="BZ73" s="24" t="n"/>
      <c r="CA73" s="31" t="n"/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18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RESEARCH_OBSERVATION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/>
      <c r="BY74" s="27" t="n"/>
      <c r="BZ74" s="24" t="n"/>
      <c r="CA74" s="31" t="n"/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18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RESEARCH_OBSERVATION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/>
      <c r="BY75" s="27" t="n"/>
      <c r="BZ75" s="24" t="n"/>
      <c r="CA75" s="31" t="n"/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18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RESEARCH_OBSERVATION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/>
      <c r="BY76" s="27" t="n"/>
      <c r="BZ76" s="24" t="n"/>
      <c r="CA76" s="31" t="n"/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18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RESEARCH_OBSERVATION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/>
      <c r="BY77" s="27" t="n"/>
      <c r="BZ77" s="24" t="n"/>
      <c r="CA77" s="31" t="n"/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18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RESEARCH_OBSERVATION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/>
      <c r="BY78" s="27" t="n"/>
      <c r="BZ78" s="24" t="n"/>
      <c r="CA78" s="31" t="n"/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18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-1.04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RESEARCH_OBSERVATION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</v>
      </c>
      <c r="BM79" s="28" t="n">
        <v>0.523834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/>
      <c r="BY79" s="27" t="n"/>
      <c r="BZ79" s="24" t="n"/>
      <c r="CA79" s="31" t="n"/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18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0.9181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RESEARCH_OBSERVATION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/>
      <c r="BY80" s="27" t="n"/>
      <c r="BZ80" s="24" t="n"/>
      <c r="CA80" s="31" t="n"/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18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-110</v>
      </c>
      <c r="M81" s="27" t="n">
        <v>1.909091</v>
      </c>
      <c r="N81" s="28" t="n">
        <v>0.52381</v>
      </c>
      <c r="O81" s="28" t="n">
        <v>0.657843</v>
      </c>
      <c r="P81" s="28" t="n">
        <v>0.05</v>
      </c>
      <c r="Q81" s="28" t="n">
        <v>0.134034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1.818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RESEARCH_OBSERVATION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-110</v>
      </c>
      <c r="BL81" s="27" t="n">
        <v>1.909</v>
      </c>
      <c r="BM81" s="28" t="n">
        <v>0.523834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/>
      <c r="BY81" s="27" t="n"/>
      <c r="BZ81" s="24" t="n"/>
      <c r="CA81" s="31" t="n"/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18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-110</v>
      </c>
      <c r="M82" s="27" t="n">
        <v>1.909091</v>
      </c>
      <c r="N82" s="28" t="n">
        <v>0.52381</v>
      </c>
      <c r="O82" s="28" t="n">
        <v>0.581277</v>
      </c>
      <c r="P82" s="28" t="n">
        <v>0.05</v>
      </c>
      <c r="Q82" s="28" t="n">
        <v>0.057467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RESEARCH_OBSERVATION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-110</v>
      </c>
      <c r="BL82" s="27" t="n">
        <v>1.909</v>
      </c>
      <c r="BM82" s="28" t="n">
        <v>0.523834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/>
      <c r="BY82" s="27" t="n"/>
      <c r="BZ82" s="24" t="n"/>
      <c r="CA82" s="31" t="n"/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18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RESEARCH_OBSERVATION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/>
      <c r="BY83" s="27" t="n"/>
      <c r="BZ83" s="24" t="n"/>
      <c r="CA83" s="31" t="n"/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18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RESEARCH_OBSERVATION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/>
      <c r="BY84" s="27" t="n"/>
      <c r="BZ84" s="24" t="n"/>
      <c r="CA84" s="31" t="n"/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18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RESEARCH_OBSERVATION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/>
      <c r="BY85" s="27" t="n"/>
      <c r="BZ85" s="24" t="n"/>
      <c r="CA85" s="31" t="n"/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18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0.4545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RESEARCH_OBSERVATION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/>
      <c r="BY86" s="27" t="n"/>
      <c r="BZ86" s="24" t="n"/>
      <c r="CA86" s="31" t="n"/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18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RESEARCH_OBSERVATION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/>
      <c r="BY87" s="27" t="n"/>
      <c r="BZ87" s="24" t="n"/>
      <c r="CA87" s="31" t="n"/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18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RESEARCH_OBSERVATION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/>
      <c r="BY88" s="27" t="n"/>
      <c r="BZ88" s="24" t="n"/>
      <c r="CA88" s="31" t="n"/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18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RESEARCH_OBSERVATION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</v>
      </c>
      <c r="BM89" s="28" t="n">
        <v>0.523834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/>
      <c r="BY89" s="27" t="n"/>
      <c r="BZ89" s="24" t="n"/>
      <c r="CA89" s="31" t="n"/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18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RESEARCH_OBSERVATION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/>
      <c r="BY90" s="27" t="n"/>
      <c r="BZ90" s="24" t="n"/>
      <c r="CA90" s="31" t="n"/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18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RESEARCH_OBSERVATION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/>
      <c r="BY91" s="27" t="n"/>
      <c r="BZ91" s="24" t="n"/>
      <c r="CA91" s="31" t="n"/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18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RESEARCH_OBSERVATION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/>
      <c r="BY92" s="27" t="n"/>
      <c r="BZ92" s="24" t="n"/>
      <c r="CA92" s="31" t="n"/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18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-110</v>
      </c>
      <c r="M93" s="27" t="n">
        <v>1.909091</v>
      </c>
      <c r="N93" s="28" t="n">
        <v>0.52381</v>
      </c>
      <c r="O93" s="28" t="n">
        <v>0.739063</v>
      </c>
      <c r="P93" s="28" t="n">
        <v>0.05</v>
      </c>
      <c r="Q93" s="28" t="n">
        <v>0.215253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1.818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RESEARCH_OBSERVATION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-110</v>
      </c>
      <c r="BL93" s="27" t="n">
        <v>1.909</v>
      </c>
      <c r="BM93" s="28" t="n">
        <v>0.523834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/>
      <c r="BY93" s="27" t="n"/>
      <c r="BZ93" s="24" t="n"/>
      <c r="CA93" s="31" t="n"/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18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0.8999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RESEARCH_OBSERVATION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/>
      <c r="BY94" s="27" t="n"/>
      <c r="BZ94" s="24" t="n"/>
      <c r="CA94" s="31" t="n"/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18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0.4545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RESEARCH_OBSERVATION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/>
      <c r="BY95" s="27" t="n"/>
      <c r="BZ95" s="24" t="n"/>
      <c r="CA95" s="31" t="n"/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18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-110</v>
      </c>
      <c r="M96" s="27" t="n">
        <v>1.909091</v>
      </c>
      <c r="N96" s="28" t="n">
        <v>0.52381</v>
      </c>
      <c r="O96" s="28" t="n">
        <v>0.647753</v>
      </c>
      <c r="P96" s="28" t="n">
        <v>0.05</v>
      </c>
      <c r="Q96" s="28" t="n">
        <v>0.123943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-2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RESEARCH_OBSERVATION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-110</v>
      </c>
      <c r="BL96" s="27" t="n">
        <v>1.909</v>
      </c>
      <c r="BM96" s="28" t="n">
        <v>0.523834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/>
      <c r="BY96" s="27" t="n"/>
      <c r="BZ96" s="24" t="n"/>
      <c r="CA96" s="31" t="n"/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18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-110</v>
      </c>
      <c r="M97" s="27" t="n">
        <v>1.909091</v>
      </c>
      <c r="N97" s="28" t="n">
        <v>0.52381</v>
      </c>
      <c r="O97" s="28" t="n">
        <v>0.608474</v>
      </c>
      <c r="P97" s="28" t="n">
        <v>0.05</v>
      </c>
      <c r="Q97" s="28" t="n">
        <v>0.084664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1.5362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RESEARCH_OBSERVATION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-110</v>
      </c>
      <c r="BL97" s="27" t="n">
        <v>1.909</v>
      </c>
      <c r="BM97" s="28" t="n">
        <v>0.523834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/>
      <c r="BY97" s="27" t="n"/>
      <c r="BZ97" s="24" t="n"/>
      <c r="CA97" s="31" t="n"/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18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-110</v>
      </c>
      <c r="M98" s="27" t="n">
        <v>1.909091</v>
      </c>
      <c r="N98" s="28" t="n">
        <v>0.52381</v>
      </c>
      <c r="O98" s="28" t="n">
        <v>0.76009</v>
      </c>
      <c r="P98" s="28" t="n">
        <v>0.05</v>
      </c>
      <c r="Q98" s="28" t="n">
        <v>0.23628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1.818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RESEARCH_OBSERVATION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-110</v>
      </c>
      <c r="BL98" s="27" t="n">
        <v>1.909</v>
      </c>
      <c r="BM98" s="28" t="n">
        <v>0.523834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/>
      <c r="BY98" s="27" t="n"/>
      <c r="BZ98" s="24" t="n"/>
      <c r="CA98" s="31" t="n"/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18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-110</v>
      </c>
      <c r="M99" s="27" t="n">
        <v>1.909091</v>
      </c>
      <c r="N99" s="28" t="n">
        <v>0.52381</v>
      </c>
      <c r="O99" s="28" t="n">
        <v>0.75064</v>
      </c>
      <c r="P99" s="28" t="n">
        <v>0.05</v>
      </c>
      <c r="Q99" s="28" t="n">
        <v>0.22683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1.818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RESEARCH_OBSERVATION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-110</v>
      </c>
      <c r="BL99" s="27" t="n">
        <v>1.909</v>
      </c>
      <c r="BM99" s="28" t="n">
        <v>0.523834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/>
      <c r="BY99" s="27" t="n"/>
      <c r="BZ99" s="24" t="n"/>
      <c r="CA99" s="31" t="n"/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18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-110</v>
      </c>
      <c r="M100" s="27" t="n">
        <v>1.909091</v>
      </c>
      <c r="N100" s="28" t="n">
        <v>0.52381</v>
      </c>
      <c r="O100" s="28" t="n">
        <v>0.738341</v>
      </c>
      <c r="P100" s="28" t="n">
        <v>0.05</v>
      </c>
      <c r="Q100" s="28" t="n">
        <v>0.214531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1.818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RESEARCH_OBSERVATION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-110</v>
      </c>
      <c r="BL100" s="27" t="n">
        <v>1.909</v>
      </c>
      <c r="BM100" s="28" t="n">
        <v>0.523834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/>
      <c r="BY100" s="27" t="n"/>
      <c r="BZ100" s="24" t="n"/>
      <c r="CA100" s="31" t="n"/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18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-110</v>
      </c>
      <c r="M101" s="27" t="n">
        <v>1.909091</v>
      </c>
      <c r="N101" s="28" t="n">
        <v>0.52381</v>
      </c>
      <c r="O101" s="28" t="n">
        <v>0.684245</v>
      </c>
      <c r="P101" s="28" t="n">
        <v>0.05</v>
      </c>
      <c r="Q101" s="28" t="n">
        <v>0.160435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1.818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RESEARCH_OBSERVATION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-110</v>
      </c>
      <c r="BL101" s="27" t="n">
        <v>1.909</v>
      </c>
      <c r="BM101" s="28" t="n">
        <v>0.523834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/>
      <c r="BY101" s="27" t="n"/>
      <c r="BZ101" s="24" t="n"/>
      <c r="CA101" s="31" t="n"/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18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-110</v>
      </c>
      <c r="M102" s="27" t="n">
        <v>1.909091</v>
      </c>
      <c r="N102" s="28" t="n">
        <v>0.52381</v>
      </c>
      <c r="O102" s="28" t="n">
        <v>0.576234</v>
      </c>
      <c r="P102" s="28" t="n">
        <v>0.05</v>
      </c>
      <c r="Q102" s="28" t="n">
        <v>0.052424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0.9545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RESEARCH_OBSERVATION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-110</v>
      </c>
      <c r="BL102" s="27" t="n">
        <v>1.909</v>
      </c>
      <c r="BM102" s="28" t="n">
        <v>0.523834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/>
      <c r="BY102" s="27" t="n"/>
      <c r="BZ102" s="24" t="n"/>
      <c r="CA102" s="31" t="n"/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18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1.818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RESEARCH_OBSERVATION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/>
      <c r="BY103" s="27" t="n"/>
      <c r="BZ103" s="24" t="n"/>
      <c r="CA103" s="31" t="n"/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18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-110</v>
      </c>
      <c r="M104" s="27" t="n">
        <v>1.909091</v>
      </c>
      <c r="N104" s="28" t="n">
        <v>0.52381</v>
      </c>
      <c r="O104" s="28" t="n">
        <v>0.6690160000000001</v>
      </c>
      <c r="P104" s="28" t="n">
        <v>0.05</v>
      </c>
      <c r="Q104" s="28" t="n">
        <v>0.145206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-2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RESEARCH_OBSERVATION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-110</v>
      </c>
      <c r="BL104" s="27" t="n">
        <v>1.909</v>
      </c>
      <c r="BM104" s="28" t="n">
        <v>0.523834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/>
      <c r="BY104" s="27" t="n"/>
      <c r="BZ104" s="24" t="n"/>
      <c r="CA104" s="31" t="n"/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18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-110</v>
      </c>
      <c r="M105" s="27" t="n">
        <v>1.909091</v>
      </c>
      <c r="N105" s="28" t="n">
        <v>0.52381</v>
      </c>
      <c r="O105" s="28" t="n">
        <v>0.755526</v>
      </c>
      <c r="P105" s="28" t="n">
        <v>0.05</v>
      </c>
      <c r="Q105" s="28" t="n">
        <v>0.231716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-2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RESEARCH_OBSERVATION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-110</v>
      </c>
      <c r="BL105" s="27" t="n">
        <v>1.909</v>
      </c>
      <c r="BM105" s="28" t="n">
        <v>0.523834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/>
      <c r="BY105" s="27" t="n"/>
      <c r="BZ105" s="24" t="n"/>
      <c r="CA105" s="31" t="n"/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18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1.818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RESEARCH_OBSERVATION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/>
      <c r="BY106" s="27" t="n"/>
      <c r="BZ106" s="24" t="n"/>
      <c r="CA106" s="31" t="n"/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18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-110</v>
      </c>
      <c r="M107" s="27" t="n">
        <v>1.909091</v>
      </c>
      <c r="N107" s="28" t="n">
        <v>0.52381</v>
      </c>
      <c r="O107" s="28" t="n">
        <v>0.5725980000000001</v>
      </c>
      <c r="P107" s="28" t="n">
        <v>0.05</v>
      </c>
      <c r="Q107" s="28" t="n">
        <v>0.048788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-0.98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RESEARCH_OBSERVATION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-110</v>
      </c>
      <c r="BL107" s="27" t="n">
        <v>1.909</v>
      </c>
      <c r="BM107" s="28" t="n">
        <v>0.523834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/>
      <c r="BY107" s="27" t="n"/>
      <c r="BZ107" s="24" t="n"/>
      <c r="CA107" s="31" t="n"/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18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RESEARCH_OBSERVATION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/>
      <c r="BY108" s="27" t="n"/>
      <c r="BZ108" s="24" t="n"/>
      <c r="CA108" s="31" t="n"/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18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-110</v>
      </c>
      <c r="M109" s="27" t="n">
        <v>1.909091</v>
      </c>
      <c r="N109" s="28" t="n">
        <v>0.52381</v>
      </c>
      <c r="O109" s="28" t="n">
        <v>0.689532</v>
      </c>
      <c r="P109" s="28" t="n">
        <v>0.05</v>
      </c>
      <c r="Q109" s="28" t="n">
        <v>0.165722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RESEARCH_OBSERVATION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-110</v>
      </c>
      <c r="BL109" s="27" t="n">
        <v>1.909</v>
      </c>
      <c r="BM109" s="28" t="n">
        <v>0.523834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/>
      <c r="BY109" s="27" t="n"/>
      <c r="BZ109" s="24" t="n"/>
      <c r="CA109" s="31" t="n"/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18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RESEARCH_OBSERVATION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/>
      <c r="BY110" s="27" t="n"/>
      <c r="BZ110" s="24" t="n"/>
      <c r="CA110" s="31" t="n"/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e8fa5b9e3cfb4844</t>
        </is>
      </c>
      <c r="B111" s="24" t="inlineStr">
        <is>
          <t>2026-07-23T04:39:57.634876Z</t>
        </is>
      </c>
      <c r="C111" s="24" t="inlineStr">
        <is>
          <t>2026-07-23T12:15:00-0400</t>
        </is>
      </c>
      <c r="D111" s="24" t="inlineStr">
        <is>
          <t>401816233</t>
        </is>
      </c>
      <c r="E111" s="24" t="inlineStr">
        <is>
          <t>MLB</t>
        </is>
      </c>
      <c r="F111" s="24" t="inlineStr">
        <is>
          <t>San Diego Padres</t>
        </is>
      </c>
      <c r="G111" s="24" t="inlineStr">
        <is>
          <t>Atlanta Braves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-213</v>
      </c>
      <c r="M111" s="27" t="n">
        <v>1.469484</v>
      </c>
      <c r="N111" s="28" t="n">
        <v>0.680511</v>
      </c>
      <c r="O111" s="28" t="n">
        <v>0.563209</v>
      </c>
      <c r="P111" s="28" t="n"/>
      <c r="Q111" s="28" t="n">
        <v>-0.117302</v>
      </c>
      <c r="R111" s="26" t="n">
        <v>0</v>
      </c>
      <c r="S111" s="29" t="n">
        <v>1.25</v>
      </c>
      <c r="T111" s="24" t="inlineStr">
        <is>
          <t>mlb-elo-trend-lr-v5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0.5750; executable ask 0.6800 (aec-mlb-sd-atl-2026-07-23).</t>
        </is>
      </c>
      <c r="AF111" s="31" t="inlineStr">
        <is>
          <t>Learned model; promotion gate not yet open; zero-unit research until review.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NO_CALL_LARGE_DISAGREEMENT_REVIEW</t>
        </is>
      </c>
      <c r="AP111" s="24" t="inlineStr">
        <is>
          <t>mlb-sd</t>
        </is>
      </c>
      <c r="AQ111" s="24" t="inlineStr">
        <is>
          <t>San Diego Padres</t>
        </is>
      </c>
      <c r="AR111" s="24" t="inlineStr">
        <is>
          <t>San Diego Padres</t>
        </is>
      </c>
      <c r="AS111" s="24" t="inlineStr">
        <is>
          <t>mlb-atl</t>
        </is>
      </c>
      <c r="AT111" s="24" t="inlineStr">
        <is>
          <t>Atlanta Braves</t>
        </is>
      </c>
      <c r="AU111" s="24" t="inlineStr">
        <is>
          <t>Atlanta Braves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38f426fb99fbe531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2026-07-23T04:37:57.864733Z</t>
        </is>
      </c>
      <c r="BI111" s="24" t="inlineStr">
        <is>
          <t>["same_event","same_team_same_day","same_league_same_day"]</t>
        </is>
      </c>
      <c r="BJ111" s="25" t="n"/>
      <c r="BK111" s="26" t="n">
        <v>-213</v>
      </c>
      <c r="BL111" s="27" t="n">
        <v>1.469484</v>
      </c>
      <c r="BM111" s="28" t="n">
        <v>0.680511</v>
      </c>
      <c r="BN111" s="28" t="n">
        <v>0.676617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e84d82d379dd4c40</t>
        </is>
      </c>
      <c r="B112" s="24" t="inlineStr">
        <is>
          <t>2026-07-23T04:39:57.634876Z</t>
        </is>
      </c>
      <c r="C112" s="24" t="inlineStr">
        <is>
          <t>2026-07-23T13:10:00-0400</t>
        </is>
      </c>
      <c r="D112" s="24" t="inlineStr">
        <is>
          <t>401816232</t>
        </is>
      </c>
      <c r="E112" s="24" t="inlineStr">
        <is>
          <t>MLB</t>
        </is>
      </c>
      <c r="F112" s="24" t="inlineStr">
        <is>
          <t>Minnesota Twins</t>
        </is>
      </c>
      <c r="G112" s="24" t="inlineStr">
        <is>
          <t>Cleveland Guardians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0.56856</v>
      </c>
      <c r="P112" s="28" t="n"/>
      <c r="Q112" s="28" t="n">
        <v>0.009089</v>
      </c>
      <c r="R112" s="26" t="n">
        <v>25</v>
      </c>
      <c r="S112" s="29" t="n">
        <v>1.25</v>
      </c>
      <c r="T112" s="24" t="inlineStr">
        <is>
          <t>mlb-elo-trend-lr-v5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0.5750; executable ask 0.5600 (aec-mlb-min-cle-2026-07-23).</t>
        </is>
      </c>
      <c r="AF112" s="31" t="inlineStr">
        <is>
          <t>Learned model; promotion gate not yet open; zero-unit research until review.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mlb-min</t>
        </is>
      </c>
      <c r="AQ112" s="24" t="inlineStr">
        <is>
          <t>Minnesota Twins</t>
        </is>
      </c>
      <c r="AR112" s="24" t="inlineStr">
        <is>
          <t>Minnesota Twins</t>
        </is>
      </c>
      <c r="AS112" s="24" t="inlineStr">
        <is>
          <t>mlb-cle</t>
        </is>
      </c>
      <c r="AT112" s="24" t="inlineStr">
        <is>
          <t>Cleveland Guardians</t>
        </is>
      </c>
      <c r="AU112" s="24" t="inlineStr">
        <is>
          <t>Cleveland Guardians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5dbbda2c13171b0e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2026-07-23T04:37:59.025113Z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>
        <v>0.557214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ba5da1760f694c90</t>
        </is>
      </c>
      <c r="B113" s="24" t="inlineStr">
        <is>
          <t>2026-07-23T04:39:57.634876Z</t>
        </is>
      </c>
      <c r="C113" s="24" t="inlineStr">
        <is>
          <t>2026-07-23T15:07:00-0400</t>
        </is>
      </c>
      <c r="D113" s="24" t="inlineStr">
        <is>
          <t>401816234</t>
        </is>
      </c>
      <c r="E113" s="24" t="inlineStr">
        <is>
          <t>MLB</t>
        </is>
      </c>
      <c r="F113" s="24" t="inlineStr">
        <is>
          <t>Tampa Bay Rays</t>
        </is>
      </c>
      <c r="G113" s="24" t="inlineStr">
        <is>
          <t>Toronto Blue Jays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-102</v>
      </c>
      <c r="M113" s="27" t="n">
        <v>1.980392</v>
      </c>
      <c r="N113" s="28" t="n">
        <v>0.50495</v>
      </c>
      <c r="O113" s="28" t="n">
        <v>0.528152</v>
      </c>
      <c r="P113" s="28" t="n"/>
      <c r="Q113" s="28" t="n">
        <v>0.023202</v>
      </c>
      <c r="R113" s="26" t="n">
        <v>32</v>
      </c>
      <c r="S113" s="29" t="n">
        <v>0.75</v>
      </c>
      <c r="T113" s="24" t="inlineStr">
        <is>
          <t>mlb-elo-trend-lr-v5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0.5750; executable ask 0.5050 (aec-mlb-tb-tor-2026-07-23).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mlb-tb</t>
        </is>
      </c>
      <c r="AQ113" s="24" t="inlineStr">
        <is>
          <t>Tampa Bay Rays</t>
        </is>
      </c>
      <c r="AR113" s="24" t="inlineStr">
        <is>
          <t>Tampa Bay Rays</t>
        </is>
      </c>
      <c r="AS113" s="24" t="inlineStr">
        <is>
          <t>mlb-tor</t>
        </is>
      </c>
      <c r="AT113" s="24" t="inlineStr">
        <is>
          <t>Toronto Blue Jays</t>
        </is>
      </c>
      <c r="AU113" s="24" t="inlineStr">
        <is>
          <t>Toronto Blue Jays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f4ba988a51fcfbc42f017c34f5d25f481de500c1e844165b98cf0acea10d1539</t>
        </is>
      </c>
      <c r="BB113" s="24" t="inlineStr">
        <is>
          <t>learned_lr</t>
        </is>
      </c>
      <c r="BC113" s="24" t="inlineStr">
        <is>
          <t>mlb-elo-trend-lr-v5</t>
        </is>
      </c>
      <c r="BD113" s="24" t="inlineStr">
        <is>
          <t>f4ba988a51fcfbc42f017c34f5d25f481de500c1e844165b98cf0acea10d1539</t>
        </is>
      </c>
      <c r="BE113" s="24" t="inlineStr">
        <is>
          <t>30f1580a797cd317</t>
        </is>
      </c>
      <c r="BF113" s="24" t="inlineStr">
        <is>
          <t>1</t>
        </is>
      </c>
      <c r="BG113" s="24" t="inlineStr">
        <is>
          <t>mlb-elo-trend-lr-v5</t>
        </is>
      </c>
      <c r="BH113" s="24" t="inlineStr">
        <is>
          <t>2026-07-23T04:38:03.482132Z</t>
        </is>
      </c>
      <c r="BI113" s="24" t="inlineStr">
        <is>
          <t>["same_event","same_team_same_day","same_league_same_day"]</t>
        </is>
      </c>
      <c r="BJ113" s="25" t="n"/>
      <c r="BK113" s="26" t="n">
        <v>-102</v>
      </c>
      <c r="BL113" s="27" t="n">
        <v>1.980392</v>
      </c>
      <c r="BM113" s="28" t="n">
        <v>0.50495</v>
      </c>
      <c r="BN113" s="28" t="n">
        <v>0.502488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2c08c142a9c14ee3</t>
        </is>
      </c>
      <c r="B114" s="24" t="inlineStr">
        <is>
          <t>2026-07-23T04:39:57.634876Z</t>
        </is>
      </c>
      <c r="C114" s="24" t="inlineStr">
        <is>
          <t>2026-07-23T17:15:00-0400</t>
        </is>
      </c>
      <c r="D114" s="24" t="inlineStr">
        <is>
          <t>401881162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St. Louis Cardinals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-113</v>
      </c>
      <c r="M114" s="27" t="n">
        <v>1.884956</v>
      </c>
      <c r="N114" s="28" t="n">
        <v>0.530516</v>
      </c>
      <c r="O114" s="28" t="n">
        <v>0.538243</v>
      </c>
      <c r="P114" s="28" t="n"/>
      <c r="Q114" s="28" t="n">
        <v>0.007727</v>
      </c>
      <c r="R114" s="26" t="n">
        <v>24</v>
      </c>
      <c r="S114" s="29" t="n">
        <v>1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0.5750; executable ask 0.5300 (aec-mlb-az-stl-2026-07-23).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mlb-stl</t>
        </is>
      </c>
      <c r="AT114" s="24" t="inlineStr">
        <is>
          <t>St. Louis Cardinals</t>
        </is>
      </c>
      <c r="AU114" s="24" t="inlineStr">
        <is>
          <t>St. Louis Cardinals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f4ba988a51fcfbc42f017c34f5d25f481de500c1e844165b98cf0acea10d1539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f4ba988a51fcfbc42f017c34f5d25f481de500c1e844165b98cf0acea10d1539</t>
        </is>
      </c>
      <c r="BE114" s="24" t="inlineStr">
        <is>
          <t>892d5f7d49999af1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2026-07-23T04:38:14.988028Z</t>
        </is>
      </c>
      <c r="BI114" s="24" t="inlineStr">
        <is>
          <t>["same_event","same_team_same_day","same_league_same_day"]</t>
        </is>
      </c>
      <c r="BJ114" s="25" t="n"/>
      <c r="BK114" s="26" t="n">
        <v>-113</v>
      </c>
      <c r="BL114" s="27" t="n">
        <v>1.884956</v>
      </c>
      <c r="BM114" s="28" t="n">
        <v>0.530516</v>
      </c>
      <c r="BN114" s="28" t="n">
        <v>0.527363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792067b01c184554</t>
        </is>
      </c>
      <c r="B115" s="24" t="inlineStr">
        <is>
          <t>2026-07-23T04:39:57.634876Z</t>
        </is>
      </c>
      <c r="C115" s="24" t="inlineStr">
        <is>
          <t>2026-07-23T18:40:00-0400</t>
        </is>
      </c>
      <c r="D115" s="24" t="inlineStr">
        <is>
          <t>401816231</t>
        </is>
      </c>
      <c r="E115" s="24" t="inlineStr">
        <is>
          <t>MLB</t>
        </is>
      </c>
      <c r="F115" s="24" t="inlineStr">
        <is>
          <t>Kansas City Royals</t>
        </is>
      </c>
      <c r="G115" s="24" t="inlineStr">
        <is>
          <t>Detroit Tigers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-190</v>
      </c>
      <c r="M115" s="27" t="n">
        <v>1.526316</v>
      </c>
      <c r="N115" s="28" t="n">
        <v>0.655172</v>
      </c>
      <c r="O115" s="28" t="n">
        <v>0.569905</v>
      </c>
      <c r="P115" s="28" t="n"/>
      <c r="Q115" s="28" t="n">
        <v>-0.085267</v>
      </c>
      <c r="R115" s="26" t="n">
        <v>0</v>
      </c>
      <c r="S115" s="29" t="n">
        <v>1.25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0.5750; executable ask 0.6550 (aec-mlb-kc-det-2026-07-23).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mlb-kc</t>
        </is>
      </c>
      <c r="AQ115" s="24" t="inlineStr">
        <is>
          <t>Kansas City Royals</t>
        </is>
      </c>
      <c r="AR115" s="24" t="inlineStr">
        <is>
          <t>Kansas City Royals</t>
        </is>
      </c>
      <c r="AS115" s="24" t="inlineStr">
        <is>
          <t>mlb-det</t>
        </is>
      </c>
      <c r="AT115" s="24" t="inlineStr">
        <is>
          <t>Detroit Tigers</t>
        </is>
      </c>
      <c r="AU115" s="24" t="inlineStr">
        <is>
          <t>Detroit Tigers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f4ba988a51fcfbc42f017c34f5d25f481de500c1e844165b98cf0acea10d1539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f4ba988a51fcfbc42f017c34f5d25f481de500c1e844165b98cf0acea10d1539</t>
        </is>
      </c>
      <c r="BE115" s="24" t="inlineStr">
        <is>
          <t>a26d33724fab9133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2026-07-23T04:38:19.748812Z</t>
        </is>
      </c>
      <c r="BI115" s="24" t="inlineStr">
        <is>
          <t>["same_event","same_team_same_day","same_league_same_day"]</t>
        </is>
      </c>
      <c r="BJ115" s="25" t="n"/>
      <c r="BK115" s="26" t="n">
        <v>-190</v>
      </c>
      <c r="BL115" s="27" t="n">
        <v>1.526316</v>
      </c>
      <c r="BM115" s="28" t="n">
        <v>0.655172</v>
      </c>
      <c r="BN115" s="28" t="n">
        <v>0.651741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9a3881198f6c4882</t>
        </is>
      </c>
      <c r="B116" s="24" t="inlineStr">
        <is>
          <t>2026-07-23T04:40:33.056320Z</t>
        </is>
      </c>
      <c r="C116" s="24" t="inlineStr">
        <is>
          <t>2026-07-23T09:00:00Z</t>
        </is>
      </c>
      <c r="D116" s="24" t="inlineStr">
        <is>
          <t>56810</t>
        </is>
      </c>
      <c r="E116" s="24" t="inlineStr">
        <is>
          <t>LOL</t>
        </is>
      </c>
      <c r="F116" s="24" t="inlineStr">
        <is>
          <t>Anyone's Legend</t>
        </is>
      </c>
      <c r="G116" s="24" t="inlineStr">
        <is>
          <t>JD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104</v>
      </c>
      <c r="M116" s="27" t="n">
        <v>2.04</v>
      </c>
      <c r="N116" s="28" t="n">
        <v>0.490196</v>
      </c>
      <c r="O116" s="28" t="n">
        <v>0.529047</v>
      </c>
      <c r="P116" s="28" t="n"/>
      <c r="Q116" s="28" t="n">
        <v>0.038851</v>
      </c>
      <c r="R116" s="26" t="n">
        <v>39</v>
      </c>
      <c r="S116" s="29" t="n">
        <v>0.75</v>
      </c>
      <c r="T116" s="24" t="inlineStr">
        <is>
          <t>lol-tiered-elo-v3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0.4900 (market_slug=aec-lol-jdg-al-2026-07-23).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Anyone's Legend</t>
        </is>
      </c>
      <c r="AQ116" s="24" t="inlineStr">
        <is>
          <t>Anyone's Legend</t>
        </is>
      </c>
      <c r="AR116" s="24" t="inlineStr">
        <is>
          <t>Anyone's Legend</t>
        </is>
      </c>
      <c r="AS116" s="24" t="inlineStr">
        <is>
          <t>JD Gaming</t>
        </is>
      </c>
      <c r="AT116" s="24" t="inlineStr">
        <is>
          <t>JD Gaming</t>
        </is>
      </c>
      <c r="AU116" s="24" t="inlineStr">
        <is>
          <t>JD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dbc38ecdb090b63690db810d40eb29d0a69435c83dfbf24eb00d22aa42c177ae</t>
        </is>
      </c>
      <c r="BB116" s="24" t="inlineStr">
        <is>
          <t>neutral_elo</t>
        </is>
      </c>
      <c r="BC116" s="24" t="inlineStr">
        <is>
          <t>lol-tiered-elo-v3</t>
        </is>
      </c>
      <c r="BD116" s="24" t="inlineStr">
        <is>
          <t>dbc38ecdb090b63690db810d40eb29d0a69435c83dfbf24eb00d22aa42c177ae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lol-tiered-elo-v3</t>
        </is>
      </c>
      <c r="BH116" s="24" t="inlineStr">
        <is>
          <t>2026-07-23T04:40:04.053921Z</t>
        </is>
      </c>
      <c r="BI116" s="24" t="inlineStr">
        <is>
          <t>["same_event","same_team_same_day","same_league_same_day"]</t>
        </is>
      </c>
      <c r="BJ116" s="25" t="n"/>
      <c r="BK116" s="26" t="n">
        <v>104</v>
      </c>
      <c r="BL116" s="27" t="n">
        <v>2.04</v>
      </c>
      <c r="BM116" s="28" t="n">
        <v>0.490196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acf603aeff034ada</t>
        </is>
      </c>
      <c r="B117" s="24" t="inlineStr">
        <is>
          <t>2026-07-23T04:40:33.056320Z</t>
        </is>
      </c>
      <c r="C117" s="24" t="inlineStr">
        <is>
          <t>2026-07-23T16:00:00Z</t>
        </is>
      </c>
      <c r="D117" s="24" t="inlineStr">
        <is>
          <t>57023</t>
        </is>
      </c>
      <c r="E117" s="24" t="inlineStr">
        <is>
          <t>LOL</t>
        </is>
      </c>
      <c r="F117" s="24" t="inlineStr">
        <is>
          <t>Esprit Shōnen</t>
        </is>
      </c>
      <c r="G117" s="24" t="inlineStr">
        <is>
          <t>Skillcamp Esport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144</v>
      </c>
      <c r="M117" s="27" t="n">
        <v>2.44</v>
      </c>
      <c r="N117" s="28" t="n">
        <v>0.409836</v>
      </c>
      <c r="O117" s="28" t="n">
        <v>0.598228</v>
      </c>
      <c r="P117" s="28" t="n"/>
      <c r="Q117" s="28" t="n">
        <v>0.188392</v>
      </c>
      <c r="R117" s="26" t="n">
        <v>100</v>
      </c>
      <c r="S117" s="29" t="n">
        <v>1.5</v>
      </c>
      <c r="T117" s="24" t="inlineStr">
        <is>
          <t>lol-tiered-elo-v3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0.4100 (market_slug=aec-lol-sc-ess-2026-07-23).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NO_CALL_LARGE_DISAGREEMENT_REVIEW</t>
        </is>
      </c>
      <c r="AP117" s="24" t="inlineStr">
        <is>
          <t>Esprit Shōnen</t>
        </is>
      </c>
      <c r="AQ117" s="24" t="inlineStr">
        <is>
          <t>Esprit Shōnen</t>
        </is>
      </c>
      <c r="AR117" s="24" t="inlineStr">
        <is>
          <t>Esprit Shōnen</t>
        </is>
      </c>
      <c r="AS117" s="24" t="inlineStr">
        <is>
          <t>Skillcamp Esport</t>
        </is>
      </c>
      <c r="AT117" s="24" t="inlineStr">
        <is>
          <t>Skillcamp Esport</t>
        </is>
      </c>
      <c r="AU117" s="24" t="inlineStr">
        <is>
          <t>Skillcamp Esport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dbc38ecdb090b63690db810d40eb29d0a69435c83dfbf24eb00d22aa42c177ae</t>
        </is>
      </c>
      <c r="BB117" s="24" t="inlineStr">
        <is>
          <t>neutral_elo</t>
        </is>
      </c>
      <c r="BC117" s="24" t="inlineStr">
        <is>
          <t>lol-tiered-elo-v3</t>
        </is>
      </c>
      <c r="BD117" s="24" t="inlineStr">
        <is>
          <t>dbc38ecdb090b63690db810d40eb29d0a69435c83dfbf24eb00d22aa42c177ae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lol-tiered-elo-v3</t>
        </is>
      </c>
      <c r="BH117" s="24" t="inlineStr">
        <is>
          <t>2026-07-23T04:40:06.458845Z</t>
        </is>
      </c>
      <c r="BI117" s="24" t="inlineStr">
        <is>
          <t>["same_event","same_team_same_day","same_league_same_day"]</t>
        </is>
      </c>
      <c r="BJ117" s="25" t="n"/>
      <c r="BK117" s="26" t="n">
        <v>144</v>
      </c>
      <c r="BL117" s="27" t="n">
        <v>2.44</v>
      </c>
      <c r="BM117" s="28" t="n">
        <v>0.409836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  <row r="118" ht="36" customHeight="1">
      <c r="A118" s="24" t="inlineStr">
        <is>
          <t>608b1216f11149d0</t>
        </is>
      </c>
      <c r="B118" s="24" t="inlineStr">
        <is>
          <t>2026-07-23T04:40:33.056320Z</t>
        </is>
      </c>
      <c r="C118" s="24" t="inlineStr">
        <is>
          <t>2026-07-23T17:00:00Z</t>
        </is>
      </c>
      <c r="D118" s="24" t="inlineStr">
        <is>
          <t>58174</t>
        </is>
      </c>
      <c r="E118" s="24" t="inlineStr">
        <is>
          <t>LOL</t>
        </is>
      </c>
      <c r="F118" s="24" t="inlineStr">
        <is>
          <t>E WIE EINFACH E-SPORTS</t>
        </is>
      </c>
      <c r="G118" s="24" t="inlineStr">
        <is>
          <t>ROSSMANN Centaurs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-203</v>
      </c>
      <c r="M118" s="27" t="n">
        <v>1.492611</v>
      </c>
      <c r="N118" s="28" t="n">
        <v>0.669967</v>
      </c>
      <c r="O118" s="28" t="n">
        <v>0.626995</v>
      </c>
      <c r="P118" s="28" t="n"/>
      <c r="Q118" s="28" t="n">
        <v>-0.042972</v>
      </c>
      <c r="R118" s="26" t="n">
        <v>0</v>
      </c>
      <c r="S118" s="29" t="n">
        <v>1.75</v>
      </c>
      <c r="T118" s="24" t="inlineStr">
        <is>
          <t>lol-tiered-elo-v3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0.6700 (market_slug=aec-lol-ross-ewi-2026-07-23).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E WIE EINFACH E-SPORTS</t>
        </is>
      </c>
      <c r="AQ118" s="24" t="inlineStr">
        <is>
          <t>E WIE EINFACH E-SPORTS</t>
        </is>
      </c>
      <c r="AR118" s="24" t="inlineStr">
        <is>
          <t>E WIE EINFACH E-SPORTS</t>
        </is>
      </c>
      <c r="AS118" s="24" t="inlineStr">
        <is>
          <t>ROSSMANN Centaurs</t>
        </is>
      </c>
      <c r="AT118" s="24" t="inlineStr">
        <is>
          <t>ROSSMANN Centaurs</t>
        </is>
      </c>
      <c r="AU118" s="24" t="inlineStr">
        <is>
          <t>ROSSMANN Centaurs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dbc38ecdb090b63690db810d40eb29d0a69435c83dfbf24eb00d22aa42c177ae</t>
        </is>
      </c>
      <c r="BB118" s="24" t="inlineStr">
        <is>
          <t>neutral_elo</t>
        </is>
      </c>
      <c r="BC118" s="24" t="inlineStr">
        <is>
          <t>lol-tiered-elo-v3</t>
        </is>
      </c>
      <c r="BD118" s="24" t="inlineStr">
        <is>
          <t>dbc38ecdb090b63690db810d40eb29d0a69435c83dfbf24eb00d22aa42c177ae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lol-tiered-elo-v3</t>
        </is>
      </c>
      <c r="BH118" s="24" t="inlineStr">
        <is>
          <t>2026-07-23T04:40:08.822216Z</t>
        </is>
      </c>
      <c r="BI118" s="24" t="inlineStr">
        <is>
          <t>["same_event","same_team_same_day","same_league_same_day"]</t>
        </is>
      </c>
      <c r="BJ118" s="25" t="n"/>
      <c r="BK118" s="26" t="n">
        <v>-203</v>
      </c>
      <c r="BL118" s="27" t="n">
        <v>1.492611</v>
      </c>
      <c r="BM118" s="28" t="n">
        <v>0.669967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</row>
    <row r="119" ht="36" customHeight="1">
      <c r="A119" s="24" t="inlineStr">
        <is>
          <t>c5071a4574ed4e1f</t>
        </is>
      </c>
      <c r="B119" s="24" t="inlineStr">
        <is>
          <t>2026-07-23T04:40:33.056320Z</t>
        </is>
      </c>
      <c r="C119" s="24" t="inlineStr">
        <is>
          <t>2026-07-23T17:00:00Z</t>
        </is>
      </c>
      <c r="D119" s="24" t="inlineStr">
        <is>
          <t>57086</t>
        </is>
      </c>
      <c r="E119" s="24" t="inlineStr">
        <is>
          <t>LOL</t>
        </is>
      </c>
      <c r="F119" s="24" t="inlineStr">
        <is>
          <t>Ici Japon Corp. Esport</t>
        </is>
      </c>
      <c r="G119" s="24" t="inlineStr">
        <is>
          <t>Joblife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156</v>
      </c>
      <c r="M119" s="27" t="n">
        <v>2.56</v>
      </c>
      <c r="N119" s="28" t="n">
        <v>0.390625</v>
      </c>
      <c r="O119" s="28" t="n">
        <v>0.549847</v>
      </c>
      <c r="P119" s="28" t="n"/>
      <c r="Q119" s="28" t="n">
        <v>0.159222</v>
      </c>
      <c r="R119" s="26" t="n">
        <v>100</v>
      </c>
      <c r="S119" s="29" t="n">
        <v>1</v>
      </c>
      <c r="T119" s="24" t="inlineStr">
        <is>
          <t>lol-tiered-elo-v3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0.3900 (market_slug=aec-lol-jl-ijc-2026-07-23).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NO_CALL_LARGE_DISAGREEMENT_REVIEW</t>
        </is>
      </c>
      <c r="AP119" s="24" t="inlineStr">
        <is>
          <t>Ici Japon Corp. Esport</t>
        </is>
      </c>
      <c r="AQ119" s="24" t="inlineStr">
        <is>
          <t>Ici Japon Corp. Esport</t>
        </is>
      </c>
      <c r="AR119" s="24" t="inlineStr">
        <is>
          <t>Ici Japon Corp. Esport</t>
        </is>
      </c>
      <c r="AS119" s="24" t="inlineStr">
        <is>
          <t>Joblife</t>
        </is>
      </c>
      <c r="AT119" s="24" t="inlineStr">
        <is>
          <t>Joblife</t>
        </is>
      </c>
      <c r="AU119" s="24" t="inlineStr">
        <is>
          <t>Joblife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dbc38ecdb090b63690db810d40eb29d0a69435c83dfbf24eb00d22aa42c177ae</t>
        </is>
      </c>
      <c r="BB119" s="24" t="inlineStr">
        <is>
          <t>neutral_elo</t>
        </is>
      </c>
      <c r="BC119" s="24" t="inlineStr">
        <is>
          <t>lol-tiered-elo-v3</t>
        </is>
      </c>
      <c r="BD119" s="24" t="inlineStr">
        <is>
          <t>dbc38ecdb090b63690db810d40eb29d0a69435c83dfbf24eb00d22aa42c177ae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lol-tiered-elo-v3</t>
        </is>
      </c>
      <c r="BH119" s="24" t="inlineStr">
        <is>
          <t>2026-07-23T04:40:09.719178Z</t>
        </is>
      </c>
      <c r="BI119" s="24" t="inlineStr">
        <is>
          <t>["same_event","same_team_same_day","same_league_same_day"]</t>
        </is>
      </c>
      <c r="BJ119" s="25" t="n"/>
      <c r="BK119" s="26" t="n">
        <v>156</v>
      </c>
      <c r="BL119" s="27" t="n">
        <v>2.56</v>
      </c>
      <c r="BM119" s="28" t="n">
        <v>0.390625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</row>
    <row r="120" ht="36" customHeight="1">
      <c r="A120" s="24" t="inlineStr">
        <is>
          <t>38ccf2986b81426b</t>
        </is>
      </c>
      <c r="B120" s="24" t="inlineStr">
        <is>
          <t>2026-07-23T04:40:33.056320Z</t>
        </is>
      </c>
      <c r="C120" s="24" t="inlineStr">
        <is>
          <t>2026-07-23T17:00:00Z</t>
        </is>
      </c>
      <c r="D120" s="24" t="inlineStr">
        <is>
          <t>57088</t>
        </is>
      </c>
      <c r="E120" s="24" t="inlineStr">
        <is>
          <t>LOL</t>
        </is>
      </c>
      <c r="F120" s="24" t="inlineStr">
        <is>
          <t>Dynasty</t>
        </is>
      </c>
      <c r="G120" s="24" t="inlineStr">
        <is>
          <t>Myth Esports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203</v>
      </c>
      <c r="M120" s="27" t="n">
        <v>3.03</v>
      </c>
      <c r="N120" s="28" t="n">
        <v>0.330033</v>
      </c>
      <c r="O120" s="28" t="n">
        <v>0.501096</v>
      </c>
      <c r="P120" s="28" t="n"/>
      <c r="Q120" s="28" t="n">
        <v>0.171063</v>
      </c>
      <c r="R120" s="26" t="n">
        <v>100</v>
      </c>
      <c r="S120" s="29" t="n">
        <v>0.5</v>
      </c>
      <c r="T120" s="24" t="inlineStr">
        <is>
          <t>lol-tiered-elo-v3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0.3300 (market_slug=aec-lol-myth-dyn-2026-07-23).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NO_CALL_LARGE_DISAGREEMENT_REVIEW</t>
        </is>
      </c>
      <c r="AP120" s="24" t="inlineStr">
        <is>
          <t>Dynasty</t>
        </is>
      </c>
      <c r="AQ120" s="24" t="inlineStr">
        <is>
          <t>Dynasty</t>
        </is>
      </c>
      <c r="AR120" s="24" t="inlineStr">
        <is>
          <t>Dynasty</t>
        </is>
      </c>
      <c r="AS120" s="24" t="inlineStr">
        <is>
          <t>Myth Esports</t>
        </is>
      </c>
      <c r="AT120" s="24" t="inlineStr">
        <is>
          <t>Myth Esports</t>
        </is>
      </c>
      <c r="AU120" s="24" t="inlineStr">
        <is>
          <t>Myth Esports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dbc38ecdb090b63690db810d40eb29d0a69435c83dfbf24eb00d22aa42c177ae</t>
        </is>
      </c>
      <c r="BB120" s="24" t="inlineStr">
        <is>
          <t>neutral_elo</t>
        </is>
      </c>
      <c r="BC120" s="24" t="inlineStr">
        <is>
          <t>lol-tiered-elo-v3</t>
        </is>
      </c>
      <c r="BD120" s="24" t="inlineStr">
        <is>
          <t>dbc38ecdb090b63690db810d40eb29d0a69435c83dfbf24eb00d22aa42c177ae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lol-tiered-elo-v3</t>
        </is>
      </c>
      <c r="BH120" s="24" t="inlineStr">
        <is>
          <t>2026-07-23T04:40:11.327340Z</t>
        </is>
      </c>
      <c r="BI120" s="24" t="inlineStr">
        <is>
          <t>["same_event","same_team_same_day","same_league_same_day"]</t>
        </is>
      </c>
      <c r="BJ120" s="25" t="n"/>
      <c r="BK120" s="26" t="n">
        <v>203</v>
      </c>
      <c r="BL120" s="27" t="n">
        <v>3.03</v>
      </c>
      <c r="BM120" s="28" t="n">
        <v>0.330033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</row>
    <row r="121" ht="36" customHeight="1">
      <c r="A121" s="24" t="inlineStr">
        <is>
          <t>3e68c62def444eb1</t>
        </is>
      </c>
      <c r="B121" s="24" t="inlineStr">
        <is>
          <t>2026-07-23T04:36:37.074229Z</t>
        </is>
      </c>
      <c r="C121" s="24" t="inlineStr">
        <is>
          <t>2026-07-22T20:00:00-0400</t>
        </is>
      </c>
      <c r="D121" s="24" t="inlineStr">
        <is>
          <t>401816223</t>
        </is>
      </c>
      <c r="E121" s="24" t="inlineStr">
        <is>
          <t>MLB</t>
        </is>
      </c>
      <c r="F121" s="24" t="inlineStr">
        <is>
          <t>Detroit Tigers</t>
        </is>
      </c>
      <c r="G121" s="24" t="inlineStr">
        <is>
          <t>Chicago Cubs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-110</v>
      </c>
      <c r="M121" s="27" t="n">
        <v>1.909091</v>
      </c>
      <c r="N121" s="28" t="n">
        <v>0.52381</v>
      </c>
      <c r="O121" s="28" t="n">
        <v>0.592436</v>
      </c>
      <c r="P121" s="28" t="n">
        <v>0.05</v>
      </c>
      <c r="Q121" s="28" t="n">
        <v>0.06862600000000001</v>
      </c>
      <c r="R121" s="26" t="n">
        <v>54</v>
      </c>
      <c r="S121" s="29" t="n">
        <v>0</v>
      </c>
      <c r="T121" s="24" t="inlineStr">
        <is>
          <t>mlb-elo-trend-lr-v5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-110</v>
      </c>
      <c r="AA121" s="28" t="n">
        <v>0.52381</v>
      </c>
      <c r="AB121" s="28" t="n">
        <v>0</v>
      </c>
      <c r="AC121" s="30" t="n">
        <v>0</v>
      </c>
      <c r="AD121" s="24" t="inlineStr">
        <is>
          <t>2026-07-23T04:36:37.074229Z</t>
        </is>
      </c>
      <c r="AE121" s="31" t="inlineStr">
        <is>
          <t>Retroactive model run — features from team averages.</t>
        </is>
      </c>
      <c r="AF121" s="31" t="inlineStr">
        <is>
          <t>Retroactive; features approximated from teammate averages, not point-in-time.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NO_CALL_MISSING_FEATURES</t>
        </is>
      </c>
      <c r="AP121" s="24" t="inlineStr">
        <is>
          <t>mlb-detroittigers</t>
        </is>
      </c>
      <c r="AQ121" s="24" t="inlineStr">
        <is>
          <t>Detroit Tigers</t>
        </is>
      </c>
      <c r="AR121" s="24" t="inlineStr">
        <is>
          <t>Detroit Tigers</t>
        </is>
      </c>
      <c r="AS121" s="24" t="inlineStr">
        <is>
          <t>mlb-chicagocubs</t>
        </is>
      </c>
      <c r="AT121" s="24" t="inlineStr">
        <is>
          <t>Chicago Cubs</t>
        </is>
      </c>
      <c r="AU121" s="24" t="inlineStr">
        <is>
          <t>Chicago Cubs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f4ba988a51fcfbc42f017c34f5d25f481de500c1e844165b98cf0acea10d1539</t>
        </is>
      </c>
      <c r="BB121" s="24" t="inlineStr">
        <is>
          <t>learned_lr</t>
        </is>
      </c>
      <c r="BC121" s="24" t="inlineStr">
        <is>
          <t>mlb-elo-trend-lr-v5</t>
        </is>
      </c>
      <c r="BD121" s="24" t="inlineStr">
        <is>
          <t>f4ba988a51fcfbc42f017c34f5d25f481de500c1e844165b98cf0acea10d1539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mlb-elo-trend-lr-v5</t>
        </is>
      </c>
      <c r="BH121" s="24" t="inlineStr">
        <is>
          <t>2026-07-23T04:36:37.074229Z</t>
        </is>
      </c>
      <c r="BI121" s="24" t="n"/>
      <c r="BJ121" s="25" t="n"/>
      <c r="BK121" s="26" t="n">
        <v>-110</v>
      </c>
      <c r="BL121" s="27" t="n">
        <v>1.909091</v>
      </c>
      <c r="BM121" s="28" t="n">
        <v>0.52381</v>
      </c>
      <c r="BN121" s="28" t="n"/>
      <c r="BO121" s="28" t="n"/>
      <c r="BP121" s="25" t="n"/>
      <c r="BQ121" s="27" t="n">
        <v>1.909091</v>
      </c>
      <c r="BR121" s="28" t="n">
        <v>0.52381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</row>
    <row r="122" ht="36" customHeight="1">
      <c r="A122" s="24" t="inlineStr">
        <is>
          <t>9d4cc694127f432f</t>
        </is>
      </c>
      <c r="B122" s="24" t="inlineStr">
        <is>
          <t>2026-07-23T04:36:37.074229Z</t>
        </is>
      </c>
      <c r="C122" s="24" t="inlineStr">
        <is>
          <t>2026-07-22T20:05:00-0400</t>
        </is>
      </c>
      <c r="D122" s="24" t="inlineStr">
        <is>
          <t>401816222</t>
        </is>
      </c>
      <c r="E122" s="24" t="inlineStr">
        <is>
          <t>MLB</t>
        </is>
      </c>
      <c r="F122" s="24" t="inlineStr">
        <is>
          <t>Chicago White Sox</t>
        </is>
      </c>
      <c r="G122" s="24" t="inlineStr">
        <is>
          <t>Texas Rangers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-110</v>
      </c>
      <c r="M122" s="27" t="n">
        <v>1.909091</v>
      </c>
      <c r="N122" s="28" t="n">
        <v>0.52381</v>
      </c>
      <c r="O122" s="28" t="n">
        <v>0.549254</v>
      </c>
      <c r="P122" s="28" t="n">
        <v>0.05</v>
      </c>
      <c r="Q122" s="28" t="n">
        <v>0.025445</v>
      </c>
      <c r="R122" s="26" t="n">
        <v>33</v>
      </c>
      <c r="S122" s="29" t="n">
        <v>0</v>
      </c>
      <c r="T122" s="24" t="inlineStr">
        <is>
          <t>mlb-elo-trend-lr-v5</t>
        </is>
      </c>
      <c r="U122" s="24" t="inlineStr">
        <is>
          <t>settled</t>
        </is>
      </c>
      <c r="V122" s="24" t="inlineStr">
        <is>
          <t>loss</t>
        </is>
      </c>
      <c r="W122" s="26" t="n">
        <v>4</v>
      </c>
      <c r="X122" s="26" t="n">
        <v>2</v>
      </c>
      <c r="Y122" s="25" t="n"/>
      <c r="Z122" s="26" t="n">
        <v>-110</v>
      </c>
      <c r="AA122" s="28" t="n">
        <v>0.52381</v>
      </c>
      <c r="AB122" s="28" t="n">
        <v>0</v>
      </c>
      <c r="AC122" s="30" t="n">
        <v>0</v>
      </c>
      <c r="AD122" s="24" t="inlineStr">
        <is>
          <t>2026-07-23T04:36:37.074229Z</t>
        </is>
      </c>
      <c r="AE122" s="31" t="inlineStr">
        <is>
          <t>Retroactive model run — features from team averages.</t>
        </is>
      </c>
      <c r="AF122" s="31" t="inlineStr">
        <is>
          <t>Retroactive; features approximated from teammate averages, not point-in-time.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NO_CALL_MISSING_FEATURES</t>
        </is>
      </c>
      <c r="AP122" s="24" t="inlineStr">
        <is>
          <t>mlb-chicagowhitesox</t>
        </is>
      </c>
      <c r="AQ122" s="24" t="inlineStr">
        <is>
          <t>Chicago White Sox</t>
        </is>
      </c>
      <c r="AR122" s="24" t="inlineStr">
        <is>
          <t>Chicago White Sox</t>
        </is>
      </c>
      <c r="AS122" s="24" t="inlineStr">
        <is>
          <t>mlb-texasrangers</t>
        </is>
      </c>
      <c r="AT122" s="24" t="inlineStr">
        <is>
          <t>Texas Rangers</t>
        </is>
      </c>
      <c r="AU122" s="24" t="inlineStr">
        <is>
          <t>Texas Rangers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f4ba988a51fcfbc42f017c34f5d25f481de500c1e844165b98cf0acea10d1539</t>
        </is>
      </c>
      <c r="BB122" s="24" t="inlineStr">
        <is>
          <t>learned_lr</t>
        </is>
      </c>
      <c r="BC122" s="24" t="inlineStr">
        <is>
          <t>mlb-elo-trend-lr-v5</t>
        </is>
      </c>
      <c r="BD122" s="24" t="inlineStr">
        <is>
          <t>f4ba988a51fcfbc42f017c34f5d25f481de500c1e844165b98cf0acea10d1539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mlb-elo-trend-lr-v5</t>
        </is>
      </c>
      <c r="BH122" s="24" t="inlineStr">
        <is>
          <t>2026-07-23T04:36:37.074229Z</t>
        </is>
      </c>
      <c r="BI122" s="24" t="n"/>
      <c r="BJ122" s="25" t="n"/>
      <c r="BK122" s="26" t="n">
        <v>-110</v>
      </c>
      <c r="BL122" s="27" t="n">
        <v>1.909091</v>
      </c>
      <c r="BM122" s="28" t="n">
        <v>0.52381</v>
      </c>
      <c r="BN122" s="28" t="n"/>
      <c r="BO122" s="28" t="n"/>
      <c r="BP122" s="25" t="n"/>
      <c r="BQ122" s="27" t="n">
        <v>1.909091</v>
      </c>
      <c r="BR122" s="28" t="n">
        <v>0.52381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</row>
    <row r="123" ht="36" customHeight="1">
      <c r="A123" s="24" t="inlineStr">
        <is>
          <t>c1253ac612ef4012</t>
        </is>
      </c>
      <c r="B123" s="24" t="inlineStr">
        <is>
          <t>2026-07-23T04:41:27.795424Z</t>
        </is>
      </c>
      <c r="C123" s="24" t="inlineStr">
        <is>
          <t>2026-07-23T08:00:00Z</t>
        </is>
      </c>
      <c r="D123" s="24" t="inlineStr">
        <is>
          <t>59322</t>
        </is>
      </c>
      <c r="E123" s="24" t="inlineStr">
        <is>
          <t>CS2</t>
        </is>
      </c>
      <c r="F123" s="24" t="inlineStr">
        <is>
          <t>CYBERSHOKE Esports</t>
        </is>
      </c>
      <c r="G123" s="24" t="inlineStr">
        <is>
          <t>Just Players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223</v>
      </c>
      <c r="M123" s="27" t="n">
        <v>3.23</v>
      </c>
      <c r="N123" s="28" t="n">
        <v>0.309598</v>
      </c>
      <c r="O123" s="28" t="n">
        <v>0.685765</v>
      </c>
      <c r="P123" s="28" t="n"/>
      <c r="Q123" s="28" t="n">
        <v>0.376167</v>
      </c>
      <c r="R123" s="26" t="n">
        <v>100</v>
      </c>
      <c r="S123" s="29" t="n">
        <v>2</v>
      </c>
      <c r="T123" s="24" t="inlineStr">
        <is>
          <t>cs2-tiered-elo-v3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0.3100 (market_slug=aec-cs2-jpu-cs-2026-07-23).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NO_CALL_LARGE_DISAGREEMENT_REVIEW</t>
        </is>
      </c>
      <c r="AP123" s="24" t="inlineStr">
        <is>
          <t>CYBERSHOKE Esports</t>
        </is>
      </c>
      <c r="AQ123" s="24" t="inlineStr">
        <is>
          <t>CYBERSHOKE Esports</t>
        </is>
      </c>
      <c r="AR123" s="24" t="inlineStr">
        <is>
          <t>CYBERSHOKE Esports</t>
        </is>
      </c>
      <c r="AS123" s="24" t="inlineStr">
        <is>
          <t>Just Players</t>
        </is>
      </c>
      <c r="AT123" s="24" t="inlineStr">
        <is>
          <t>Just Players</t>
        </is>
      </c>
      <c r="AU123" s="24" t="inlineStr">
        <is>
          <t>Just Players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48424b79d75fc1173c9c465d95feb6fc041a2ccfbc64455058b3f74905ce28d5</t>
        </is>
      </c>
      <c r="BB123" s="24" t="inlineStr">
        <is>
          <t>neutral_elo</t>
        </is>
      </c>
      <c r="BC123" s="24" t="inlineStr">
        <is>
          <t>cs2-tiered-elo-v3</t>
        </is>
      </c>
      <c r="BD123" s="24" t="inlineStr">
        <is>
          <t>48424b79d75fc1173c9c465d95feb6fc041a2ccfbc64455058b3f74905ce28d5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cs2-tiered-elo-v3</t>
        </is>
      </c>
      <c r="BH123" s="24" t="inlineStr">
        <is>
          <t>2026-07-23T04:40:42.517379Z</t>
        </is>
      </c>
      <c r="BI123" s="24" t="inlineStr">
        <is>
          <t>["same_event","same_team_same_day","same_league_same_day"]</t>
        </is>
      </c>
      <c r="BJ123" s="25" t="n"/>
      <c r="BK123" s="26" t="n">
        <v>223</v>
      </c>
      <c r="BL123" s="27" t="n">
        <v>3.23</v>
      </c>
      <c r="BM123" s="28" t="n">
        <v>0.309598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</row>
    <row r="124" ht="36" customHeight="1">
      <c r="A124" s="24" t="inlineStr">
        <is>
          <t>02730a10f144432a</t>
        </is>
      </c>
      <c r="B124" s="24" t="inlineStr">
        <is>
          <t>2026-07-23T04:41:27.795424Z</t>
        </is>
      </c>
      <c r="C124" s="24" t="inlineStr">
        <is>
          <t>2026-07-23T11:00:00Z</t>
        </is>
      </c>
      <c r="D124" s="24" t="inlineStr">
        <is>
          <t>59673</t>
        </is>
      </c>
      <c r="E124" s="24" t="inlineStr">
        <is>
          <t>CS2</t>
        </is>
      </c>
      <c r="F124" s="24" t="inlineStr">
        <is>
          <t>SAW Youngsters</t>
        </is>
      </c>
      <c r="G124" s="24" t="inlineStr">
        <is>
          <t>los kogutos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-117</v>
      </c>
      <c r="M124" s="27" t="n">
        <v>1.854701</v>
      </c>
      <c r="N124" s="28" t="n">
        <v>0.539171</v>
      </c>
      <c r="O124" s="28" t="n">
        <v>0.5020829999999999</v>
      </c>
      <c r="P124" s="28" t="n"/>
      <c r="Q124" s="28" t="n">
        <v>-0.037088</v>
      </c>
      <c r="R124" s="26" t="n">
        <v>1</v>
      </c>
      <c r="S124" s="29" t="n">
        <v>0.5</v>
      </c>
      <c r="T124" s="24" t="inlineStr">
        <is>
          <t>cs2-tiered-elo-v3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0.5400 (market_slug=aec-cs2-lk-sawy-2026-07-23).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SAW Youngsters</t>
        </is>
      </c>
      <c r="AQ124" s="24" t="inlineStr">
        <is>
          <t>SAW Youngsters</t>
        </is>
      </c>
      <c r="AR124" s="24" t="inlineStr">
        <is>
          <t>SAW Youngsters</t>
        </is>
      </c>
      <c r="AS124" s="24" t="inlineStr">
        <is>
          <t>los kogutos</t>
        </is>
      </c>
      <c r="AT124" s="24" t="inlineStr">
        <is>
          <t>los kogutos</t>
        </is>
      </c>
      <c r="AU124" s="24" t="inlineStr">
        <is>
          <t>los kogutos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48424b79d75fc1173c9c465d95feb6fc041a2ccfbc64455058b3f74905ce28d5</t>
        </is>
      </c>
      <c r="BB124" s="24" t="inlineStr">
        <is>
          <t>neutral_elo</t>
        </is>
      </c>
      <c r="BC124" s="24" t="inlineStr">
        <is>
          <t>cs2-tiered-elo-v3</t>
        </is>
      </c>
      <c r="BD124" s="24" t="inlineStr">
        <is>
          <t>48424b79d75fc1173c9c465d95feb6fc041a2ccfbc64455058b3f74905ce28d5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cs2-tiered-elo-v3</t>
        </is>
      </c>
      <c r="BH124" s="24" t="inlineStr">
        <is>
          <t>2026-07-23T04:40:44.841772Z</t>
        </is>
      </c>
      <c r="BI124" s="24" t="inlineStr">
        <is>
          <t>["same_event","same_team_same_day","same_league_same_day"]</t>
        </is>
      </c>
      <c r="BJ124" s="25" t="n"/>
      <c r="BK124" s="26" t="n">
        <v>-117</v>
      </c>
      <c r="BL124" s="27" t="n">
        <v>1.854701</v>
      </c>
      <c r="BM124" s="28" t="n">
        <v>0.539171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</row>
    <row r="125" ht="36" customHeight="1">
      <c r="A125" s="24" t="inlineStr">
        <is>
          <t>ed0ae1c35cd7409e</t>
        </is>
      </c>
      <c r="B125" s="24" t="inlineStr">
        <is>
          <t>2026-07-23T04:41:27.795424Z</t>
        </is>
      </c>
      <c r="C125" s="24" t="inlineStr">
        <is>
          <t>2026-07-23T11:00:00Z</t>
        </is>
      </c>
      <c r="D125" s="24" t="inlineStr">
        <is>
          <t>56870</t>
        </is>
      </c>
      <c r="E125" s="24" t="inlineStr">
        <is>
          <t>CS2</t>
        </is>
      </c>
      <c r="F125" s="24" t="inlineStr">
        <is>
          <t>Benched gods</t>
        </is>
      </c>
      <c r="G125" s="24" t="inlineStr">
        <is>
          <t>NEW VISION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-113</v>
      </c>
      <c r="M125" s="27" t="n">
        <v>1.884956</v>
      </c>
      <c r="N125" s="28" t="n">
        <v>0.530516</v>
      </c>
      <c r="O125" s="28" t="n">
        <v>0.682691</v>
      </c>
      <c r="P125" s="28" t="n"/>
      <c r="Q125" s="28" t="n">
        <v>0.152175</v>
      </c>
      <c r="R125" s="26" t="n">
        <v>100</v>
      </c>
      <c r="S125" s="29" t="n">
        <v>2</v>
      </c>
      <c r="T125" s="24" t="inlineStr">
        <is>
          <t>cs2-tiered-elo-v3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0.5300 (market_slug=aec-cs2-nve-bge-2026-07-23).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NO_CALL_LARGE_DISAGREEMENT_REVIEW</t>
        </is>
      </c>
      <c r="AP125" s="24" t="inlineStr">
        <is>
          <t>Benched gods</t>
        </is>
      </c>
      <c r="AQ125" s="24" t="inlineStr">
        <is>
          <t>Benched gods</t>
        </is>
      </c>
      <c r="AR125" s="24" t="inlineStr">
        <is>
          <t>Benched gods</t>
        </is>
      </c>
      <c r="AS125" s="24" t="inlineStr">
        <is>
          <t>NEW VISION</t>
        </is>
      </c>
      <c r="AT125" s="24" t="inlineStr">
        <is>
          <t>NEW VISION</t>
        </is>
      </c>
      <c r="AU125" s="24" t="inlineStr">
        <is>
          <t>NEW VISION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48424b79d75fc1173c9c465d95feb6fc041a2ccfbc64455058b3f74905ce28d5</t>
        </is>
      </c>
      <c r="BB125" s="24" t="inlineStr">
        <is>
          <t>neutral_elo</t>
        </is>
      </c>
      <c r="BC125" s="24" t="inlineStr">
        <is>
          <t>cs2-tiered-elo-v3</t>
        </is>
      </c>
      <c r="BD125" s="24" t="inlineStr">
        <is>
          <t>48424b79d75fc1173c9c465d95feb6fc041a2ccfbc64455058b3f74905ce28d5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cs2-tiered-elo-v3</t>
        </is>
      </c>
      <c r="BH125" s="24" t="inlineStr">
        <is>
          <t>2026-07-23T04:40:45.737765Z</t>
        </is>
      </c>
      <c r="BI125" s="24" t="inlineStr">
        <is>
          <t>["same_event","same_team_same_day","same_league_same_day"]</t>
        </is>
      </c>
      <c r="BJ125" s="25" t="n"/>
      <c r="BK125" s="26" t="n">
        <v>-113</v>
      </c>
      <c r="BL125" s="27" t="n">
        <v>1.884956</v>
      </c>
      <c r="BM125" s="28" t="n">
        <v>0.530516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</row>
    <row r="126" ht="36" customHeight="1">
      <c r="A126" s="24" t="inlineStr">
        <is>
          <t>87f4787426054c91</t>
        </is>
      </c>
      <c r="B126" s="24" t="inlineStr">
        <is>
          <t>2026-07-23T04:41:27.795424Z</t>
        </is>
      </c>
      <c r="C126" s="24" t="inlineStr">
        <is>
          <t>2026-07-23T11:00:00Z</t>
        </is>
      </c>
      <c r="D126" s="24" t="inlineStr">
        <is>
          <t>59036</t>
        </is>
      </c>
      <c r="E126" s="24" t="inlineStr">
        <is>
          <t>CS2</t>
        </is>
      </c>
      <c r="F126" s="24" t="inlineStr">
        <is>
          <t>ex-RUSTEC</t>
        </is>
      </c>
      <c r="G126" s="24" t="inlineStr">
        <is>
          <t>Lavked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0.692685</v>
      </c>
      <c r="P126" s="28" t="n"/>
      <c r="Q126" s="28" t="n">
        <v>0.242235</v>
      </c>
      <c r="R126" s="26" t="n">
        <v>100</v>
      </c>
      <c r="S126" s="29" t="n">
        <v>2</v>
      </c>
      <c r="T126" s="24" t="inlineStr">
        <is>
          <t>cs2-tiered-elo-v3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Neutral Elo baseline; executable ask 0.4500 (market_slug=aec-cs2-lav-erx-2026-07-23).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NO_CALL_LARGE_DISAGREEMENT_REVIEW</t>
        </is>
      </c>
      <c r="AP126" s="24" t="inlineStr">
        <is>
          <t>ex-RUSTEC</t>
        </is>
      </c>
      <c r="AQ126" s="24" t="inlineStr">
        <is>
          <t>ex-RUSTEC</t>
        </is>
      </c>
      <c r="AR126" s="24" t="inlineStr">
        <is>
          <t>ex-RUSTEC</t>
        </is>
      </c>
      <c r="AS126" s="24" t="inlineStr">
        <is>
          <t>Lavked</t>
        </is>
      </c>
      <c r="AT126" s="24" t="inlineStr">
        <is>
          <t>Lavked</t>
        </is>
      </c>
      <c r="AU126" s="24" t="inlineStr">
        <is>
          <t>Lavked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48424b79d75fc1173c9c465d95feb6fc041a2ccfbc64455058b3f74905ce28d5</t>
        </is>
      </c>
      <c r="BB126" s="24" t="inlineStr">
        <is>
          <t>neutral_elo</t>
        </is>
      </c>
      <c r="BC126" s="24" t="inlineStr">
        <is>
          <t>cs2-tiered-elo-v3</t>
        </is>
      </c>
      <c r="BD126" s="24" t="inlineStr">
        <is>
          <t>48424b79d75fc1173c9c465d95feb6fc041a2ccfbc64455058b3f74905ce28d5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cs2-tiered-elo-v3</t>
        </is>
      </c>
      <c r="BH126" s="24" t="inlineStr">
        <is>
          <t>2026-07-23T04:40:46.526301Z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</row>
    <row r="127" ht="36" customHeight="1">
      <c r="A127" s="24" t="inlineStr">
        <is>
          <t>355aa44673524a69</t>
        </is>
      </c>
      <c r="B127" s="24" t="inlineStr">
        <is>
          <t>2026-07-23T04:41:27.795424Z</t>
        </is>
      </c>
      <c r="C127" s="24" t="inlineStr">
        <is>
          <t>2026-07-23T11:00:00Z</t>
        </is>
      </c>
      <c r="D127" s="24" t="inlineStr">
        <is>
          <t>58451</t>
        </is>
      </c>
      <c r="E127" s="24" t="inlineStr">
        <is>
          <t>CS2</t>
        </is>
      </c>
      <c r="F127" s="24" t="inlineStr">
        <is>
          <t>3DMAX</t>
        </is>
      </c>
      <c r="G127" s="24" t="inlineStr">
        <is>
          <t>Walczaki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-213</v>
      </c>
      <c r="M127" s="27" t="n">
        <v>1.469484</v>
      </c>
      <c r="N127" s="28" t="n">
        <v>0.680511</v>
      </c>
      <c r="O127" s="28" t="n">
        <v>0.5245030000000001</v>
      </c>
      <c r="P127" s="28" t="n"/>
      <c r="Q127" s="28" t="n">
        <v>-0.156008</v>
      </c>
      <c r="R127" s="26" t="n">
        <v>0</v>
      </c>
      <c r="S127" s="29" t="n">
        <v>0.75</v>
      </c>
      <c r="T127" s="24" t="inlineStr">
        <is>
          <t>cs2-tiered-elo-v3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0.6800 (market_slug=aec-cs2-wal-3dmax-2026-07-23).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NO_CALL_LARGE_DISAGREEMENT_REVIEW</t>
        </is>
      </c>
      <c r="AP127" s="24" t="inlineStr">
        <is>
          <t>3DMAX</t>
        </is>
      </c>
      <c r="AQ127" s="24" t="inlineStr">
        <is>
          <t>3DMAX</t>
        </is>
      </c>
      <c r="AR127" s="24" t="inlineStr">
        <is>
          <t>3DMAX</t>
        </is>
      </c>
      <c r="AS127" s="24" t="inlineStr">
        <is>
          <t>Walczaki</t>
        </is>
      </c>
      <c r="AT127" s="24" t="inlineStr">
        <is>
          <t>Walczaki</t>
        </is>
      </c>
      <c r="AU127" s="24" t="inlineStr">
        <is>
          <t>Walczaki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48424b79d75fc1173c9c465d95feb6fc041a2ccfbc64455058b3f74905ce28d5</t>
        </is>
      </c>
      <c r="BB127" s="24" t="inlineStr">
        <is>
          <t>neutral_elo</t>
        </is>
      </c>
      <c r="BC127" s="24" t="inlineStr">
        <is>
          <t>cs2-tiered-elo-v3</t>
        </is>
      </c>
      <c r="BD127" s="24" t="inlineStr">
        <is>
          <t>48424b79d75fc1173c9c465d95feb6fc041a2ccfbc64455058b3f74905ce28d5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cs2-tiered-elo-v3</t>
        </is>
      </c>
      <c r="BH127" s="24" t="inlineStr">
        <is>
          <t>2026-07-23T04:40:47.371163Z</t>
        </is>
      </c>
      <c r="BI127" s="24" t="inlineStr">
        <is>
          <t>["same_event","same_team_same_day","same_league_same_day"]</t>
        </is>
      </c>
      <c r="BJ127" s="25" t="n"/>
      <c r="BK127" s="26" t="n">
        <v>-213</v>
      </c>
      <c r="BL127" s="27" t="n">
        <v>1.469484</v>
      </c>
      <c r="BM127" s="28" t="n">
        <v>0.680511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</row>
    <row r="128" ht="36" customHeight="1">
      <c r="A128" s="24" t="inlineStr">
        <is>
          <t>afa604407e4c4361</t>
        </is>
      </c>
      <c r="B128" s="24" t="inlineStr">
        <is>
          <t>2026-07-23T04:41:27.795424Z</t>
        </is>
      </c>
      <c r="C128" s="24" t="inlineStr">
        <is>
          <t>2026-07-23T13:00:00Z</t>
        </is>
      </c>
      <c r="D128" s="24" t="inlineStr">
        <is>
          <t>59442</t>
        </is>
      </c>
      <c r="E128" s="24" t="inlineStr">
        <is>
          <t>CS2</t>
        </is>
      </c>
      <c r="F128" s="24" t="inlineStr">
        <is>
          <t>Nuclear TigeRES</t>
        </is>
      </c>
      <c r="G128" s="24" t="inlineStr">
        <is>
          <t>100 Thieves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163</v>
      </c>
      <c r="M128" s="27" t="n">
        <v>2.63</v>
      </c>
      <c r="N128" s="28" t="n">
        <v>0.380228</v>
      </c>
      <c r="O128" s="28" t="n">
        <v>0.5681389999999999</v>
      </c>
      <c r="P128" s="28" t="n"/>
      <c r="Q128" s="28" t="n">
        <v>0.187911</v>
      </c>
      <c r="R128" s="26" t="n">
        <v>100</v>
      </c>
      <c r="S128" s="29" t="n">
        <v>1.25</v>
      </c>
      <c r="T128" s="24" t="inlineStr">
        <is>
          <t>cs2-tiered-elo-v3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0.3800 (market_slug=aec-cs2-100t-ntr-2026-07-23).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NO_CALL_LARGE_DISAGREEMENT_REVIEW</t>
        </is>
      </c>
      <c r="AP128" s="24" t="inlineStr">
        <is>
          <t>Nuclear TigeRES</t>
        </is>
      </c>
      <c r="AQ128" s="24" t="inlineStr">
        <is>
          <t>Nuclear TigeRES</t>
        </is>
      </c>
      <c r="AR128" s="24" t="inlineStr">
        <is>
          <t>Nuclear TigeRES</t>
        </is>
      </c>
      <c r="AS128" s="24" t="inlineStr">
        <is>
          <t>100 Thieves</t>
        </is>
      </c>
      <c r="AT128" s="24" t="inlineStr">
        <is>
          <t>100 Thieves</t>
        </is>
      </c>
      <c r="AU128" s="24" t="inlineStr">
        <is>
          <t>100 Thieves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48424b79d75fc1173c9c465d95feb6fc041a2ccfbc64455058b3f74905ce28d5</t>
        </is>
      </c>
      <c r="BB128" s="24" t="inlineStr">
        <is>
          <t>neutral_elo</t>
        </is>
      </c>
      <c r="BC128" s="24" t="inlineStr">
        <is>
          <t>cs2-tiered-elo-v3</t>
        </is>
      </c>
      <c r="BD128" s="24" t="inlineStr">
        <is>
          <t>48424b79d75fc1173c9c465d95feb6fc041a2ccfbc64455058b3f74905ce28d5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cs2-tiered-elo-v3</t>
        </is>
      </c>
      <c r="BH128" s="24" t="inlineStr">
        <is>
          <t>2026-07-23T04:40:50.042473Z</t>
        </is>
      </c>
      <c r="BI128" s="24" t="inlineStr">
        <is>
          <t>["same_event","same_team_same_day","same_league_same_day"]</t>
        </is>
      </c>
      <c r="BJ128" s="25" t="n"/>
      <c r="BK128" s="26" t="n">
        <v>163</v>
      </c>
      <c r="BL128" s="27" t="n">
        <v>2.63</v>
      </c>
      <c r="BM128" s="28" t="n">
        <v>0.380228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</row>
    <row r="129" ht="36" customHeight="1">
      <c r="A129" s="24" t="inlineStr">
        <is>
          <t>4fd1d9494984496c</t>
        </is>
      </c>
      <c r="B129" s="24" t="inlineStr">
        <is>
          <t>2026-07-23T04:41:27.795424Z</t>
        </is>
      </c>
      <c r="C129" s="24" t="inlineStr">
        <is>
          <t>2026-07-23T13:00:00Z</t>
        </is>
      </c>
      <c r="D129" s="24" t="inlineStr">
        <is>
          <t>59961</t>
        </is>
      </c>
      <c r="E129" s="24" t="inlineStr">
        <is>
          <t>CS2</t>
        </is>
      </c>
      <c r="F129" s="24" t="inlineStr">
        <is>
          <t>Game Hunters</t>
        </is>
      </c>
      <c r="G129" s="24" t="inlineStr">
        <is>
          <t>UNO MILLE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-194</v>
      </c>
      <c r="M129" s="27" t="n">
        <v>1.515464</v>
      </c>
      <c r="N129" s="28" t="n">
        <v>0.659864</v>
      </c>
      <c r="O129" s="28" t="n">
        <v>0.518052</v>
      </c>
      <c r="P129" s="28" t="n"/>
      <c r="Q129" s="28" t="n">
        <v>-0.141812</v>
      </c>
      <c r="R129" s="26" t="n">
        <v>0</v>
      </c>
      <c r="S129" s="29" t="n">
        <v>0.75</v>
      </c>
      <c r="T129" s="24" t="inlineStr">
        <is>
          <t>cs2-tiered-elo-v3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0.6600 (market_slug=aec-cs2-uno-gh-2026-07-23).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NO_CALL_LARGE_DISAGREEMENT_REVIEW</t>
        </is>
      </c>
      <c r="AP129" s="24" t="inlineStr">
        <is>
          <t>Game Hunters</t>
        </is>
      </c>
      <c r="AQ129" s="24" t="inlineStr">
        <is>
          <t>Game Hunters</t>
        </is>
      </c>
      <c r="AR129" s="24" t="inlineStr">
        <is>
          <t>Game Hunters</t>
        </is>
      </c>
      <c r="AS129" s="24" t="inlineStr">
        <is>
          <t>UNO MILLE</t>
        </is>
      </c>
      <c r="AT129" s="24" t="inlineStr">
        <is>
          <t>UNO MILLE</t>
        </is>
      </c>
      <c r="AU129" s="24" t="inlineStr">
        <is>
          <t>UNO MILLE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48424b79d75fc1173c9c465d95feb6fc041a2ccfbc64455058b3f74905ce28d5</t>
        </is>
      </c>
      <c r="BB129" s="24" t="inlineStr">
        <is>
          <t>neutral_elo</t>
        </is>
      </c>
      <c r="BC129" s="24" t="inlineStr">
        <is>
          <t>cs2-tiered-elo-v3</t>
        </is>
      </c>
      <c r="BD129" s="24" t="inlineStr">
        <is>
          <t>48424b79d75fc1173c9c465d95feb6fc041a2ccfbc64455058b3f74905ce28d5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cs2-tiered-elo-v3</t>
        </is>
      </c>
      <c r="BH129" s="24" t="inlineStr">
        <is>
          <t>2026-07-23T04:40:50.845427Z</t>
        </is>
      </c>
      <c r="BI129" s="24" t="inlineStr">
        <is>
          <t>["same_event","same_team_same_day","same_league_same_day"]</t>
        </is>
      </c>
      <c r="BJ129" s="25" t="n"/>
      <c r="BK129" s="26" t="n">
        <v>-194</v>
      </c>
      <c r="BL129" s="27" t="n">
        <v>1.515464</v>
      </c>
      <c r="BM129" s="28" t="n">
        <v>0.659864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</row>
    <row r="130" ht="36" customHeight="1">
      <c r="A130" s="24" t="inlineStr">
        <is>
          <t>a8c0022f56dd4d20</t>
        </is>
      </c>
      <c r="B130" s="24" t="inlineStr">
        <is>
          <t>2026-07-23T04:41:27.795424Z</t>
        </is>
      </c>
      <c r="C130" s="24" t="inlineStr">
        <is>
          <t>2026-07-23T14:00:00Z</t>
        </is>
      </c>
      <c r="D130" s="24" t="inlineStr">
        <is>
          <t>59038</t>
        </is>
      </c>
      <c r="E130" s="24" t="inlineStr">
        <is>
          <t>CS2</t>
        </is>
      </c>
      <c r="F130" s="24" t="inlineStr">
        <is>
          <t>SPARTA</t>
        </is>
      </c>
      <c r="G130" s="24" t="inlineStr">
        <is>
          <t>BET-M 33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127</v>
      </c>
      <c r="M130" s="27" t="n">
        <v>2.27</v>
      </c>
      <c r="N130" s="28" t="n">
        <v>0.440529</v>
      </c>
      <c r="O130" s="28" t="n">
        <v>0.524292</v>
      </c>
      <c r="P130" s="28" t="n"/>
      <c r="Q130" s="28" t="n">
        <v>0.083763</v>
      </c>
      <c r="R130" s="26" t="n">
        <v>62</v>
      </c>
      <c r="S130" s="29" t="n">
        <v>0.75</v>
      </c>
      <c r="T130" s="24" t="inlineStr">
        <is>
          <t>cs2-tiered-elo-v3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0.4400 (market_slug=aec-cs2-33-sparta-2026-07-23).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SPARTA</t>
        </is>
      </c>
      <c r="AQ130" s="24" t="inlineStr">
        <is>
          <t>SPARTA</t>
        </is>
      </c>
      <c r="AR130" s="24" t="inlineStr">
        <is>
          <t>SPARTA</t>
        </is>
      </c>
      <c r="AS130" s="24" t="inlineStr">
        <is>
          <t>BET-M 33</t>
        </is>
      </c>
      <c r="AT130" s="24" t="inlineStr">
        <is>
          <t>BET-M 33</t>
        </is>
      </c>
      <c r="AU130" s="24" t="inlineStr">
        <is>
          <t>BET-M 33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48424b79d75fc1173c9c465d95feb6fc041a2ccfbc64455058b3f74905ce28d5</t>
        </is>
      </c>
      <c r="BB130" s="24" t="inlineStr">
        <is>
          <t>neutral_elo</t>
        </is>
      </c>
      <c r="BC130" s="24" t="inlineStr">
        <is>
          <t>cs2-tiered-elo-v3</t>
        </is>
      </c>
      <c r="BD130" s="24" t="inlineStr">
        <is>
          <t>48424b79d75fc1173c9c465d95feb6fc041a2ccfbc64455058b3f74905ce28d5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cs2-tiered-elo-v3</t>
        </is>
      </c>
      <c r="BH130" s="24" t="inlineStr">
        <is>
          <t>2026-07-23T04:40:51.634148Z</t>
        </is>
      </c>
      <c r="BI130" s="24" t="inlineStr">
        <is>
          <t>["same_event","same_team_same_day","same_league_same_day"]</t>
        </is>
      </c>
      <c r="BJ130" s="25" t="n"/>
      <c r="BK130" s="26" t="n">
        <v>127</v>
      </c>
      <c r="BL130" s="27" t="n">
        <v>2.27</v>
      </c>
      <c r="BM130" s="28" t="n">
        <v>0.440529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</row>
    <row r="131" ht="36" customHeight="1">
      <c r="A131" s="24" t="inlineStr">
        <is>
          <t>b6c55966b7064265</t>
        </is>
      </c>
      <c r="B131" s="24" t="inlineStr">
        <is>
          <t>2026-07-23T04:41:27.795424Z</t>
        </is>
      </c>
      <c r="C131" s="24" t="inlineStr">
        <is>
          <t>2026-07-23T14:00:00Z</t>
        </is>
      </c>
      <c r="D131" s="24" t="inlineStr">
        <is>
          <t>56895</t>
        </is>
      </c>
      <c r="E131" s="24" t="inlineStr">
        <is>
          <t>CS2</t>
        </is>
      </c>
      <c r="F131" s="24" t="inlineStr">
        <is>
          <t>Privateer Gaming</t>
        </is>
      </c>
      <c r="G131" s="24" t="inlineStr">
        <is>
          <t>megoshort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0.586941</v>
      </c>
      <c r="P131" s="28" t="n"/>
      <c r="Q131" s="28" t="n">
        <v>0.146412</v>
      </c>
      <c r="R131" s="26" t="n">
        <v>100</v>
      </c>
      <c r="S131" s="29" t="n">
        <v>1.25</v>
      </c>
      <c r="T131" s="24" t="inlineStr">
        <is>
          <t>cs2-tiered-elo-v3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0.4400 (market_slug=aec-cs2-mego-pg-2026-07-23).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NO_CALL_LARGE_DISAGREEMENT_REVIEW</t>
        </is>
      </c>
      <c r="AP131" s="24" t="inlineStr">
        <is>
          <t>Privateer Gaming</t>
        </is>
      </c>
      <c r="AQ131" s="24" t="inlineStr">
        <is>
          <t>Privateer Gaming</t>
        </is>
      </c>
      <c r="AR131" s="24" t="inlineStr">
        <is>
          <t>Privateer Gaming</t>
        </is>
      </c>
      <c r="AS131" s="24" t="inlineStr">
        <is>
          <t>megoshort</t>
        </is>
      </c>
      <c r="AT131" s="24" t="inlineStr">
        <is>
          <t>megoshort</t>
        </is>
      </c>
      <c r="AU131" s="24" t="inlineStr">
        <is>
          <t>megoshort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48424b79d75fc1173c9c465d95feb6fc041a2ccfbc64455058b3f74905ce28d5</t>
        </is>
      </c>
      <c r="BB131" s="24" t="inlineStr">
        <is>
          <t>neutral_elo</t>
        </is>
      </c>
      <c r="BC131" s="24" t="inlineStr">
        <is>
          <t>cs2-tiered-elo-v3</t>
        </is>
      </c>
      <c r="BD131" s="24" t="inlineStr">
        <is>
          <t>48424b79d75fc1173c9c465d95feb6fc041a2ccfbc64455058b3f74905ce28d5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cs2-tiered-elo-v3</t>
        </is>
      </c>
      <c r="BH131" s="24" t="inlineStr">
        <is>
          <t>2026-07-23T04:40:52.424896Z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</row>
    <row r="132" ht="36" customHeight="1">
      <c r="A132" s="24" t="inlineStr">
        <is>
          <t>a344fb7d48144a03</t>
        </is>
      </c>
      <c r="B132" s="24" t="inlineStr">
        <is>
          <t>2026-07-23T04:41:27.795424Z</t>
        </is>
      </c>
      <c r="C132" s="24" t="inlineStr">
        <is>
          <t>2026-07-23T14:00:00Z</t>
        </is>
      </c>
      <c r="D132" s="24" t="inlineStr">
        <is>
          <t>59675</t>
        </is>
      </c>
      <c r="E132" s="24" t="inlineStr">
        <is>
          <t>CS2</t>
        </is>
      </c>
      <c r="F132" s="24" t="inlineStr">
        <is>
          <t>Endless Journey</t>
        </is>
      </c>
      <c r="G132" s="24" t="inlineStr">
        <is>
          <t>Just Players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133</v>
      </c>
      <c r="M132" s="27" t="n">
        <v>2.33</v>
      </c>
      <c r="N132" s="28" t="n">
        <v>0.429185</v>
      </c>
      <c r="O132" s="28" t="n">
        <v>0.548109</v>
      </c>
      <c r="P132" s="28" t="n"/>
      <c r="Q132" s="28" t="n">
        <v>0.118924</v>
      </c>
      <c r="R132" s="26" t="n">
        <v>100</v>
      </c>
      <c r="S132" s="29" t="n">
        <v>1</v>
      </c>
      <c r="T132" s="24" t="inlineStr">
        <is>
          <t>cs2-tiered-elo-v3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0.4300 (market_slug=aec-cs2-jpu-ej-2026-07-23).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NO_CALL_LARGE_DISAGREEMENT_REVIEW</t>
        </is>
      </c>
      <c r="AP132" s="24" t="inlineStr">
        <is>
          <t>Endless Journey</t>
        </is>
      </c>
      <c r="AQ132" s="24" t="inlineStr">
        <is>
          <t>Endless Journey</t>
        </is>
      </c>
      <c r="AR132" s="24" t="inlineStr">
        <is>
          <t>Endless Journey</t>
        </is>
      </c>
      <c r="AS132" s="24" t="inlineStr">
        <is>
          <t>Just Players</t>
        </is>
      </c>
      <c r="AT132" s="24" t="inlineStr">
        <is>
          <t>Just Players</t>
        </is>
      </c>
      <c r="AU132" s="24" t="inlineStr">
        <is>
          <t>Just Players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48424b79d75fc1173c9c465d95feb6fc041a2ccfbc64455058b3f74905ce28d5</t>
        </is>
      </c>
      <c r="BB132" s="24" t="inlineStr">
        <is>
          <t>neutral_elo</t>
        </is>
      </c>
      <c r="BC132" s="24" t="inlineStr">
        <is>
          <t>cs2-tiered-elo-v3</t>
        </is>
      </c>
      <c r="BD132" s="24" t="inlineStr">
        <is>
          <t>48424b79d75fc1173c9c465d95feb6fc041a2ccfbc64455058b3f74905ce28d5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cs2-tiered-elo-v3</t>
        </is>
      </c>
      <c r="BH132" s="24" t="inlineStr">
        <is>
          <t>2026-07-23T04:40:53.243517Z</t>
        </is>
      </c>
      <c r="BI132" s="24" t="inlineStr">
        <is>
          <t>["same_event","same_team_same_day","same_league_same_day"]</t>
        </is>
      </c>
      <c r="BJ132" s="25" t="n"/>
      <c r="BK132" s="26" t="n">
        <v>133</v>
      </c>
      <c r="BL132" s="27" t="n">
        <v>2.33</v>
      </c>
      <c r="BM132" s="28" t="n">
        <v>0.429185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</row>
    <row r="133" ht="36" customHeight="1">
      <c r="A133" s="24" t="inlineStr">
        <is>
          <t>5d28c87374ab4e12</t>
        </is>
      </c>
      <c r="B133" s="24" t="inlineStr">
        <is>
          <t>2026-07-23T04:41:27.795424Z</t>
        </is>
      </c>
      <c r="C133" s="24" t="inlineStr">
        <is>
          <t>2026-07-23T15:00:00Z</t>
        </is>
      </c>
      <c r="D133" s="24" t="inlineStr">
        <is>
          <t>56958</t>
        </is>
      </c>
      <c r="E133" s="24" t="inlineStr">
        <is>
          <t>CS2</t>
        </is>
      </c>
      <c r="F133" s="24" t="inlineStr">
        <is>
          <t>paiN</t>
        </is>
      </c>
      <c r="G133" s="24" t="inlineStr">
        <is>
          <t>Gentle Mates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133</v>
      </c>
      <c r="M133" s="27" t="n">
        <v>2.33</v>
      </c>
      <c r="N133" s="28" t="n">
        <v>0.429185</v>
      </c>
      <c r="O133" s="28" t="n">
        <v>0.524605</v>
      </c>
      <c r="P133" s="28" t="n"/>
      <c r="Q133" s="28" t="n">
        <v>0.09542</v>
      </c>
      <c r="R133" s="26" t="n">
        <v>68</v>
      </c>
      <c r="S133" s="29" t="n">
        <v>0.75</v>
      </c>
      <c r="T133" s="24" t="inlineStr">
        <is>
          <t>cs2-tiered-elo-v3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0.4300 (market_slug=aec-cs2-m8-pain-2026-07-23).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paiN</t>
        </is>
      </c>
      <c r="AQ133" s="24" t="inlineStr">
        <is>
          <t>paiN</t>
        </is>
      </c>
      <c r="AR133" s="24" t="inlineStr">
        <is>
          <t>paiN</t>
        </is>
      </c>
      <c r="AS133" s="24" t="inlineStr">
        <is>
          <t>Gentle Mates</t>
        </is>
      </c>
      <c r="AT133" s="24" t="inlineStr">
        <is>
          <t>Gentle Mates</t>
        </is>
      </c>
      <c r="AU133" s="24" t="inlineStr">
        <is>
          <t>Gentle Mates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48424b79d75fc1173c9c465d95feb6fc041a2ccfbc64455058b3f74905ce28d5</t>
        </is>
      </c>
      <c r="BB133" s="24" t="inlineStr">
        <is>
          <t>neutral_elo</t>
        </is>
      </c>
      <c r="BC133" s="24" t="inlineStr">
        <is>
          <t>cs2-tiered-elo-v3</t>
        </is>
      </c>
      <c r="BD133" s="24" t="inlineStr">
        <is>
          <t>48424b79d75fc1173c9c465d95feb6fc041a2ccfbc64455058b3f74905ce28d5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cs2-tiered-elo-v3</t>
        </is>
      </c>
      <c r="BH133" s="24" t="inlineStr">
        <is>
          <t>2026-07-23T04:40:54.019025Z</t>
        </is>
      </c>
      <c r="BI133" s="24" t="inlineStr">
        <is>
          <t>["same_event","same_team_same_day","same_league_same_day"]</t>
        </is>
      </c>
      <c r="BJ133" s="25" t="n"/>
      <c r="BK133" s="26" t="n">
        <v>133</v>
      </c>
      <c r="BL133" s="27" t="n">
        <v>2.33</v>
      </c>
      <c r="BM133" s="28" t="n">
        <v>0.429185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</row>
    <row r="134" ht="36" customHeight="1">
      <c r="A134" s="24" t="inlineStr">
        <is>
          <t>0bb0061ffdbe4adb</t>
        </is>
      </c>
      <c r="B134" s="24" t="inlineStr">
        <is>
          <t>2026-07-23T04:41:27.795424Z</t>
        </is>
      </c>
      <c r="C134" s="24" t="inlineStr">
        <is>
          <t>2026-07-23T16:00:00Z</t>
        </is>
      </c>
      <c r="D134" s="24" t="inlineStr">
        <is>
          <t>59391</t>
        </is>
      </c>
      <c r="E134" s="24" t="inlineStr">
        <is>
          <t>CS2</t>
        </is>
      </c>
      <c r="F134" s="24" t="inlineStr">
        <is>
          <t>Infinite</t>
        </is>
      </c>
      <c r="G134" s="24" t="inlineStr">
        <is>
          <t>K27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-213</v>
      </c>
      <c r="M134" s="27" t="n">
        <v>1.469484</v>
      </c>
      <c r="N134" s="28" t="n">
        <v>0.680511</v>
      </c>
      <c r="O134" s="28" t="n">
        <v>0.6760890000000001</v>
      </c>
      <c r="P134" s="28" t="n"/>
      <c r="Q134" s="28" t="n">
        <v>-0.004422</v>
      </c>
      <c r="R134" s="26" t="n">
        <v>18</v>
      </c>
      <c r="S134" s="29" t="n">
        <v>2</v>
      </c>
      <c r="T134" s="24" t="inlineStr">
        <is>
          <t>cs2-tiered-elo-v3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0.6800 (market_slug=aec-cs2-k27-inf-2026-07-23).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Infinite</t>
        </is>
      </c>
      <c r="AQ134" s="24" t="inlineStr">
        <is>
          <t>Infinite</t>
        </is>
      </c>
      <c r="AR134" s="24" t="inlineStr">
        <is>
          <t>Infinite</t>
        </is>
      </c>
      <c r="AS134" s="24" t="inlineStr">
        <is>
          <t>K27</t>
        </is>
      </c>
      <c r="AT134" s="24" t="inlineStr">
        <is>
          <t>K27</t>
        </is>
      </c>
      <c r="AU134" s="24" t="inlineStr">
        <is>
          <t>K27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48424b79d75fc1173c9c465d95feb6fc041a2ccfbc64455058b3f74905ce28d5</t>
        </is>
      </c>
      <c r="BB134" s="24" t="inlineStr">
        <is>
          <t>neutral_elo</t>
        </is>
      </c>
      <c r="BC134" s="24" t="inlineStr">
        <is>
          <t>cs2-tiered-elo-v3</t>
        </is>
      </c>
      <c r="BD134" s="24" t="inlineStr">
        <is>
          <t>48424b79d75fc1173c9c465d95feb6fc041a2ccfbc64455058b3f74905ce28d5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cs2-tiered-elo-v3</t>
        </is>
      </c>
      <c r="BH134" s="24" t="inlineStr">
        <is>
          <t>2026-07-23T04:40:54.835593Z</t>
        </is>
      </c>
      <c r="BI134" s="24" t="inlineStr">
        <is>
          <t>["same_event","same_team_same_day","same_league_same_day"]</t>
        </is>
      </c>
      <c r="BJ134" s="25" t="n"/>
      <c r="BK134" s="26" t="n">
        <v>-213</v>
      </c>
      <c r="BL134" s="27" t="n">
        <v>1.469484</v>
      </c>
      <c r="BM134" s="28" t="n">
        <v>0.680511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</row>
    <row r="135" ht="36" customHeight="1">
      <c r="A135" s="24" t="inlineStr">
        <is>
          <t>f136ebcd61c949d3</t>
        </is>
      </c>
      <c r="B135" s="24" t="inlineStr">
        <is>
          <t>2026-07-23T04:41:27.795424Z</t>
        </is>
      </c>
      <c r="C135" s="24" t="inlineStr">
        <is>
          <t>2026-07-23T16:00:00Z</t>
        </is>
      </c>
      <c r="D135" s="24" t="inlineStr">
        <is>
          <t>58826</t>
        </is>
      </c>
      <c r="E135" s="24" t="inlineStr">
        <is>
          <t>CS2</t>
        </is>
      </c>
      <c r="F135" s="24" t="inlineStr">
        <is>
          <t>FOKUS</t>
        </is>
      </c>
      <c r="G135" s="24" t="inlineStr">
        <is>
          <t>Heroic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-213</v>
      </c>
      <c r="M135" s="27" t="n">
        <v>1.469484</v>
      </c>
      <c r="N135" s="28" t="n">
        <v>0.680511</v>
      </c>
      <c r="O135" s="28" t="n">
        <v>0.638115</v>
      </c>
      <c r="P135" s="28" t="n"/>
      <c r="Q135" s="28" t="n">
        <v>-0.042396</v>
      </c>
      <c r="R135" s="26" t="n">
        <v>0</v>
      </c>
      <c r="S135" s="29" t="n">
        <v>2</v>
      </c>
      <c r="T135" s="24" t="inlineStr">
        <is>
          <t>cs2-tiered-elo-v3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0.6800 (market_slug=aec-cs2-hero-fokus-2026-07-23).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FOKUS</t>
        </is>
      </c>
      <c r="AQ135" s="24" t="inlineStr">
        <is>
          <t>FOKUS</t>
        </is>
      </c>
      <c r="AR135" s="24" t="inlineStr">
        <is>
          <t>FOKUS</t>
        </is>
      </c>
      <c r="AS135" s="24" t="inlineStr">
        <is>
          <t>Heroic</t>
        </is>
      </c>
      <c r="AT135" s="24" t="inlineStr">
        <is>
          <t>Heroic</t>
        </is>
      </c>
      <c r="AU135" s="24" t="inlineStr">
        <is>
          <t>Heroic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48424b79d75fc1173c9c465d95feb6fc041a2ccfbc64455058b3f74905ce28d5</t>
        </is>
      </c>
      <c r="BB135" s="24" t="inlineStr">
        <is>
          <t>neutral_elo</t>
        </is>
      </c>
      <c r="BC135" s="24" t="inlineStr">
        <is>
          <t>cs2-tiered-elo-v3</t>
        </is>
      </c>
      <c r="BD135" s="24" t="inlineStr">
        <is>
          <t>48424b79d75fc1173c9c465d95feb6fc041a2ccfbc64455058b3f74905ce28d5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cs2-tiered-elo-v3</t>
        </is>
      </c>
      <c r="BH135" s="24" t="inlineStr">
        <is>
          <t>2026-07-23T04:40:55.659457Z</t>
        </is>
      </c>
      <c r="BI135" s="24" t="inlineStr">
        <is>
          <t>["same_event","same_team_same_day","same_league_same_day"]</t>
        </is>
      </c>
      <c r="BJ135" s="25" t="n"/>
      <c r="BK135" s="26" t="n">
        <v>-213</v>
      </c>
      <c r="BL135" s="27" t="n">
        <v>1.469484</v>
      </c>
      <c r="BM135" s="28" t="n">
        <v>0.680511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</row>
    <row r="136" ht="36" customHeight="1">
      <c r="A136" s="24" t="inlineStr">
        <is>
          <t>01031857ee1b4df8</t>
        </is>
      </c>
      <c r="B136" s="24" t="inlineStr">
        <is>
          <t>2026-07-23T04:41:27.795424Z</t>
        </is>
      </c>
      <c r="C136" s="24" t="inlineStr">
        <is>
          <t>2026-07-23T17:00:00Z</t>
        </is>
      </c>
      <c r="D136" s="24" t="inlineStr">
        <is>
          <t>59678</t>
        </is>
      </c>
      <c r="E136" s="24" t="inlineStr">
        <is>
          <t>CS2</t>
        </is>
      </c>
      <c r="F136" s="24" t="inlineStr">
        <is>
          <t>Benched gods</t>
        </is>
      </c>
      <c r="G136" s="24" t="inlineStr">
        <is>
          <t>CYBERSHOKE Prospects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0.63774</v>
      </c>
      <c r="P136" s="28" t="n"/>
      <c r="Q136" s="28" t="n">
        <v>0.047576</v>
      </c>
      <c r="R136" s="26" t="n">
        <v>44</v>
      </c>
      <c r="S136" s="29" t="n">
        <v>2</v>
      </c>
      <c r="T136" s="24" t="inlineStr">
        <is>
          <t>cs2-tiered-elo-v3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0.5900 (market_slug=aec-cs2-cshp-bge-2026-07-23).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Benched gods</t>
        </is>
      </c>
      <c r="AQ136" s="24" t="inlineStr">
        <is>
          <t>Benched gods</t>
        </is>
      </c>
      <c r="AR136" s="24" t="inlineStr">
        <is>
          <t>Benched gods</t>
        </is>
      </c>
      <c r="AS136" s="24" t="inlineStr">
        <is>
          <t>CYBERSHOKE Prospects</t>
        </is>
      </c>
      <c r="AT136" s="24" t="inlineStr">
        <is>
          <t>CYBERSHOKE Prospects</t>
        </is>
      </c>
      <c r="AU136" s="24" t="inlineStr">
        <is>
          <t>CYBERSHOKE Prospects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48424b79d75fc1173c9c465d95feb6fc041a2ccfbc64455058b3f74905ce28d5</t>
        </is>
      </c>
      <c r="BB136" s="24" t="inlineStr">
        <is>
          <t>neutral_elo</t>
        </is>
      </c>
      <c r="BC136" s="24" t="inlineStr">
        <is>
          <t>cs2-tiered-elo-v3</t>
        </is>
      </c>
      <c r="BD136" s="24" t="inlineStr">
        <is>
          <t>48424b79d75fc1173c9c465d95feb6fc041a2ccfbc64455058b3f74905ce28d5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cs2-tiered-elo-v3</t>
        </is>
      </c>
      <c r="BH136" s="24" t="inlineStr">
        <is>
          <t>2026-07-23T04:40:58.343033Z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</row>
    <row r="137" ht="36" customHeight="1">
      <c r="A137" s="24" t="inlineStr">
        <is>
          <t>b0005f9675414d72</t>
        </is>
      </c>
      <c r="B137" s="24" t="inlineStr">
        <is>
          <t>2026-07-23T04:41:27.795424Z</t>
        </is>
      </c>
      <c r="C137" s="24" t="inlineStr">
        <is>
          <t>2026-07-23T17:00:00Z</t>
        </is>
      </c>
      <c r="D137" s="24" t="inlineStr">
        <is>
          <t>59039</t>
        </is>
      </c>
      <c r="E137" s="24" t="inlineStr">
        <is>
          <t>CS2</t>
        </is>
      </c>
      <c r="F137" s="24" t="inlineStr">
        <is>
          <t>Just Players</t>
        </is>
      </c>
      <c r="G137" s="24" t="inlineStr">
        <is>
          <t>Butterfly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0.685765</v>
      </c>
      <c r="P137" s="28" t="n"/>
      <c r="Q137" s="28" t="n">
        <v>0.11495</v>
      </c>
      <c r="R137" s="26" t="n">
        <v>100</v>
      </c>
      <c r="S137" s="29" t="n">
        <v>2</v>
      </c>
      <c r="T137" s="24" t="inlineStr">
        <is>
          <t>cs2-tiered-elo-v3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0.5700 (market_slug=aec-cs2-btf-jpu-2026-07-23).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NO_CALL_LARGE_DISAGREEMENT_REVIEW</t>
        </is>
      </c>
      <c r="AP137" s="24" t="inlineStr">
        <is>
          <t>Just Players</t>
        </is>
      </c>
      <c r="AQ137" s="24" t="inlineStr">
        <is>
          <t>Just Players</t>
        </is>
      </c>
      <c r="AR137" s="24" t="inlineStr">
        <is>
          <t>Just Players</t>
        </is>
      </c>
      <c r="AS137" s="24" t="inlineStr">
        <is>
          <t>Butterfly</t>
        </is>
      </c>
      <c r="AT137" s="24" t="inlineStr">
        <is>
          <t>Butterfly</t>
        </is>
      </c>
      <c r="AU137" s="24" t="inlineStr">
        <is>
          <t>Butterfly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48424b79d75fc1173c9c465d95feb6fc041a2ccfbc64455058b3f74905ce28d5</t>
        </is>
      </c>
      <c r="BB137" s="24" t="inlineStr">
        <is>
          <t>neutral_elo</t>
        </is>
      </c>
      <c r="BC137" s="24" t="inlineStr">
        <is>
          <t>cs2-tiered-elo-v3</t>
        </is>
      </c>
      <c r="BD137" s="24" t="inlineStr">
        <is>
          <t>48424b79d75fc1173c9c465d95feb6fc041a2ccfbc64455058b3f74905ce28d5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cs2-tiered-elo-v3</t>
        </is>
      </c>
      <c r="BH137" s="24" t="inlineStr">
        <is>
          <t>2026-07-23T04:41:00.938274Z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</row>
    <row r="138" ht="36" customHeight="1">
      <c r="A138" s="24" t="inlineStr">
        <is>
          <t>8a97c5e10b864435</t>
        </is>
      </c>
      <c r="B138" s="24" t="inlineStr">
        <is>
          <t>2026-07-23T04:41:27.795424Z</t>
        </is>
      </c>
      <c r="C138" s="24" t="inlineStr">
        <is>
          <t>2026-07-23T22:00:00Z</t>
        </is>
      </c>
      <c r="D138" s="24" t="inlineStr">
        <is>
          <t>59964</t>
        </is>
      </c>
      <c r="E138" s="24" t="inlineStr">
        <is>
          <t>CS2</t>
        </is>
      </c>
      <c r="F138" s="24" t="inlineStr">
        <is>
          <t>Patins da Ferrari</t>
        </is>
      </c>
      <c r="G138" s="24" t="inlineStr">
        <is>
          <t>Isurus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127</v>
      </c>
      <c r="M138" s="27" t="n">
        <v>2.27</v>
      </c>
      <c r="N138" s="28" t="n">
        <v>0.440529</v>
      </c>
      <c r="O138" s="28" t="n">
        <v>0.502768</v>
      </c>
      <c r="P138" s="28" t="n"/>
      <c r="Q138" s="28" t="n">
        <v>0.062239</v>
      </c>
      <c r="R138" s="26" t="n">
        <v>51</v>
      </c>
      <c r="S138" s="29" t="n">
        <v>0.5</v>
      </c>
      <c r="T138" s="24" t="inlineStr">
        <is>
          <t>cs2-tiered-elo-v3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0.4400 (market_slug=aec-cs2-isg-pdaf-2026-07-23).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Patins da Ferrari</t>
        </is>
      </c>
      <c r="AQ138" s="24" t="inlineStr">
        <is>
          <t>Patins da Ferrari</t>
        </is>
      </c>
      <c r="AR138" s="24" t="inlineStr">
        <is>
          <t>Patins da Ferrari</t>
        </is>
      </c>
      <c r="AS138" s="24" t="inlineStr">
        <is>
          <t>Isurus</t>
        </is>
      </c>
      <c r="AT138" s="24" t="inlineStr">
        <is>
          <t>Isurus</t>
        </is>
      </c>
      <c r="AU138" s="24" t="inlineStr">
        <is>
          <t>Isurus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48424b79d75fc1173c9c465d95feb6fc041a2ccfbc64455058b3f74905ce28d5</t>
        </is>
      </c>
      <c r="BB138" s="24" t="inlineStr">
        <is>
          <t>neutral_elo</t>
        </is>
      </c>
      <c r="BC138" s="24" t="inlineStr">
        <is>
          <t>cs2-tiered-elo-v3</t>
        </is>
      </c>
      <c r="BD138" s="24" t="inlineStr">
        <is>
          <t>48424b79d75fc1173c9c465d95feb6fc041a2ccfbc64455058b3f74905ce28d5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cs2-tiered-elo-v3</t>
        </is>
      </c>
      <c r="BH138" s="24" t="inlineStr">
        <is>
          <t>2026-07-23T04:41:10.450413Z</t>
        </is>
      </c>
      <c r="BI138" s="24" t="inlineStr">
        <is>
          <t>["same_event","same_team_same_day","same_league_same_day"]</t>
        </is>
      </c>
      <c r="BJ138" s="25" t="n"/>
      <c r="BK138" s="26" t="n">
        <v>127</v>
      </c>
      <c r="BL138" s="27" t="n">
        <v>2.27</v>
      </c>
      <c r="BM138" s="28" t="n">
        <v>0.440529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</row>
    <row r="139" ht="36" customHeight="1">
      <c r="A139" s="24" t="inlineStr">
        <is>
          <t>9a97b869f0bd4000</t>
        </is>
      </c>
      <c r="B139" s="24" t="inlineStr">
        <is>
          <t>2026-07-23T04:41:27.795424Z</t>
        </is>
      </c>
      <c r="C139" s="24" t="inlineStr">
        <is>
          <t>2026-07-24T08:00:00Z</t>
        </is>
      </c>
      <c r="D139" s="24" t="inlineStr">
        <is>
          <t>59323</t>
        </is>
      </c>
      <c r="E139" s="24" t="inlineStr">
        <is>
          <t>CS2</t>
        </is>
      </c>
      <c r="F139" s="24" t="inlineStr">
        <is>
          <t>Eternal Fire</t>
        </is>
      </c>
      <c r="G139" s="24" t="inlineStr">
        <is>
          <t>1WIN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117</v>
      </c>
      <c r="M139" s="27" t="n">
        <v>2.17</v>
      </c>
      <c r="N139" s="28" t="n">
        <v>0.460829</v>
      </c>
      <c r="O139" s="28" t="n">
        <v>0.5965279999999999</v>
      </c>
      <c r="P139" s="28" t="n"/>
      <c r="Q139" s="28" t="n">
        <v>0.135699</v>
      </c>
      <c r="R139" s="26" t="n">
        <v>100</v>
      </c>
      <c r="S139" s="29" t="n">
        <v>1.5</v>
      </c>
      <c r="T139" s="24" t="inlineStr">
        <is>
          <t>cs2-tiered-elo-v3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0.4600 (market_slug=aec-cs2-1win-ef-2026-07-24).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NO_CALL_LARGE_DISAGREEMENT_REVIEW</t>
        </is>
      </c>
      <c r="AP139" s="24" t="inlineStr">
        <is>
          <t>Eternal Fire</t>
        </is>
      </c>
      <c r="AQ139" s="24" t="inlineStr">
        <is>
          <t>Eternal Fire</t>
        </is>
      </c>
      <c r="AR139" s="24" t="inlineStr">
        <is>
          <t>Eternal Fire</t>
        </is>
      </c>
      <c r="AS139" s="24" t="inlineStr">
        <is>
          <t>1WIN</t>
        </is>
      </c>
      <c r="AT139" s="24" t="inlineStr">
        <is>
          <t>1WIN</t>
        </is>
      </c>
      <c r="AU139" s="24" t="inlineStr">
        <is>
          <t>1WIN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48424b79d75fc1173c9c465d95feb6fc041a2ccfbc64455058b3f74905ce28d5</t>
        </is>
      </c>
      <c r="BB139" s="24" t="inlineStr">
        <is>
          <t>neutral_elo</t>
        </is>
      </c>
      <c r="BC139" s="24" t="inlineStr">
        <is>
          <t>cs2-tiered-elo-v3</t>
        </is>
      </c>
      <c r="BD139" s="24" t="inlineStr">
        <is>
          <t>48424b79d75fc1173c9c465d95feb6fc041a2ccfbc64455058b3f74905ce28d5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cs2-tiered-elo-v3</t>
        </is>
      </c>
      <c r="BH139" s="24" t="inlineStr">
        <is>
          <t>2026-07-23T04:41:12.278854Z</t>
        </is>
      </c>
      <c r="BI139" s="24" t="inlineStr">
        <is>
          <t>["same_event","same_team_same_day","same_league_same_day"]</t>
        </is>
      </c>
      <c r="BJ139" s="25" t="n"/>
      <c r="BK139" s="26" t="n">
        <v>117</v>
      </c>
      <c r="BL139" s="27" t="n">
        <v>2.17</v>
      </c>
      <c r="BM139" s="28" t="n">
        <v>0.460829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</row>
    <row r="140" ht="36" customHeight="1">
      <c r="A140" s="24" t="inlineStr">
        <is>
          <t>eb56638da6c045cc</t>
        </is>
      </c>
      <c r="B140" s="24" t="inlineStr">
        <is>
          <t>2026-07-23T04:41:27.795424Z</t>
        </is>
      </c>
      <c r="C140" s="24" t="inlineStr">
        <is>
          <t>2026-07-24T10:00:00Z</t>
        </is>
      </c>
      <c r="D140" s="24" t="inlineStr">
        <is>
          <t>58248</t>
        </is>
      </c>
      <c r="E140" s="24" t="inlineStr">
        <is>
          <t>CS2</t>
        </is>
      </c>
      <c r="F140" s="24" t="inlineStr">
        <is>
          <t>3DMAX</t>
        </is>
      </c>
      <c r="G140" s="24" t="inlineStr">
        <is>
          <t>magic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-138</v>
      </c>
      <c r="M140" s="27" t="n">
        <v>1.724638</v>
      </c>
      <c r="N140" s="28" t="n">
        <v>0.579832</v>
      </c>
      <c r="O140" s="28" t="n">
        <v>0.624985</v>
      </c>
      <c r="P140" s="28" t="n"/>
      <c r="Q140" s="28" t="n">
        <v>0.045153</v>
      </c>
      <c r="R140" s="26" t="n">
        <v>43</v>
      </c>
      <c r="S140" s="29" t="n">
        <v>1.75</v>
      </c>
      <c r="T140" s="24" t="inlineStr">
        <is>
          <t>cs2-tiered-elo-v3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0.5800 (market_slug=aec-cs2-mgc-3dmax-2026-07-24).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3DMAX</t>
        </is>
      </c>
      <c r="AQ140" s="24" t="inlineStr">
        <is>
          <t>3DMAX</t>
        </is>
      </c>
      <c r="AR140" s="24" t="inlineStr">
        <is>
          <t>3DMAX</t>
        </is>
      </c>
      <c r="AS140" s="24" t="inlineStr">
        <is>
          <t>magic</t>
        </is>
      </c>
      <c r="AT140" s="24" t="inlineStr">
        <is>
          <t>magic</t>
        </is>
      </c>
      <c r="AU140" s="24" t="inlineStr">
        <is>
          <t>magic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48424b79d75fc1173c9c465d95feb6fc041a2ccfbc64455058b3f74905ce28d5</t>
        </is>
      </c>
      <c r="BB140" s="24" t="inlineStr">
        <is>
          <t>neutral_elo</t>
        </is>
      </c>
      <c r="BC140" s="24" t="inlineStr">
        <is>
          <t>cs2-tiered-elo-v3</t>
        </is>
      </c>
      <c r="BD140" s="24" t="inlineStr">
        <is>
          <t>48424b79d75fc1173c9c465d95feb6fc041a2ccfbc64455058b3f74905ce28d5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cs2-tiered-elo-v3</t>
        </is>
      </c>
      <c r="BH140" s="24" t="inlineStr">
        <is>
          <t>2026-07-23T04:41:15.468825Z</t>
        </is>
      </c>
      <c r="BI140" s="24" t="inlineStr">
        <is>
          <t>["same_event","same_team_same_day","same_league_same_day"]</t>
        </is>
      </c>
      <c r="BJ140" s="25" t="n"/>
      <c r="BK140" s="26" t="n">
        <v>-138</v>
      </c>
      <c r="BL140" s="27" t="n">
        <v>1.724638</v>
      </c>
      <c r="BM140" s="28" t="n">
        <v>0.579832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</row>
    <row r="141" ht="36" customHeight="1">
      <c r="A141" s="24" t="inlineStr">
        <is>
          <t>edb0f07c92664426</t>
        </is>
      </c>
      <c r="B141" s="24" t="inlineStr">
        <is>
          <t>2026-07-23T04:41:27.795424Z</t>
        </is>
      </c>
      <c r="C141" s="24" t="inlineStr">
        <is>
          <t>2026-07-24T11:00:00Z</t>
        </is>
      </c>
      <c r="D141" s="24" t="inlineStr">
        <is>
          <t>59041</t>
        </is>
      </c>
      <c r="E141" s="24" t="inlineStr">
        <is>
          <t>CS2</t>
        </is>
      </c>
      <c r="F141" s="24" t="inlineStr">
        <is>
          <t>G2 Ares</t>
        </is>
      </c>
      <c r="G141" s="24" t="inlineStr">
        <is>
          <t>Phantom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-213</v>
      </c>
      <c r="M141" s="27" t="n">
        <v>1.469484</v>
      </c>
      <c r="N141" s="28" t="n">
        <v>0.680511</v>
      </c>
      <c r="O141" s="28" t="n">
        <v>0.682484</v>
      </c>
      <c r="P141" s="28" t="n"/>
      <c r="Q141" s="28" t="n">
        <v>0.001973</v>
      </c>
      <c r="R141" s="26" t="n">
        <v>21</v>
      </c>
      <c r="S141" s="29" t="n">
        <v>2</v>
      </c>
      <c r="T141" s="24" t="inlineStr">
        <is>
          <t>cs2-tiered-elo-v3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0.6800 (market_slug=aec-cs2-pha-g2a-2026-07-24).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G2 Ares</t>
        </is>
      </c>
      <c r="AQ141" s="24" t="inlineStr">
        <is>
          <t>G2 Ares</t>
        </is>
      </c>
      <c r="AR141" s="24" t="inlineStr">
        <is>
          <t>G2 Ares</t>
        </is>
      </c>
      <c r="AS141" s="24" t="inlineStr">
        <is>
          <t>Phantom</t>
        </is>
      </c>
      <c r="AT141" s="24" t="inlineStr">
        <is>
          <t>Phantom</t>
        </is>
      </c>
      <c r="AU141" s="24" t="inlineStr">
        <is>
          <t>Phantom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48424b79d75fc1173c9c465d95feb6fc041a2ccfbc64455058b3f74905ce28d5</t>
        </is>
      </c>
      <c r="BB141" s="24" t="inlineStr">
        <is>
          <t>neutral_elo</t>
        </is>
      </c>
      <c r="BC141" s="24" t="inlineStr">
        <is>
          <t>cs2-tiered-elo-v3</t>
        </is>
      </c>
      <c r="BD141" s="24" t="inlineStr">
        <is>
          <t>48424b79d75fc1173c9c465d95feb6fc041a2ccfbc64455058b3f74905ce28d5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cs2-tiered-elo-v3</t>
        </is>
      </c>
      <c r="BH141" s="24" t="inlineStr">
        <is>
          <t>2026-07-23T04:41:16.250115Z</t>
        </is>
      </c>
      <c r="BI141" s="24" t="inlineStr">
        <is>
          <t>["same_event","same_team_same_day","same_league_same_day"]</t>
        </is>
      </c>
      <c r="BJ141" s="25" t="n"/>
      <c r="BK141" s="26" t="n">
        <v>-213</v>
      </c>
      <c r="BL141" s="27" t="n">
        <v>1.469484</v>
      </c>
      <c r="BM141" s="28" t="n">
        <v>0.680511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</row>
    <row r="142" ht="36" customHeight="1">
      <c r="A142" s="24" t="inlineStr">
        <is>
          <t>d0a272afb84e4406</t>
        </is>
      </c>
      <c r="B142" s="24" t="inlineStr">
        <is>
          <t>2026-07-23T04:41:27.795424Z</t>
        </is>
      </c>
      <c r="C142" s="24" t="inlineStr">
        <is>
          <t>2026-07-24T11:00:00Z</t>
        </is>
      </c>
      <c r="D142" s="24" t="inlineStr">
        <is>
          <t>59687</t>
        </is>
      </c>
      <c r="E142" s="24" t="inlineStr">
        <is>
          <t>CS2</t>
        </is>
      </c>
      <c r="F142" s="24" t="inlineStr">
        <is>
          <t>Atreides</t>
        </is>
      </c>
      <c r="G142" s="24" t="inlineStr">
        <is>
          <t>SPARTA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0.5045230000000001</v>
      </c>
      <c r="P142" s="28" t="n"/>
      <c r="Q142" s="28" t="n">
        <v>-0.075309</v>
      </c>
      <c r="R142" s="26" t="n">
        <v>0</v>
      </c>
      <c r="S142" s="29" t="n">
        <v>0.5</v>
      </c>
      <c r="T142" s="24" t="inlineStr">
        <is>
          <t>cs2-tiered-elo-v3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0.5800 (market_slug=aec-cs2-sparta-atr-2026-07-24).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NO_CALL_LOW_EDGE</t>
        </is>
      </c>
      <c r="AP142" s="24" t="inlineStr">
        <is>
          <t>Atreides</t>
        </is>
      </c>
      <c r="AQ142" s="24" t="inlineStr">
        <is>
          <t>Atreides</t>
        </is>
      </c>
      <c r="AR142" s="24" t="inlineStr">
        <is>
          <t>Atreides</t>
        </is>
      </c>
      <c r="AS142" s="24" t="inlineStr">
        <is>
          <t>SPARTA</t>
        </is>
      </c>
      <c r="AT142" s="24" t="inlineStr">
        <is>
          <t>SPARTA</t>
        </is>
      </c>
      <c r="AU142" s="24" t="inlineStr">
        <is>
          <t>SPARTA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48424b79d75fc1173c9c465d95feb6fc041a2ccfbc64455058b3f74905ce28d5</t>
        </is>
      </c>
      <c r="BB142" s="24" t="inlineStr">
        <is>
          <t>neutral_elo</t>
        </is>
      </c>
      <c r="BC142" s="24" t="inlineStr">
        <is>
          <t>cs2-tiered-elo-v3</t>
        </is>
      </c>
      <c r="BD142" s="24" t="inlineStr">
        <is>
          <t>48424b79d75fc1173c9c465d95feb6fc041a2ccfbc64455058b3f74905ce28d5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cs2-tiered-elo-v3</t>
        </is>
      </c>
      <c r="BH142" s="24" t="inlineStr">
        <is>
          <t>2026-07-23T04:41:17.044378Z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</row>
    <row r="143" ht="36" customHeight="1">
      <c r="A143" s="24" t="inlineStr">
        <is>
          <t>c242728a6d5244ff</t>
        </is>
      </c>
      <c r="B143" s="24" t="inlineStr">
        <is>
          <t>2026-07-23T04:41:27.795424Z</t>
        </is>
      </c>
      <c r="C143" s="24" t="inlineStr">
        <is>
          <t>2026-07-24T12:30:00Z</t>
        </is>
      </c>
      <c r="D143" s="24" t="inlineStr">
        <is>
          <t>58309</t>
        </is>
      </c>
      <c r="E143" s="24" t="inlineStr">
        <is>
          <t>CS2</t>
        </is>
      </c>
      <c r="F143" s="24" t="inlineStr">
        <is>
          <t>TheMongolz</t>
        </is>
      </c>
      <c r="G143" s="24" t="inlineStr">
        <is>
          <t>Heroic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0.633024</v>
      </c>
      <c r="P143" s="28" t="n"/>
      <c r="Q143" s="28" t="n">
        <v>0.223188</v>
      </c>
      <c r="R143" s="26" t="n">
        <v>100</v>
      </c>
      <c r="S143" s="29" t="n">
        <v>1.75</v>
      </c>
      <c r="T143" s="24" t="inlineStr">
        <is>
          <t>cs2-tiered-elo-v3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0.4100 (market_slug=aec-cs2-hero-mglz-2026-07-24).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NO_CALL_LARGE_DISAGREEMENT_REVIEW</t>
        </is>
      </c>
      <c r="AP143" s="24" t="inlineStr">
        <is>
          <t>TheMongolz</t>
        </is>
      </c>
      <c r="AQ143" s="24" t="inlineStr">
        <is>
          <t>TheMongolz</t>
        </is>
      </c>
      <c r="AR143" s="24" t="inlineStr">
        <is>
          <t>TheMongolz</t>
        </is>
      </c>
      <c r="AS143" s="24" t="inlineStr">
        <is>
          <t>Heroic</t>
        </is>
      </c>
      <c r="AT143" s="24" t="inlineStr">
        <is>
          <t>Heroic</t>
        </is>
      </c>
      <c r="AU143" s="24" t="inlineStr">
        <is>
          <t>Heroic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48424b79d75fc1173c9c465d95feb6fc041a2ccfbc64455058b3f74905ce28d5</t>
        </is>
      </c>
      <c r="BB143" s="24" t="inlineStr">
        <is>
          <t>neutral_elo</t>
        </is>
      </c>
      <c r="BC143" s="24" t="inlineStr">
        <is>
          <t>cs2-tiered-elo-v3</t>
        </is>
      </c>
      <c r="BD143" s="24" t="inlineStr">
        <is>
          <t>48424b79d75fc1173c9c465d95feb6fc041a2ccfbc64455058b3f74905ce28d5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cs2-tiered-elo-v3</t>
        </is>
      </c>
      <c r="BH143" s="24" t="inlineStr">
        <is>
          <t>2026-07-23T04:41:17.820240Z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</row>
    <row r="144" ht="36" customHeight="1">
      <c r="A144" s="24" t="inlineStr">
        <is>
          <t>a610d4d3a5314a1d</t>
        </is>
      </c>
      <c r="B144" s="24" t="inlineStr">
        <is>
          <t>2026-07-23T04:42:33.961494Z</t>
        </is>
      </c>
      <c r="C144" s="24" t="inlineStr">
        <is>
          <t>2026-07-23T10:00:00Z</t>
        </is>
      </c>
      <c r="D144" s="24" t="inlineStr">
        <is>
          <t>56839</t>
        </is>
      </c>
      <c r="E144" s="24" t="inlineStr">
        <is>
          <t>DOTA2</t>
        </is>
      </c>
      <c r="F144" s="24" t="inlineStr">
        <is>
          <t>PuckChamp</t>
        </is>
      </c>
      <c r="G144" s="24" t="inlineStr">
        <is>
          <t>Spirit Academy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-127</v>
      </c>
      <c r="M144" s="27" t="n">
        <v>1.787402</v>
      </c>
      <c r="N144" s="28" t="n">
        <v>0.5594710000000001</v>
      </c>
      <c r="O144" s="28" t="n">
        <v>0.5259779999999999</v>
      </c>
      <c r="P144" s="28" t="n"/>
      <c r="Q144" s="28" t="n">
        <v>-0.033493</v>
      </c>
      <c r="R144" s="26" t="n">
        <v>3</v>
      </c>
      <c r="S144" s="29" t="n">
        <v>0.75</v>
      </c>
      <c r="T144" s="24" t="inlineStr">
        <is>
          <t>dota2-tiered-elo-v3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0.5600 (market_slug=aec-dota2-tsa-pckcp-2026-07-23).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PuckChamp</t>
        </is>
      </c>
      <c r="AQ144" s="24" t="inlineStr">
        <is>
          <t>PuckChamp</t>
        </is>
      </c>
      <c r="AR144" s="24" t="inlineStr">
        <is>
          <t>PuckChamp</t>
        </is>
      </c>
      <c r="AS144" s="24" t="inlineStr">
        <is>
          <t>Spirit Academy</t>
        </is>
      </c>
      <c r="AT144" s="24" t="inlineStr">
        <is>
          <t>Spirit Academy</t>
        </is>
      </c>
      <c r="AU144" s="24" t="inlineStr">
        <is>
          <t>Spirit Academy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a799fd6b531f6a50433d392237bace95036714f80bb3516384271ef275ed7763</t>
        </is>
      </c>
      <c r="BB144" s="24" t="inlineStr">
        <is>
          <t>neutral_elo</t>
        </is>
      </c>
      <c r="BC144" s="24" t="inlineStr">
        <is>
          <t>dota2-tiered-elo-v3</t>
        </is>
      </c>
      <c r="BD144" s="24" t="inlineStr">
        <is>
          <t>a799fd6b531f6a50433d392237bace95036714f80bb3516384271ef275ed7763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dota2-tiered-elo-v3</t>
        </is>
      </c>
      <c r="BH144" s="24" t="inlineStr">
        <is>
          <t>2026-07-23T04:41:48.263327Z</t>
        </is>
      </c>
      <c r="BI144" s="24" t="inlineStr">
        <is>
          <t>["same_event","same_team_same_day","same_league_same_day"]</t>
        </is>
      </c>
      <c r="BJ144" s="25" t="n"/>
      <c r="BK144" s="26" t="n">
        <v>-127</v>
      </c>
      <c r="BL144" s="27" t="n">
        <v>1.787402</v>
      </c>
      <c r="BM144" s="28" t="n">
        <v>0.5594710000000001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</row>
    <row r="145" ht="36" customHeight="1">
      <c r="A145" s="24" t="inlineStr">
        <is>
          <t>d03ba25b625c45e0</t>
        </is>
      </c>
      <c r="B145" s="24" t="inlineStr">
        <is>
          <t>2026-07-23T04:42:33.961494Z</t>
        </is>
      </c>
      <c r="C145" s="24" t="inlineStr">
        <is>
          <t>2026-07-23T13:00:00Z</t>
        </is>
      </c>
      <c r="D145" s="24" t="inlineStr">
        <is>
          <t>56888</t>
        </is>
      </c>
      <c r="E145" s="24" t="inlineStr">
        <is>
          <t>DOTA2</t>
        </is>
      </c>
      <c r="F145" s="24" t="inlineStr">
        <is>
          <t>Inner Circle x Insanity</t>
        </is>
      </c>
      <c r="G145" s="24" t="inlineStr">
        <is>
          <t>Team Jenz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186</v>
      </c>
      <c r="M145" s="27" t="n">
        <v>2.86</v>
      </c>
      <c r="N145" s="28" t="n">
        <v>0.34965</v>
      </c>
      <c r="O145" s="28" t="n">
        <v>0.5</v>
      </c>
      <c r="P145" s="28" t="n"/>
      <c r="Q145" s="28" t="n">
        <v>0.15035</v>
      </c>
      <c r="R145" s="26" t="n">
        <v>100</v>
      </c>
      <c r="S145" s="29" t="n">
        <v>0.5</v>
      </c>
      <c r="T145" s="24" t="inlineStr">
        <is>
          <t>dota2-tiered-elo-v3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0.3500 (market_slug=aec-dota2-tje-icxi-2026-07-23).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NO_CALL_LARGE_DISAGREEMENT_REVIEW</t>
        </is>
      </c>
      <c r="AP145" s="24" t="inlineStr">
        <is>
          <t>Inner Circle x Insanity</t>
        </is>
      </c>
      <c r="AQ145" s="24" t="inlineStr">
        <is>
          <t>Inner Circle x Insanity</t>
        </is>
      </c>
      <c r="AR145" s="24" t="inlineStr">
        <is>
          <t>Inner Circle x Insanity</t>
        </is>
      </c>
      <c r="AS145" s="24" t="inlineStr">
        <is>
          <t>Team Jenz</t>
        </is>
      </c>
      <c r="AT145" s="24" t="inlineStr">
        <is>
          <t>Team Jenz</t>
        </is>
      </c>
      <c r="AU145" s="24" t="inlineStr">
        <is>
          <t>Team Jenz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a799fd6b531f6a50433d392237bace95036714f80bb3516384271ef275ed7763</t>
        </is>
      </c>
      <c r="BB145" s="24" t="inlineStr">
        <is>
          <t>neutral_elo</t>
        </is>
      </c>
      <c r="BC145" s="24" t="inlineStr">
        <is>
          <t>dota2-tiered-elo-v3</t>
        </is>
      </c>
      <c r="BD145" s="24" t="inlineStr">
        <is>
          <t>a799fd6b531f6a50433d392237bace95036714f80bb3516384271ef275ed7763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dota2-tiered-elo-v3</t>
        </is>
      </c>
      <c r="BH145" s="24" t="inlineStr">
        <is>
          <t>2026-07-23T04:41:49.063867Z</t>
        </is>
      </c>
      <c r="BI145" s="24" t="inlineStr">
        <is>
          <t>["same_event","same_team_same_day","same_league_same_day"]</t>
        </is>
      </c>
      <c r="BJ145" s="25" t="n"/>
      <c r="BK145" s="26" t="n">
        <v>186</v>
      </c>
      <c r="BL145" s="27" t="n">
        <v>2.86</v>
      </c>
      <c r="BM145" s="28" t="n">
        <v>0.34965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</row>
    <row r="146" ht="36" customHeight="1">
      <c r="A146" s="24" t="inlineStr">
        <is>
          <t>033f75e808104726</t>
        </is>
      </c>
      <c r="B146" s="24" t="inlineStr">
        <is>
          <t>2026-07-23T04:42:33.961494Z</t>
        </is>
      </c>
      <c r="C146" s="24" t="inlineStr">
        <is>
          <t>2026-07-23T19:00:00Z</t>
        </is>
      </c>
      <c r="D146" s="24" t="inlineStr">
        <is>
          <t>57215</t>
        </is>
      </c>
      <c r="E146" s="24" t="inlineStr">
        <is>
          <t>DOTA2</t>
        </is>
      </c>
      <c r="F146" s="24" t="inlineStr">
        <is>
          <t>Ilbirs eSports</t>
        </is>
      </c>
      <c r="G146" s="24" t="inlineStr">
        <is>
          <t>Nemiga Gaming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-122</v>
      </c>
      <c r="M146" s="27" t="n">
        <v>1.819672</v>
      </c>
      <c r="N146" s="28" t="n">
        <v>0.54955</v>
      </c>
      <c r="O146" s="28" t="n">
        <v>0.5</v>
      </c>
      <c r="P146" s="28" t="n"/>
      <c r="Q146" s="28" t="n">
        <v>-0.04955</v>
      </c>
      <c r="R146" s="26" t="n">
        <v>0</v>
      </c>
      <c r="S146" s="29" t="n">
        <v>0.5</v>
      </c>
      <c r="T146" s="24" t="inlineStr">
        <is>
          <t>dota2-tiered-elo-v3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0.5500 (market_slug=aec-dota2-nemiga-ill-2026-07-23).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Ilbirs eSports</t>
        </is>
      </c>
      <c r="AQ146" s="24" t="inlineStr">
        <is>
          <t>Ilbirs eSports</t>
        </is>
      </c>
      <c r="AR146" s="24" t="inlineStr">
        <is>
          <t>Ilbirs eSports</t>
        </is>
      </c>
      <c r="AS146" s="24" t="inlineStr">
        <is>
          <t>Nemiga Gaming</t>
        </is>
      </c>
      <c r="AT146" s="24" t="inlineStr">
        <is>
          <t>Nemiga Gaming</t>
        </is>
      </c>
      <c r="AU146" s="24" t="inlineStr">
        <is>
          <t>Nemiga Gaming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a799fd6b531f6a50433d392237bace95036714f80bb3516384271ef275ed7763</t>
        </is>
      </c>
      <c r="BB146" s="24" t="inlineStr">
        <is>
          <t>neutral_elo</t>
        </is>
      </c>
      <c r="BC146" s="24" t="inlineStr">
        <is>
          <t>dota2-tiered-elo-v3</t>
        </is>
      </c>
      <c r="BD146" s="24" t="inlineStr">
        <is>
          <t>a799fd6b531f6a50433d392237bace95036714f80bb3516384271ef275ed7763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dota2-tiered-elo-v3</t>
        </is>
      </c>
      <c r="BH146" s="24" t="inlineStr">
        <is>
          <t>2026-07-23T04:41:50.873278Z</t>
        </is>
      </c>
      <c r="BI146" s="24" t="inlineStr">
        <is>
          <t>["same_event","same_team_same_day","same_league_same_day"]</t>
        </is>
      </c>
      <c r="BJ146" s="25" t="n"/>
      <c r="BK146" s="26" t="n">
        <v>-122</v>
      </c>
      <c r="BL146" s="27" t="n">
        <v>1.819672</v>
      </c>
      <c r="BM146" s="28" t="n">
        <v>0.54955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</row>
    <row r="147" ht="36" customHeight="1">
      <c r="A147" s="24" t="inlineStr">
        <is>
          <t>06d4cd24b24c4771</t>
        </is>
      </c>
      <c r="B147" s="24" t="inlineStr">
        <is>
          <t>2026-07-23T04:42:58.125023Z</t>
        </is>
      </c>
      <c r="C147" s="24" t="inlineStr">
        <is>
          <t>2026-07-23T08:00:00Z</t>
        </is>
      </c>
      <c r="D147" s="24" t="inlineStr">
        <is>
          <t>56787</t>
        </is>
      </c>
      <c r="E147" s="24" t="inlineStr">
        <is>
          <t>VALORANT</t>
        </is>
      </c>
      <c r="F147" s="24" t="inlineStr">
        <is>
          <t>FULL SENSE</t>
        </is>
      </c>
      <c r="G147" s="24" t="inlineStr">
        <is>
          <t>Global Esports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117</v>
      </c>
      <c r="M147" s="27" t="n">
        <v>2.17</v>
      </c>
      <c r="N147" s="28" t="n">
        <v>0.460829</v>
      </c>
      <c r="O147" s="28" t="n">
        <v>0.5</v>
      </c>
      <c r="P147" s="28" t="n"/>
      <c r="Q147" s="28" t="n">
        <v>0.039171</v>
      </c>
      <c r="R147" s="26" t="n">
        <v>40</v>
      </c>
      <c r="S147" s="29" t="n">
        <v>0.5</v>
      </c>
      <c r="T147" s="24" t="inlineStr">
        <is>
          <t>valorant-tiered-elo-v3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0.4600 (market_slug=aec-valorant-ge-fs-2026-07-23).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NO_CALL_LOW_EDGE</t>
        </is>
      </c>
      <c r="AP147" s="24" t="inlineStr">
        <is>
          <t>FULL SENSE</t>
        </is>
      </c>
      <c r="AQ147" s="24" t="inlineStr">
        <is>
          <t>FULL SENSE</t>
        </is>
      </c>
      <c r="AR147" s="24" t="inlineStr">
        <is>
          <t>FULL SENSE</t>
        </is>
      </c>
      <c r="AS147" s="24" t="inlineStr">
        <is>
          <t>Global Esports</t>
        </is>
      </c>
      <c r="AT147" s="24" t="inlineStr">
        <is>
          <t>Global Esports</t>
        </is>
      </c>
      <c r="AU147" s="24" t="inlineStr">
        <is>
          <t>Global Esports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df5a226c64918a54c70b8af3e0cd4abb6c4f42b67acb5547da319458502b0ed4</t>
        </is>
      </c>
      <c r="BB147" s="24" t="inlineStr">
        <is>
          <t>neutral_elo</t>
        </is>
      </c>
      <c r="BC147" s="24" t="inlineStr">
        <is>
          <t>valorant-tiered-elo-v3</t>
        </is>
      </c>
      <c r="BD147" s="24" t="inlineStr">
        <is>
          <t>df5a226c64918a54c70b8af3e0cd4abb6c4f42b67acb5547da319458502b0ed4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valorant-tiered-elo-v3</t>
        </is>
      </c>
      <c r="BH147" s="24" t="inlineStr">
        <is>
          <t>2026-07-23T04:42:40.025689Z</t>
        </is>
      </c>
      <c r="BI147" s="24" t="inlineStr">
        <is>
          <t>["same_event","same_team_same_day","same_league_same_day"]</t>
        </is>
      </c>
      <c r="BJ147" s="25" t="n"/>
      <c r="BK147" s="26" t="n">
        <v>117</v>
      </c>
      <c r="BL147" s="27" t="n">
        <v>2.17</v>
      </c>
      <c r="BM147" s="28" t="n">
        <v>0.460829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</row>
    <row r="148" ht="36" customHeight="1">
      <c r="A148" s="24" t="inlineStr">
        <is>
          <t>55ff34794ebc423d</t>
        </is>
      </c>
      <c r="B148" s="24" t="inlineStr">
        <is>
          <t>2026-07-23T04:42:58.125023Z</t>
        </is>
      </c>
      <c r="C148" s="24" t="inlineStr">
        <is>
          <t>2026-07-23T09:00:00Z</t>
        </is>
      </c>
      <c r="D148" s="24" t="inlineStr">
        <is>
          <t>56811</t>
        </is>
      </c>
      <c r="E148" s="24" t="inlineStr">
        <is>
          <t>VALORANT</t>
        </is>
      </c>
      <c r="F148" s="24" t="inlineStr">
        <is>
          <t>Nova Esports</t>
        </is>
      </c>
      <c r="G148" s="24" t="inlineStr">
        <is>
          <t>TYLOO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-104</v>
      </c>
      <c r="M148" s="27" t="n">
        <v>1.961538</v>
      </c>
      <c r="N148" s="28" t="n">
        <v>0.509804</v>
      </c>
      <c r="O148" s="28" t="n">
        <v>0.5</v>
      </c>
      <c r="P148" s="28" t="n"/>
      <c r="Q148" s="28" t="n">
        <v>-0.009804</v>
      </c>
      <c r="R148" s="26" t="n">
        <v>15</v>
      </c>
      <c r="S148" s="29" t="n">
        <v>0.5</v>
      </c>
      <c r="T148" s="24" t="inlineStr">
        <is>
          <t>valorant-tiered-elo-v3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0.5100 (market_slug=aec-valorant-tyloo-nova-2026-07-23).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Nova Esports</t>
        </is>
      </c>
      <c r="AQ148" s="24" t="inlineStr">
        <is>
          <t>Nova Esports</t>
        </is>
      </c>
      <c r="AR148" s="24" t="inlineStr">
        <is>
          <t>Nova Esports</t>
        </is>
      </c>
      <c r="AS148" s="24" t="inlineStr">
        <is>
          <t>TYLOO</t>
        </is>
      </c>
      <c r="AT148" s="24" t="inlineStr">
        <is>
          <t>TYLOO</t>
        </is>
      </c>
      <c r="AU148" s="24" t="inlineStr">
        <is>
          <t>TYLOO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df5a226c64918a54c70b8af3e0cd4abb6c4f42b67acb5547da319458502b0ed4</t>
        </is>
      </c>
      <c r="BB148" s="24" t="inlineStr">
        <is>
          <t>neutral_elo</t>
        </is>
      </c>
      <c r="BC148" s="24" t="inlineStr">
        <is>
          <t>valorant-tiered-elo-v3</t>
        </is>
      </c>
      <c r="BD148" s="24" t="inlineStr">
        <is>
          <t>df5a226c64918a54c70b8af3e0cd4abb6c4f42b67acb5547da319458502b0ed4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valorant-tiered-elo-v3</t>
        </is>
      </c>
      <c r="BH148" s="24" t="inlineStr">
        <is>
          <t>2026-07-23T04:42:40.801905Z</t>
        </is>
      </c>
      <c r="BI148" s="24" t="inlineStr">
        <is>
          <t>["same_event","same_team_same_day","same_league_same_day"]</t>
        </is>
      </c>
      <c r="BJ148" s="25" t="n"/>
      <c r="BK148" s="26" t="n">
        <v>-104</v>
      </c>
      <c r="BL148" s="27" t="n">
        <v>1.961538</v>
      </c>
      <c r="BM148" s="28" t="n">
        <v>0.509804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</row>
    <row r="149" ht="36" customHeight="1">
      <c r="A149" s="24" t="inlineStr">
        <is>
          <t>cc943aff3ae2463e</t>
        </is>
      </c>
      <c r="B149" s="24" t="inlineStr">
        <is>
          <t>2026-07-23T04:42:58.125023Z</t>
        </is>
      </c>
      <c r="C149" s="24" t="inlineStr">
        <is>
          <t>2026-07-23T15:00:00Z</t>
        </is>
      </c>
      <c r="D149" s="24" t="inlineStr">
        <is>
          <t>56966</t>
        </is>
      </c>
      <c r="E149" s="24" t="inlineStr">
        <is>
          <t>VALORANT</t>
        </is>
      </c>
      <c r="F149" s="24" t="inlineStr">
        <is>
          <t>Team Heretics</t>
        </is>
      </c>
      <c r="G149" s="24" t="inlineStr">
        <is>
          <t>Eternal Fire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144</v>
      </c>
      <c r="M149" s="27" t="n">
        <v>2.44</v>
      </c>
      <c r="N149" s="28" t="n">
        <v>0.409836</v>
      </c>
      <c r="O149" s="28" t="n">
        <v>0.5</v>
      </c>
      <c r="P149" s="28" t="n"/>
      <c r="Q149" s="28" t="n">
        <v>0.09016399999999999</v>
      </c>
      <c r="R149" s="26" t="n">
        <v>65</v>
      </c>
      <c r="S149" s="29" t="n">
        <v>0.5</v>
      </c>
      <c r="T149" s="24" t="inlineStr">
        <is>
          <t>valorant-tiered-elo-v3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0.4100 (market_slug=aec-valorant-ef-th-2026-07-23).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Team Heretics</t>
        </is>
      </c>
      <c r="AQ149" s="24" t="inlineStr">
        <is>
          <t>Team Heretics</t>
        </is>
      </c>
      <c r="AR149" s="24" t="inlineStr">
        <is>
          <t>Team Heretics</t>
        </is>
      </c>
      <c r="AS149" s="24" t="inlineStr">
        <is>
          <t>Eternal Fire</t>
        </is>
      </c>
      <c r="AT149" s="24" t="inlineStr">
        <is>
          <t>Eternal Fire</t>
        </is>
      </c>
      <c r="AU149" s="24" t="inlineStr">
        <is>
          <t>Eternal Fire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df5a226c64918a54c70b8af3e0cd4abb6c4f42b67acb5547da319458502b0ed4</t>
        </is>
      </c>
      <c r="BB149" s="24" t="inlineStr">
        <is>
          <t>neutral_elo</t>
        </is>
      </c>
      <c r="BC149" s="24" t="inlineStr">
        <is>
          <t>valorant-tiered-elo-v3</t>
        </is>
      </c>
      <c r="BD149" s="24" t="inlineStr">
        <is>
          <t>df5a226c64918a54c70b8af3e0cd4abb6c4f42b67acb5547da319458502b0ed4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valorant-tiered-elo-v3</t>
        </is>
      </c>
      <c r="BH149" s="24" t="inlineStr">
        <is>
          <t>2026-07-23T04:42:44.870279Z</t>
        </is>
      </c>
      <c r="BI149" s="24" t="inlineStr">
        <is>
          <t>["same_event","same_team_same_day","same_league_same_day"]</t>
        </is>
      </c>
      <c r="BJ149" s="25" t="n"/>
      <c r="BK149" s="26" t="n">
        <v>144</v>
      </c>
      <c r="BL149" s="27" t="n">
        <v>2.44</v>
      </c>
      <c r="BM149" s="28" t="n">
        <v>0.409836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</row>
    <row r="150" ht="36" customHeight="1">
      <c r="A150" s="24" t="inlineStr">
        <is>
          <t>a83097c4c3e44ce8</t>
        </is>
      </c>
      <c r="B150" s="24" t="inlineStr">
        <is>
          <t>2026-07-23T04:42:58.125023Z</t>
        </is>
      </c>
      <c r="C150" s="24" t="inlineStr">
        <is>
          <t>2026-07-23T18:00:00Z</t>
        </is>
      </c>
      <c r="D150" s="24" t="inlineStr">
        <is>
          <t>57153</t>
        </is>
      </c>
      <c r="E150" s="24" t="inlineStr">
        <is>
          <t>VALORANT</t>
        </is>
      </c>
      <c r="F150" s="24" t="inlineStr">
        <is>
          <t>Natus Vincere</t>
        </is>
      </c>
      <c r="G150" s="24" t="inlineStr">
        <is>
          <t>Gentle Mates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-113</v>
      </c>
      <c r="M150" s="27" t="n">
        <v>1.884956</v>
      </c>
      <c r="N150" s="28" t="n">
        <v>0.530516</v>
      </c>
      <c r="O150" s="28" t="n">
        <v>0.681625</v>
      </c>
      <c r="P150" s="28" t="n"/>
      <c r="Q150" s="28" t="n">
        <v>0.151109</v>
      </c>
      <c r="R150" s="26" t="n">
        <v>100</v>
      </c>
      <c r="S150" s="29" t="n">
        <v>2</v>
      </c>
      <c r="T150" s="24" t="inlineStr">
        <is>
          <t>valorant-tiered-elo-v3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0.5300 (market_slug=aec-valorant-gm-navi-2026-07-23).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NO_CALL_LARGE_DISAGREEMENT_REVIEW</t>
        </is>
      </c>
      <c r="AP150" s="24" t="inlineStr">
        <is>
          <t>Natus Vincere</t>
        </is>
      </c>
      <c r="AQ150" s="24" t="inlineStr">
        <is>
          <t>Natus Vincere</t>
        </is>
      </c>
      <c r="AR150" s="24" t="inlineStr">
        <is>
          <t>Natus Vincere</t>
        </is>
      </c>
      <c r="AS150" s="24" t="inlineStr">
        <is>
          <t>Gentle Mates</t>
        </is>
      </c>
      <c r="AT150" s="24" t="inlineStr">
        <is>
          <t>Gentle Mates</t>
        </is>
      </c>
      <c r="AU150" s="24" t="inlineStr">
        <is>
          <t>Gentle Mates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df5a226c64918a54c70b8af3e0cd4abb6c4f42b67acb5547da319458502b0ed4</t>
        </is>
      </c>
      <c r="BB150" s="24" t="inlineStr">
        <is>
          <t>neutral_elo</t>
        </is>
      </c>
      <c r="BC150" s="24" t="inlineStr">
        <is>
          <t>valorant-tiered-elo-v3</t>
        </is>
      </c>
      <c r="BD150" s="24" t="inlineStr">
        <is>
          <t>df5a226c64918a54c70b8af3e0cd4abb6c4f42b67acb5547da319458502b0ed4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valorant-tiered-elo-v3</t>
        </is>
      </c>
      <c r="BH150" s="24" t="inlineStr">
        <is>
          <t>2026-07-23T04:42:47.214916Z</t>
        </is>
      </c>
      <c r="BI150" s="24" t="inlineStr">
        <is>
          <t>["same_event","same_team_same_day","same_league_same_day"]</t>
        </is>
      </c>
      <c r="BJ150" s="25" t="n"/>
      <c r="BK150" s="26" t="n">
        <v>-113</v>
      </c>
      <c r="BL150" s="27" t="n">
        <v>1.884956</v>
      </c>
      <c r="BM150" s="28" t="n">
        <v>0.530516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</row>
    <row r="151" ht="36" customHeight="1">
      <c r="A151" s="24" t="inlineStr">
        <is>
          <t>a3632bb9cb984dea</t>
        </is>
      </c>
      <c r="B151" s="24" t="inlineStr">
        <is>
          <t>2026-07-23T04:42:58.125023Z</t>
        </is>
      </c>
      <c r="C151" s="24" t="inlineStr">
        <is>
          <t>2026-07-24T09:00:00Z</t>
        </is>
      </c>
      <c r="D151" s="24" t="inlineStr">
        <is>
          <t>58553</t>
        </is>
      </c>
      <c r="E151" s="24" t="inlineStr">
        <is>
          <t>VALORANT</t>
        </is>
      </c>
      <c r="F151" s="24" t="inlineStr">
        <is>
          <t>TEC Esports</t>
        </is>
      </c>
      <c r="G151" s="24" t="inlineStr">
        <is>
          <t>Trace Esports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117</v>
      </c>
      <c r="M151" s="27" t="n">
        <v>2.17</v>
      </c>
      <c r="N151" s="28" t="n">
        <v>0.460829</v>
      </c>
      <c r="O151" s="28" t="n">
        <v>0.5</v>
      </c>
      <c r="P151" s="28" t="n"/>
      <c r="Q151" s="28" t="n">
        <v>0.039171</v>
      </c>
      <c r="R151" s="26" t="n">
        <v>40</v>
      </c>
      <c r="S151" s="29" t="n">
        <v>0.5</v>
      </c>
      <c r="T151" s="24" t="inlineStr">
        <is>
          <t>valorant-tiered-elo-v3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0.4600 (market_slug=aec-valorant-te-tec-2026-07-24).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NO_CALL_LOW_EDGE</t>
        </is>
      </c>
      <c r="AP151" s="24" t="inlineStr">
        <is>
          <t>TEC Esports</t>
        </is>
      </c>
      <c r="AQ151" s="24" t="inlineStr">
        <is>
          <t>TEC Esports</t>
        </is>
      </c>
      <c r="AR151" s="24" t="inlineStr">
        <is>
          <t>TEC Esports</t>
        </is>
      </c>
      <c r="AS151" s="24" t="inlineStr">
        <is>
          <t>Trace Esports</t>
        </is>
      </c>
      <c r="AT151" s="24" t="inlineStr">
        <is>
          <t>Trace Esports</t>
        </is>
      </c>
      <c r="AU151" s="24" t="inlineStr">
        <is>
          <t>Trace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df5a226c64918a54c70b8af3e0cd4abb6c4f42b67acb5547da319458502b0ed4</t>
        </is>
      </c>
      <c r="BB151" s="24" t="inlineStr">
        <is>
          <t>neutral_elo</t>
        </is>
      </c>
      <c r="BC151" s="24" t="inlineStr">
        <is>
          <t>valorant-tiered-elo-v3</t>
        </is>
      </c>
      <c r="BD151" s="24" t="inlineStr">
        <is>
          <t>df5a226c64918a54c70b8af3e0cd4abb6c4f42b67acb5547da319458502b0ed4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valorant-tiered-elo-v3</t>
        </is>
      </c>
      <c r="BH151" s="24" t="inlineStr">
        <is>
          <t>2026-07-23T04:42:50.479904Z</t>
        </is>
      </c>
      <c r="BI151" s="24" t="inlineStr">
        <is>
          <t>["same_event","same_team_same_day","same_league_same_day"]</t>
        </is>
      </c>
      <c r="BJ151" s="25" t="n"/>
      <c r="BK151" s="26" t="n">
        <v>117</v>
      </c>
      <c r="BL151" s="27" t="n">
        <v>2.17</v>
      </c>
      <c r="BM151" s="28" t="n">
        <v>0.460829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</row>
    <row r="152" ht="36" customHeight="1">
      <c r="A152" s="24" t="inlineStr">
        <is>
          <t>4fdd43d0ca324413</t>
        </is>
      </c>
      <c r="B152" s="24" t="inlineStr">
        <is>
          <t>2026-07-23T04:42:58.125023Z</t>
        </is>
      </c>
      <c r="C152" s="24" t="inlineStr">
        <is>
          <t>2026-07-24T15:00:00Z</t>
        </is>
      </c>
      <c r="D152" s="24" t="inlineStr">
        <is>
          <t>58399</t>
        </is>
      </c>
      <c r="E152" s="24" t="inlineStr">
        <is>
          <t>VALORANT</t>
        </is>
      </c>
      <c r="F152" s="24" t="inlineStr">
        <is>
          <t>BBL Esports</t>
        </is>
      </c>
      <c r="G152" s="24" t="inlineStr">
        <is>
          <t>FUT Esports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144</v>
      </c>
      <c r="M152" s="27" t="n">
        <v>2.44</v>
      </c>
      <c r="N152" s="28" t="n">
        <v>0.409836</v>
      </c>
      <c r="O152" s="28" t="n">
        <v>0.5</v>
      </c>
      <c r="P152" s="28" t="n"/>
      <c r="Q152" s="28" t="n">
        <v>0.09016399999999999</v>
      </c>
      <c r="R152" s="26" t="n">
        <v>65</v>
      </c>
      <c r="S152" s="29" t="n">
        <v>0.5</v>
      </c>
      <c r="T152" s="24" t="inlineStr">
        <is>
          <t>valorant-tiered-elo-v3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Neutral Elo baseline; executable ask 0.4100 (market_slug=aec-valorant-fut-bbl-2026-07-24).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BBL Esports</t>
        </is>
      </c>
      <c r="AQ152" s="24" t="inlineStr">
        <is>
          <t>BBL Esports</t>
        </is>
      </c>
      <c r="AR152" s="24" t="inlineStr">
        <is>
          <t>BBL Esports</t>
        </is>
      </c>
      <c r="AS152" s="24" t="inlineStr">
        <is>
          <t>FUT Esports</t>
        </is>
      </c>
      <c r="AT152" s="24" t="inlineStr">
        <is>
          <t>FUT Esports</t>
        </is>
      </c>
      <c r="AU152" s="24" t="inlineStr">
        <is>
          <t>FUT Esports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df5a226c64918a54c70b8af3e0cd4abb6c4f42b67acb5547da319458502b0ed4</t>
        </is>
      </c>
      <c r="BB152" s="24" t="inlineStr">
        <is>
          <t>neutral_elo</t>
        </is>
      </c>
      <c r="BC152" s="24" t="inlineStr">
        <is>
          <t>valorant-tiered-elo-v3</t>
        </is>
      </c>
      <c r="BD152" s="24" t="inlineStr">
        <is>
          <t>df5a226c64918a54c70b8af3e0cd4abb6c4f42b67acb5547da319458502b0ed4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valorant-tiered-elo-v3</t>
        </is>
      </c>
      <c r="BH152" s="24" t="inlineStr">
        <is>
          <t>2026-07-23T04:42:52.160851Z</t>
        </is>
      </c>
      <c r="BI152" s="24" t="inlineStr">
        <is>
          <t>["same_event","same_team_same_day","same_league_same_day"]</t>
        </is>
      </c>
      <c r="BJ152" s="25" t="n"/>
      <c r="BK152" s="26" t="n">
        <v>144</v>
      </c>
      <c r="BL152" s="27" t="n">
        <v>2.44</v>
      </c>
      <c r="BM152" s="28" t="n">
        <v>0.409836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</row>
    <row r="153" ht="36" customHeight="1">
      <c r="A153" s="24" t="inlineStr">
        <is>
          <t>5ae807b7c6e54b57</t>
        </is>
      </c>
      <c r="B153" s="24" t="inlineStr">
        <is>
          <t>2026-07-23T04:42:58.125023Z</t>
        </is>
      </c>
      <c r="C153" s="24" t="inlineStr">
        <is>
          <t>2026-07-24T18:00:00Z</t>
        </is>
      </c>
      <c r="D153" s="24" t="inlineStr">
        <is>
          <t>58554</t>
        </is>
      </c>
      <c r="E153" s="24" t="inlineStr">
        <is>
          <t>VALORANT</t>
        </is>
      </c>
      <c r="F153" s="24" t="inlineStr">
        <is>
          <t>Fnatic</t>
        </is>
      </c>
      <c r="G153" s="24" t="inlineStr">
        <is>
          <t>Team Liquid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138</v>
      </c>
      <c r="M153" s="27" t="n">
        <v>2.38</v>
      </c>
      <c r="N153" s="28" t="n">
        <v>0.420168</v>
      </c>
      <c r="O153" s="28" t="n">
        <v>0.696373</v>
      </c>
      <c r="P153" s="28" t="n"/>
      <c r="Q153" s="28" t="n">
        <v>0.276205</v>
      </c>
      <c r="R153" s="26" t="n">
        <v>100</v>
      </c>
      <c r="S153" s="29" t="n">
        <v>2</v>
      </c>
      <c r="T153" s="24" t="inlineStr">
        <is>
          <t>valorant-tiered-elo-v3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Neutral Elo baseline; executable ask 0.4200 (market_slug=aec-valorant-tl-fnc-2026-07-24).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NO_CALL_LARGE_DISAGREEMENT_REVIEW</t>
        </is>
      </c>
      <c r="AP153" s="24" t="inlineStr">
        <is>
          <t>Fnatic</t>
        </is>
      </c>
      <c r="AQ153" s="24" t="inlineStr">
        <is>
          <t>Fnatic</t>
        </is>
      </c>
      <c r="AR153" s="24" t="inlineStr">
        <is>
          <t>Fnatic</t>
        </is>
      </c>
      <c r="AS153" s="24" t="inlineStr">
        <is>
          <t>Team Liquid</t>
        </is>
      </c>
      <c r="AT153" s="24" t="inlineStr">
        <is>
          <t>Team Liquid</t>
        </is>
      </c>
      <c r="AU153" s="24" t="inlineStr">
        <is>
          <t>Team Liquid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df5a226c64918a54c70b8af3e0cd4abb6c4f42b67acb5547da319458502b0ed4</t>
        </is>
      </c>
      <c r="BB153" s="24" t="inlineStr">
        <is>
          <t>neutral_elo</t>
        </is>
      </c>
      <c r="BC153" s="24" t="inlineStr">
        <is>
          <t>valorant-tiered-elo-v3</t>
        </is>
      </c>
      <c r="BD153" s="24" t="inlineStr">
        <is>
          <t>df5a226c64918a54c70b8af3e0cd4abb6c4f42b67acb5547da319458502b0ed4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valorant-tiered-elo-v3</t>
        </is>
      </c>
      <c r="BH153" s="24" t="inlineStr">
        <is>
          <t>2026-07-23T04:42:52.967408Z</t>
        </is>
      </c>
      <c r="BI153" s="24" t="inlineStr">
        <is>
          <t>["same_event","same_team_same_day","same_league_same_day"]</t>
        </is>
      </c>
      <c r="BJ153" s="25" t="n"/>
      <c r="BK153" s="26" t="n">
        <v>138</v>
      </c>
      <c r="BL153" s="27" t="n">
        <v>2.38</v>
      </c>
      <c r="BM153" s="28" t="n">
        <v>0.420168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</row>
    <row r="154" ht="36" customHeight="1">
      <c r="A154" s="24" t="inlineStr">
        <is>
          <t>597087b26dfa418e</t>
        </is>
      </c>
      <c r="B154" s="24" t="inlineStr">
        <is>
          <t>2026-07-23T04:42:58.125023Z</t>
        </is>
      </c>
      <c r="C154" s="24" t="inlineStr">
        <is>
          <t>2026-07-25T00:00:00Z</t>
        </is>
      </c>
      <c r="D154" s="24" t="inlineStr">
        <is>
          <t>59138</t>
        </is>
      </c>
      <c r="E154" s="24" t="inlineStr">
        <is>
          <t>VALORANT</t>
        </is>
      </c>
      <c r="F154" s="24" t="inlineStr">
        <is>
          <t>KRÜ Esports</t>
        </is>
      </c>
      <c r="G154" s="24" t="inlineStr">
        <is>
          <t>100 Thieves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-213</v>
      </c>
      <c r="M154" s="27" t="n">
        <v>1.469484</v>
      </c>
      <c r="N154" s="28" t="n">
        <v>0.680511</v>
      </c>
      <c r="O154" s="28" t="n">
        <v>0.5</v>
      </c>
      <c r="P154" s="28" t="n"/>
      <c r="Q154" s="28" t="n">
        <v>-0.180511</v>
      </c>
      <c r="R154" s="26" t="n">
        <v>0</v>
      </c>
      <c r="S154" s="29" t="n">
        <v>0.5</v>
      </c>
      <c r="T154" s="24" t="inlineStr">
        <is>
          <t>valorant-tiered-elo-v3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Neutral Elo baseline; executable ask 0.6800 (market_slug=aec-valorant-100t-kr-2026-07-25).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NO_CALL_LARGE_DISAGREEMENT_REVIEW</t>
        </is>
      </c>
      <c r="AP154" s="24" t="inlineStr">
        <is>
          <t>KRÜ Esports</t>
        </is>
      </c>
      <c r="AQ154" s="24" t="inlineStr">
        <is>
          <t>KRÜ Esports</t>
        </is>
      </c>
      <c r="AR154" s="24" t="inlineStr">
        <is>
          <t>KRÜ Esports</t>
        </is>
      </c>
      <c r="AS154" s="24" t="inlineStr">
        <is>
          <t>100 Thieves</t>
        </is>
      </c>
      <c r="AT154" s="24" t="inlineStr">
        <is>
          <t>100 Thieves</t>
        </is>
      </c>
      <c r="AU154" s="24" t="inlineStr">
        <is>
          <t>100 Thieves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df5a226c64918a54c70b8af3e0cd4abb6c4f42b67acb5547da319458502b0ed4</t>
        </is>
      </c>
      <c r="BB154" s="24" t="inlineStr">
        <is>
          <t>neutral_elo</t>
        </is>
      </c>
      <c r="BC154" s="24" t="inlineStr">
        <is>
          <t>valorant-tiered-elo-v3</t>
        </is>
      </c>
      <c r="BD154" s="24" t="inlineStr">
        <is>
          <t>df5a226c64918a54c70b8af3e0cd4abb6c4f42b67acb5547da319458502b0ed4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valorant-tiered-elo-v3</t>
        </is>
      </c>
      <c r="BH154" s="24" t="inlineStr">
        <is>
          <t>2026-07-23T04:42:54.654062Z</t>
        </is>
      </c>
      <c r="BI154" s="24" t="inlineStr">
        <is>
          <t>["same_event","same_team_same_day","same_league_same_day"]</t>
        </is>
      </c>
      <c r="BJ154" s="25" t="n"/>
      <c r="BK154" s="26" t="n">
        <v>-213</v>
      </c>
      <c r="BL154" s="27" t="n">
        <v>1.469484</v>
      </c>
      <c r="BM154" s="28" t="n">
        <v>0.680511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2026-07-23T07:01:25Z</dcterms:created>
  <dcterms:modified xsi:type="dcterms:W3CDTF">2026-07-23T07:01:25Z</dcterms:modified>
</cp:coreProperties>
</file>