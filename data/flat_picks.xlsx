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263" headerRowCount="1">
  <autoFilter ref="A1:CP263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COUNTA('Picks'!$A$2:$A$263)</f>
        <v/>
      </c>
      <c r="C4" s="6">
        <f>COUNTIF('Picks'!$U$2:$U$263,"open")</f>
        <v/>
      </c>
      <c r="E4" s="6">
        <f>COUNTIF('Picks'!$U$2:$U$263,"settled")</f>
        <v/>
      </c>
      <c r="G4" s="6">
        <f>IF(COUNTIFS('Picks'!$U$2:$U$263,"settled",'Picks'!$V$2:$V$263,"win")+COUNTIFS('Picks'!$U$2:$U$263,"settled",'Picks'!$V$2:$V$263,"loss")&gt;=$L$2,"Ready","Insufficient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COUNTIF('Picks'!$BX$2:$BX$263,"&gt;0")</f>
        <v/>
      </c>
      <c r="C7" s="6">
        <f>COUNTIFS('Picks'!$BX$2:$BX$263,"&gt;0",'Picks'!$V$2:$V$263,"win")&amp;"-"&amp;COUNTIFS('Picks'!$BX$2:$BX$263,"&gt;0",'Picks'!$V$2:$V$263,"loss")</f>
        <v/>
      </c>
      <c r="E7" s="7">
        <f>IFERROR(COUNTIFS('Picks'!$BX$2:$BX$263,"&gt;0",'Picks'!$V$2:$V$263,"win")/(COUNTIFS('Picks'!$BX$2:$BX$263,"&gt;0",'Picks'!$V$2:$V$263,"win")+COUNTIFS('Picks'!$BX$2:$BX$263,"&gt;0",'Picks'!$V$2:$V$263,"loss")),0)</f>
        <v/>
      </c>
      <c r="G7" s="7">
        <f>IFERROR(SUM('Picks'!$BY$2:$BY$263)/SUM('Picks'!$BX$2:$BX$263),0)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SUM('Picks'!$BY$2:$BY$263)</f>
        <v/>
      </c>
      <c r="C10" s="9">
        <f>IFERROR(AVERAGEIF('Picks'!$AB$2:$AB$263,"&lt;&gt;",'Picks'!$AB$2:$AB$263),0)</f>
        <v/>
      </c>
      <c r="E10" s="6">
        <f>COUNTIFS('Picks'!$AM$2:$AM$263,"QUALIFIED_SHADOW_CALL",'Picks'!$U$2:$U$263,"settled")</f>
        <v/>
      </c>
      <c r="G10" s="8">
        <f>SUMIFS('Picks'!$AC$2:$AC$263,'Picks'!$AM$2:$AM$263,"QUALIFIED_SHADOW_CALL")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COUNTIFS('Picks'!$H$2:$H$263,$A14,'Picks'!$U$2:$U$263,"settled")</f>
        <v/>
      </c>
      <c r="C14" s="13">
        <f>COUNTIFS('Picks'!$H$2:$H$263,$A14,'Picks'!$U$2:$U$263,"settled",'Picks'!$V$2:$V$263,"win")</f>
        <v/>
      </c>
      <c r="D14" s="13">
        <f>COUNTIFS('Picks'!$H$2:$H$263,$A14,'Picks'!$U$2:$U$263,"settled",'Picks'!$V$2:$V$263,"loss")</f>
        <v/>
      </c>
      <c r="E14" s="14">
        <f>IFERROR(C14/(C14+D14),0)</f>
        <v/>
      </c>
      <c r="F14" s="15">
        <f>SUMIFS('Picks'!$BY$2:$BY$263,'Picks'!$H$2:$H$263,$A14)</f>
        <v/>
      </c>
      <c r="G14" s="16">
        <f>IFERROR(AVERAGEIFS('Picks'!$AB$2:$AB$263,'Picks'!$H$2:$H$263,$A14,'Picks'!$U$2:$U$263,"settled"),0)</f>
        <v/>
      </c>
    </row>
    <row r="15">
      <c r="A15" s="17" t="inlineStr">
        <is>
          <t>spread</t>
        </is>
      </c>
      <c r="B15" s="18">
        <f>COUNTIFS('Picks'!$H$2:$H$263,$A15,'Picks'!$U$2:$U$263,"settled")</f>
        <v/>
      </c>
      <c r="C15" s="18">
        <f>COUNTIFS('Picks'!$H$2:$H$263,$A15,'Picks'!$U$2:$U$263,"settled",'Picks'!$V$2:$V$263,"win")</f>
        <v/>
      </c>
      <c r="D15" s="18">
        <f>COUNTIFS('Picks'!$H$2:$H$263,$A15,'Picks'!$U$2:$U$263,"settled",'Picks'!$V$2:$V$263,"loss")</f>
        <v/>
      </c>
      <c r="E15" s="19">
        <f>IFERROR(C15/(C15+D15),0)</f>
        <v/>
      </c>
      <c r="F15" s="20">
        <f>SUMIFS('Picks'!$BY$2:$BY$263,'Picks'!$H$2:$H$263,$A15)</f>
        <v/>
      </c>
      <c r="G15" s="21">
        <f>IFERROR(AVERAGEIFS('Picks'!$AB$2:$AB$263,'Picks'!$H$2:$H$263,$A15,'Picks'!$U$2:$U$263,"settled"),0)</f>
        <v/>
      </c>
    </row>
    <row r="16">
      <c r="A16" s="12" t="inlineStr">
        <is>
          <t>total</t>
        </is>
      </c>
      <c r="B16" s="13">
        <f>COUNTIFS('Picks'!$H$2:$H$263,$A16,'Picks'!$U$2:$U$263,"settled")</f>
        <v/>
      </c>
      <c r="C16" s="13">
        <f>COUNTIFS('Picks'!$H$2:$H$263,$A16,'Picks'!$U$2:$U$263,"settled",'Picks'!$V$2:$V$263,"win")</f>
        <v/>
      </c>
      <c r="D16" s="13">
        <f>COUNTIFS('Picks'!$H$2:$H$263,$A16,'Picks'!$U$2:$U$263,"settled",'Picks'!$V$2:$V$263,"loss")</f>
        <v/>
      </c>
      <c r="E16" s="14">
        <f>IFERROR(C16/(C16+D16),0)</f>
        <v/>
      </c>
      <c r="F16" s="15">
        <f>SUMIFS('Picks'!$BY$2:$BY$263,'Picks'!$H$2:$H$263,$A16)</f>
        <v/>
      </c>
      <c r="G16" s="16">
        <f>IFERROR(AVERAGEIFS('Picks'!$AB$2:$AB$263,'Picks'!$H$2:$H$263,$A16,'Picks'!$U$2:$U$263,"settled"),0)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2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2.0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1.0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1.0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1.0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1.0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1.0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1.0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1.0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1.0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0.0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1.0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</row>
    <row r="139" ht="36" customHeight="1">
      <c r="A139" s="24" t="inlineStr">
        <is>
          <t>c1a2615685634f23</t>
        </is>
      </c>
      <c r="B139" s="24" t="inlineStr">
        <is>
          <t>2026-07-28T20:34:14.874473Z</t>
        </is>
      </c>
      <c r="C139" s="24" t="inlineStr">
        <is>
          <t>2026-07-28T22:30Z</t>
        </is>
      </c>
      <c r="D139" s="24" t="inlineStr">
        <is>
          <t>401860261</t>
        </is>
      </c>
      <c r="E139" s="24" t="inlineStr">
        <is>
          <t>SOCCER</t>
        </is>
      </c>
      <c r="F139" s="24" t="inlineStr">
        <is>
          <t>Athletic</t>
        </is>
      </c>
      <c r="G139" s="24" t="inlineStr">
        <is>
          <t>Ponte Preta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300</v>
      </c>
      <c r="M139" s="27" t="n">
        <v>4</v>
      </c>
      <c r="N139" s="28" t="n">
        <v>0.25</v>
      </c>
      <c r="O139" s="28" t="n">
        <v>0.456199</v>
      </c>
      <c r="P139" s="28" t="n">
        <v>0.2</v>
      </c>
      <c r="Q139" s="28" t="n">
        <v>0.206199</v>
      </c>
      <c r="R139" s="26" t="n">
        <v>33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push</t>
        </is>
      </c>
      <c r="W139" s="26" t="n">
        <v>1</v>
      </c>
      <c r="X139" s="26" t="n">
        <v>1</v>
      </c>
      <c r="Y139" s="25" t="n"/>
      <c r="Z139" s="26" t="n"/>
      <c r="AA139" s="28" t="n"/>
      <c r="AB139" s="28" t="n"/>
      <c r="AC139" s="30" t="n">
        <v>0</v>
      </c>
      <c r="AD139" s="24" t="inlineStr">
        <is>
          <t>2026-07-29T02:41:46.978948Z</t>
        </is>
      </c>
      <c r="AE139" s="31" t="inlineStr">
        <is>
          <t>Poisson-DC rates 1.64 (home) / 1.24 (away) from EWMA attack/defense strengths. Executable ask 0.2500 (atc-brb-pop-ath-2026-07-28-pop).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Athletic</t>
        </is>
      </c>
      <c r="AQ139" s="24" t="inlineStr">
        <is>
          <t>Athletic</t>
        </is>
      </c>
      <c r="AR139" s="24" t="inlineStr">
        <is>
          <t>Athletic</t>
        </is>
      </c>
      <c r="AS139" s="24" t="inlineStr">
        <is>
          <t>Ponte Preta</t>
        </is>
      </c>
      <c r="AT139" s="24" t="inlineStr">
        <is>
          <t>Ponte Preta</t>
        </is>
      </c>
      <c r="AU139" s="24" t="inlineStr">
        <is>
          <t>Ponte Preta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2026-07-28T20:32:26.083099Z</t>
        </is>
      </c>
      <c r="BI139" s="24" t="inlineStr">
        <is>
          <t>["same_event","same_team_same_day","same_league_same_day"]</t>
        </is>
      </c>
      <c r="BJ139" s="25" t="n"/>
      <c r="BK139" s="26" t="n">
        <v>300</v>
      </c>
      <c r="BL139" s="27" t="n">
        <v>4</v>
      </c>
      <c r="BM139" s="28" t="n">
        <v>0.25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</row>
    <row r="140" ht="36" customHeight="1">
      <c r="A140" s="24" t="inlineStr">
        <is>
          <t>71dc8bd5d8eb498a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401841452</t>
        </is>
      </c>
      <c r="E140" s="24" t="inlineStr">
        <is>
          <t>SOCCER</t>
        </is>
      </c>
      <c r="F140" s="24" t="inlineStr">
        <is>
          <t>Gimnasia (Mendoza)</t>
        </is>
      </c>
      <c r="G140" s="24" t="inlineStr">
        <is>
          <t>San Lorenzo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100</v>
      </c>
      <c r="M140" s="27" t="n">
        <v>2</v>
      </c>
      <c r="N140" s="28" t="n">
        <v>0.5</v>
      </c>
      <c r="O140" s="28" t="n">
        <v>0.456199</v>
      </c>
      <c r="P140" s="28" t="n">
        <v>0.2</v>
      </c>
      <c r="Q140" s="28" t="n">
        <v>-0.043801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/>
      <c r="AA140" s="28" t="n"/>
      <c r="AB140" s="28" t="n"/>
      <c r="AC140" s="30" t="n">
        <v>1</v>
      </c>
      <c r="AD140" s="24" t="inlineStr">
        <is>
          <t>2026-07-29T02:41:47.313571Z</t>
        </is>
      </c>
      <c r="AE140" s="31" t="inlineStr">
        <is>
          <t>Poisson-DC rates 1.64 (home) / 1.24 (away) from EWMA attack/defense strengths. Executable ask 0.5000 (atc-lpa-slo-gye-2026-07-28-slo).</t>
        </is>
      </c>
      <c r="AF140" s="31" t="inlineStr">
        <is>
          <t>Research-only soccer score model; draw-aware, but not yet locked-holdout qualified.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Gimnasia (Mendoza)</t>
        </is>
      </c>
      <c r="AQ140" s="24" t="inlineStr">
        <is>
          <t>Gimnasia (Mendoza)</t>
        </is>
      </c>
      <c r="AR140" s="24" t="inlineStr">
        <is>
          <t>Gimnasia (Mendoza)</t>
        </is>
      </c>
      <c r="AS140" s="24" t="inlineStr">
        <is>
          <t>San Lorenzo</t>
        </is>
      </c>
      <c r="AT140" s="24" t="inlineStr">
        <is>
          <t>San Lorenzo</t>
        </is>
      </c>
      <c r="AU140" s="24" t="inlineStr">
        <is>
          <t>San Lorenzo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2026-07-28T20:32:27.095637Z</t>
        </is>
      </c>
      <c r="BI140" s="24" t="inlineStr">
        <is>
          <t>["same_event","same_team_same_day","same_league_same_day"]</t>
        </is>
      </c>
      <c r="BJ140" s="25" t="n"/>
      <c r="BK140" s="26" t="n">
        <v>100</v>
      </c>
      <c r="BL140" s="27" t="n">
        <v>2</v>
      </c>
      <c r="BM140" s="28" t="n">
        <v>0.5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</row>
    <row r="141" ht="36" customHeight="1">
      <c r="A141" s="24" t="inlineStr">
        <is>
          <t>538e4eae98a44836</t>
        </is>
      </c>
      <c r="B141" s="24" t="inlineStr">
        <is>
          <t>2026-07-28T20:34:14.874473Z</t>
        </is>
      </c>
      <c r="C141" s="24" t="inlineStr">
        <is>
          <t>2026-07-28T22:00Z</t>
        </is>
      </c>
      <c r="D141" s="24" t="inlineStr">
        <is>
          <t>401874071</t>
        </is>
      </c>
      <c r="E141" s="24" t="inlineStr">
        <is>
          <t>SOCCER</t>
        </is>
      </c>
      <c r="F141" s="24" t="inlineStr">
        <is>
          <t>Nacional</t>
        </is>
      </c>
      <c r="G141" s="24" t="inlineStr">
        <is>
          <t>Tigre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122</v>
      </c>
      <c r="M141" s="27" t="n">
        <v>2.22</v>
      </c>
      <c r="N141" s="28" t="n">
        <v>0.45045</v>
      </c>
      <c r="O141" s="28" t="n">
        <v>0.456199</v>
      </c>
      <c r="P141" s="28" t="n">
        <v>0.2</v>
      </c>
      <c r="Q141" s="28" t="n">
        <v>0.005749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loss</t>
        </is>
      </c>
      <c r="W141" s="26" t="n">
        <v>2</v>
      </c>
      <c r="X141" s="26" t="n">
        <v>1</v>
      </c>
      <c r="Y141" s="25" t="n"/>
      <c r="Z141" s="26" t="n"/>
      <c r="AA141" s="28" t="n"/>
      <c r="AB141" s="28" t="n"/>
      <c r="AC141" s="30" t="n">
        <v>-1</v>
      </c>
      <c r="AD141" s="24" t="inlineStr">
        <is>
          <t>2026-07-29T02:41:49.355103Z</t>
        </is>
      </c>
      <c r="AE141" s="31" t="inlineStr">
        <is>
          <t>Poisson-DC rates 1.64 (home) / 1.24 (away) from EWMA attack/defense strengths. Executable ask 0.4500 (atc-sud-tig-nac-2026-07-28-tig).</t>
        </is>
      </c>
      <c r="AF141" s="31" t="inlineStr">
        <is>
          <t>Research-only soccer score model; draw-aware, but not yet locked-holdout qualified.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Nacional</t>
        </is>
      </c>
      <c r="AQ141" s="24" t="inlineStr">
        <is>
          <t>Nacional</t>
        </is>
      </c>
      <c r="AR141" s="24" t="inlineStr">
        <is>
          <t>Nacional</t>
        </is>
      </c>
      <c r="AS141" s="24" t="inlineStr">
        <is>
          <t>Tigre</t>
        </is>
      </c>
      <c r="AT141" s="24" t="inlineStr">
        <is>
          <t>Tigre</t>
        </is>
      </c>
      <c r="AU141" s="24" t="inlineStr">
        <is>
          <t>Tigre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2026-07-28T20:32:28.187625Z</t>
        </is>
      </c>
      <c r="BI141" s="24" t="inlineStr">
        <is>
          <t>["same_event","same_team_same_day","same_league_same_day"]</t>
        </is>
      </c>
      <c r="BJ141" s="25" t="n"/>
      <c r="BK141" s="26" t="n">
        <v>122</v>
      </c>
      <c r="BL141" s="27" t="n">
        <v>2.22</v>
      </c>
      <c r="BM141" s="28" t="n">
        <v>0.45045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</row>
    <row r="142" ht="36" customHeight="1">
      <c r="A142" s="24" t="inlineStr">
        <is>
          <t>9d29b7c025c54f14</t>
        </is>
      </c>
      <c r="B142" s="24" t="inlineStr">
        <is>
          <t>2026-07-28T23:39:16.759753Z</t>
        </is>
      </c>
      <c r="C142" s="24" t="inlineStr">
        <is>
          <t>2026-07-29T00:35Z</t>
        </is>
      </c>
      <c r="D142" s="24" t="inlineStr">
        <is>
          <t>401860253</t>
        </is>
      </c>
      <c r="E142" s="24" t="inlineStr">
        <is>
          <t>SOCCER</t>
        </is>
      </c>
      <c r="F142" s="24" t="inlineStr">
        <is>
          <t>Botafogo-SP</t>
        </is>
      </c>
      <c r="G142" s="24" t="inlineStr">
        <is>
          <t>Fortaleza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0.456199</v>
      </c>
      <c r="P142" s="28" t="n">
        <v>0.2</v>
      </c>
      <c r="Q142" s="28" t="n">
        <v>-0.053605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0.9615</v>
      </c>
      <c r="AD142" s="24" t="inlineStr">
        <is>
          <t>2026-07-29T02:41:49.433624Z</t>
        </is>
      </c>
      <c r="AE142" s="31" t="inlineStr">
        <is>
          <t>Poisson-DC rates 1.64 (home) / 1.24 (away) from EWMA attack/defense strengths. Executable ask 0.5100 (atc-brb-fec-bot-2026-07-28-fec).</t>
        </is>
      </c>
      <c r="AF142" s="31" t="inlineStr">
        <is>
          <t>Research-only soccer score model; draw-aware, but not yet locked-holdout qualified.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Botafogo-SP</t>
        </is>
      </c>
      <c r="AQ142" s="24" t="inlineStr">
        <is>
          <t>Botafogo-SP</t>
        </is>
      </c>
      <c r="AR142" s="24" t="inlineStr">
        <is>
          <t>Botafogo-SP</t>
        </is>
      </c>
      <c r="AS142" s="24" t="inlineStr">
        <is>
          <t>Fortaleza</t>
        </is>
      </c>
      <c r="AT142" s="24" t="inlineStr">
        <is>
          <t>Fortaleza</t>
        </is>
      </c>
      <c r="AU142" s="24" t="inlineStr">
        <is>
          <t>Fortaleza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2026-07-28T23:37:59.431647Z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</row>
    <row r="143" ht="36" customHeight="1">
      <c r="A143" s="24" t="inlineStr">
        <is>
          <t>b4c3bd27b9274dbf</t>
        </is>
      </c>
      <c r="B143" s="24" t="inlineStr">
        <is>
          <t>2026-07-28T23:39:16.759753Z</t>
        </is>
      </c>
      <c r="C143" s="24" t="inlineStr">
        <is>
          <t>2026-07-29T00:15Z</t>
        </is>
      </c>
      <c r="D143" s="24" t="inlineStr">
        <is>
          <t>401841453</t>
        </is>
      </c>
      <c r="E143" s="24" t="inlineStr">
        <is>
          <t>SOCCER</t>
        </is>
      </c>
      <c r="F143" s="24" t="inlineStr">
        <is>
          <t>Racing Club</t>
        </is>
      </c>
      <c r="G143" s="24" t="inlineStr">
        <is>
          <t>Rosario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108</v>
      </c>
      <c r="M143" s="27" t="n">
        <v>2.08</v>
      </c>
      <c r="N143" s="28" t="n">
        <v>0.480769</v>
      </c>
      <c r="O143" s="28" t="n">
        <v>0.456199</v>
      </c>
      <c r="P143" s="28" t="n">
        <v>0.2</v>
      </c>
      <c r="Q143" s="28" t="n">
        <v>-0.02457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push</t>
        </is>
      </c>
      <c r="W143" s="26" t="n">
        <v>0</v>
      </c>
      <c r="X143" s="26" t="n">
        <v>0</v>
      </c>
      <c r="Y143" s="25" t="n"/>
      <c r="Z143" s="26" t="n"/>
      <c r="AA143" s="28" t="n"/>
      <c r="AB143" s="28" t="n"/>
      <c r="AC143" s="30" t="n">
        <v>0</v>
      </c>
      <c r="AD143" s="24" t="inlineStr">
        <is>
          <t>2026-07-29T02:41:49.507236Z</t>
        </is>
      </c>
      <c r="AE143" s="31" t="inlineStr">
        <is>
          <t>Poisson-DC rates 1.64 (home) / 1.24 (away) from EWMA attack/defense strengths. Executable ask 0.4800 (atc-lpa-ros-rac-2026-07-28-ros).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Racing Club</t>
        </is>
      </c>
      <c r="AQ143" s="24" t="inlineStr">
        <is>
          <t>Racing Club</t>
        </is>
      </c>
      <c r="AR143" s="24" t="inlineStr">
        <is>
          <t>Racing Club</t>
        </is>
      </c>
      <c r="AS143" s="24" t="inlineStr">
        <is>
          <t>Rosario Central</t>
        </is>
      </c>
      <c r="AT143" s="24" t="inlineStr">
        <is>
          <t>Rosario Central</t>
        </is>
      </c>
      <c r="AU143" s="24" t="inlineStr">
        <is>
          <t>Rosario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2026-07-28T23:38:00.751821Z</t>
        </is>
      </c>
      <c r="BI143" s="24" t="inlineStr">
        <is>
          <t>["same_event","same_team_same_day","same_league_same_day"]</t>
        </is>
      </c>
      <c r="BJ143" s="25" t="n"/>
      <c r="BK143" s="26" t="n">
        <v>108</v>
      </c>
      <c r="BL143" s="27" t="n">
        <v>2.08</v>
      </c>
      <c r="BM143" s="28" t="n">
        <v>0.480769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</row>
    <row r="144" ht="36" customHeight="1">
      <c r="A144" s="24" t="inlineStr">
        <is>
          <t>5d005d5149204d49</t>
        </is>
      </c>
      <c r="B144" s="24" t="inlineStr">
        <is>
          <t>2026-07-29T08:55:19.773254Z</t>
        </is>
      </c>
      <c r="C144" s="24" t="inlineStr">
        <is>
          <t>2026-07-29T10:00Z</t>
        </is>
      </c>
      <c r="D144" s="24" t="inlineStr">
        <is>
          <t>401872736</t>
        </is>
      </c>
      <c r="E144" s="24" t="inlineStr">
        <is>
          <t>SOCCER</t>
        </is>
      </c>
      <c r="F144" s="24" t="inlineStr">
        <is>
          <t>Borussia Dortmund</t>
        </is>
      </c>
      <c r="G144" s="24" t="inlineStr">
        <is>
          <t>Cerezo Osaka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-178</v>
      </c>
      <c r="M144" s="27" t="n">
        <v>1.561798</v>
      </c>
      <c r="N144" s="28" t="n">
        <v>0.640288</v>
      </c>
      <c r="O144" s="28" t="n">
        <v>0.440542</v>
      </c>
      <c r="P144" s="28" t="n">
        <v>0.2</v>
      </c>
      <c r="Q144" s="28" t="n">
        <v>-0.199746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loss</t>
        </is>
      </c>
      <c r="W144" s="26" t="n">
        <v>0</v>
      </c>
      <c r="X144" s="26" t="n">
        <v>1</v>
      </c>
      <c r="Y144" s="25" t="n"/>
      <c r="Z144" s="26" t="n"/>
      <c r="AA144" s="28" t="n"/>
      <c r="AB144" s="28" t="n"/>
      <c r="AC144" s="30" t="n">
        <v>-1</v>
      </c>
      <c r="AD144" s="24" t="inlineStr">
        <is>
          <t>2026-07-29T15:04:55.440111Z</t>
        </is>
      </c>
      <c r="AE144" s="31" t="inlineStr">
        <is>
          <t>Poisson-DC rates 1.39 (home) / 1.71 (away) from EWMA attack/defense strengths. Executable ask 0.6400 (atc-clbf-cer-bvb-2026-07-29-bvb).</t>
        </is>
      </c>
      <c r="AF144" s="31" t="inlineStr">
        <is>
          <t>Research-only soccer score model; draw-aware, but not yet locked-holdout qualified.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Borussia Dortmund</t>
        </is>
      </c>
      <c r="AQ144" s="24" t="inlineStr">
        <is>
          <t>Borussia Dortmund</t>
        </is>
      </c>
      <c r="AR144" s="24" t="inlineStr">
        <is>
          <t>Borussia Dortmund</t>
        </is>
      </c>
      <c r="AS144" s="24" t="inlineStr">
        <is>
          <t>Cerezo Osaka</t>
        </is>
      </c>
      <c r="AT144" s="24" t="inlineStr">
        <is>
          <t>Cerezo Osaka</t>
        </is>
      </c>
      <c r="AU144" s="24" t="inlineStr">
        <is>
          <t>Cerezo Osaka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2026-07-29T08:52:45.504203Z</t>
        </is>
      </c>
      <c r="BI144" s="24" t="inlineStr">
        <is>
          <t>["same_event","same_team_same_day","same_league_same_day"]</t>
        </is>
      </c>
      <c r="BJ144" s="25" t="n"/>
      <c r="BK144" s="26" t="n">
        <v>-178</v>
      </c>
      <c r="BL144" s="27" t="n">
        <v>1.561798</v>
      </c>
      <c r="BM144" s="28" t="n">
        <v>0.640288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</row>
    <row r="145" ht="36" customHeight="1">
      <c r="A145" s="24" t="inlineStr">
        <is>
          <t>f8c013a541034830</t>
        </is>
      </c>
      <c r="B145" s="24" t="inlineStr">
        <is>
          <t>2026-07-29T15:07:40.379188Z</t>
        </is>
      </c>
      <c r="C145" s="24" t="inlineStr">
        <is>
          <t>2026-07-29T17:30Z</t>
        </is>
      </c>
      <c r="D145" s="24" t="inlineStr">
        <is>
          <t>401841461</t>
        </is>
      </c>
      <c r="E145" s="24" t="inlineStr">
        <is>
          <t>SOCCER</t>
        </is>
      </c>
      <c r="F145" s="24" t="inlineStr">
        <is>
          <t>Aldosivi</t>
        </is>
      </c>
      <c r="G145" s="24" t="inlineStr">
        <is>
          <t>Barracas Central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144</v>
      </c>
      <c r="M145" s="27" t="n">
        <v>2.44</v>
      </c>
      <c r="N145" s="28" t="n">
        <v>0.409836</v>
      </c>
      <c r="O145" s="28" t="n">
        <v>0.456199</v>
      </c>
      <c r="P145" s="28" t="n">
        <v>0.2</v>
      </c>
      <c r="Q145" s="28" t="n">
        <v>0.046363</v>
      </c>
      <c r="R145" s="26" t="n">
        <v>0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1.44</v>
      </c>
      <c r="AD145" s="24" t="inlineStr">
        <is>
          <t>2026-07-30T04:12:52.147509Z</t>
        </is>
      </c>
      <c r="AE145" s="31" t="inlineStr">
        <is>
          <t>Poisson-DC rates 1.64 (home) / 1.24 (away) from EWMA attack/defense strengths. Executable ask 0.4100 (atc-lpa-bar-ald-2026-07-29-bar).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Aldosivi</t>
        </is>
      </c>
      <c r="AQ145" s="24" t="inlineStr">
        <is>
          <t>Aldosivi</t>
        </is>
      </c>
      <c r="AR145" s="24" t="inlineStr">
        <is>
          <t>Aldosivi</t>
        </is>
      </c>
      <c r="AS145" s="24" t="inlineStr">
        <is>
          <t>Barracas Central</t>
        </is>
      </c>
      <c r="AT145" s="24" t="inlineStr">
        <is>
          <t>Barracas Central</t>
        </is>
      </c>
      <c r="AU145" s="24" t="inlineStr">
        <is>
          <t>Barracas Central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2026-07-29T15:06:01.050931Z</t>
        </is>
      </c>
      <c r="BI145" s="24" t="inlineStr">
        <is>
          <t>["same_event","same_team_same_day","same_league_same_day"]</t>
        </is>
      </c>
      <c r="BJ145" s="25" t="n"/>
      <c r="BK145" s="26" t="n">
        <v>144</v>
      </c>
      <c r="BL145" s="27" t="n">
        <v>2.44</v>
      </c>
      <c r="BM145" s="28" t="n">
        <v>0.409836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</row>
    <row r="146" ht="36" customHeight="1">
      <c r="A146" s="24" t="inlineStr">
        <is>
          <t>2016ad82b8004b89</t>
        </is>
      </c>
      <c r="B146" s="24" t="inlineStr">
        <is>
          <t>2026-07-29T17:45:15.881226Z</t>
        </is>
      </c>
      <c r="C146" s="24" t="inlineStr">
        <is>
          <t>2026-07-29T22:30Z</t>
        </is>
      </c>
      <c r="D146" s="24" t="inlineStr">
        <is>
          <t>401841171</t>
        </is>
      </c>
      <c r="E146" s="24" t="inlineStr">
        <is>
          <t>SOCCER</t>
        </is>
      </c>
      <c r="F146" s="24" t="inlineStr">
        <is>
          <t>Flamengo</t>
        </is>
      </c>
      <c r="G146" s="24" t="inlineStr">
        <is>
          <t>Internacional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285</v>
      </c>
      <c r="M146" s="27" t="n">
        <v>3.85</v>
      </c>
      <c r="N146" s="28" t="n">
        <v>0.25974</v>
      </c>
      <c r="O146" s="28" t="n">
        <v>0.456199</v>
      </c>
      <c r="P146" s="28" t="n">
        <v>0.2</v>
      </c>
      <c r="Q146" s="28" t="n">
        <v>0.196459</v>
      </c>
      <c r="R146" s="26" t="n">
        <v>28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push</t>
        </is>
      </c>
      <c r="W146" s="26" t="n">
        <v>1</v>
      </c>
      <c r="X146" s="26" t="n">
        <v>1</v>
      </c>
      <c r="Y146" s="25" t="n"/>
      <c r="Z146" s="26" t="n"/>
      <c r="AA146" s="28" t="n"/>
      <c r="AB146" s="28" t="n"/>
      <c r="AC146" s="30" t="n">
        <v>0</v>
      </c>
      <c r="AD146" s="24" t="inlineStr">
        <is>
          <t>2026-07-30T04:12:52.241515Z</t>
        </is>
      </c>
      <c r="AE146" s="31" t="inlineStr">
        <is>
          <t>Poisson-DC rates 1.64 (home) / 1.24 (away) from EWMA attack/defense strengths. Executable ask 0.2600 (atc-bra-int-fla-2026-07-29-int).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Flamengo</t>
        </is>
      </c>
      <c r="AQ146" s="24" t="inlineStr">
        <is>
          <t>Flamengo</t>
        </is>
      </c>
      <c r="AR146" s="24" t="inlineStr">
        <is>
          <t>Flamengo</t>
        </is>
      </c>
      <c r="AS146" s="24" t="inlineStr">
        <is>
          <t>Internacional</t>
        </is>
      </c>
      <c r="AT146" s="24" t="inlineStr">
        <is>
          <t>Internacional</t>
        </is>
      </c>
      <c r="AU146" s="24" t="inlineStr">
        <is>
          <t>Internacional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2026-07-29T17:43:19.651886Z</t>
        </is>
      </c>
      <c r="BI146" s="24" t="inlineStr">
        <is>
          <t>["same_event","same_team_same_day","same_league_same_day"]</t>
        </is>
      </c>
      <c r="BJ146" s="25" t="n"/>
      <c r="BK146" s="26" t="n">
        <v>285</v>
      </c>
      <c r="BL146" s="27" t="n">
        <v>3.85</v>
      </c>
      <c r="BM146" s="28" t="n">
        <v>0.25974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</row>
    <row r="147" ht="36" customHeight="1">
      <c r="A147" s="24" t="inlineStr">
        <is>
          <t>9eab45bc1b49434a</t>
        </is>
      </c>
      <c r="B147" s="24" t="inlineStr">
        <is>
          <t>2026-07-29T17:45:15.881226Z</t>
        </is>
      </c>
      <c r="C147" s="24" t="inlineStr">
        <is>
          <t>2026-07-29T22:30Z</t>
        </is>
      </c>
      <c r="D147" s="24" t="inlineStr">
        <is>
          <t>401841170</t>
        </is>
      </c>
      <c r="E147" s="24" t="inlineStr">
        <is>
          <t>SOCCER</t>
        </is>
      </c>
      <c r="F147" s="24" t="inlineStr">
        <is>
          <t>Remo</t>
        </is>
      </c>
      <c r="G147" s="24" t="inlineStr">
        <is>
          <t>Mirassol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-138</v>
      </c>
      <c r="M147" s="27" t="n">
        <v>1.724638</v>
      </c>
      <c r="N147" s="28" t="n">
        <v>0.579832</v>
      </c>
      <c r="O147" s="28" t="n">
        <v>0.456199</v>
      </c>
      <c r="P147" s="28" t="n">
        <v>0.2</v>
      </c>
      <c r="Q147" s="28" t="n">
        <v>-0.123633</v>
      </c>
      <c r="R147" s="26" t="n">
        <v>0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win</t>
        </is>
      </c>
      <c r="W147" s="26" t="n">
        <v>1</v>
      </c>
      <c r="X147" s="26" t="n">
        <v>2</v>
      </c>
      <c r="Y147" s="25" t="n"/>
      <c r="Z147" s="26" t="n"/>
      <c r="AA147" s="28" t="n"/>
      <c r="AB147" s="28" t="n"/>
      <c r="AC147" s="30" t="n">
        <v>0.7246</v>
      </c>
      <c r="AD147" s="24" t="inlineStr">
        <is>
          <t>2026-07-30T04:12:52.337713Z</t>
        </is>
      </c>
      <c r="AE147" s="31" t="inlineStr">
        <is>
          <t>Poisson-DC rates 1.64 (home) / 1.24 (away) from EWMA attack/defense strengths. Executable ask 0.5800 (atc-bra-mir-cre-2026-07-29-mir).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Remo</t>
        </is>
      </c>
      <c r="AQ147" s="24" t="inlineStr">
        <is>
          <t>Remo</t>
        </is>
      </c>
      <c r="AR147" s="24" t="inlineStr">
        <is>
          <t>Remo</t>
        </is>
      </c>
      <c r="AS147" s="24" t="inlineStr">
        <is>
          <t>Mirassol</t>
        </is>
      </c>
      <c r="AT147" s="24" t="inlineStr">
        <is>
          <t>Mirassol</t>
        </is>
      </c>
      <c r="AU147" s="24" t="inlineStr">
        <is>
          <t>Mirassol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0361718a19f38c3d244b71cb6b1f2e7e14a86925e833d2186645250fc084b969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0361718a19f38c3d244b71cb6b1f2e7e14a86925e833d2186645250fc084b969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0361718a19f38c3d244b71cb6b1f2e7e14a86925e833d2186645250fc084b969</t>
        </is>
      </c>
      <c r="BH147" s="24" t="inlineStr">
        <is>
          <t>2026-07-29T17:43:19.742689Z</t>
        </is>
      </c>
      <c r="BI147" s="24" t="inlineStr">
        <is>
          <t>["same_event","same_team_same_day","same_league_same_day"]</t>
        </is>
      </c>
      <c r="BJ147" s="25" t="n"/>
      <c r="BK147" s="26" t="n">
        <v>-138</v>
      </c>
      <c r="BL147" s="27" t="n">
        <v>1.724638</v>
      </c>
      <c r="BM147" s="28" t="n">
        <v>0.579832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</row>
    <row r="148" ht="36" customHeight="1">
      <c r="A148" s="24" t="inlineStr">
        <is>
          <t>543936a84904488a</t>
        </is>
      </c>
      <c r="B148" s="24" t="inlineStr">
        <is>
          <t>2026-07-29T17:45:15.881226Z</t>
        </is>
      </c>
      <c r="C148" s="24" t="inlineStr">
        <is>
          <t>2026-07-30T00:30Z</t>
        </is>
      </c>
      <c r="D148" s="24" t="inlineStr">
        <is>
          <t>401841177</t>
        </is>
      </c>
      <c r="E148" s="24" t="inlineStr">
        <is>
          <t>SOCCER</t>
        </is>
      </c>
      <c r="F148" s="24" t="inlineStr">
        <is>
          <t>Bahia</t>
        </is>
      </c>
      <c r="G148" s="24" t="inlineStr">
        <is>
          <t>Fluminense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-133</v>
      </c>
      <c r="M148" s="27" t="n">
        <v>1.75188</v>
      </c>
      <c r="N148" s="28" t="n">
        <v>0.570815</v>
      </c>
      <c r="O148" s="28" t="n">
        <v>0.456199</v>
      </c>
      <c r="P148" s="28" t="n">
        <v>0.2</v>
      </c>
      <c r="Q148" s="28" t="n">
        <v>-0.114616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push</t>
        </is>
      </c>
      <c r="W148" s="26" t="n">
        <v>0</v>
      </c>
      <c r="X148" s="26" t="n">
        <v>0</v>
      </c>
      <c r="Y148" s="25" t="n"/>
      <c r="Z148" s="26" t="n"/>
      <c r="AA148" s="28" t="n"/>
      <c r="AB148" s="28" t="n"/>
      <c r="AC148" s="30" t="n">
        <v>0</v>
      </c>
      <c r="AD148" s="24" t="inlineStr">
        <is>
          <t>2026-07-30T04:12:52.435602Z</t>
        </is>
      </c>
      <c r="AE148" s="31" t="inlineStr">
        <is>
          <t>Poisson-DC rates 1.64 (home) / 1.24 (away) from EWMA attack/defense strengths. Executable ask 0.5700 (atc-bra-flu-bah-2026-07-29-flu).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Bahia</t>
        </is>
      </c>
      <c r="AQ148" s="24" t="inlineStr">
        <is>
          <t>Bahia</t>
        </is>
      </c>
      <c r="AR148" s="24" t="inlineStr">
        <is>
          <t>Bahia</t>
        </is>
      </c>
      <c r="AS148" s="24" t="inlineStr">
        <is>
          <t>Fluminense</t>
        </is>
      </c>
      <c r="AT148" s="24" t="inlineStr">
        <is>
          <t>Fluminense</t>
        </is>
      </c>
      <c r="AU148" s="24" t="inlineStr">
        <is>
          <t>Fluminense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0361718a19f38c3d244b71cb6b1f2e7e14a86925e833d2186645250fc084b969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0361718a19f38c3d244b71cb6b1f2e7e14a86925e833d2186645250fc084b969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0361718a19f38c3d244b71cb6b1f2e7e14a86925e833d2186645250fc084b969</t>
        </is>
      </c>
      <c r="BH148" s="24" t="inlineStr">
        <is>
          <t>2026-07-29T17:43:20.222742Z</t>
        </is>
      </c>
      <c r="BI148" s="24" t="inlineStr">
        <is>
          <t>["same_event","same_team_same_day","same_league_same_day"]</t>
        </is>
      </c>
      <c r="BJ148" s="25" t="n"/>
      <c r="BK148" s="26" t="n">
        <v>-133</v>
      </c>
      <c r="BL148" s="27" t="n">
        <v>1.75188</v>
      </c>
      <c r="BM148" s="28" t="n">
        <v>0.570815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</row>
    <row r="149" ht="36" customHeight="1">
      <c r="A149" s="24" t="inlineStr">
        <is>
          <t>e4ff84b7e06b4da7</t>
        </is>
      </c>
      <c r="B149" s="24" t="inlineStr">
        <is>
          <t>2026-07-29T17:45:15.881226Z</t>
        </is>
      </c>
      <c r="C149" s="24" t="inlineStr">
        <is>
          <t>2026-07-29T22:15Z</t>
        </is>
      </c>
      <c r="D149" s="24" t="inlineStr">
        <is>
          <t>401841457</t>
        </is>
      </c>
      <c r="E149" s="24" t="inlineStr">
        <is>
          <t>SOCCER</t>
        </is>
      </c>
      <c r="F149" s="24" t="inlineStr">
        <is>
          <t>River Plate</t>
        </is>
      </c>
      <c r="G149" s="24" t="inlineStr">
        <is>
          <t>Gimnasia La Plata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355</v>
      </c>
      <c r="M149" s="27" t="n">
        <v>4.55</v>
      </c>
      <c r="N149" s="28" t="n">
        <v>0.21978</v>
      </c>
      <c r="O149" s="28" t="n">
        <v>0.456199</v>
      </c>
      <c r="P149" s="28" t="n">
        <v>0.2</v>
      </c>
      <c r="Q149" s="28" t="n">
        <v>0.236419</v>
      </c>
      <c r="R149" s="26" t="n">
        <v>48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/>
      <c r="AA149" s="28" t="n"/>
      <c r="AB149" s="28" t="n"/>
      <c r="AC149" s="30" t="n">
        <v>3.55</v>
      </c>
      <c r="AD149" s="24" t="inlineStr">
        <is>
          <t>2026-07-30T04:12:52.533511Z</t>
        </is>
      </c>
      <c r="AE149" s="31" t="inlineStr">
        <is>
          <t>Poisson-DC rates 1.64 (home) / 1.24 (away) from EWMA attack/defense strengths. Executable ask 0.2200 (atc-lpa-gim-riv-2026-07-29-gim).</t>
        </is>
      </c>
      <c r="AF149" s="31" t="inlineStr">
        <is>
          <t>Research-only soccer score model; draw-aware, but not yet locked-holdout qualified.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River Plate</t>
        </is>
      </c>
      <c r="AQ149" s="24" t="inlineStr">
        <is>
          <t>River Plate</t>
        </is>
      </c>
      <c r="AR149" s="24" t="inlineStr">
        <is>
          <t>River Plate</t>
        </is>
      </c>
      <c r="AS149" s="24" t="inlineStr">
        <is>
          <t>Gimnasia La Plata</t>
        </is>
      </c>
      <c r="AT149" s="24" t="inlineStr">
        <is>
          <t>Gimnasia La Plata</t>
        </is>
      </c>
      <c r="AU149" s="24" t="inlineStr">
        <is>
          <t>Gimnasia La Plata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0361718a19f38c3d244b71cb6b1f2e7e14a86925e833d2186645250fc084b969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0361718a19f38c3d244b71cb6b1f2e7e14a86925e833d2186645250fc084b969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0361718a19f38c3d244b71cb6b1f2e7e14a86925e833d2186645250fc084b969</t>
        </is>
      </c>
      <c r="BH149" s="24" t="inlineStr">
        <is>
          <t>2026-07-29T17:43:20.814669Z</t>
        </is>
      </c>
      <c r="BI149" s="24" t="inlineStr">
        <is>
          <t>["same_event","same_team_same_day","same_league_same_day"]</t>
        </is>
      </c>
      <c r="BJ149" s="25" t="n"/>
      <c r="BK149" s="26" t="n">
        <v>355</v>
      </c>
      <c r="BL149" s="27" t="n">
        <v>4.55</v>
      </c>
      <c r="BM149" s="28" t="n">
        <v>0.21978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</row>
    <row r="150" ht="36" customHeight="1">
      <c r="A150" s="24" t="inlineStr">
        <is>
          <t>6fe762116e044f29</t>
        </is>
      </c>
      <c r="B150" s="24" t="inlineStr">
        <is>
          <t>2026-07-29T17:45:15.881226Z</t>
        </is>
      </c>
      <c r="C150" s="24" t="inlineStr">
        <is>
          <t>2026-07-29T23:30Z</t>
        </is>
      </c>
      <c r="D150" s="24" t="inlineStr">
        <is>
          <t>401863532</t>
        </is>
      </c>
      <c r="E150" s="24" t="inlineStr">
        <is>
          <t>SOCCER</t>
        </is>
      </c>
      <c r="F150" s="24" t="inlineStr">
        <is>
          <t>Wrexham</t>
        </is>
      </c>
      <c r="G150" s="24" t="inlineStr">
        <is>
          <t>Liverpool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-233</v>
      </c>
      <c r="M150" s="27" t="n">
        <v>1.429185</v>
      </c>
      <c r="N150" s="28" t="n">
        <v>0.6997</v>
      </c>
      <c r="O150" s="28" t="n">
        <v>0.5541700000000001</v>
      </c>
      <c r="P150" s="28" t="n">
        <v>0.04</v>
      </c>
      <c r="Q150" s="28" t="n">
        <v>-0.14553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0.4292</v>
      </c>
      <c r="AD150" s="24" t="inlineStr">
        <is>
          <t>2026-07-30T04:12:55.723807Z</t>
        </is>
      </c>
      <c r="AE150" s="31" t="inlineStr">
        <is>
          <t>Poisson-DC rates 2.12 (home) / 1.29 (away) from EWMA attack/defense strengths. Executable ask 0.7000 (atc-clbf-lfc-wre-2026-07-29-lfc).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Wrexham</t>
        </is>
      </c>
      <c r="AQ150" s="24" t="inlineStr">
        <is>
          <t>Wrexham</t>
        </is>
      </c>
      <c r="AR150" s="24" t="inlineStr">
        <is>
          <t>Wrexham</t>
        </is>
      </c>
      <c r="AS150" s="24" t="inlineStr">
        <is>
          <t>Liverpool</t>
        </is>
      </c>
      <c r="AT150" s="24" t="inlineStr">
        <is>
          <t>Liverpool</t>
        </is>
      </c>
      <c r="AU150" s="24" t="inlineStr">
        <is>
          <t>Liverpool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0361718a19f38c3d244b71cb6b1f2e7e14a86925e833d2186645250fc084b969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0361718a19f38c3d244b71cb6b1f2e7e14a86925e833d2186645250fc084b969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0361718a19f38c3d244b71cb6b1f2e7e14a86925e833d2186645250fc084b969</t>
        </is>
      </c>
      <c r="BH150" s="24" t="inlineStr">
        <is>
          <t>2026-07-29T17:43:24.705734Z</t>
        </is>
      </c>
      <c r="BI150" s="24" t="inlineStr">
        <is>
          <t>["same_event","same_team_same_day","same_league_same_day"]</t>
        </is>
      </c>
      <c r="BJ150" s="25" t="n"/>
      <c r="BK150" s="26" t="n">
        <v>-233</v>
      </c>
      <c r="BL150" s="27" t="n">
        <v>1.429185</v>
      </c>
      <c r="BM150" s="28" t="n">
        <v>0.6997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</row>
    <row r="151" ht="36" customHeight="1">
      <c r="A151" s="24" t="inlineStr">
        <is>
          <t>5f5afef2c6ff418f</t>
        </is>
      </c>
      <c r="B151" s="24" t="inlineStr">
        <is>
          <t>2026-07-30T21:08:36.264404Z</t>
        </is>
      </c>
      <c r="C151" s="24" t="inlineStr">
        <is>
          <t>2026-07-31T00:30Z</t>
        </is>
      </c>
      <c r="D151" s="24" t="inlineStr">
        <is>
          <t>401841173</t>
        </is>
      </c>
      <c r="E151" s="24" t="inlineStr">
        <is>
          <t>SOCCER</t>
        </is>
      </c>
      <c r="F151" s="24" t="inlineStr">
        <is>
          <t>Cruzeiro</t>
        </is>
      </c>
      <c r="G151" s="24" t="inlineStr">
        <is>
          <t>Coritiba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245</v>
      </c>
      <c r="M151" s="27" t="n">
        <v>3.45</v>
      </c>
      <c r="N151" s="28" t="n">
        <v>0.289855</v>
      </c>
      <c r="O151" s="28" t="n">
        <v>0.456135</v>
      </c>
      <c r="P151" s="28" t="n">
        <v>0.2</v>
      </c>
      <c r="Q151" s="28" t="n">
        <v>0.16628</v>
      </c>
      <c r="R151" s="26" t="n">
        <v>13</v>
      </c>
      <c r="S151" s="29" t="n">
        <v>1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</v>
      </c>
      <c r="AD151" s="24" t="inlineStr">
        <is>
          <t>2026-07-31T04:29:36.196646Z</t>
        </is>
      </c>
      <c r="AE151" s="31" t="inlineStr">
        <is>
          <t>Poisson-DC rates 1.64 (home) / 1.24 (away) from EWMA attack/defense strengths. Executable ask 0.2900 (atc-bra-cor-cru-2026-07-30-cor).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Cruzeiro</t>
        </is>
      </c>
      <c r="AQ151" s="24" t="inlineStr">
        <is>
          <t>Cruzeiro</t>
        </is>
      </c>
      <c r="AR151" s="24" t="inlineStr">
        <is>
          <t>Cruzeiro</t>
        </is>
      </c>
      <c r="AS151" s="24" t="inlineStr">
        <is>
          <t>Coritiba</t>
        </is>
      </c>
      <c r="AT151" s="24" t="inlineStr">
        <is>
          <t>Coritiba</t>
        </is>
      </c>
      <c r="AU151" s="24" t="inlineStr">
        <is>
          <t>Coritiba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2026-07-30T21:07:20.486954Z</t>
        </is>
      </c>
      <c r="BI151" s="24" t="inlineStr">
        <is>
          <t>["same_event","same_team_same_day","same_league_same_day"]</t>
        </is>
      </c>
      <c r="BJ151" s="25" t="n"/>
      <c r="BK151" s="26" t="n">
        <v>245</v>
      </c>
      <c r="BL151" s="27" t="n">
        <v>3.45</v>
      </c>
      <c r="BM151" s="28" t="n">
        <v>0.289855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</row>
    <row r="152" ht="36" customHeight="1">
      <c r="A152" s="24" t="inlineStr">
        <is>
          <t>9bfe664e8e5b4a8b</t>
        </is>
      </c>
      <c r="B152" s="24" t="inlineStr">
        <is>
          <t>2026-07-30T21:08:36.264404Z</t>
        </is>
      </c>
      <c r="C152" s="24" t="inlineStr">
        <is>
          <t>2026-07-31T00:15Z</t>
        </is>
      </c>
      <c r="D152" s="24" t="inlineStr">
        <is>
          <t>401841456</t>
        </is>
      </c>
      <c r="E152" s="24" t="inlineStr">
        <is>
          <t>SOCCER</t>
        </is>
      </c>
      <c r="F152" s="24" t="inlineStr">
        <is>
          <t>Newell's Old Boys</t>
        </is>
      </c>
      <c r="G152" s="24" t="inlineStr">
        <is>
          <t>Independiente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-156</v>
      </c>
      <c r="M152" s="27" t="n">
        <v>1.641026</v>
      </c>
      <c r="N152" s="28" t="n">
        <v>0.609375</v>
      </c>
      <c r="O152" s="28" t="n">
        <v>0.456135</v>
      </c>
      <c r="P152" s="28" t="n">
        <v>0.2</v>
      </c>
      <c r="Q152" s="28" t="n">
        <v>-0.15324</v>
      </c>
      <c r="R152" s="26" t="n">
        <v>0</v>
      </c>
      <c r="S152" s="29" t="n">
        <v>1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1</v>
      </c>
      <c r="Y152" s="25" t="n"/>
      <c r="Z152" s="26" t="n"/>
      <c r="AA152" s="28" t="n"/>
      <c r="AB152" s="28" t="n"/>
      <c r="AC152" s="30" t="n">
        <v>0.641</v>
      </c>
      <c r="AD152" s="24" t="inlineStr">
        <is>
          <t>2026-07-31T04:29:36.979280Z</t>
        </is>
      </c>
      <c r="AE152" s="31" t="inlineStr">
        <is>
          <t>Poisson-DC rates 1.64 (home) / 1.24 (away) from EWMA attack/defense strengths. Executable ask 0.6100 (atc-lpa-ind-new-2026-07-30-ind).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Newell's Old Boys</t>
        </is>
      </c>
      <c r="AQ152" s="24" t="inlineStr">
        <is>
          <t>Newell's Old Boys</t>
        </is>
      </c>
      <c r="AR152" s="24" t="inlineStr">
        <is>
          <t>Newell's Old Boys</t>
        </is>
      </c>
      <c r="AS152" s="24" t="inlineStr">
        <is>
          <t>Independiente</t>
        </is>
      </c>
      <c r="AT152" s="24" t="inlineStr">
        <is>
          <t>Independiente</t>
        </is>
      </c>
      <c r="AU152" s="24" t="inlineStr">
        <is>
          <t>Independiente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2026-07-30T21:07:21.770185Z</t>
        </is>
      </c>
      <c r="BI152" s="24" t="inlineStr">
        <is>
          <t>["same_event","same_team_same_day","same_league_same_day"]</t>
        </is>
      </c>
      <c r="BJ152" s="25" t="n"/>
      <c r="BK152" s="26" t="n">
        <v>-156</v>
      </c>
      <c r="BL152" s="27" t="n">
        <v>1.641026</v>
      </c>
      <c r="BM152" s="28" t="n">
        <v>0.609375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</row>
    <row r="153" ht="36" customHeight="1">
      <c r="A153" s="24" t="inlineStr">
        <is>
          <t>97c8cc75e04649d2</t>
        </is>
      </c>
      <c r="B153" s="24" t="inlineStr">
        <is>
          <t>2026-07-30T21:08:36.264404Z</t>
        </is>
      </c>
      <c r="C153" s="24" t="inlineStr">
        <is>
          <t>2026-07-31T00:30Z</t>
        </is>
      </c>
      <c r="D153" s="24" t="inlineStr">
        <is>
          <t>401874162</t>
        </is>
      </c>
      <c r="E153" s="24" t="inlineStr">
        <is>
          <t>SOCCER</t>
        </is>
      </c>
      <c r="F153" s="24" t="inlineStr">
        <is>
          <t>Independiente Santa Fe</t>
        </is>
      </c>
      <c r="G153" s="24" t="inlineStr">
        <is>
          <t>Caracas FC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223</v>
      </c>
      <c r="M153" s="27" t="n">
        <v>3.23</v>
      </c>
      <c r="N153" s="28" t="n">
        <v>0.309598</v>
      </c>
      <c r="O153" s="28" t="n">
        <v>0.456135</v>
      </c>
      <c r="P153" s="28" t="n">
        <v>0.2</v>
      </c>
      <c r="Q153" s="28" t="n">
        <v>0.146537</v>
      </c>
      <c r="R153" s="26" t="n">
        <v>3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loss</t>
        </is>
      </c>
      <c r="W153" s="26" t="n">
        <v>3</v>
      </c>
      <c r="X153" s="26" t="n">
        <v>0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2026-07-31T04:29:39.457874Z</t>
        </is>
      </c>
      <c r="AE153" s="31" t="inlineStr">
        <is>
          <t>Poisson-DC rates 1.64 (home) / 1.24 (away) from EWMA attack/defense strengths. Executable ask 0.3100 (atc-sud-cfa-isf-2026-07-30-cfa).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Independiente Santa Fe</t>
        </is>
      </c>
      <c r="AQ153" s="24" t="inlineStr">
        <is>
          <t>Independiente Santa Fe</t>
        </is>
      </c>
      <c r="AR153" s="24" t="inlineStr">
        <is>
          <t>Independiente Santa Fe</t>
        </is>
      </c>
      <c r="AS153" s="24" t="inlineStr">
        <is>
          <t>Caracas FC</t>
        </is>
      </c>
      <c r="AT153" s="24" t="inlineStr">
        <is>
          <t>Caracas FC</t>
        </is>
      </c>
      <c r="AU153" s="24" t="inlineStr">
        <is>
          <t>Caracas FC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2026-07-30T21:07:22.865296Z</t>
        </is>
      </c>
      <c r="BI153" s="24" t="inlineStr">
        <is>
          <t>["same_event","same_team_same_day","same_league_same_day"]</t>
        </is>
      </c>
      <c r="BJ153" s="25" t="n"/>
      <c r="BK153" s="26" t="n">
        <v>223</v>
      </c>
      <c r="BL153" s="27" t="n">
        <v>3.23</v>
      </c>
      <c r="BM153" s="28" t="n">
        <v>0.309598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</row>
    <row r="154" ht="36" customHeight="1">
      <c r="A154" s="24" t="inlineStr">
        <is>
          <t>5332b99f26d14835</t>
        </is>
      </c>
      <c r="B154" s="24" t="inlineStr">
        <is>
          <t>2026-07-30T21:08:36.264404Z</t>
        </is>
      </c>
      <c r="C154" s="24" t="inlineStr">
        <is>
          <t>2026-07-31T00:30Z</t>
        </is>
      </c>
      <c r="D154" s="24" t="inlineStr">
        <is>
          <t>401874164</t>
        </is>
      </c>
      <c r="E154" s="24" t="inlineStr">
        <is>
          <t>SOCCER</t>
        </is>
      </c>
      <c r="F154" s="24" t="inlineStr">
        <is>
          <t>Boca Juniors</t>
        </is>
      </c>
      <c r="G154" s="24" t="inlineStr">
        <is>
          <t>O'Higgins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-104</v>
      </c>
      <c r="M154" s="27" t="n">
        <v>1.961538</v>
      </c>
      <c r="N154" s="28" t="n">
        <v>0.509804</v>
      </c>
      <c r="O154" s="28" t="n">
        <v>0.396866</v>
      </c>
      <c r="P154" s="28" t="n">
        <v>0.19</v>
      </c>
      <c r="Q154" s="28" t="n">
        <v>-0.112938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0</v>
      </c>
      <c r="X154" s="26" t="n">
        <v>1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2026-07-31T04:29:39.572875Z</t>
        </is>
      </c>
      <c r="AE154" s="31" t="inlineStr">
        <is>
          <t>Poisson-DC rates 1.30 (home) / 1.46 (away) from EWMA attack/defense strengths. Executable ask 0.5100 (atc-sud-ohi-boc-2026-07-30-boc).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Boca Juniors</t>
        </is>
      </c>
      <c r="AQ154" s="24" t="inlineStr">
        <is>
          <t>Boca Juniors</t>
        </is>
      </c>
      <c r="AR154" s="24" t="inlineStr">
        <is>
          <t>Boca Juniors</t>
        </is>
      </c>
      <c r="AS154" s="24" t="inlineStr">
        <is>
          <t>O'Higgins</t>
        </is>
      </c>
      <c r="AT154" s="24" t="inlineStr">
        <is>
          <t>O'Higgins</t>
        </is>
      </c>
      <c r="AU154" s="24" t="inlineStr">
        <is>
          <t>O'Higgins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2026-07-30T21:07:23.262683Z</t>
        </is>
      </c>
      <c r="BI154" s="24" t="inlineStr">
        <is>
          <t>["same_event","same_team_same_day","same_league_same_day"]</t>
        </is>
      </c>
      <c r="BJ154" s="25" t="n"/>
      <c r="BK154" s="26" t="n">
        <v>-104</v>
      </c>
      <c r="BL154" s="27" t="n">
        <v>1.961538</v>
      </c>
      <c r="BM154" s="28" t="n">
        <v>0.509804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</row>
    <row r="155" ht="36" customHeight="1">
      <c r="A155" s="24" t="inlineStr">
        <is>
          <t>0ea3ba73ea6147e2</t>
        </is>
      </c>
      <c r="B155" s="24" t="inlineStr">
        <is>
          <t>2026-07-30T21:08:36.264404Z</t>
        </is>
      </c>
      <c r="C155" s="24" t="inlineStr">
        <is>
          <t>2026-07-30T23:30Z</t>
        </is>
      </c>
      <c r="D155" s="24" t="inlineStr">
        <is>
          <t>401897750</t>
        </is>
      </c>
      <c r="E155" s="24" t="inlineStr">
        <is>
          <t>SOCCER</t>
        </is>
      </c>
      <c r="F155" s="24" t="inlineStr">
        <is>
          <t>Leeds United</t>
        </is>
      </c>
      <c r="G155" s="24" t="inlineStr">
        <is>
          <t>Sunderland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178</v>
      </c>
      <c r="M155" s="27" t="n">
        <v>2.78</v>
      </c>
      <c r="N155" s="28" t="n">
        <v>0.359712</v>
      </c>
      <c r="O155" s="28" t="n">
        <v>0.356905</v>
      </c>
      <c r="P155" s="28" t="n">
        <v>0.04</v>
      </c>
      <c r="Q155" s="28" t="n">
        <v>-0.002807</v>
      </c>
      <c r="R155" s="26" t="n">
        <v>25</v>
      </c>
      <c r="S155" s="29" t="n">
        <v>1.75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-1.75</v>
      </c>
      <c r="AD155" s="24" t="inlineStr">
        <is>
          <t>2026-07-31T04:29:40.244393Z</t>
        </is>
      </c>
      <c r="AE155" s="31" t="inlineStr">
        <is>
          <t>Poisson-DC rates 1.19 (home) / 1.15 (away) from EWMA attack/defense strengths. Executable ask 0.3600 (atc-clbf-lee-sun-2026-07-30-sun).</t>
        </is>
      </c>
      <c r="AF155" s="31" t="inlineStr">
        <is>
          <t>Research-only soccer score model; draw-aware, but not yet locked-holdout qualified.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Leeds United</t>
        </is>
      </c>
      <c r="AQ155" s="24" t="inlineStr">
        <is>
          <t>Leeds United</t>
        </is>
      </c>
      <c r="AR155" s="24" t="inlineStr">
        <is>
          <t>Leeds United</t>
        </is>
      </c>
      <c r="AS155" s="24" t="inlineStr">
        <is>
          <t>Sunderland</t>
        </is>
      </c>
      <c r="AT155" s="24" t="inlineStr">
        <is>
          <t>Sunderland</t>
        </is>
      </c>
      <c r="AU155" s="24" t="inlineStr">
        <is>
          <t>Sunderland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2026-07-30T21:07:23.815408Z</t>
        </is>
      </c>
      <c r="BI155" s="24" t="inlineStr">
        <is>
          <t>["same_event","same_team_same_day","same_league_same_day"]</t>
        </is>
      </c>
      <c r="BJ155" s="25" t="n"/>
      <c r="BK155" s="26" t="n">
        <v>178</v>
      </c>
      <c r="BL155" s="27" t="n">
        <v>2.78</v>
      </c>
      <c r="BM155" s="28" t="n">
        <v>0.359712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</row>
    <row r="156" ht="36" customHeight="1">
      <c r="A156" s="24" t="inlineStr">
        <is>
          <t>c200651130f34160</t>
        </is>
      </c>
      <c r="B156" s="24" t="inlineStr">
        <is>
          <t>2026-07-31T13:42:15.135577Z</t>
        </is>
      </c>
      <c r="C156" s="24" t="inlineStr">
        <is>
          <t>2026-07-31T16:00Z</t>
        </is>
      </c>
      <c r="D156" s="24" t="inlineStr">
        <is>
          <t>401887800</t>
        </is>
      </c>
      <c r="E156" s="24" t="inlineStr">
        <is>
          <t>SOCCER</t>
        </is>
      </c>
      <c r="F156" s="24" t="inlineStr">
        <is>
          <t>Nice</t>
        </is>
      </c>
      <c r="G156" s="24" t="inlineStr">
        <is>
          <t>Juventus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-178</v>
      </c>
      <c r="M156" s="27" t="n">
        <v>1.561798</v>
      </c>
      <c r="N156" s="28" t="n">
        <v>0.640288</v>
      </c>
      <c r="O156" s="28" t="n">
        <v>0.657201</v>
      </c>
      <c r="P156" s="28" t="n">
        <v>0.04</v>
      </c>
      <c r="Q156" s="28" t="n">
        <v>0.016913</v>
      </c>
      <c r="R156" s="26" t="n">
        <v>34</v>
      </c>
      <c r="S156" s="29" t="n">
        <v>1.75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2</v>
      </c>
      <c r="Y156" s="25" t="n"/>
      <c r="Z156" s="26" t="n"/>
      <c r="AA156" s="28" t="n"/>
      <c r="AB156" s="28" t="n"/>
      <c r="AC156" s="30" t="n">
        <v>0.9831</v>
      </c>
      <c r="AD156" s="24" t="inlineStr">
        <is>
          <t>2026-07-31T19:51:18.407364Z</t>
        </is>
      </c>
      <c r="AE156" s="31" t="inlineStr">
        <is>
          <t>Poisson-DC rates 1.85 (home) / 0.63 (away) from EWMA attack/defense strengths. Executable ask 0.6400 (atc-clbf-juv-nic-2026-07-31-juv).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Nice</t>
        </is>
      </c>
      <c r="AQ156" s="24" t="inlineStr">
        <is>
          <t>Nice</t>
        </is>
      </c>
      <c r="AR156" s="24" t="inlineStr">
        <is>
          <t>Nice</t>
        </is>
      </c>
      <c r="AS156" s="24" t="inlineStr">
        <is>
          <t>Juventus</t>
        </is>
      </c>
      <c r="AT156" s="24" t="inlineStr">
        <is>
          <t>Juventus</t>
        </is>
      </c>
      <c r="AU156" s="24" t="inlineStr">
        <is>
          <t>Juventus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2026-07-31T13:39:47.941159Z</t>
        </is>
      </c>
      <c r="BI156" s="24" t="inlineStr">
        <is>
          <t>["same_event","same_team_same_day","same_league_same_day"]</t>
        </is>
      </c>
      <c r="BJ156" s="25" t="n"/>
      <c r="BK156" s="26" t="n">
        <v>-178</v>
      </c>
      <c r="BL156" s="27" t="n">
        <v>1.561798</v>
      </c>
      <c r="BM156" s="28" t="n">
        <v>0.640288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</row>
    <row r="157" ht="36" customHeight="1">
      <c r="A157" s="24" t="inlineStr">
        <is>
          <t>de331d6e34e540e2</t>
        </is>
      </c>
      <c r="B157" s="24" t="inlineStr">
        <is>
          <t>2026-07-31T16:48:13.817502Z</t>
        </is>
      </c>
      <c r="C157" s="24" t="inlineStr">
        <is>
          <t>2026-07-31T18:45Z</t>
        </is>
      </c>
      <c r="D157" s="24" t="inlineStr">
        <is>
          <t>401886550</t>
        </is>
      </c>
      <c r="E157" s="24" t="inlineStr">
        <is>
          <t>SOCCER</t>
        </is>
      </c>
      <c r="F157" s="24" t="inlineStr">
        <is>
          <t>Barcelona</t>
        </is>
      </c>
      <c r="G157" s="24" t="inlineStr">
        <is>
          <t>Birmingham City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-186</v>
      </c>
      <c r="M157" s="27" t="n">
        <v>1.537634</v>
      </c>
      <c r="N157" s="28" t="n">
        <v>0.65035</v>
      </c>
      <c r="O157" s="28" t="n">
        <v>0.480022</v>
      </c>
      <c r="P157" s="28" t="n">
        <v>0.04</v>
      </c>
      <c r="Q157" s="28" t="n">
        <v>-0.170328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push</t>
        </is>
      </c>
      <c r="W157" s="26" t="n">
        <v>2</v>
      </c>
      <c r="X157" s="26" t="n">
        <v>2</v>
      </c>
      <c r="Y157" s="25" t="n"/>
      <c r="Z157" s="26" t="n"/>
      <c r="AA157" s="28" t="n"/>
      <c r="AB157" s="28" t="n"/>
      <c r="AC157" s="30" t="n">
        <v>0</v>
      </c>
      <c r="AD157" s="24" t="inlineStr">
        <is>
          <t>2026-07-31T21:03:36.213553Z</t>
        </is>
      </c>
      <c r="AE157" s="31" t="inlineStr">
        <is>
          <t>Poisson-DC rates 1.04 (home) / 1.55 (away) from EWMA attack/defense strengths. Executable ask 0.6500 (atc-clbf-bc-bar-2026-07-31-bar).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Barcelona</t>
        </is>
      </c>
      <c r="AQ157" s="24" t="inlineStr">
        <is>
          <t>Barcelona</t>
        </is>
      </c>
      <c r="AR157" s="24" t="inlineStr">
        <is>
          <t>Barcelona</t>
        </is>
      </c>
      <c r="AS157" s="24" t="inlineStr">
        <is>
          <t>Birmingham City</t>
        </is>
      </c>
      <c r="AT157" s="24" t="inlineStr">
        <is>
          <t>Birmingham City</t>
        </is>
      </c>
      <c r="AU157" s="24" t="inlineStr">
        <is>
          <t>Birmingham City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2026-07-31T16:45:56.333365Z</t>
        </is>
      </c>
      <c r="BI157" s="24" t="inlineStr">
        <is>
          <t>["same_event","same_team_same_day","same_league_same_day"]</t>
        </is>
      </c>
      <c r="BJ157" s="25" t="n"/>
      <c r="BK157" s="26" t="n">
        <v>-186</v>
      </c>
      <c r="BL157" s="27" t="n">
        <v>1.537634</v>
      </c>
      <c r="BM157" s="28" t="n">
        <v>0.65035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</row>
    <row r="158" ht="36" customHeight="1">
      <c r="A158" s="24" t="inlineStr">
        <is>
          <t>36b16f24c1db4baa</t>
        </is>
      </c>
      <c r="B158" s="24" t="inlineStr">
        <is>
          <t>2026-07-31T19:55:16.083099Z</t>
        </is>
      </c>
      <c r="C158" s="24" t="inlineStr">
        <is>
          <t>2026-07-31T20:00Z</t>
        </is>
      </c>
      <c r="D158" s="24" t="inlineStr">
        <is>
          <t>401885639</t>
        </is>
      </c>
      <c r="E158" s="24" t="inlineStr">
        <is>
          <t>SOCCER</t>
        </is>
      </c>
      <c r="F158" s="24" t="inlineStr">
        <is>
          <t>Comerciantes Unidos</t>
        </is>
      </c>
      <c r="G158" s="24" t="inlineStr">
        <is>
          <t>Los Chankas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104</v>
      </c>
      <c r="M158" s="27" t="n">
        <v>2.04</v>
      </c>
      <c r="N158" s="28" t="n">
        <v>0.490196</v>
      </c>
      <c r="O158" s="28" t="n">
        <v>0.461873</v>
      </c>
      <c r="P158" s="28" t="n">
        <v>0.2</v>
      </c>
      <c r="Q158" s="28" t="n">
        <v>-0.028323</v>
      </c>
      <c r="R158" s="26" t="n">
        <v>0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win</t>
        </is>
      </c>
      <c r="W158" s="26" t="n">
        <v>2</v>
      </c>
      <c r="X158" s="26" t="n">
        <v>3</v>
      </c>
      <c r="Y158" s="25" t="n"/>
      <c r="Z158" s="26" t="n"/>
      <c r="AA158" s="28" t="n"/>
      <c r="AB158" s="28" t="n"/>
      <c r="AC158" s="30" t="n">
        <v>1.04</v>
      </c>
      <c r="AD158" s="24" t="inlineStr">
        <is>
          <t>2026-07-31T23:28:42.654733Z</t>
        </is>
      </c>
      <c r="AE158" s="31" t="inlineStr">
        <is>
          <t>Poisson-DC rates 1.72 (home) / 1.30 (away) from EWMA attack/defense strengths. Executable ask 0.4900 (atc-pl1-cha-cou-2026-07-31-cha).</t>
        </is>
      </c>
      <c r="AF158" s="31" t="inlineStr">
        <is>
          <t>Research-only soccer score model; draw-aware, but not yet locked-holdout qualified.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Comerciantes Unidos</t>
        </is>
      </c>
      <c r="AQ158" s="24" t="inlineStr">
        <is>
          <t>Comerciantes Unidos</t>
        </is>
      </c>
      <c r="AR158" s="24" t="inlineStr">
        <is>
          <t>Comerciantes Unidos</t>
        </is>
      </c>
      <c r="AS158" s="24" t="inlineStr">
        <is>
          <t>Los Chankas</t>
        </is>
      </c>
      <c r="AT158" s="24" t="inlineStr">
        <is>
          <t>Los Chankas</t>
        </is>
      </c>
      <c r="AU158" s="24" t="inlineStr">
        <is>
          <t>Los Chankas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2026-07-31T19:53:00.380208Z</t>
        </is>
      </c>
      <c r="BI158" s="24" t="inlineStr">
        <is>
          <t>["same_event","same_team_same_day","same_league_same_day"]</t>
        </is>
      </c>
      <c r="BJ158" s="25" t="n"/>
      <c r="BK158" s="26" t="n">
        <v>104</v>
      </c>
      <c r="BL158" s="27" t="n">
        <v>2.04</v>
      </c>
      <c r="BM158" s="28" t="n">
        <v>0.490196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</row>
    <row r="159" ht="36" customHeight="1">
      <c r="A159" s="24" t="inlineStr">
        <is>
          <t>11de6f56f5344bcf</t>
        </is>
      </c>
      <c r="B159" s="24" t="inlineStr">
        <is>
          <t>2026-07-31T21:07:21.705734Z</t>
        </is>
      </c>
      <c r="C159" s="24" t="inlineStr">
        <is>
          <t>2026-07-31T22:00Z</t>
        </is>
      </c>
      <c r="D159" s="24" t="inlineStr">
        <is>
          <t>401872731</t>
        </is>
      </c>
      <c r="E159" s="24" t="inlineStr">
        <is>
          <t>SOCCER</t>
        </is>
      </c>
      <c r="F159" s="24" t="inlineStr">
        <is>
          <t>Montevideo Wanderers</t>
        </is>
      </c>
      <c r="G159" s="24" t="inlineStr">
        <is>
          <t>Montevideo City Torque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-122</v>
      </c>
      <c r="M159" s="27" t="n">
        <v>1.819672</v>
      </c>
      <c r="N159" s="28" t="n">
        <v>0.54955</v>
      </c>
      <c r="O159" s="28" t="n">
        <v>0.440521</v>
      </c>
      <c r="P159" s="28" t="n">
        <v>0.2</v>
      </c>
      <c r="Q159" s="28" t="n">
        <v>-0.109029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0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2026-08-01T03:00:15.210003Z</t>
        </is>
      </c>
      <c r="AE159" s="31" t="inlineStr">
        <is>
          <t>Poisson-DC rates 1.46 (home) / 1.10 (away) from EWMA attack/defense strengths. Executable ask 0.5500 (atc-uru1-tor-wan-2026-07-31-tor).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Montevideo Wanderers</t>
        </is>
      </c>
      <c r="AQ159" s="24" t="inlineStr">
        <is>
          <t>Montevideo Wanderers</t>
        </is>
      </c>
      <c r="AR159" s="24" t="inlineStr">
        <is>
          <t>Montevideo Wanderers</t>
        </is>
      </c>
      <c r="AS159" s="24" t="inlineStr">
        <is>
          <t>Montevideo City Torque</t>
        </is>
      </c>
      <c r="AT159" s="24" t="inlineStr">
        <is>
          <t>Montevideo City Torque</t>
        </is>
      </c>
      <c r="AU159" s="24" t="inlineStr">
        <is>
          <t>Montevideo City Torque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2026-07-31T21:05:05.319813Z</t>
        </is>
      </c>
      <c r="BI159" s="24" t="inlineStr">
        <is>
          <t>["same_event","same_team_same_day","same_league_same_day"]</t>
        </is>
      </c>
      <c r="BJ159" s="25" t="n"/>
      <c r="BK159" s="26" t="n">
        <v>-122</v>
      </c>
      <c r="BL159" s="27" t="n">
        <v>1.819672</v>
      </c>
      <c r="BM159" s="28" t="n">
        <v>0.54955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</row>
    <row r="160" ht="36" customHeight="1">
      <c r="A160" s="24" t="inlineStr">
        <is>
          <t>4f0ea301459047d5</t>
        </is>
      </c>
      <c r="B160" s="24" t="inlineStr">
        <is>
          <t>2026-08-01T06:40:10.134766Z</t>
        </is>
      </c>
      <c r="C160" s="24" t="inlineStr">
        <is>
          <t>2026-08-01T10:00Z</t>
        </is>
      </c>
      <c r="D160" s="24" t="inlineStr">
        <is>
          <t>401872737</t>
        </is>
      </c>
      <c r="E160" s="24" t="inlineStr">
        <is>
          <t>SOCCER</t>
        </is>
      </c>
      <c r="F160" s="24" t="inlineStr">
        <is>
          <t>Borussia Dortmund</t>
        </is>
      </c>
      <c r="G160" s="24" t="inlineStr">
        <is>
          <t>FC Tokyo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-122</v>
      </c>
      <c r="M160" s="27" t="n">
        <v>1.819672</v>
      </c>
      <c r="N160" s="28" t="n">
        <v>0.54955</v>
      </c>
      <c r="O160" s="28" t="n">
        <v>0.45654</v>
      </c>
      <c r="P160" s="28" t="n">
        <v>0.2</v>
      </c>
      <c r="Q160" s="28" t="n">
        <v>-0.09301</v>
      </c>
      <c r="R160" s="26" t="n">
        <v>0</v>
      </c>
      <c r="S160" s="29" t="n">
        <v>1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0.8197</v>
      </c>
      <c r="AD160" s="24" t="inlineStr">
        <is>
          <t>2026-08-01T13:41:19.925310Z</t>
        </is>
      </c>
      <c r="AE160" s="31" t="inlineStr">
        <is>
          <t>Poisson-DC rates 1.38 (home) / 1.77 (away) from EWMA attack/defense strengths. Executable ask 0.5500 (atc-clbf-tok-bvb-2026-08-01-bvb).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Borussia Dortmund</t>
        </is>
      </c>
      <c r="AQ160" s="24" t="inlineStr">
        <is>
          <t>Borussia Dortmund</t>
        </is>
      </c>
      <c r="AR160" s="24" t="inlineStr">
        <is>
          <t>Borussia Dortmund</t>
        </is>
      </c>
      <c r="AS160" s="24" t="inlineStr">
        <is>
          <t>FC Tokyo</t>
        </is>
      </c>
      <c r="AT160" s="24" t="inlineStr">
        <is>
          <t>FC Tokyo</t>
        </is>
      </c>
      <c r="AU160" s="24" t="inlineStr">
        <is>
          <t>FC Tokyo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2026-08-01T06:36:26.090957Z</t>
        </is>
      </c>
      <c r="BI160" s="24" t="inlineStr">
        <is>
          <t>["same_event","same_team_same_day","same_league_same_day"]</t>
        </is>
      </c>
      <c r="BJ160" s="25" t="n"/>
      <c r="BK160" s="26" t="n">
        <v>-122</v>
      </c>
      <c r="BL160" s="27" t="n">
        <v>1.819672</v>
      </c>
      <c r="BM160" s="28" t="n">
        <v>0.54955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</row>
    <row r="161" ht="36" customHeight="1">
      <c r="A161" s="24" t="inlineStr">
        <is>
          <t>c87494a621b142c6</t>
        </is>
      </c>
      <c r="B161" s="24" t="inlineStr">
        <is>
          <t>2026-08-01T13:44:56.720128Z</t>
        </is>
      </c>
      <c r="C161" s="24" t="inlineStr">
        <is>
          <t>2026-08-01T15:00Z</t>
        </is>
      </c>
      <c r="D161" s="24" t="inlineStr">
        <is>
          <t>401872727</t>
        </is>
      </c>
      <c r="E161" s="24" t="inlineStr">
        <is>
          <t>SOCCER</t>
        </is>
      </c>
      <c r="F161" s="24" t="inlineStr">
        <is>
          <t>Danubio</t>
        </is>
      </c>
      <c r="G161" s="24" t="inlineStr">
        <is>
          <t>Albion FC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122</v>
      </c>
      <c r="M161" s="27" t="n">
        <v>2.22</v>
      </c>
      <c r="N161" s="28" t="n">
        <v>0.45045</v>
      </c>
      <c r="O161" s="28" t="n">
        <v>0.456135</v>
      </c>
      <c r="P161" s="28" t="n">
        <v>0.2</v>
      </c>
      <c r="Q161" s="28" t="n">
        <v>0.005685</v>
      </c>
      <c r="R161" s="26" t="n">
        <v>0</v>
      </c>
      <c r="S161" s="29" t="n">
        <v>1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push</t>
        </is>
      </c>
      <c r="W161" s="26" t="n">
        <v>2</v>
      </c>
      <c r="X161" s="26" t="n">
        <v>2</v>
      </c>
      <c r="Y161" s="25" t="n"/>
      <c r="Z161" s="26" t="n"/>
      <c r="AA161" s="28" t="n"/>
      <c r="AB161" s="28" t="n"/>
      <c r="AC161" s="30" t="n">
        <v>0</v>
      </c>
      <c r="AD161" s="24" t="inlineStr">
        <is>
          <t>2026-08-01T18:35:32.929288Z</t>
        </is>
      </c>
      <c r="AE161" s="31" t="inlineStr">
        <is>
          <t>Poisson-DC rates 1.64 (home) / 1.24 (away) from EWMA attack/defense strengths. Executable ask 0.4500 (atc-uru1-alb-dan-2026-08-01-alb).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Danubio</t>
        </is>
      </c>
      <c r="AQ161" s="24" t="inlineStr">
        <is>
          <t>Danubio</t>
        </is>
      </c>
      <c r="AR161" s="24" t="inlineStr">
        <is>
          <t>Danubio</t>
        </is>
      </c>
      <c r="AS161" s="24" t="inlineStr">
        <is>
          <t>Albion FC</t>
        </is>
      </c>
      <c r="AT161" s="24" t="inlineStr">
        <is>
          <t>Albion FC</t>
        </is>
      </c>
      <c r="AU161" s="24" t="inlineStr">
        <is>
          <t>Albion FC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2026-08-01T13:42:37.826503Z</t>
        </is>
      </c>
      <c r="BI161" s="24" t="inlineStr">
        <is>
          <t>["same_event","same_team_same_day","same_league_same_day"]</t>
        </is>
      </c>
      <c r="BJ161" s="25" t="n"/>
      <c r="BK161" s="26" t="n">
        <v>122</v>
      </c>
      <c r="BL161" s="27" t="n">
        <v>2.22</v>
      </c>
      <c r="BM161" s="28" t="n">
        <v>0.45045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</row>
    <row r="162" ht="36" customHeight="1">
      <c r="A162" s="24" t="inlineStr">
        <is>
          <t>8a0779918c9d4a86</t>
        </is>
      </c>
      <c r="B162" s="24" t="inlineStr">
        <is>
          <t>2026-08-01T13:44:56.720128Z</t>
        </is>
      </c>
      <c r="C162" s="24" t="inlineStr">
        <is>
          <t>2026-08-01T16:00Z</t>
        </is>
      </c>
      <c r="D162" s="24" t="inlineStr">
        <is>
          <t>401888842</t>
        </is>
      </c>
      <c r="E162" s="24" t="inlineStr">
        <is>
          <t>SOCCER</t>
        </is>
      </c>
      <c r="F162" s="24" t="inlineStr">
        <is>
          <t>Fiorentina</t>
        </is>
      </c>
      <c r="G162" s="24" t="inlineStr">
        <is>
          <t>Real Madrid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0.592521</v>
      </c>
      <c r="P162" s="28" t="n">
        <v>0.04</v>
      </c>
      <c r="Q162" s="28" t="n">
        <v>0.05335</v>
      </c>
      <c r="R162" s="26" t="n">
        <v>53</v>
      </c>
      <c r="S162" s="29" t="n">
        <v>1.25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push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</v>
      </c>
      <c r="AD162" s="24" t="inlineStr">
        <is>
          <t>2026-08-01T18:35:34.883257Z</t>
        </is>
      </c>
      <c r="AE162" s="31" t="inlineStr">
        <is>
          <t>Poisson-DC rates 1.76 (home) / 0.80 (away) from EWMA attack/defense strengths. Executable ask 0.5400 (atc-clbf-rme-fio-2026-08-01-rme).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Fiorentina</t>
        </is>
      </c>
      <c r="AQ162" s="24" t="inlineStr">
        <is>
          <t>Fiorentina</t>
        </is>
      </c>
      <c r="AR162" s="24" t="inlineStr">
        <is>
          <t>Fiorentina</t>
        </is>
      </c>
      <c r="AS162" s="24" t="inlineStr">
        <is>
          <t>Real Madrid</t>
        </is>
      </c>
      <c r="AT162" s="24" t="inlineStr">
        <is>
          <t>Real Madrid</t>
        </is>
      </c>
      <c r="AU162" s="24" t="inlineStr">
        <is>
          <t>Real Madrid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2026-08-01T13:42:44.313687Z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</row>
    <row r="163" ht="36" customHeight="1">
      <c r="A163" s="24" t="inlineStr">
        <is>
          <t>f8ad772a47164d5f</t>
        </is>
      </c>
      <c r="B163" s="24" t="inlineStr">
        <is>
          <t>2026-08-01T16:52:27.367453Z</t>
        </is>
      </c>
      <c r="C163" s="24" t="inlineStr">
        <is>
          <t>2026-08-01T18:00Z</t>
        </is>
      </c>
      <c r="D163" s="24" t="inlineStr">
        <is>
          <t>401844028</t>
        </is>
      </c>
      <c r="E163" s="24" t="inlineStr">
        <is>
          <t>SOCCER</t>
        </is>
      </c>
      <c r="F163" s="24" t="inlineStr">
        <is>
          <t>Midland</t>
        </is>
      </c>
      <c r="G163" s="24" t="inlineStr">
        <is>
          <t>Almagro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233</v>
      </c>
      <c r="M163" s="27" t="n">
        <v>3.33</v>
      </c>
      <c r="N163" s="28" t="n">
        <v>0.3003</v>
      </c>
      <c r="O163" s="28" t="n">
        <v>0.456135</v>
      </c>
      <c r="P163" s="28" t="n">
        <v>0.2</v>
      </c>
      <c r="Q163" s="28" t="n">
        <v>0.155835</v>
      </c>
      <c r="R163" s="26" t="n">
        <v>8</v>
      </c>
      <c r="S163" s="29" t="n">
        <v>1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push</t>
        </is>
      </c>
      <c r="W163" s="26" t="n">
        <v>1</v>
      </c>
      <c r="X163" s="26" t="n">
        <v>1</v>
      </c>
      <c r="Y163" s="25" t="n"/>
      <c r="Z163" s="26" t="n"/>
      <c r="AA163" s="28" t="n"/>
      <c r="AB163" s="28" t="n"/>
      <c r="AC163" s="30" t="n">
        <v>0</v>
      </c>
      <c r="AD163" s="24" t="inlineStr">
        <is>
          <t>2026-08-01T20:34:14.764038Z</t>
        </is>
      </c>
      <c r="AE163" s="31" t="inlineStr">
        <is>
          <t>Poisson-DC rates 1.64 (home) / 1.24 (away) from EWMA attack/defense strengths. Executable ask 0.3000 (atc-arg2-alm-afm-2026-08-02-alm).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Midland</t>
        </is>
      </c>
      <c r="AQ163" s="24" t="inlineStr">
        <is>
          <t>Midland</t>
        </is>
      </c>
      <c r="AR163" s="24" t="inlineStr">
        <is>
          <t>Midland</t>
        </is>
      </c>
      <c r="AS163" s="24" t="inlineStr">
        <is>
          <t>Almagro</t>
        </is>
      </c>
      <c r="AT163" s="24" t="inlineStr">
        <is>
          <t>Almagro</t>
        </is>
      </c>
      <c r="AU163" s="24" t="inlineStr">
        <is>
          <t>Almagro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2026-08-01T16:49:30.902860Z</t>
        </is>
      </c>
      <c r="BI163" s="24" t="inlineStr">
        <is>
          <t>["same_event","same_team_same_day","same_league_same_day"]</t>
        </is>
      </c>
      <c r="BJ163" s="25" t="n"/>
      <c r="BK163" s="26" t="n">
        <v>233</v>
      </c>
      <c r="BL163" s="27" t="n">
        <v>3.33</v>
      </c>
      <c r="BM163" s="28" t="n">
        <v>0.3003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</row>
    <row r="164" ht="36" customHeight="1">
      <c r="A164" s="24" t="inlineStr">
        <is>
          <t>02eb8e6babd749a2</t>
        </is>
      </c>
      <c r="B164" s="24" t="inlineStr">
        <is>
          <t>2026-08-01T16:52:27.367453Z</t>
        </is>
      </c>
      <c r="C164" s="24" t="inlineStr">
        <is>
          <t>2026-08-01T18:00Z</t>
        </is>
      </c>
      <c r="D164" s="24" t="inlineStr">
        <is>
          <t>401844018</t>
        </is>
      </c>
      <c r="E164" s="24" t="inlineStr">
        <is>
          <t>SOCCER</t>
        </is>
      </c>
      <c r="F164" s="24" t="inlineStr">
        <is>
          <t>Gimnasia y Esgrima (Jujuy)</t>
        </is>
      </c>
      <c r="G164" s="24" t="inlineStr">
        <is>
          <t>Colegiales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133</v>
      </c>
      <c r="M164" s="27" t="n">
        <v>2.33</v>
      </c>
      <c r="N164" s="28" t="n">
        <v>0.429185</v>
      </c>
      <c r="O164" s="28" t="n">
        <v>0.456135</v>
      </c>
      <c r="P164" s="28" t="n">
        <v>0.2</v>
      </c>
      <c r="Q164" s="28" t="n">
        <v>0.02695</v>
      </c>
      <c r="R164" s="26" t="n">
        <v>0</v>
      </c>
      <c r="S164" s="29" t="n">
        <v>1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2</v>
      </c>
      <c r="Y164" s="25" t="n"/>
      <c r="Z164" s="26" t="n"/>
      <c r="AA164" s="28" t="n"/>
      <c r="AB164" s="28" t="n"/>
      <c r="AC164" s="30" t="n">
        <v>1.33</v>
      </c>
      <c r="AD164" s="24" t="inlineStr">
        <is>
          <t>2026-08-01T20:13:19.135597Z</t>
        </is>
      </c>
      <c r="AE164" s="31" t="inlineStr">
        <is>
          <t>Poisson-DC rates 1.64 (home) / 1.24 (away) from EWMA attack/defense strengths. Executable ask 0.4300 (atc-arg2-cac-ge-2026-08-01-cac).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Gimnasia y Esgrima (Jujuy)</t>
        </is>
      </c>
      <c r="AQ164" s="24" t="inlineStr">
        <is>
          <t>Gimnasia y Esgrima (Jujuy)</t>
        </is>
      </c>
      <c r="AR164" s="24" t="inlineStr">
        <is>
          <t>Gimnasia y Esgrima (Jujuy)</t>
        </is>
      </c>
      <c r="AS164" s="24" t="inlineStr">
        <is>
          <t>Colegiales</t>
        </is>
      </c>
      <c r="AT164" s="24" t="inlineStr">
        <is>
          <t>Colegiales</t>
        </is>
      </c>
      <c r="AU164" s="24" t="inlineStr">
        <is>
          <t>Colegiales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2026-08-01T16:49:30.893071Z</t>
        </is>
      </c>
      <c r="BI164" s="24" t="inlineStr">
        <is>
          <t>["same_event","same_team_same_day","same_league_same_day"]</t>
        </is>
      </c>
      <c r="BJ164" s="25" t="n"/>
      <c r="BK164" s="26" t="n">
        <v>133</v>
      </c>
      <c r="BL164" s="27" t="n">
        <v>2.33</v>
      </c>
      <c r="BM164" s="28" t="n">
        <v>0.429185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</row>
    <row r="165" ht="36" customHeight="1">
      <c r="A165" s="24" t="inlineStr">
        <is>
          <t>4b09a9d9374d46a7</t>
        </is>
      </c>
      <c r="B165" s="24" t="inlineStr">
        <is>
          <t>2026-08-01T16:52:27.367453Z</t>
        </is>
      </c>
      <c r="C165" s="24" t="inlineStr">
        <is>
          <t>2026-08-01T18:30Z</t>
        </is>
      </c>
      <c r="D165" s="24" t="inlineStr">
        <is>
          <t>401844021</t>
        </is>
      </c>
      <c r="E165" s="24" t="inlineStr">
        <is>
          <t>SOCCER</t>
        </is>
      </c>
      <c r="F165" s="24" t="inlineStr">
        <is>
          <t>Quilmes</t>
        </is>
      </c>
      <c r="G165" s="24" t="inlineStr">
        <is>
          <t>Patronato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144</v>
      </c>
      <c r="M165" s="27" t="n">
        <v>2.44</v>
      </c>
      <c r="N165" s="28" t="n">
        <v>0.409836</v>
      </c>
      <c r="O165" s="28" t="n">
        <v>0.440521</v>
      </c>
      <c r="P165" s="28" t="n">
        <v>0.2</v>
      </c>
      <c r="Q165" s="28" t="n">
        <v>0.030685</v>
      </c>
      <c r="R165" s="26" t="n">
        <v>0</v>
      </c>
      <c r="S165" s="29" t="n">
        <v>1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push</t>
        </is>
      </c>
      <c r="W165" s="26" t="n">
        <v>3</v>
      </c>
      <c r="X165" s="26" t="n">
        <v>3</v>
      </c>
      <c r="Y165" s="25" t="n"/>
      <c r="Z165" s="26" t="n"/>
      <c r="AA165" s="28" t="n"/>
      <c r="AB165" s="28" t="n"/>
      <c r="AC165" s="30" t="n">
        <v>0</v>
      </c>
      <c r="AD165" s="24" t="inlineStr">
        <is>
          <t>2026-08-01T21:25:27.602390Z</t>
        </is>
      </c>
      <c r="AE165" s="31" t="inlineStr">
        <is>
          <t>Poisson-DC rates 1.46 (home) / 1.10 (away) from EWMA attack/defense strengths. Executable ask 0.4100 (atc-arg2-cap-qui-2026-08-02-cap).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Quilmes</t>
        </is>
      </c>
      <c r="AQ165" s="24" t="inlineStr">
        <is>
          <t>Quilmes</t>
        </is>
      </c>
      <c r="AR165" s="24" t="inlineStr">
        <is>
          <t>Quilmes</t>
        </is>
      </c>
      <c r="AS165" s="24" t="inlineStr">
        <is>
          <t>Patronato</t>
        </is>
      </c>
      <c r="AT165" s="24" t="inlineStr">
        <is>
          <t>Patronato</t>
        </is>
      </c>
      <c r="AU165" s="24" t="inlineStr">
        <is>
          <t>Patronato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2026-08-01T16:49:31.486214Z</t>
        </is>
      </c>
      <c r="BI165" s="24" t="inlineStr">
        <is>
          <t>["same_event","same_team_same_day","same_league_same_day"]</t>
        </is>
      </c>
      <c r="BJ165" s="25" t="n"/>
      <c r="BK165" s="26" t="n">
        <v>144</v>
      </c>
      <c r="BL165" s="27" t="n">
        <v>2.44</v>
      </c>
      <c r="BM165" s="28" t="n">
        <v>0.409836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</row>
    <row r="166" ht="36" customHeight="1">
      <c r="A166" s="24" t="inlineStr">
        <is>
          <t>ce8bcb5176c94e2f</t>
        </is>
      </c>
      <c r="B166" s="24" t="inlineStr">
        <is>
          <t>2026-08-01T16:52:27.367453Z</t>
        </is>
      </c>
      <c r="C166" s="24" t="inlineStr">
        <is>
          <t>2026-08-01T18:00Z</t>
        </is>
      </c>
      <c r="D166" s="24" t="inlineStr">
        <is>
          <t>401872730</t>
        </is>
      </c>
      <c r="E166" s="24" t="inlineStr">
        <is>
          <t>SOCCER</t>
        </is>
      </c>
      <c r="F166" s="24" t="inlineStr">
        <is>
          <t>Juventud</t>
        </is>
      </c>
      <c r="G166" s="24" t="inlineStr">
        <is>
          <t>Deportivo Maldonado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-117</v>
      </c>
      <c r="M166" s="27" t="n">
        <v>1.854701</v>
      </c>
      <c r="N166" s="28" t="n">
        <v>0.539171</v>
      </c>
      <c r="O166" s="28" t="n">
        <v>0.418807</v>
      </c>
      <c r="P166" s="28" t="n">
        <v>0.2</v>
      </c>
      <c r="Q166" s="28" t="n">
        <v>-0.120364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push</t>
        </is>
      </c>
      <c r="W166" s="26" t="n">
        <v>0</v>
      </c>
      <c r="X166" s="26" t="n">
        <v>0</v>
      </c>
      <c r="Y166" s="25" t="n"/>
      <c r="Z166" s="26" t="n"/>
      <c r="AA166" s="28" t="n"/>
      <c r="AB166" s="28" t="n"/>
      <c r="AC166" s="30" t="n">
        <v>0</v>
      </c>
      <c r="AD166" s="24" t="inlineStr">
        <is>
          <t>2026-08-01T20:13:20.615731Z</t>
        </is>
      </c>
      <c r="AE166" s="31" t="inlineStr">
        <is>
          <t>Poisson-DC rates 1.46 (home) / 1.20 (away) from EWMA attack/defense strengths. Executable ask 0.5400 (atc-uru1-mal-juv-2026-08-01-mal).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Juventud</t>
        </is>
      </c>
      <c r="AQ166" s="24" t="inlineStr">
        <is>
          <t>Juventud</t>
        </is>
      </c>
      <c r="AR166" s="24" t="inlineStr">
        <is>
          <t>Juventud</t>
        </is>
      </c>
      <c r="AS166" s="24" t="inlineStr">
        <is>
          <t>Deportivo Maldonado</t>
        </is>
      </c>
      <c r="AT166" s="24" t="inlineStr">
        <is>
          <t>Deportivo Maldonado</t>
        </is>
      </c>
      <c r="AU166" s="24" t="inlineStr">
        <is>
          <t>Deportivo Maldonado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2026-08-01T16:49:34.759598Z</t>
        </is>
      </c>
      <c r="BI166" s="24" t="inlineStr">
        <is>
          <t>["same_event","same_team_same_day","same_league_same_day"]</t>
        </is>
      </c>
      <c r="BJ166" s="25" t="n"/>
      <c r="BK166" s="26" t="n">
        <v>-117</v>
      </c>
      <c r="BL166" s="27" t="n">
        <v>1.854701</v>
      </c>
      <c r="BM166" s="28" t="n">
        <v>0.539171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</row>
    <row r="167" ht="36" customHeight="1">
      <c r="A167" s="24" t="inlineStr">
        <is>
          <t>3119afb8f63442b9</t>
        </is>
      </c>
      <c r="B167" s="24" t="inlineStr">
        <is>
          <t>2026-08-01T16:52:27.367453Z</t>
        </is>
      </c>
      <c r="C167" s="24" t="inlineStr">
        <is>
          <t>2026-08-01T18:00Z</t>
        </is>
      </c>
      <c r="D167" s="24" t="inlineStr">
        <is>
          <t>401886553</t>
        </is>
      </c>
      <c r="E167" s="24" t="inlineStr">
        <is>
          <t>SOCCER</t>
        </is>
      </c>
      <c r="F167" s="24" t="inlineStr">
        <is>
          <t>Arsenal</t>
        </is>
      </c>
      <c r="G167" s="24" t="inlineStr">
        <is>
          <t>Girona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-144</v>
      </c>
      <c r="M167" s="27" t="n">
        <v>1.694444</v>
      </c>
      <c r="N167" s="28" t="n">
        <v>0.590164</v>
      </c>
      <c r="O167" s="28" t="n">
        <v>0.51186</v>
      </c>
      <c r="P167" s="28" t="n">
        <v>0.04</v>
      </c>
      <c r="Q167" s="28" t="n">
        <v>-0.078304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win</t>
        </is>
      </c>
      <c r="W167" s="26" t="n">
        <v>4</v>
      </c>
      <c r="X167" s="26" t="n">
        <v>1</v>
      </c>
      <c r="Y167" s="25" t="n"/>
      <c r="Z167" s="26" t="n"/>
      <c r="AA167" s="28" t="n"/>
      <c r="AB167" s="28" t="n"/>
      <c r="AC167" s="30" t="n">
        <v>0.6944</v>
      </c>
      <c r="AD167" s="24" t="inlineStr">
        <is>
          <t>2026-08-01T20:13:22.602729Z</t>
        </is>
      </c>
      <c r="AE167" s="31" t="inlineStr">
        <is>
          <t>Poisson-DC rates 0.58 (home) / 1.23 (away) from EWMA attack/defense strengths. Executable ask 0.5900 (atc-clbf-gir-afr-2026-08-01-afr).</t>
        </is>
      </c>
      <c r="AF167" s="31" t="inlineStr">
        <is>
          <t>Research-only soccer score model; draw-aware, but not yet locked-holdout qualified.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Arsenal</t>
        </is>
      </c>
      <c r="AQ167" s="24" t="inlineStr">
        <is>
          <t>Arsenal</t>
        </is>
      </c>
      <c r="AR167" s="24" t="inlineStr">
        <is>
          <t>Arsenal</t>
        </is>
      </c>
      <c r="AS167" s="24" t="inlineStr">
        <is>
          <t>Girona</t>
        </is>
      </c>
      <c r="AT167" s="24" t="inlineStr">
        <is>
          <t>Girona</t>
        </is>
      </c>
      <c r="AU167" s="24" t="inlineStr">
        <is>
          <t>Girona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2026-08-01T16:49:39.645100Z</t>
        </is>
      </c>
      <c r="BI167" s="24" t="inlineStr">
        <is>
          <t>["same_event","same_team_same_day","same_league_same_day"]</t>
        </is>
      </c>
      <c r="BJ167" s="25" t="n"/>
      <c r="BK167" s="26" t="n">
        <v>-144</v>
      </c>
      <c r="BL167" s="27" t="n">
        <v>1.694444</v>
      </c>
      <c r="BM167" s="28" t="n">
        <v>0.590164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</row>
    <row r="168" ht="36" customHeight="1">
      <c r="A168" s="24" t="inlineStr">
        <is>
          <t>45d01ab1161349e2</t>
        </is>
      </c>
      <c r="B168" s="24" t="inlineStr">
        <is>
          <t>2026-08-01T18:40:16.324475Z</t>
        </is>
      </c>
      <c r="C168" s="24" t="inlineStr">
        <is>
          <t>2026-08-01T19:00Z</t>
        </is>
      </c>
      <c r="D168" s="24" t="inlineStr">
        <is>
          <t>401850610</t>
        </is>
      </c>
      <c r="E168" s="24" t="inlineStr">
        <is>
          <t>SOCCER</t>
        </is>
      </c>
      <c r="F168" s="24" t="inlineStr">
        <is>
          <t>Colo Colo</t>
        </is>
      </c>
      <c r="G168" s="24" t="inlineStr">
        <is>
          <t>Everton CD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245</v>
      </c>
      <c r="M168" s="27" t="n">
        <v>3.45</v>
      </c>
      <c r="N168" s="28" t="n">
        <v>0.289855</v>
      </c>
      <c r="O168" s="28" t="n">
        <v>0.447172</v>
      </c>
      <c r="P168" s="28" t="n">
        <v>0.19</v>
      </c>
      <c r="Q168" s="28" t="n">
        <v>0.157317</v>
      </c>
      <c r="R168" s="26" t="n">
        <v>15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loss</t>
        </is>
      </c>
      <c r="W168" s="26" t="n">
        <v>4</v>
      </c>
      <c r="X168" s="26" t="n">
        <v>3</v>
      </c>
      <c r="Y168" s="25" t="n"/>
      <c r="Z168" s="26" t="n"/>
      <c r="AA168" s="28" t="n"/>
      <c r="AB168" s="28" t="n"/>
      <c r="AC168" s="30" t="n">
        <v>-1</v>
      </c>
      <c r="AD168" s="24" t="inlineStr">
        <is>
          <t>2026-08-01T23:51:10.166427Z</t>
        </is>
      </c>
      <c r="AE168" s="31" t="inlineStr">
        <is>
          <t>Poisson-DC rates 1.53 (home) / 1.16 (away) from EWMA attack/defense strengths. Executable ask 0.2900 (atc-pdc-eve-col-2026-08-01-eve).</t>
        </is>
      </c>
      <c r="AF168" s="31" t="inlineStr">
        <is>
          <t>Research-only soccer score model; draw-aware, but not yet locked-holdout qualified.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Colo Colo</t>
        </is>
      </c>
      <c r="AQ168" s="24" t="inlineStr">
        <is>
          <t>Colo Colo</t>
        </is>
      </c>
      <c r="AR168" s="24" t="inlineStr">
        <is>
          <t>Colo Colo</t>
        </is>
      </c>
      <c r="AS168" s="24" t="inlineStr">
        <is>
          <t>Everton CD</t>
        </is>
      </c>
      <c r="AT168" s="24" t="inlineStr">
        <is>
          <t>Everton CD</t>
        </is>
      </c>
      <c r="AU168" s="24" t="inlineStr">
        <is>
          <t>Everton CD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2026-08-01T18:37:04.072976Z</t>
        </is>
      </c>
      <c r="BI168" s="24" t="inlineStr">
        <is>
          <t>["same_event","same_team_same_day","same_league_same_day"]</t>
        </is>
      </c>
      <c r="BJ168" s="25" t="n"/>
      <c r="BK168" s="26" t="n">
        <v>245</v>
      </c>
      <c r="BL168" s="27" t="n">
        <v>3.45</v>
      </c>
      <c r="BM168" s="28" t="n">
        <v>0.289855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</row>
    <row r="169" ht="36" customHeight="1">
      <c r="A169" s="24" t="inlineStr">
        <is>
          <t>49d8e97b6d0a49e1</t>
        </is>
      </c>
      <c r="B169" s="24" t="inlineStr">
        <is>
          <t>2026-08-01T18:40:16.324475Z</t>
        </is>
      </c>
      <c r="C169" s="24" t="inlineStr">
        <is>
          <t>2026-08-01T19:00Z</t>
        </is>
      </c>
      <c r="D169" s="24" t="inlineStr">
        <is>
          <t>401859643</t>
        </is>
      </c>
      <c r="E169" s="24" t="inlineStr">
        <is>
          <t>SOCCER</t>
        </is>
      </c>
      <c r="F169" s="24" t="inlineStr">
        <is>
          <t>Mushuc Runa</t>
        </is>
      </c>
      <c r="G169" s="24" t="inlineStr">
        <is>
          <t>Manta F.C.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186</v>
      </c>
      <c r="M169" s="27" t="n">
        <v>2.86</v>
      </c>
      <c r="N169" s="28" t="n">
        <v>0.34965</v>
      </c>
      <c r="O169" s="28" t="n">
        <v>0.456135</v>
      </c>
      <c r="P169" s="28" t="n">
        <v>0.2</v>
      </c>
      <c r="Q169" s="28" t="n">
        <v>0.106485</v>
      </c>
      <c r="R169" s="26" t="n">
        <v>0</v>
      </c>
      <c r="S169" s="29" t="n">
        <v>1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loss</t>
        </is>
      </c>
      <c r="W169" s="26" t="n">
        <v>2</v>
      </c>
      <c r="X169" s="26" t="n">
        <v>1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2026-08-01T21:40:58.484236Z</t>
        </is>
      </c>
      <c r="AE169" s="31" t="inlineStr">
        <is>
          <t>Poisson-DC rates 1.64 (home) / 1.24 (away) from EWMA attack/defense strengths. Executable ask 0.3500 (atc-ecu1-man-mur-2026-08-01-man).</t>
        </is>
      </c>
      <c r="AF169" s="31" t="inlineStr">
        <is>
          <t>Research-only soccer score model; draw-aware, but not yet locked-holdout qualified.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Mushuc Runa</t>
        </is>
      </c>
      <c r="AQ169" s="24" t="inlineStr">
        <is>
          <t>Mushuc Runa</t>
        </is>
      </c>
      <c r="AR169" s="24" t="inlineStr">
        <is>
          <t>Mushuc Runa</t>
        </is>
      </c>
      <c r="AS169" s="24" t="inlineStr">
        <is>
          <t>Manta F.C.</t>
        </is>
      </c>
      <c r="AT169" s="24" t="inlineStr">
        <is>
          <t>Manta F.C.</t>
        </is>
      </c>
      <c r="AU169" s="24" t="inlineStr">
        <is>
          <t>Manta F.C.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2026-08-01T18:37:05.727261Z</t>
        </is>
      </c>
      <c r="BI169" s="24" t="inlineStr">
        <is>
          <t>["same_event","same_team_same_day","same_league_same_day"]</t>
        </is>
      </c>
      <c r="BJ169" s="25" t="n"/>
      <c r="BK169" s="26" t="n">
        <v>186</v>
      </c>
      <c r="BL169" s="27" t="n">
        <v>2.86</v>
      </c>
      <c r="BM169" s="28" t="n">
        <v>0.34965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</row>
    <row r="170" ht="36" customHeight="1">
      <c r="A170" s="24" t="inlineStr">
        <is>
          <t>6335060e4ee644f9</t>
        </is>
      </c>
      <c r="B170" s="24" t="inlineStr">
        <is>
          <t>2026-08-01T20:17:05.741632Z</t>
        </is>
      </c>
      <c r="C170" s="24" t="inlineStr">
        <is>
          <t>2026-08-01T23:30Z</t>
        </is>
      </c>
      <c r="D170" s="24" t="inlineStr">
        <is>
          <t>761699</t>
        </is>
      </c>
      <c r="E170" s="24" t="inlineStr">
        <is>
          <t>SOCCER</t>
        </is>
      </c>
      <c r="F170" s="24" t="inlineStr">
        <is>
          <t>Nashville SC</t>
        </is>
      </c>
      <c r="G170" s="24" t="inlineStr">
        <is>
          <t>D.C. United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-104</v>
      </c>
      <c r="M170" s="27" t="n">
        <v>1.961538</v>
      </c>
      <c r="N170" s="28" t="n">
        <v>0.509804</v>
      </c>
      <c r="O170" s="28" t="n">
        <v>0.654047</v>
      </c>
      <c r="P170" s="28" t="n">
        <v>0.04</v>
      </c>
      <c r="Q170" s="28" t="n">
        <v>0.144243</v>
      </c>
      <c r="R170" s="26" t="n">
        <v>98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win</t>
        </is>
      </c>
      <c r="W170" s="26" t="n">
        <v>2</v>
      </c>
      <c r="X170" s="26" t="n">
        <v>2</v>
      </c>
      <c r="Y170" s="25" t="n"/>
      <c r="Z170" s="26" t="n"/>
      <c r="AA170" s="28" t="n"/>
      <c r="AB170" s="28" t="n"/>
      <c r="AC170" s="30" t="n">
        <v>1.6827</v>
      </c>
      <c r="AD170" s="24" t="inlineStr">
        <is>
          <t>2026-08-02T03:26:14.226095Z</t>
        </is>
      </c>
      <c r="AE170" s="31" t="inlineStr">
        <is>
          <t>Poisson-DC rates 1.27 (home) / 2.09 (away) from EWMA attack/defense strengths. Executable ask 0.5100 (tsc-mls-dcu-nas-2026-08-01-2pt5).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Nashville SC</t>
        </is>
      </c>
      <c r="AQ170" s="24" t="inlineStr">
        <is>
          <t>Nashville SC</t>
        </is>
      </c>
      <c r="AR170" s="24" t="inlineStr">
        <is>
          <t>Nashville SC</t>
        </is>
      </c>
      <c r="AS170" s="24" t="inlineStr">
        <is>
          <t>D.C. United</t>
        </is>
      </c>
      <c r="AT170" s="24" t="inlineStr">
        <is>
          <t>D.C. United</t>
        </is>
      </c>
      <c r="AU170" s="24" t="inlineStr">
        <is>
          <t>D.C. United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2026-08-01T20:14:21.274394Z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-104</v>
      </c>
      <c r="BL170" s="27" t="n">
        <v>1.961538</v>
      </c>
      <c r="BM170" s="28" t="n">
        <v>0.509804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</row>
    <row r="171" ht="36" customHeight="1">
      <c r="A171" s="24" t="inlineStr">
        <is>
          <t>b700c24ab7bb44a3</t>
        </is>
      </c>
      <c r="B171" s="24" t="inlineStr">
        <is>
          <t>2026-08-01T20:17:05.741632Z</t>
        </is>
      </c>
      <c r="C171" s="24" t="inlineStr">
        <is>
          <t>2026-08-01T23:30Z</t>
        </is>
      </c>
      <c r="D171" s="24" t="inlineStr">
        <is>
          <t>761700</t>
        </is>
      </c>
      <c r="E171" s="24" t="inlineStr">
        <is>
          <t>SOCCER</t>
        </is>
      </c>
      <c r="F171" s="24" t="inlineStr">
        <is>
          <t>San Jose Earthquakes</t>
        </is>
      </c>
      <c r="G171" s="24" t="inlineStr">
        <is>
          <t>FC Cincinnati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-317</v>
      </c>
      <c r="M171" s="27" t="n">
        <v>1.315457</v>
      </c>
      <c r="N171" s="28" t="n">
        <v>0.760192</v>
      </c>
      <c r="O171" s="28" t="n">
        <v>0.884924</v>
      </c>
      <c r="P171" s="28" t="n">
        <v>0.04</v>
      </c>
      <c r="Q171" s="28" t="n">
        <v>0.124732</v>
      </c>
      <c r="R171" s="26" t="n">
        <v>88</v>
      </c>
      <c r="S171" s="29" t="n">
        <v>2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win</t>
        </is>
      </c>
      <c r="W171" s="26" t="n">
        <v>2</v>
      </c>
      <c r="X171" s="26" t="n">
        <v>4</v>
      </c>
      <c r="Y171" s="25" t="n"/>
      <c r="Z171" s="26" t="n"/>
      <c r="AA171" s="28" t="n"/>
      <c r="AB171" s="28" t="n"/>
      <c r="AC171" s="30" t="n">
        <v>0.6309</v>
      </c>
      <c r="AD171" s="24" t="inlineStr">
        <is>
          <t>2026-08-02T04:26:21.106575Z</t>
        </is>
      </c>
      <c r="AE171" s="31" t="inlineStr">
        <is>
          <t>Poisson-DC rates 2.60 (home) / 2.52 (away) from EWMA attack/defense strengths. Executable ask 0.7600 (tsc-mls-fcc-sje-2026-08-01-2pt5).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San Jose Earthquakes</t>
        </is>
      </c>
      <c r="AQ171" s="24" t="inlineStr">
        <is>
          <t>San Jose Earthquakes</t>
        </is>
      </c>
      <c r="AR171" s="24" t="inlineStr">
        <is>
          <t>San Jose Earthquakes</t>
        </is>
      </c>
      <c r="AS171" s="24" t="inlineStr">
        <is>
          <t>FC Cincinnati</t>
        </is>
      </c>
      <c r="AT171" s="24" t="inlineStr">
        <is>
          <t>FC Cincinnati</t>
        </is>
      </c>
      <c r="AU171" s="24" t="inlineStr">
        <is>
          <t>FC Cincinnati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2026-08-01T20:14:22.110761Z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-317</v>
      </c>
      <c r="BL171" s="27" t="n">
        <v>1.315457</v>
      </c>
      <c r="BM171" s="28" t="n">
        <v>0.760192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</row>
    <row r="172" ht="36" customHeight="1">
      <c r="A172" s="24" t="inlineStr">
        <is>
          <t>1f48bd79d56a4307</t>
        </is>
      </c>
      <c r="B172" s="24" t="inlineStr">
        <is>
          <t>2026-08-01T20:17:05.741632Z</t>
        </is>
      </c>
      <c r="C172" s="24" t="inlineStr">
        <is>
          <t>2026-08-01T23:30Z</t>
        </is>
      </c>
      <c r="D172" s="24" t="inlineStr">
        <is>
          <t>761701</t>
        </is>
      </c>
      <c r="E172" s="24" t="inlineStr">
        <is>
          <t>SOCCER</t>
        </is>
      </c>
      <c r="F172" s="24" t="inlineStr">
        <is>
          <t>Columbus Crew</t>
        </is>
      </c>
      <c r="G172" s="24" t="inlineStr">
        <is>
          <t>Inter Miami CF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-285</v>
      </c>
      <c r="M172" s="27" t="n">
        <v>1.350877</v>
      </c>
      <c r="N172" s="28" t="n">
        <v>0.74026</v>
      </c>
      <c r="O172" s="28" t="n">
        <v>0.8701759999999999</v>
      </c>
      <c r="P172" s="28" t="n">
        <v>0.04</v>
      </c>
      <c r="Q172" s="28" t="n">
        <v>0.129916</v>
      </c>
      <c r="R172" s="26" t="n">
        <v>91</v>
      </c>
      <c r="S172" s="29" t="n">
        <v>2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2</v>
      </c>
      <c r="Y172" s="25" t="n"/>
      <c r="Z172" s="26" t="n"/>
      <c r="AA172" s="28" t="n"/>
      <c r="AB172" s="28" t="n"/>
      <c r="AC172" s="30" t="n">
        <v>0.7018</v>
      </c>
      <c r="AD172" s="24" t="inlineStr">
        <is>
          <t>2026-08-02T03:26:14.497023Z</t>
        </is>
      </c>
      <c r="AE172" s="31" t="inlineStr">
        <is>
          <t>Poisson-DC rates 3.37 (home) / 1.57 (away) from EWMA attack/defense strengths. Executable ask 0.7400 (tsc-mls-mia-clb-2026-08-01-2pt5).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Columbus Crew</t>
        </is>
      </c>
      <c r="AQ172" s="24" t="inlineStr">
        <is>
          <t>Columbus Crew</t>
        </is>
      </c>
      <c r="AR172" s="24" t="inlineStr">
        <is>
          <t>Columbus Crew</t>
        </is>
      </c>
      <c r="AS172" s="24" t="inlineStr">
        <is>
          <t>Inter Miami CF</t>
        </is>
      </c>
      <c r="AT172" s="24" t="inlineStr">
        <is>
          <t>Inter Miami CF</t>
        </is>
      </c>
      <c r="AU172" s="24" t="inlineStr">
        <is>
          <t>Inter Miami CF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2026-08-01T20:14:24.561641Z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-285</v>
      </c>
      <c r="BL172" s="27" t="n">
        <v>1.350877</v>
      </c>
      <c r="BM172" s="28" t="n">
        <v>0.74026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</row>
    <row r="173" ht="36" customHeight="1">
      <c r="A173" s="24" t="inlineStr">
        <is>
          <t>534c606f8d994efb</t>
        </is>
      </c>
      <c r="B173" s="24" t="inlineStr">
        <is>
          <t>2026-08-01T20:17:05.741632Z</t>
        </is>
      </c>
      <c r="C173" s="24" t="inlineStr">
        <is>
          <t>2026-08-01T23:30Z</t>
        </is>
      </c>
      <c r="D173" s="24" t="inlineStr">
        <is>
          <t>761702</t>
        </is>
      </c>
      <c r="E173" s="24" t="inlineStr">
        <is>
          <t>SOCCER</t>
        </is>
      </c>
      <c r="F173" s="24" t="inlineStr">
        <is>
          <t>Atlanta United FC</t>
        </is>
      </c>
      <c r="G173" s="24" t="inlineStr">
        <is>
          <t>Philadelphia Union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-163</v>
      </c>
      <c r="M173" s="27" t="n">
        <v>1.613497</v>
      </c>
      <c r="N173" s="28" t="n">
        <v>0.619772</v>
      </c>
      <c r="O173" s="28" t="n">
        <v>0.579545</v>
      </c>
      <c r="P173" s="28" t="n">
        <v>0.04</v>
      </c>
      <c r="Q173" s="28" t="n">
        <v>-0.040227</v>
      </c>
      <c r="R173" s="26" t="n">
        <v>6</v>
      </c>
      <c r="S173" s="29" t="n">
        <v>1.25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win</t>
        </is>
      </c>
      <c r="W173" s="26" t="n">
        <v>2</v>
      </c>
      <c r="X173" s="26" t="n">
        <v>3</v>
      </c>
      <c r="Y173" s="25" t="n"/>
      <c r="Z173" s="26" t="n"/>
      <c r="AA173" s="28" t="n"/>
      <c r="AB173" s="28" t="n"/>
      <c r="AC173" s="30" t="n">
        <v>0.7669</v>
      </c>
      <c r="AD173" s="24" t="inlineStr">
        <is>
          <t>2026-08-02T03:26:14.740324Z</t>
        </is>
      </c>
      <c r="AE173" s="31" t="inlineStr">
        <is>
          <t>Poisson-DC rates 1.93 (home) / 1.08 (away) from EWMA attack/defense strengths. Executable ask 0.6200 (tsc-mls-phi-atl-2026-08-01-2pt5).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Atlanta United FC</t>
        </is>
      </c>
      <c r="AQ173" s="24" t="inlineStr">
        <is>
          <t>Atlanta United FC</t>
        </is>
      </c>
      <c r="AR173" s="24" t="inlineStr">
        <is>
          <t>Atlanta United FC</t>
        </is>
      </c>
      <c r="AS173" s="24" t="inlineStr">
        <is>
          <t>Philadelphia Union</t>
        </is>
      </c>
      <c r="AT173" s="24" t="inlineStr">
        <is>
          <t>Philadelphia Union</t>
        </is>
      </c>
      <c r="AU173" s="24" t="inlineStr">
        <is>
          <t>Philadelphia Union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2026-08-01T20:14:26.713468Z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-163</v>
      </c>
      <c r="BL173" s="27" t="n">
        <v>1.613497</v>
      </c>
      <c r="BM173" s="28" t="n">
        <v>0.619772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</row>
    <row r="174" ht="36" customHeight="1">
      <c r="A174" s="24" t="inlineStr">
        <is>
          <t>95372c50a2ed4ced</t>
        </is>
      </c>
      <c r="B174" s="24" t="inlineStr">
        <is>
          <t>2026-08-01T20:17:05.741632Z</t>
        </is>
      </c>
      <c r="C174" s="24" t="inlineStr">
        <is>
          <t>2026-08-01T23:30Z</t>
        </is>
      </c>
      <c r="D174" s="24" t="inlineStr">
        <is>
          <t>761699</t>
        </is>
      </c>
      <c r="E174" s="24" t="inlineStr">
        <is>
          <t>SOCCER</t>
        </is>
      </c>
      <c r="F174" s="24" t="inlineStr">
        <is>
          <t>Nashville SC</t>
        </is>
      </c>
      <c r="G174" s="24" t="inlineStr">
        <is>
          <t>D.C. United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144</v>
      </c>
      <c r="M174" s="27" t="n">
        <v>2.44</v>
      </c>
      <c r="N174" s="28" t="n">
        <v>0.409836</v>
      </c>
      <c r="O174" s="28" t="n">
        <v>0.552914</v>
      </c>
      <c r="P174" s="28" t="n">
        <v>0.04</v>
      </c>
      <c r="Q174" s="28" t="n">
        <v>0.143078</v>
      </c>
      <c r="R174" s="26" t="n">
        <v>98</v>
      </c>
      <c r="S174" s="29" t="n">
        <v>1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push</t>
        </is>
      </c>
      <c r="W174" s="26" t="n">
        <v>2</v>
      </c>
      <c r="X174" s="26" t="n">
        <v>2</v>
      </c>
      <c r="Y174" s="25" t="n"/>
      <c r="Z174" s="26" t="n"/>
      <c r="AA174" s="28" t="n"/>
      <c r="AB174" s="28" t="n"/>
      <c r="AC174" s="30" t="n">
        <v>0</v>
      </c>
      <c r="AD174" s="24" t="inlineStr">
        <is>
          <t>2026-08-02T03:26:15.055587Z</t>
        </is>
      </c>
      <c r="AE174" s="31" t="inlineStr">
        <is>
          <t>Poisson-DC rates 1.27 (home) / 2.09 (away) from EWMA attack/defense strengths. Executable ask 0.4100 (atc-mls-dcu-nas-2026-08-01-nas).</t>
        </is>
      </c>
      <c r="AF174" s="31" t="inlineStr">
        <is>
          <t>Research-only soccer score model; draw-aware, but not yet locked-holdout qualified.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Nashville SC</t>
        </is>
      </c>
      <c r="AQ174" s="24" t="inlineStr">
        <is>
          <t>Nashville SC</t>
        </is>
      </c>
      <c r="AR174" s="24" t="inlineStr">
        <is>
          <t>Nashville SC</t>
        </is>
      </c>
      <c r="AS174" s="24" t="inlineStr">
        <is>
          <t>D.C. United</t>
        </is>
      </c>
      <c r="AT174" s="24" t="inlineStr">
        <is>
          <t>D.C. United</t>
        </is>
      </c>
      <c r="AU174" s="24" t="inlineStr">
        <is>
          <t>D.C. United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2026-08-01T20:14:20.050683Z</t>
        </is>
      </c>
      <c r="BI174" s="24" t="inlineStr">
        <is>
          <t>["same_event","same_team_same_day","same_league_same_day"]</t>
        </is>
      </c>
      <c r="BJ174" s="25" t="n"/>
      <c r="BK174" s="26" t="n">
        <v>144</v>
      </c>
      <c r="BL174" s="27" t="n">
        <v>2.44</v>
      </c>
      <c r="BM174" s="28" t="n">
        <v>0.409836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</row>
    <row r="175" ht="36" customHeight="1">
      <c r="A175" s="24" t="inlineStr">
        <is>
          <t>ae6c537b76914b00</t>
        </is>
      </c>
      <c r="B175" s="24" t="inlineStr">
        <is>
          <t>2026-08-01T20:17:05.741632Z</t>
        </is>
      </c>
      <c r="C175" s="24" t="inlineStr">
        <is>
          <t>2026-08-01T23:30Z</t>
        </is>
      </c>
      <c r="D175" s="24" t="inlineStr">
        <is>
          <t>761700</t>
        </is>
      </c>
      <c r="E175" s="24" t="inlineStr">
        <is>
          <t>SOCCER</t>
        </is>
      </c>
      <c r="F175" s="24" t="inlineStr">
        <is>
          <t>San Jose Earthquakes</t>
        </is>
      </c>
      <c r="G175" s="24" t="inlineStr">
        <is>
          <t>FC Cincinnati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-108</v>
      </c>
      <c r="M175" s="27" t="n">
        <v>1.925926</v>
      </c>
      <c r="N175" s="28" t="n">
        <v>0.519231</v>
      </c>
      <c r="O175" s="28" t="n">
        <v>0.418282</v>
      </c>
      <c r="P175" s="28" t="n">
        <v>0.04</v>
      </c>
      <c r="Q175" s="28" t="n">
        <v>-0.100949</v>
      </c>
      <c r="R175" s="26" t="n">
        <v>0</v>
      </c>
      <c r="S175" s="29" t="n">
        <v>1.25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2</v>
      </c>
      <c r="X175" s="26" t="n">
        <v>4</v>
      </c>
      <c r="Y175" s="25" t="n"/>
      <c r="Z175" s="26" t="n"/>
      <c r="AA175" s="28" t="n"/>
      <c r="AB175" s="28" t="n"/>
      <c r="AC175" s="30" t="n">
        <v>1.1574</v>
      </c>
      <c r="AD175" s="24" t="inlineStr">
        <is>
          <t>2026-08-02T04:26:21.397669Z</t>
        </is>
      </c>
      <c r="AE175" s="31" t="inlineStr">
        <is>
          <t>Poisson-DC rates 2.60 (home) / 2.52 (away) from EWMA attack/defense strengths. Executable ask 0.5200 (atc-mls-fcc-sje-2026-08-01-fcc).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San Jose Earthquakes</t>
        </is>
      </c>
      <c r="AQ175" s="24" t="inlineStr">
        <is>
          <t>San Jose Earthquakes</t>
        </is>
      </c>
      <c r="AR175" s="24" t="inlineStr">
        <is>
          <t>San Jose Earthquakes</t>
        </is>
      </c>
      <c r="AS175" s="24" t="inlineStr">
        <is>
          <t>FC Cincinnati</t>
        </is>
      </c>
      <c r="AT175" s="24" t="inlineStr">
        <is>
          <t>FC Cincinnati</t>
        </is>
      </c>
      <c r="AU175" s="24" t="inlineStr">
        <is>
          <t>FC Cincinnati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2026-08-01T20:14:21.554713Z</t>
        </is>
      </c>
      <c r="BI175" s="24" t="inlineStr">
        <is>
          <t>["same_event","same_team_same_day","same_league_same_day"]</t>
        </is>
      </c>
      <c r="BJ175" s="25" t="n"/>
      <c r="BK175" s="26" t="n">
        <v>-108</v>
      </c>
      <c r="BL175" s="27" t="n">
        <v>1.925926</v>
      </c>
      <c r="BM175" s="28" t="n">
        <v>0.519231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</row>
    <row r="176" ht="36" customHeight="1">
      <c r="A176" s="24" t="inlineStr">
        <is>
          <t>b586e7aa165f48df</t>
        </is>
      </c>
      <c r="B176" s="24" t="inlineStr">
        <is>
          <t>2026-08-01T20:17:05.741632Z</t>
        </is>
      </c>
      <c r="C176" s="24" t="inlineStr">
        <is>
          <t>2026-08-01T23:30Z</t>
        </is>
      </c>
      <c r="D176" s="24" t="inlineStr">
        <is>
          <t>761701</t>
        </is>
      </c>
      <c r="E176" s="24" t="inlineStr">
        <is>
          <t>SOCCER</t>
        </is>
      </c>
      <c r="F176" s="24" t="inlineStr">
        <is>
          <t>Columbus Crew</t>
        </is>
      </c>
      <c r="G176" s="24" t="inlineStr">
        <is>
          <t>Inter Miami CF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-170</v>
      </c>
      <c r="M176" s="27" t="n">
        <v>1.588235</v>
      </c>
      <c r="N176" s="28" t="n">
        <v>0.62963</v>
      </c>
      <c r="O176" s="28" t="n">
        <v>0.715665</v>
      </c>
      <c r="P176" s="28" t="n">
        <v>0.04</v>
      </c>
      <c r="Q176" s="28" t="n">
        <v>0.086035</v>
      </c>
      <c r="R176" s="26" t="n">
        <v>69</v>
      </c>
      <c r="S176" s="29" t="n">
        <v>2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push</t>
        </is>
      </c>
      <c r="W176" s="26" t="n">
        <v>2</v>
      </c>
      <c r="X176" s="26" t="n">
        <v>2</v>
      </c>
      <c r="Y176" s="25" t="n"/>
      <c r="Z176" s="26" t="n"/>
      <c r="AA176" s="28" t="n"/>
      <c r="AB176" s="28" t="n"/>
      <c r="AC176" s="30" t="n">
        <v>0</v>
      </c>
      <c r="AD176" s="24" t="inlineStr">
        <is>
          <t>2026-08-02T03:26:15.417178Z</t>
        </is>
      </c>
      <c r="AE176" s="31" t="inlineStr">
        <is>
          <t>Poisson-DC rates 3.37 (home) / 1.57 (away) from EWMA attack/defense strengths. Executable ask 0.6300 (atc-mls-mia-clb-2026-08-01-mia).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Columbus Crew</t>
        </is>
      </c>
      <c r="AQ176" s="24" t="inlineStr">
        <is>
          <t>Columbus Crew</t>
        </is>
      </c>
      <c r="AR176" s="24" t="inlineStr">
        <is>
          <t>Columbus Crew</t>
        </is>
      </c>
      <c r="AS176" s="24" t="inlineStr">
        <is>
          <t>Inter Miami CF</t>
        </is>
      </c>
      <c r="AT176" s="24" t="inlineStr">
        <is>
          <t>Inter Miami CF</t>
        </is>
      </c>
      <c r="AU176" s="24" t="inlineStr">
        <is>
          <t>Inter Miami CF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2026-08-01T20:14:23.116312Z</t>
        </is>
      </c>
      <c r="BI176" s="24" t="inlineStr">
        <is>
          <t>["same_event","same_team_same_day","same_league_same_day"]</t>
        </is>
      </c>
      <c r="BJ176" s="25" t="n"/>
      <c r="BK176" s="26" t="n">
        <v>-170</v>
      </c>
      <c r="BL176" s="27" t="n">
        <v>1.588235</v>
      </c>
      <c r="BM176" s="28" t="n">
        <v>0.62963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</row>
    <row r="177" ht="36" customHeight="1">
      <c r="A177" s="24" t="inlineStr">
        <is>
          <t>1e573e73d5d24ee5</t>
        </is>
      </c>
      <c r="B177" s="24" t="inlineStr">
        <is>
          <t>2026-08-01T20:17:05.741632Z</t>
        </is>
      </c>
      <c r="C177" s="24" t="inlineStr">
        <is>
          <t>2026-08-01T23:30Z</t>
        </is>
      </c>
      <c r="D177" s="24" t="inlineStr">
        <is>
          <t>761702</t>
        </is>
      </c>
      <c r="E177" s="24" t="inlineStr">
        <is>
          <t>SOCCER</t>
        </is>
      </c>
      <c r="F177" s="24" t="inlineStr">
        <is>
          <t>Atlanta United FC</t>
        </is>
      </c>
      <c r="G177" s="24" t="inlineStr">
        <is>
          <t>Philadelphia Union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-156</v>
      </c>
      <c r="M177" s="27" t="n">
        <v>1.641026</v>
      </c>
      <c r="N177" s="28" t="n">
        <v>0.609375</v>
      </c>
      <c r="O177" s="28" t="n">
        <v>0.5599229999999999</v>
      </c>
      <c r="P177" s="28" t="n">
        <v>0.04</v>
      </c>
      <c r="Q177" s="28" t="n">
        <v>-0.049452</v>
      </c>
      <c r="R177" s="26" t="n">
        <v>1</v>
      </c>
      <c r="S177" s="29" t="n">
        <v>1.25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3</v>
      </c>
      <c r="Y177" s="25" t="n"/>
      <c r="Z177" s="26" t="n"/>
      <c r="AA177" s="28" t="n"/>
      <c r="AB177" s="28" t="n"/>
      <c r="AC177" s="30" t="n">
        <v>0.8013</v>
      </c>
      <c r="AD177" s="24" t="inlineStr">
        <is>
          <t>2026-08-02T03:26:15.763444Z</t>
        </is>
      </c>
      <c r="AE177" s="31" t="inlineStr">
        <is>
          <t>Poisson-DC rates 1.93 (home) / 1.08 (away) from EWMA attack/defense strengths. Executable ask 0.6100 (atc-mls-phi-atl-2026-08-01-phi).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Atlanta United FC</t>
        </is>
      </c>
      <c r="AQ177" s="24" t="inlineStr">
        <is>
          <t>Atlanta United FC</t>
        </is>
      </c>
      <c r="AR177" s="24" t="inlineStr">
        <is>
          <t>Atlanta United FC</t>
        </is>
      </c>
      <c r="AS177" s="24" t="inlineStr">
        <is>
          <t>Philadelphia Union</t>
        </is>
      </c>
      <c r="AT177" s="24" t="inlineStr">
        <is>
          <t>Philadelphia Union</t>
        </is>
      </c>
      <c r="AU177" s="24" t="inlineStr">
        <is>
          <t>Philadelphia Union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2026-08-01T20:14:26.266239Z</t>
        </is>
      </c>
      <c r="BI177" s="24" t="inlineStr">
        <is>
          <t>["same_event","same_team_same_day","same_league_same_day"]</t>
        </is>
      </c>
      <c r="BJ177" s="25" t="n"/>
      <c r="BK177" s="26" t="n">
        <v>-156</v>
      </c>
      <c r="BL177" s="27" t="n">
        <v>1.641026</v>
      </c>
      <c r="BM177" s="28" t="n">
        <v>0.609375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</row>
    <row r="178" ht="36" customHeight="1">
      <c r="A178" s="24" t="inlineStr">
        <is>
          <t>40b54f606eb04e02</t>
        </is>
      </c>
      <c r="B178" s="24" t="inlineStr">
        <is>
          <t>2026-08-01T20:17:05.741632Z</t>
        </is>
      </c>
      <c r="C178" s="24" t="inlineStr">
        <is>
          <t>2026-08-01T21:00Z</t>
        </is>
      </c>
      <c r="D178" s="24" t="inlineStr">
        <is>
          <t>401841478</t>
        </is>
      </c>
      <c r="E178" s="24" t="inlineStr">
        <is>
          <t>SOCCER</t>
        </is>
      </c>
      <c r="F178" s="24" t="inlineStr">
        <is>
          <t>Defensa y Justicia</t>
        </is>
      </c>
      <c r="G178" s="24" t="inlineStr">
        <is>
          <t>Estudiantes de La Plata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-144</v>
      </c>
      <c r="M178" s="27" t="n">
        <v>1.694444</v>
      </c>
      <c r="N178" s="28" t="n">
        <v>0.590164</v>
      </c>
      <c r="O178" s="28" t="n">
        <v>0.451659</v>
      </c>
      <c r="P178" s="28" t="n">
        <v>0.2</v>
      </c>
      <c r="Q178" s="28" t="n">
        <v>-0.138505</v>
      </c>
      <c r="R178" s="26" t="n">
        <v>0</v>
      </c>
      <c r="S178" s="29" t="n">
        <v>1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3</v>
      </c>
      <c r="Y178" s="25" t="n"/>
      <c r="Z178" s="26" t="n"/>
      <c r="AA178" s="28" t="n"/>
      <c r="AB178" s="28" t="n"/>
      <c r="AC178" s="30" t="n">
        <v>0.6944</v>
      </c>
      <c r="AD178" s="24" t="inlineStr">
        <is>
          <t>2026-08-01T23:51:10.459392Z</t>
        </is>
      </c>
      <c r="AE178" s="31" t="inlineStr">
        <is>
          <t>Poisson-DC rates 1.59 (home) / 1.20 (away) from EWMA attack/defense strengths. Executable ask 0.5900 (atc-lpa-est-def-2026-08-01-est).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Defensa y Justicia</t>
        </is>
      </c>
      <c r="AQ178" s="24" t="inlineStr">
        <is>
          <t>Defensa y Justicia</t>
        </is>
      </c>
      <c r="AR178" s="24" t="inlineStr">
        <is>
          <t>Defensa y Justicia</t>
        </is>
      </c>
      <c r="AS178" s="24" t="inlineStr">
        <is>
          <t>Estudiantes de La Plata</t>
        </is>
      </c>
      <c r="AT178" s="24" t="inlineStr">
        <is>
          <t>Estudiantes de La Plata</t>
        </is>
      </c>
      <c r="AU178" s="24" t="inlineStr">
        <is>
          <t>Estudiantes de La Plata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2026-08-01T20:14:41.137983Z</t>
        </is>
      </c>
      <c r="BI178" s="24" t="inlineStr">
        <is>
          <t>["same_event","same_team_same_day","same_league_same_day"]</t>
        </is>
      </c>
      <c r="BJ178" s="25" t="n"/>
      <c r="BK178" s="26" t="n">
        <v>-144</v>
      </c>
      <c r="BL178" s="27" t="n">
        <v>1.694444</v>
      </c>
      <c r="BM178" s="28" t="n">
        <v>0.590164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</row>
    <row r="179" ht="36" customHeight="1">
      <c r="A179" s="24" t="inlineStr">
        <is>
          <t>0318e2143c9e4155</t>
        </is>
      </c>
      <c r="B179" s="24" t="inlineStr">
        <is>
          <t>2026-08-01T20:17:05.741632Z</t>
        </is>
      </c>
      <c r="C179" s="24" t="inlineStr">
        <is>
          <t>2026-08-01T23:30Z</t>
        </is>
      </c>
      <c r="D179" s="24" t="inlineStr">
        <is>
          <t>401841475</t>
        </is>
      </c>
      <c r="E179" s="24" t="inlineStr">
        <is>
          <t>SOCCER</t>
        </is>
      </c>
      <c r="F179" s="24" t="inlineStr">
        <is>
          <t>Tigre</t>
        </is>
      </c>
      <c r="G179" s="24" t="inlineStr">
        <is>
          <t>Racing Club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0.483295</v>
      </c>
      <c r="P179" s="28" t="n">
        <v>0.2</v>
      </c>
      <c r="Q179" s="28" t="n">
        <v>0.013811</v>
      </c>
      <c r="R179" s="26" t="n">
        <v>0</v>
      </c>
      <c r="S179" s="29" t="n">
        <v>1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loss</t>
        </is>
      </c>
      <c r="W179" s="26" t="n">
        <v>3</v>
      </c>
      <c r="X179" s="26" t="n">
        <v>1</v>
      </c>
      <c r="Y179" s="25" t="n"/>
      <c r="Z179" s="26" t="n"/>
      <c r="AA179" s="28" t="n"/>
      <c r="AB179" s="28" t="n"/>
      <c r="AC179" s="30" t="n">
        <v>-1</v>
      </c>
      <c r="AD179" s="24" t="inlineStr">
        <is>
          <t>2026-08-02T03:26:17.235577Z</t>
        </is>
      </c>
      <c r="AE179" s="31" t="inlineStr">
        <is>
          <t>Poisson-DC rates 1.72 (home) / 1.20 (away) from EWMA attack/defense strengths. Executable ask 0.4700 (atc-lpa-rac-tig-2026-08-01-rac).</t>
        </is>
      </c>
      <c r="AF179" s="31" t="inlineStr">
        <is>
          <t>Research-only soccer score model; draw-aware, but not yet locked-holdout qualified.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Tigre</t>
        </is>
      </c>
      <c r="AQ179" s="24" t="inlineStr">
        <is>
          <t>Tigre</t>
        </is>
      </c>
      <c r="AR179" s="24" t="inlineStr">
        <is>
          <t>Tigre</t>
        </is>
      </c>
      <c r="AS179" s="24" t="inlineStr">
        <is>
          <t>Racing Club</t>
        </is>
      </c>
      <c r="AT179" s="24" t="inlineStr">
        <is>
          <t>Racing Club</t>
        </is>
      </c>
      <c r="AU179" s="24" t="inlineStr">
        <is>
          <t>Racing Club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2026-08-01T20:14:41.628532Z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</row>
    <row r="180" ht="36" customHeight="1">
      <c r="A180" s="24" t="inlineStr">
        <is>
          <t>711928eecb964b43</t>
        </is>
      </c>
      <c r="B180" s="24" t="inlineStr">
        <is>
          <t>2026-08-01T20:17:05.741632Z</t>
        </is>
      </c>
      <c r="C180" s="24" t="inlineStr">
        <is>
          <t>2026-08-01T21:30Z</t>
        </is>
      </c>
      <c r="D180" s="24" t="inlineStr">
        <is>
          <t>401850608</t>
        </is>
      </c>
      <c r="E180" s="24" t="inlineStr">
        <is>
          <t>SOCCER</t>
        </is>
      </c>
      <c r="F180" s="24" t="inlineStr">
        <is>
          <t>Coquimbo Unido</t>
        </is>
      </c>
      <c r="G180" s="24" t="inlineStr">
        <is>
          <t>Palestino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186</v>
      </c>
      <c r="M180" s="27" t="n">
        <v>2.86</v>
      </c>
      <c r="N180" s="28" t="n">
        <v>0.34965</v>
      </c>
      <c r="O180" s="28" t="n">
        <v>0.505507</v>
      </c>
      <c r="P180" s="28" t="n">
        <v>0.2</v>
      </c>
      <c r="Q180" s="28" t="n">
        <v>0.155857</v>
      </c>
      <c r="R180" s="26" t="n">
        <v>8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win</t>
        </is>
      </c>
      <c r="W180" s="26" t="n">
        <v>1</v>
      </c>
      <c r="X180" s="26" t="n">
        <v>2</v>
      </c>
      <c r="Y180" s="25" t="n"/>
      <c r="Z180" s="26" t="n"/>
      <c r="AA180" s="28" t="n"/>
      <c r="AB180" s="28" t="n"/>
      <c r="AC180" s="30" t="n">
        <v>1.86</v>
      </c>
      <c r="AD180" s="24" t="inlineStr">
        <is>
          <t>2026-08-01T23:51:10.837881Z</t>
        </is>
      </c>
      <c r="AE180" s="31" t="inlineStr">
        <is>
          <t>Poisson-DC rates 1.72 (home) / 1.10 (away) from EWMA attack/defense strengths. Executable ask 0.3500 (atc-pdc-pal-coq-2026-08-01-pal).</t>
        </is>
      </c>
      <c r="AF180" s="31" t="inlineStr">
        <is>
          <t>Research-only soccer score model; draw-aware, but not yet locked-holdout qualified.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Coquimbo Unido</t>
        </is>
      </c>
      <c r="AQ180" s="24" t="inlineStr">
        <is>
          <t>Coquimbo Unido</t>
        </is>
      </c>
      <c r="AR180" s="24" t="inlineStr">
        <is>
          <t>Coquimbo Unido</t>
        </is>
      </c>
      <c r="AS180" s="24" t="inlineStr">
        <is>
          <t>Palestino</t>
        </is>
      </c>
      <c r="AT180" s="24" t="inlineStr">
        <is>
          <t>Palestino</t>
        </is>
      </c>
      <c r="AU180" s="24" t="inlineStr">
        <is>
          <t>Palestino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2026-08-01T20:14:43.888722Z</t>
        </is>
      </c>
      <c r="BI180" s="24" t="inlineStr">
        <is>
          <t>["same_event","same_team_same_day","same_league_same_day"]</t>
        </is>
      </c>
      <c r="BJ180" s="25" t="n"/>
      <c r="BK180" s="26" t="n">
        <v>186</v>
      </c>
      <c r="BL180" s="27" t="n">
        <v>2.86</v>
      </c>
      <c r="BM180" s="28" t="n">
        <v>0.34965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</row>
    <row r="181" ht="36" customHeight="1">
      <c r="A181" s="24" t="inlineStr">
        <is>
          <t>d5a1a0d79fb04e60</t>
        </is>
      </c>
      <c r="B181" s="24" t="inlineStr">
        <is>
          <t>2026-08-01T23:53:24.455746Z</t>
        </is>
      </c>
      <c r="C181" s="24" t="inlineStr">
        <is>
          <t>2026-08-02T00:30Z</t>
        </is>
      </c>
      <c r="D181" s="24" t="inlineStr">
        <is>
          <t>761704</t>
        </is>
      </c>
      <c r="E181" s="24" t="inlineStr">
        <is>
          <t>SOCCER</t>
        </is>
      </c>
      <c r="F181" s="24" t="inlineStr">
        <is>
          <t>Charlotte FC</t>
        </is>
      </c>
      <c r="G181" s="24" t="inlineStr">
        <is>
          <t>Chicago Fire FC</t>
        </is>
      </c>
      <c r="H181" s="24" t="inlineStr">
        <is>
          <t>total</t>
        </is>
      </c>
      <c r="I181" s="24" t="inlineStr">
        <is>
          <t>over</t>
        </is>
      </c>
      <c r="J181" s="25" t="n">
        <v>2.5</v>
      </c>
      <c r="K181" s="24" t="inlineStr">
        <is>
          <t>polymarket_us</t>
        </is>
      </c>
      <c r="L181" s="26" t="n">
        <v>-223</v>
      </c>
      <c r="M181" s="27" t="n">
        <v>1.44843</v>
      </c>
      <c r="N181" s="28" t="n">
        <v>0.690402</v>
      </c>
      <c r="O181" s="28" t="n">
        <v>0.676403</v>
      </c>
      <c r="P181" s="28" t="n">
        <v>0.04</v>
      </c>
      <c r="Q181" s="28" t="n">
        <v>-0.013999</v>
      </c>
      <c r="R181" s="26" t="n">
        <v>19</v>
      </c>
      <c r="S181" s="29" t="n">
        <v>2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1</v>
      </c>
      <c r="X181" s="26" t="n">
        <v>2</v>
      </c>
      <c r="Y181" s="25" t="n"/>
      <c r="Z181" s="26" t="n"/>
      <c r="AA181" s="28" t="n"/>
      <c r="AB181" s="28" t="n"/>
      <c r="AC181" s="30" t="n">
        <v>0.8969</v>
      </c>
      <c r="AD181" s="24" t="inlineStr">
        <is>
          <t>2026-08-02T03:26:17.505871Z</t>
        </is>
      </c>
      <c r="AE181" s="31" t="inlineStr">
        <is>
          <t>Poisson-DC rates 2.21 (home) / 1.28 (away) from EWMA attack/defense strengths. Executable ask 0.6900 (tsc-mls-chi-clt-2026-08-01-2pt5).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NO_CALL_MODEL_UNVALIDATED</t>
        </is>
      </c>
      <c r="AP181" s="24" t="inlineStr">
        <is>
          <t>Charlotte FC</t>
        </is>
      </c>
      <c r="AQ181" s="24" t="inlineStr">
        <is>
          <t>Charlotte FC</t>
        </is>
      </c>
      <c r="AR181" s="24" t="inlineStr">
        <is>
          <t>Charlotte FC</t>
        </is>
      </c>
      <c r="AS181" s="24" t="inlineStr">
        <is>
          <t>Chicago Fire FC</t>
        </is>
      </c>
      <c r="AT181" s="24" t="inlineStr">
        <is>
          <t>Chicago Fire FC</t>
        </is>
      </c>
      <c r="AU181" s="24" t="inlineStr">
        <is>
          <t>Chicago Fire FC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research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2026-08-01T23:52:03.726485Z</t>
        </is>
      </c>
      <c r="BI181" s="24" t="inlineStr">
        <is>
          <t>["same_event","same_team_same_day","same_league_same_day"]</t>
        </is>
      </c>
      <c r="BJ181" s="25" t="n">
        <v>2.5</v>
      </c>
      <c r="BK181" s="26" t="n">
        <v>-223</v>
      </c>
      <c r="BL181" s="27" t="n">
        <v>1.44843</v>
      </c>
      <c r="BM181" s="28" t="n">
        <v>0.690402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</row>
    <row r="182" ht="36" customHeight="1">
      <c r="A182" s="24" t="inlineStr">
        <is>
          <t>77cbdb972f24408c</t>
        </is>
      </c>
      <c r="B182" s="24" t="inlineStr">
        <is>
          <t>2026-08-01T23:53:24.455746Z</t>
        </is>
      </c>
      <c r="C182" s="24" t="inlineStr">
        <is>
          <t>2026-08-02T00:30Z</t>
        </is>
      </c>
      <c r="D182" s="24" t="inlineStr">
        <is>
          <t>761703</t>
        </is>
      </c>
      <c r="E182" s="24" t="inlineStr">
        <is>
          <t>SOCCER</t>
        </is>
      </c>
      <c r="F182" s="24" t="inlineStr">
        <is>
          <t>San Diego FC</t>
        </is>
      </c>
      <c r="G182" s="24" t="inlineStr">
        <is>
          <t>Minnesota United FC</t>
        </is>
      </c>
      <c r="H182" s="24" t="inlineStr">
        <is>
          <t>total</t>
        </is>
      </c>
      <c r="I182" s="24" t="inlineStr">
        <is>
          <t>over</t>
        </is>
      </c>
      <c r="J182" s="25" t="n">
        <v>2.5</v>
      </c>
      <c r="K182" s="24" t="inlineStr">
        <is>
          <t>polymarket_us</t>
        </is>
      </c>
      <c r="L182" s="26" t="n">
        <v>-170</v>
      </c>
      <c r="M182" s="27" t="n">
        <v>1.588235</v>
      </c>
      <c r="N182" s="28" t="n">
        <v>0.62963</v>
      </c>
      <c r="O182" s="28" t="n">
        <v>0.66611</v>
      </c>
      <c r="P182" s="28" t="n">
        <v>0.04</v>
      </c>
      <c r="Q182" s="28" t="n">
        <v>0.03648</v>
      </c>
      <c r="R182" s="26" t="n">
        <v>44</v>
      </c>
      <c r="S182" s="29" t="n">
        <v>1.75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loss</t>
        </is>
      </c>
      <c r="W182" s="26" t="n">
        <v>1</v>
      </c>
      <c r="X182" s="26" t="n">
        <v>1</v>
      </c>
      <c r="Y182" s="25" t="n"/>
      <c r="Z182" s="26" t="n"/>
      <c r="AA182" s="28" t="n"/>
      <c r="AB182" s="28" t="n"/>
      <c r="AC182" s="30" t="n">
        <v>-1.75</v>
      </c>
      <c r="AD182" s="24" t="inlineStr">
        <is>
          <t>2026-08-02T03:26:17.790482Z</t>
        </is>
      </c>
      <c r="AE182" s="31" t="inlineStr">
        <is>
          <t>Poisson-DC rates 1.78 (home) / 1.65 (away) from EWMA attack/defense strengths. Executable ask 0.6300 (tsc-mls-min-sdg-2026-08-01-2pt5).</t>
        </is>
      </c>
      <c r="AF182" s="31" t="inlineStr">
        <is>
          <t>Research-only soccer score model; draw-aware, but not yet locked-holdout qualified.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NO_CALL_MODEL_UNVALIDATED</t>
        </is>
      </c>
      <c r="AP182" s="24" t="inlineStr">
        <is>
          <t>San Diego FC</t>
        </is>
      </c>
      <c r="AQ182" s="24" t="inlineStr">
        <is>
          <t>San Diego FC</t>
        </is>
      </c>
      <c r="AR182" s="24" t="inlineStr">
        <is>
          <t>San Diego FC</t>
        </is>
      </c>
      <c r="AS182" s="24" t="inlineStr">
        <is>
          <t>Minnesota United FC</t>
        </is>
      </c>
      <c r="AT182" s="24" t="inlineStr">
        <is>
          <t>Minnesota United FC</t>
        </is>
      </c>
      <c r="AU182" s="24" t="inlineStr">
        <is>
          <t>Minnesota United FC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2026-08-01T23:52:06.222075Z</t>
        </is>
      </c>
      <c r="BI182" s="24" t="inlineStr">
        <is>
          <t>["same_event","same_team_same_day","same_league_same_day"]</t>
        </is>
      </c>
      <c r="BJ182" s="25" t="n">
        <v>2.5</v>
      </c>
      <c r="BK182" s="26" t="n">
        <v>-170</v>
      </c>
      <c r="BL182" s="27" t="n">
        <v>1.588235</v>
      </c>
      <c r="BM182" s="28" t="n">
        <v>0.62963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</row>
    <row r="183" ht="36" customHeight="1">
      <c r="A183" s="24" t="inlineStr">
        <is>
          <t>6fd0a3d28ba44e1a</t>
        </is>
      </c>
      <c r="B183" s="24" t="inlineStr">
        <is>
          <t>2026-08-01T23:53:24.455746Z</t>
        </is>
      </c>
      <c r="C183" s="24" t="inlineStr">
        <is>
          <t>2026-08-02T00:30Z</t>
        </is>
      </c>
      <c r="D183" s="24" t="inlineStr">
        <is>
          <t>761706</t>
        </is>
      </c>
      <c r="E183" s="24" t="inlineStr">
        <is>
          <t>SOCCER</t>
        </is>
      </c>
      <c r="F183" s="24" t="inlineStr">
        <is>
          <t>Houston Dynamo FC</t>
        </is>
      </c>
      <c r="G183" s="24" t="inlineStr">
        <is>
          <t>Sporting Kansas City</t>
        </is>
      </c>
      <c r="H183" s="24" t="inlineStr">
        <is>
          <t>total</t>
        </is>
      </c>
      <c r="I183" s="24" t="inlineStr">
        <is>
          <t>over</t>
        </is>
      </c>
      <c r="J183" s="25" t="n">
        <v>2.5</v>
      </c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0.651724</v>
      </c>
      <c r="P183" s="28" t="n">
        <v>0.04</v>
      </c>
      <c r="Q183" s="28" t="n">
        <v>0.06156</v>
      </c>
      <c r="R183" s="26" t="n">
        <v>57</v>
      </c>
      <c r="S183" s="29" t="n">
        <v>1.75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loss</t>
        </is>
      </c>
      <c r="W183" s="26" t="n">
        <v>2</v>
      </c>
      <c r="X183" s="26" t="n">
        <v>0</v>
      </c>
      <c r="Y183" s="25" t="n"/>
      <c r="Z183" s="26" t="n"/>
      <c r="AA183" s="28" t="n"/>
      <c r="AB183" s="28" t="n"/>
      <c r="AC183" s="30" t="n">
        <v>-1.75</v>
      </c>
      <c r="AD183" s="24" t="inlineStr">
        <is>
          <t>2026-08-02T03:26:18.086130Z</t>
        </is>
      </c>
      <c r="AE183" s="31" t="inlineStr">
        <is>
          <t>Poisson-DC rates 1.49 (home) / 1.87 (away) from EWMA attack/defense strengths. Executable ask 0.5900 (tsc-mls-skc-hou-2026-08-01-2pt5).</t>
        </is>
      </c>
      <c r="AF183" s="31" t="inlineStr">
        <is>
          <t>Research-only soccer score model; draw-aware, but not yet locked-holdout qualified.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NO_CALL_MODEL_UNVALIDATED</t>
        </is>
      </c>
      <c r="AP183" s="24" t="inlineStr">
        <is>
          <t>Houston Dynamo FC</t>
        </is>
      </c>
      <c r="AQ183" s="24" t="inlineStr">
        <is>
          <t>Houston Dynamo FC</t>
        </is>
      </c>
      <c r="AR183" s="24" t="inlineStr">
        <is>
          <t>Houston Dynamo FC</t>
        </is>
      </c>
      <c r="AS183" s="24" t="inlineStr">
        <is>
          <t>Sporting Kansas City</t>
        </is>
      </c>
      <c r="AT183" s="24" t="inlineStr">
        <is>
          <t>Sporting Kansas City</t>
        </is>
      </c>
      <c r="AU183" s="24" t="inlineStr">
        <is>
          <t>Sporting Kansas City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2026-08-01T23:52:07.836349Z</t>
        </is>
      </c>
      <c r="BI183" s="24" t="inlineStr">
        <is>
          <t>["same_event","same_team_same_day","same_league_same_day"]</t>
        </is>
      </c>
      <c r="BJ183" s="25" t="n">
        <v>2.5</v>
      </c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</row>
    <row r="184" ht="36" customHeight="1">
      <c r="A184" s="24" t="inlineStr">
        <is>
          <t>90c023aa72c64cfc</t>
        </is>
      </c>
      <c r="B184" s="24" t="inlineStr">
        <is>
          <t>2026-08-01T23:53:24.455746Z</t>
        </is>
      </c>
      <c r="C184" s="24" t="inlineStr">
        <is>
          <t>2026-08-02T00:30Z</t>
        </is>
      </c>
      <c r="D184" s="24" t="inlineStr">
        <is>
          <t>761705</t>
        </is>
      </c>
      <c r="E184" s="24" t="inlineStr">
        <is>
          <t>SOCCER</t>
        </is>
      </c>
      <c r="F184" s="24" t="inlineStr">
        <is>
          <t>Real Salt Lake</t>
        </is>
      </c>
      <c r="G184" s="24" t="inlineStr">
        <is>
          <t>St. Louis CITY SC</t>
        </is>
      </c>
      <c r="H184" s="24" t="inlineStr">
        <is>
          <t>total</t>
        </is>
      </c>
      <c r="I184" s="24" t="inlineStr">
        <is>
          <t>over</t>
        </is>
      </c>
      <c r="J184" s="25" t="n">
        <v>2.5</v>
      </c>
      <c r="K184" s="24" t="inlineStr">
        <is>
          <t>polymarket_us</t>
        </is>
      </c>
      <c r="L184" s="26" t="n">
        <v>-178</v>
      </c>
      <c r="M184" s="27" t="n">
        <v>1.561798</v>
      </c>
      <c r="N184" s="28" t="n">
        <v>0.640288</v>
      </c>
      <c r="O184" s="28" t="n">
        <v>0.623765</v>
      </c>
      <c r="P184" s="28" t="n">
        <v>0.04</v>
      </c>
      <c r="Q184" s="28" t="n">
        <v>-0.016523</v>
      </c>
      <c r="R184" s="26" t="n">
        <v>18</v>
      </c>
      <c r="S184" s="29" t="n">
        <v>1.5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1</v>
      </c>
      <c r="Y184" s="25" t="n"/>
      <c r="Z184" s="26" t="n"/>
      <c r="AA184" s="28" t="n"/>
      <c r="AB184" s="28" t="n"/>
      <c r="AC184" s="30" t="n">
        <v>-1.5</v>
      </c>
      <c r="AD184" s="24" t="inlineStr">
        <is>
          <t>2026-08-02T03:26:18.397668Z</t>
        </is>
      </c>
      <c r="AE184" s="31" t="inlineStr">
        <is>
          <t>Poisson-DC rates 1.71 (home) / 1.51 (away) from EWMA attack/defense strengths. Executable ask 0.6400 (tsc-mls-stl-rsl-2026-08-01-2pt5).</t>
        </is>
      </c>
      <c r="AF184" s="31" t="inlineStr">
        <is>
          <t>Research-only soccer score model; draw-aware, but not yet locked-holdout qualified.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NO_CALL_MODEL_UNVALIDATED</t>
        </is>
      </c>
      <c r="AP184" s="24" t="inlineStr">
        <is>
          <t>Real Salt Lake</t>
        </is>
      </c>
      <c r="AQ184" s="24" t="inlineStr">
        <is>
          <t>Real Salt Lake</t>
        </is>
      </c>
      <c r="AR184" s="24" t="inlineStr">
        <is>
          <t>Real Salt Lake</t>
        </is>
      </c>
      <c r="AS184" s="24" t="inlineStr">
        <is>
          <t>St. Louis CITY SC</t>
        </is>
      </c>
      <c r="AT184" s="24" t="inlineStr">
        <is>
          <t>St. Louis CITY SC</t>
        </is>
      </c>
      <c r="AU184" s="24" t="inlineStr">
        <is>
          <t>St. Louis CITY SC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2026-08-01T23:52:08.422932Z</t>
        </is>
      </c>
      <c r="BI184" s="24" t="inlineStr">
        <is>
          <t>["same_event","same_team_same_day","same_league_same_day"]</t>
        </is>
      </c>
      <c r="BJ184" s="25" t="n">
        <v>2.5</v>
      </c>
      <c r="BK184" s="26" t="n">
        <v>-178</v>
      </c>
      <c r="BL184" s="27" t="n">
        <v>1.561798</v>
      </c>
      <c r="BM184" s="28" t="n">
        <v>0.640288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</row>
    <row r="185" ht="36" customHeight="1">
      <c r="A185" s="24" t="inlineStr">
        <is>
          <t>0d3ad5512fa74cd7</t>
        </is>
      </c>
      <c r="B185" s="24" t="inlineStr">
        <is>
          <t>2026-08-01T23:53:24.455746Z</t>
        </is>
      </c>
      <c r="C185" s="24" t="inlineStr">
        <is>
          <t>2026-08-02T01:30Z</t>
        </is>
      </c>
      <c r="D185" s="24" t="inlineStr">
        <is>
          <t>761707</t>
        </is>
      </c>
      <c r="E185" s="24" t="inlineStr">
        <is>
          <t>SOCCER</t>
        </is>
      </c>
      <c r="F185" s="24" t="inlineStr">
        <is>
          <t>Austin FC</t>
        </is>
      </c>
      <c r="G185" s="24" t="inlineStr">
        <is>
          <t>Colorado Rapids</t>
        </is>
      </c>
      <c r="H185" s="24" t="inlineStr">
        <is>
          <t>total</t>
        </is>
      </c>
      <c r="I185" s="24" t="inlineStr">
        <is>
          <t>over</t>
        </is>
      </c>
      <c r="J185" s="25" t="n">
        <v>2.5</v>
      </c>
      <c r="K185" s="24" t="inlineStr">
        <is>
          <t>polymarket_us</t>
        </is>
      </c>
      <c r="L185" s="26" t="n">
        <v>-138</v>
      </c>
      <c r="M185" s="27" t="n">
        <v>1.724638</v>
      </c>
      <c r="N185" s="28" t="n">
        <v>0.579832</v>
      </c>
      <c r="O185" s="28" t="n">
        <v>0.683176</v>
      </c>
      <c r="P185" s="28" t="n">
        <v>0.04</v>
      </c>
      <c r="Q185" s="28" t="n">
        <v>0.103344</v>
      </c>
      <c r="R185" s="26" t="n">
        <v>78</v>
      </c>
      <c r="S185" s="29" t="n">
        <v>2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1</v>
      </c>
      <c r="Y185" s="25" t="n"/>
      <c r="Z185" s="26" t="n"/>
      <c r="AA185" s="28" t="n"/>
      <c r="AB185" s="28" t="n"/>
      <c r="AC185" s="30" t="n">
        <v>-2</v>
      </c>
      <c r="AD185" s="24" t="inlineStr">
        <is>
          <t>2026-08-02T04:26:21.660283Z</t>
        </is>
      </c>
      <c r="AE185" s="31" t="inlineStr">
        <is>
          <t>Poisson-DC rates 2.28 (home) / 1.24 (away) from EWMA attack/defense strengths. Executable ask 0.5800 (tsc-mls-col-aus-2026-08-01-2pt5).</t>
        </is>
      </c>
      <c r="AF185" s="31" t="inlineStr">
        <is>
          <t>Research-only soccer score model; draw-aware, but not yet locked-holdout qualified.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NO_CALL_MODEL_UNVALIDATED</t>
        </is>
      </c>
      <c r="AP185" s="24" t="inlineStr">
        <is>
          <t>Austin FC</t>
        </is>
      </c>
      <c r="AQ185" s="24" t="inlineStr">
        <is>
          <t>Austin FC</t>
        </is>
      </c>
      <c r="AR185" s="24" t="inlineStr">
        <is>
          <t>Austin FC</t>
        </is>
      </c>
      <c r="AS185" s="24" t="inlineStr">
        <is>
          <t>Colorado Rapids</t>
        </is>
      </c>
      <c r="AT185" s="24" t="inlineStr">
        <is>
          <t>Colorado Rapids</t>
        </is>
      </c>
      <c r="AU185" s="24" t="inlineStr">
        <is>
          <t>Colorado Rapids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2026-08-01T23:52:11.070621Z</t>
        </is>
      </c>
      <c r="BI185" s="24" t="inlineStr">
        <is>
          <t>["same_event","same_team_same_day","same_league_same_day"]</t>
        </is>
      </c>
      <c r="BJ185" s="25" t="n">
        <v>2.5</v>
      </c>
      <c r="BK185" s="26" t="n">
        <v>-138</v>
      </c>
      <c r="BL185" s="27" t="n">
        <v>1.724638</v>
      </c>
      <c r="BM185" s="28" t="n">
        <v>0.579832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</row>
    <row r="186" ht="36" customHeight="1">
      <c r="A186" s="24" t="inlineStr">
        <is>
          <t>bc1b966bcbff4244</t>
        </is>
      </c>
      <c r="B186" s="24" t="inlineStr">
        <is>
          <t>2026-08-01T23:53:24.455746Z</t>
        </is>
      </c>
      <c r="C186" s="24" t="inlineStr">
        <is>
          <t>2026-08-02T02:30Z</t>
        </is>
      </c>
      <c r="D186" s="24" t="inlineStr">
        <is>
          <t>761709</t>
        </is>
      </c>
      <c r="E186" s="24" t="inlineStr">
        <is>
          <t>SOCCER</t>
        </is>
      </c>
      <c r="F186" s="24" t="inlineStr">
        <is>
          <t>FC Dallas</t>
        </is>
      </c>
      <c r="G186" s="24" t="inlineStr">
        <is>
          <t>LA Galaxy</t>
        </is>
      </c>
      <c r="H186" s="24" t="inlineStr">
        <is>
          <t>total</t>
        </is>
      </c>
      <c r="I186" s="24" t="inlineStr">
        <is>
          <t>over</t>
        </is>
      </c>
      <c r="J186" s="25" t="n">
        <v>2.5</v>
      </c>
      <c r="K186" s="24" t="inlineStr">
        <is>
          <t>polymarket_us</t>
        </is>
      </c>
      <c r="L186" s="26" t="n">
        <v>-178</v>
      </c>
      <c r="M186" s="27" t="n">
        <v>1.561798</v>
      </c>
      <c r="N186" s="28" t="n">
        <v>0.640288</v>
      </c>
      <c r="O186" s="28" t="n">
        <v>0.6876370000000001</v>
      </c>
      <c r="P186" s="28" t="n">
        <v>0.04</v>
      </c>
      <c r="Q186" s="28" t="n">
        <v>0.047349</v>
      </c>
      <c r="R186" s="26" t="n">
        <v>50</v>
      </c>
      <c r="S186" s="29" t="n">
        <v>2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0</v>
      </c>
      <c r="Y186" s="25" t="n"/>
      <c r="Z186" s="26" t="n"/>
      <c r="AA186" s="28" t="n"/>
      <c r="AB186" s="28" t="n"/>
      <c r="AC186" s="30" t="n">
        <v>-2</v>
      </c>
      <c r="AD186" s="24" t="inlineStr">
        <is>
          <t>2026-08-02T05:39:24.511943Z</t>
        </is>
      </c>
      <c r="AE186" s="31" t="inlineStr">
        <is>
          <t>Poisson-DC rates 1.76 (home) / 1.79 (away) from EWMA attack/defense strengths. Executable ask 0.6400 (tsc-mls-lag-dal-2026-08-01-2pt5).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FC Dallas</t>
        </is>
      </c>
      <c r="AQ186" s="24" t="inlineStr">
        <is>
          <t>FC Dallas</t>
        </is>
      </c>
      <c r="AR186" s="24" t="inlineStr">
        <is>
          <t>FC Dallas</t>
        </is>
      </c>
      <c r="AS186" s="24" t="inlineStr">
        <is>
          <t>LA Galaxy</t>
        </is>
      </c>
      <c r="AT186" s="24" t="inlineStr">
        <is>
          <t>LA Galaxy</t>
        </is>
      </c>
      <c r="AU186" s="24" t="inlineStr">
        <is>
          <t>LA Galaxy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34d1568aad0ff11b5db35f118324684f93281e1c21fa7b80be7a4a4e2cb4bb03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34d1568aad0ff11b5db35f118324684f93281e1c21fa7b80be7a4a4e2cb4bb03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34d1568aad0ff11b5db35f118324684f93281e1c21fa7b80be7a4a4e2cb4bb03</t>
        </is>
      </c>
      <c r="BH186" s="24" t="inlineStr">
        <is>
          <t>2026-08-01T23:52:12.107324Z</t>
        </is>
      </c>
      <c r="BI186" s="24" t="inlineStr">
        <is>
          <t>["same_event","same_team_same_day","same_league_same_day"]</t>
        </is>
      </c>
      <c r="BJ186" s="25" t="n">
        <v>2.5</v>
      </c>
      <c r="BK186" s="26" t="n">
        <v>-178</v>
      </c>
      <c r="BL186" s="27" t="n">
        <v>1.561798</v>
      </c>
      <c r="BM186" s="28" t="n">
        <v>0.640288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</row>
    <row r="187" ht="36" customHeight="1">
      <c r="A187" s="24" t="inlineStr">
        <is>
          <t>22fbb5383a354f59</t>
        </is>
      </c>
      <c r="B187" s="24" t="inlineStr">
        <is>
          <t>2026-08-01T23:53:24.455746Z</t>
        </is>
      </c>
      <c r="C187" s="24" t="inlineStr">
        <is>
          <t>2026-08-02T02:45Z</t>
        </is>
      </c>
      <c r="D187" s="24" t="inlineStr">
        <is>
          <t>761708</t>
        </is>
      </c>
      <c r="E187" s="24" t="inlineStr">
        <is>
          <t>SOCCER</t>
        </is>
      </c>
      <c r="F187" s="24" t="inlineStr">
        <is>
          <t>Seattle Sounders FC</t>
        </is>
      </c>
      <c r="G187" s="24" t="inlineStr">
        <is>
          <t>Portland Timbers</t>
        </is>
      </c>
      <c r="H187" s="24" t="inlineStr">
        <is>
          <t>total</t>
        </is>
      </c>
      <c r="I187" s="24" t="inlineStr">
        <is>
          <t>over</t>
        </is>
      </c>
      <c r="J187" s="25" t="n">
        <v>2.5</v>
      </c>
      <c r="K187" s="24" t="inlineStr">
        <is>
          <t>polymarket_us</t>
        </is>
      </c>
      <c r="L187" s="26" t="n">
        <v>-203</v>
      </c>
      <c r="M187" s="27" t="n">
        <v>1.492611</v>
      </c>
      <c r="N187" s="28" t="n">
        <v>0.669967</v>
      </c>
      <c r="O187" s="28" t="n">
        <v>0.666723</v>
      </c>
      <c r="P187" s="28" t="n">
        <v>0.04</v>
      </c>
      <c r="Q187" s="28" t="n">
        <v>-0.003244</v>
      </c>
      <c r="R187" s="26" t="n">
        <v>24</v>
      </c>
      <c r="S187" s="29" t="n">
        <v>1.75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2</v>
      </c>
      <c r="Y187" s="25" t="n"/>
      <c r="Z187" s="26" t="n"/>
      <c r="AA187" s="28" t="n"/>
      <c r="AB187" s="28" t="n"/>
      <c r="AC187" s="30" t="n">
        <v>0.8621</v>
      </c>
      <c r="AD187" s="24" t="inlineStr">
        <is>
          <t>2026-08-02T05:39:25.044697Z</t>
        </is>
      </c>
      <c r="AE187" s="31" t="inlineStr">
        <is>
          <t>Poisson-DC rates 1.85 (home) / 1.59 (away) from EWMA attack/defense strengths. Executable ask 0.6700 (tsc-mls-por-sea-2026-08-01-2pt5).</t>
        </is>
      </c>
      <c r="AF187" s="31" t="inlineStr">
        <is>
          <t>Research-only soccer score model; draw-aware, but not yet locked-holdout qualified.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Seattle Sounders FC</t>
        </is>
      </c>
      <c r="AQ187" s="24" t="inlineStr">
        <is>
          <t>Seattle Sounders FC</t>
        </is>
      </c>
      <c r="AR187" s="24" t="inlineStr">
        <is>
          <t>Seattle Sounders FC</t>
        </is>
      </c>
      <c r="AS187" s="24" t="inlineStr">
        <is>
          <t>Portland Timbers</t>
        </is>
      </c>
      <c r="AT187" s="24" t="inlineStr">
        <is>
          <t>Portland Timbers</t>
        </is>
      </c>
      <c r="AU187" s="24" t="inlineStr">
        <is>
          <t>Portland Timbers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34d1568aad0ff11b5db35f118324684f93281e1c21fa7b80be7a4a4e2cb4bb03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34d1568aad0ff11b5db35f118324684f93281e1c21fa7b80be7a4a4e2cb4bb03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34d1568aad0ff11b5db35f118324684f93281e1c21fa7b80be7a4a4e2cb4bb03</t>
        </is>
      </c>
      <c r="BH187" s="24" t="inlineStr">
        <is>
          <t>2026-08-01T23:52:13.426637Z</t>
        </is>
      </c>
      <c r="BI187" s="24" t="inlineStr">
        <is>
          <t>["same_event","same_team_same_day","same_league_same_day"]</t>
        </is>
      </c>
      <c r="BJ187" s="25" t="n">
        <v>2.5</v>
      </c>
      <c r="BK187" s="26" t="n">
        <v>-203</v>
      </c>
      <c r="BL187" s="27" t="n">
        <v>1.492611</v>
      </c>
      <c r="BM187" s="28" t="n">
        <v>0.669967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</row>
    <row r="188" ht="36" customHeight="1">
      <c r="A188" s="24" t="inlineStr">
        <is>
          <t>fc4e7c8832354064</t>
        </is>
      </c>
      <c r="B188" s="24" t="inlineStr">
        <is>
          <t>2026-08-01T23:53:24.455746Z</t>
        </is>
      </c>
      <c r="C188" s="24" t="inlineStr">
        <is>
          <t>2026-08-02T00:30Z</t>
        </is>
      </c>
      <c r="D188" s="24" t="inlineStr">
        <is>
          <t>761704</t>
        </is>
      </c>
      <c r="E188" s="24" t="inlineStr">
        <is>
          <t>SOCCER</t>
        </is>
      </c>
      <c r="F188" s="24" t="inlineStr">
        <is>
          <t>Charlotte FC</t>
        </is>
      </c>
      <c r="G188" s="24" t="inlineStr">
        <is>
          <t>Chicago Fire FC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-186</v>
      </c>
      <c r="M188" s="27" t="n">
        <v>1.537634</v>
      </c>
      <c r="N188" s="28" t="n">
        <v>0.65035</v>
      </c>
      <c r="O188" s="28" t="n">
        <v>0.576863</v>
      </c>
      <c r="P188" s="28" t="n">
        <v>0.04</v>
      </c>
      <c r="Q188" s="28" t="n">
        <v>-0.073487</v>
      </c>
      <c r="R188" s="26" t="n">
        <v>0</v>
      </c>
      <c r="S188" s="29" t="n">
        <v>1.25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win</t>
        </is>
      </c>
      <c r="W188" s="26" t="n">
        <v>1</v>
      </c>
      <c r="X188" s="26" t="n">
        <v>2</v>
      </c>
      <c r="Y188" s="25" t="n"/>
      <c r="Z188" s="26" t="n"/>
      <c r="AA188" s="28" t="n"/>
      <c r="AB188" s="28" t="n"/>
      <c r="AC188" s="30" t="n">
        <v>0.672</v>
      </c>
      <c r="AD188" s="24" t="inlineStr">
        <is>
          <t>2026-08-02T03:26:18.789170Z</t>
        </is>
      </c>
      <c r="AE188" s="31" t="inlineStr">
        <is>
          <t>Poisson-DC rates 2.21 (home) / 1.28 (away) from EWMA attack/defense strengths. Executable ask 0.6500 (atc-mls-chi-clt-2026-08-01-chi).</t>
        </is>
      </c>
      <c r="AF188" s="31" t="inlineStr">
        <is>
          <t>Research-only soccer score model; draw-aware, but not yet locked-holdout qualified.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Charlotte FC</t>
        </is>
      </c>
      <c r="AQ188" s="24" t="inlineStr">
        <is>
          <t>Charlotte FC</t>
        </is>
      </c>
      <c r="AR188" s="24" t="inlineStr">
        <is>
          <t>Charlotte FC</t>
        </is>
      </c>
      <c r="AS188" s="24" t="inlineStr">
        <is>
          <t>Chicago Fire FC</t>
        </is>
      </c>
      <c r="AT188" s="24" t="inlineStr">
        <is>
          <t>Chicago Fire FC</t>
        </is>
      </c>
      <c r="AU188" s="24" t="inlineStr">
        <is>
          <t>Chicago Fire FC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34d1568aad0ff11b5db35f118324684f93281e1c21fa7b80be7a4a4e2cb4bb03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34d1568aad0ff11b5db35f118324684f93281e1c21fa7b80be7a4a4e2cb4bb03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34d1568aad0ff11b5db35f118324684f93281e1c21fa7b80be7a4a4e2cb4bb03</t>
        </is>
      </c>
      <c r="BH188" s="24" t="inlineStr">
        <is>
          <t>2026-08-01T23:52:03.002096Z</t>
        </is>
      </c>
      <c r="BI188" s="24" t="inlineStr">
        <is>
          <t>["same_event","same_team_same_day","same_league_same_day"]</t>
        </is>
      </c>
      <c r="BJ188" s="25" t="n"/>
      <c r="BK188" s="26" t="n">
        <v>-186</v>
      </c>
      <c r="BL188" s="27" t="n">
        <v>1.537634</v>
      </c>
      <c r="BM188" s="28" t="n">
        <v>0.65035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</row>
    <row r="189" ht="36" customHeight="1">
      <c r="A189" s="24" t="inlineStr">
        <is>
          <t>0c98127e634e4762</t>
        </is>
      </c>
      <c r="B189" s="24" t="inlineStr">
        <is>
          <t>2026-08-01T23:53:24.455746Z</t>
        </is>
      </c>
      <c r="C189" s="24" t="inlineStr">
        <is>
          <t>2026-08-02T00:30Z</t>
        </is>
      </c>
      <c r="D189" s="24" t="inlineStr">
        <is>
          <t>761703</t>
        </is>
      </c>
      <c r="E189" s="24" t="inlineStr">
        <is>
          <t>SOCCER</t>
        </is>
      </c>
      <c r="F189" s="24" t="inlineStr">
        <is>
          <t>San Diego FC</t>
        </is>
      </c>
      <c r="G189" s="24" t="inlineStr">
        <is>
          <t>Minnesota United FC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104</v>
      </c>
      <c r="M189" s="27" t="n">
        <v>2.04</v>
      </c>
      <c r="N189" s="28" t="n">
        <v>0.490196</v>
      </c>
      <c r="O189" s="28" t="n">
        <v>0.405166</v>
      </c>
      <c r="P189" s="28" t="n">
        <v>0.04</v>
      </c>
      <c r="Q189" s="28" t="n">
        <v>-0.08502999999999999</v>
      </c>
      <c r="R189" s="26" t="n">
        <v>0</v>
      </c>
      <c r="S189" s="29" t="n">
        <v>1.25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push</t>
        </is>
      </c>
      <c r="W189" s="26" t="n">
        <v>1</v>
      </c>
      <c r="X189" s="26" t="n">
        <v>1</v>
      </c>
      <c r="Y189" s="25" t="n"/>
      <c r="Z189" s="26" t="n"/>
      <c r="AA189" s="28" t="n"/>
      <c r="AB189" s="28" t="n"/>
      <c r="AC189" s="30" t="n">
        <v>0</v>
      </c>
      <c r="AD189" s="24" t="inlineStr">
        <is>
          <t>2026-08-02T03:26:19.306168Z</t>
        </is>
      </c>
      <c r="AE189" s="31" t="inlineStr">
        <is>
          <t>Poisson-DC rates 1.78 (home) / 1.65 (away) from EWMA attack/defense strengths. Executable ask 0.4900 (atc-mls-min-sdg-2026-08-01-min).</t>
        </is>
      </c>
      <c r="AF189" s="31" t="inlineStr">
        <is>
          <t>Research-only soccer score model; draw-aware, but not yet locked-holdout qualified.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San Diego FC</t>
        </is>
      </c>
      <c r="AQ189" s="24" t="inlineStr">
        <is>
          <t>San Diego FC</t>
        </is>
      </c>
      <c r="AR189" s="24" t="inlineStr">
        <is>
          <t>San Diego FC</t>
        </is>
      </c>
      <c r="AS189" s="24" t="inlineStr">
        <is>
          <t>Minnesota United FC</t>
        </is>
      </c>
      <c r="AT189" s="24" t="inlineStr">
        <is>
          <t>Minnesota United FC</t>
        </is>
      </c>
      <c r="AU189" s="24" t="inlineStr">
        <is>
          <t>Minnesota United FC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34d1568aad0ff11b5db35f118324684f93281e1c21fa7b80be7a4a4e2cb4bb03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34d1568aad0ff11b5db35f118324684f93281e1c21fa7b80be7a4a4e2cb4bb03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34d1568aad0ff11b5db35f118324684f93281e1c21fa7b80be7a4a4e2cb4bb03</t>
        </is>
      </c>
      <c r="BH189" s="24" t="inlineStr">
        <is>
          <t>2026-08-01T23:52:04.626307Z</t>
        </is>
      </c>
      <c r="BI189" s="24" t="inlineStr">
        <is>
          <t>["same_event","same_team_same_day","same_league_same_day"]</t>
        </is>
      </c>
      <c r="BJ189" s="25" t="n"/>
      <c r="BK189" s="26" t="n">
        <v>104</v>
      </c>
      <c r="BL189" s="27" t="n">
        <v>2.04</v>
      </c>
      <c r="BM189" s="28" t="n">
        <v>0.490196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</row>
    <row r="190" ht="36" customHeight="1">
      <c r="A190" s="24" t="inlineStr">
        <is>
          <t>6faae02228ba477e</t>
        </is>
      </c>
      <c r="B190" s="24" t="inlineStr">
        <is>
          <t>2026-08-01T23:53:24.455746Z</t>
        </is>
      </c>
      <c r="C190" s="24" t="inlineStr">
        <is>
          <t>2026-08-02T00:30Z</t>
        </is>
      </c>
      <c r="D190" s="24" t="inlineStr">
        <is>
          <t>761706</t>
        </is>
      </c>
      <c r="E190" s="24" t="inlineStr">
        <is>
          <t>SOCCER</t>
        </is>
      </c>
      <c r="F190" s="24" t="inlineStr">
        <is>
          <t>Houston Dynamo FC</t>
        </is>
      </c>
      <c r="G190" s="24" t="inlineStr">
        <is>
          <t>Sporting Kansas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117</v>
      </c>
      <c r="M190" s="27" t="n">
        <v>2.17</v>
      </c>
      <c r="N190" s="28" t="n">
        <v>0.460829</v>
      </c>
      <c r="O190" s="28" t="n">
        <v>0.458041</v>
      </c>
      <c r="P190" s="28" t="n">
        <v>0.04</v>
      </c>
      <c r="Q190" s="28" t="n">
        <v>-0.002788</v>
      </c>
      <c r="R190" s="26" t="n">
        <v>25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win</t>
        </is>
      </c>
      <c r="W190" s="26" t="n">
        <v>2</v>
      </c>
      <c r="X190" s="26" t="n">
        <v>0</v>
      </c>
      <c r="Y190" s="25" t="n"/>
      <c r="Z190" s="26" t="n"/>
      <c r="AA190" s="28" t="n"/>
      <c r="AB190" s="28" t="n"/>
      <c r="AC190" s="30" t="n">
        <v>1.17</v>
      </c>
      <c r="AD190" s="24" t="inlineStr">
        <is>
          <t>2026-08-02T03:26:19.661895Z</t>
        </is>
      </c>
      <c r="AE190" s="31" t="inlineStr">
        <is>
          <t>Poisson-DC rates 1.49 (home) / 1.87 (away) from EWMA attack/defense strengths. Executable ask 0.4600 (atc-mls-skc-hou-2026-08-01-hou).</t>
        </is>
      </c>
      <c r="AF190" s="31" t="inlineStr">
        <is>
          <t>Research-only soccer score model; draw-aware, but not yet locked-holdout qualified.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Houston Dynamo FC</t>
        </is>
      </c>
      <c r="AQ190" s="24" t="inlineStr">
        <is>
          <t>Houston Dynamo FC</t>
        </is>
      </c>
      <c r="AR190" s="24" t="inlineStr">
        <is>
          <t>Houston Dynamo FC</t>
        </is>
      </c>
      <c r="AS190" s="24" t="inlineStr">
        <is>
          <t>Sporting Kansas City</t>
        </is>
      </c>
      <c r="AT190" s="24" t="inlineStr">
        <is>
          <t>Sporting Kansas City</t>
        </is>
      </c>
      <c r="AU190" s="24" t="inlineStr">
        <is>
          <t>Sporting Kansas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2026-08-01T23:52:06.344991Z</t>
        </is>
      </c>
      <c r="BI190" s="24" t="inlineStr">
        <is>
          <t>["same_event","same_team_same_day","same_league_same_day"]</t>
        </is>
      </c>
      <c r="BJ190" s="25" t="n"/>
      <c r="BK190" s="26" t="n">
        <v>117</v>
      </c>
      <c r="BL190" s="27" t="n">
        <v>2.17</v>
      </c>
      <c r="BM190" s="28" t="n">
        <v>0.460829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</row>
    <row r="191" ht="36" customHeight="1">
      <c r="A191" s="24" t="inlineStr">
        <is>
          <t>cc6b8b218f134422</t>
        </is>
      </c>
      <c r="B191" s="24" t="inlineStr">
        <is>
          <t>2026-08-01T23:53:24.455746Z</t>
        </is>
      </c>
      <c r="C191" s="24" t="inlineStr">
        <is>
          <t>2026-08-02T00:30Z</t>
        </is>
      </c>
      <c r="D191" s="24" t="inlineStr">
        <is>
          <t>761705</t>
        </is>
      </c>
      <c r="E191" s="24" t="inlineStr">
        <is>
          <t>SOCCER</t>
        </is>
      </c>
      <c r="F191" s="24" t="inlineStr">
        <is>
          <t>Real Salt Lake</t>
        </is>
      </c>
      <c r="G191" s="24" t="inlineStr">
        <is>
          <t>St. Louis CITY SC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100</v>
      </c>
      <c r="M191" s="27" t="n">
        <v>2</v>
      </c>
      <c r="N191" s="28" t="n">
        <v>0.5</v>
      </c>
      <c r="O191" s="28" t="n">
        <v>0.416937</v>
      </c>
      <c r="P191" s="28" t="n">
        <v>0.04</v>
      </c>
      <c r="Q191" s="28" t="n">
        <v>-0.083063</v>
      </c>
      <c r="R191" s="26" t="n">
        <v>0</v>
      </c>
      <c r="S191" s="29" t="n">
        <v>1.25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push</t>
        </is>
      </c>
      <c r="W191" s="26" t="n">
        <v>1</v>
      </c>
      <c r="X191" s="26" t="n">
        <v>1</v>
      </c>
      <c r="Y191" s="25" t="n"/>
      <c r="Z191" s="26" t="n"/>
      <c r="AA191" s="28" t="n"/>
      <c r="AB191" s="28" t="n"/>
      <c r="AC191" s="30" t="n">
        <v>0</v>
      </c>
      <c r="AD191" s="24" t="inlineStr">
        <is>
          <t>2026-08-02T03:26:20.027864Z</t>
        </is>
      </c>
      <c r="AE191" s="31" t="inlineStr">
        <is>
          <t>Poisson-DC rates 1.71 (home) / 1.51 (away) from EWMA attack/defense strengths. Executable ask 0.5000 (atc-mls-stl-rsl-2026-08-01-stl).</t>
        </is>
      </c>
      <c r="AF191" s="31" t="inlineStr">
        <is>
          <t>Research-only soccer score model; draw-aware, but not yet locked-holdout qualified.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Real Salt Lake</t>
        </is>
      </c>
      <c r="AQ191" s="24" t="inlineStr">
        <is>
          <t>Real Salt Lake</t>
        </is>
      </c>
      <c r="AR191" s="24" t="inlineStr">
        <is>
          <t>Real Salt Lake</t>
        </is>
      </c>
      <c r="AS191" s="24" t="inlineStr">
        <is>
          <t>St. Louis CITY SC</t>
        </is>
      </c>
      <c r="AT191" s="24" t="inlineStr">
        <is>
          <t>St. Louis CITY SC</t>
        </is>
      </c>
      <c r="AU191" s="24" t="inlineStr">
        <is>
          <t>St. Louis CITY SC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2026-08-01T23:52:07.835197Z</t>
        </is>
      </c>
      <c r="BI191" s="24" t="inlineStr">
        <is>
          <t>["same_event","same_team_same_day","same_league_same_day"]</t>
        </is>
      </c>
      <c r="BJ191" s="25" t="n"/>
      <c r="BK191" s="26" t="n">
        <v>100</v>
      </c>
      <c r="BL191" s="27" t="n">
        <v>2</v>
      </c>
      <c r="BM191" s="28" t="n">
        <v>0.5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</row>
    <row r="192" ht="36" customHeight="1">
      <c r="A192" s="24" t="inlineStr">
        <is>
          <t>22f0f340d5054823</t>
        </is>
      </c>
      <c r="B192" s="24" t="inlineStr">
        <is>
          <t>2026-08-01T23:53:24.455746Z</t>
        </is>
      </c>
      <c r="C192" s="24" t="inlineStr">
        <is>
          <t>2026-08-02T01:30Z</t>
        </is>
      </c>
      <c r="D192" s="24" t="inlineStr">
        <is>
          <t>761707</t>
        </is>
      </c>
      <c r="E192" s="24" t="inlineStr">
        <is>
          <t>SOCCER</t>
        </is>
      </c>
      <c r="F192" s="24" t="inlineStr">
        <is>
          <t>Austin FC</t>
        </is>
      </c>
      <c r="G192" s="24" t="inlineStr">
        <is>
          <t>Colorado Rapids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-127</v>
      </c>
      <c r="M192" s="27" t="n">
        <v>1.787402</v>
      </c>
      <c r="N192" s="28" t="n">
        <v>0.5594710000000001</v>
      </c>
      <c r="O192" s="28" t="n">
        <v>0.6000259999999999</v>
      </c>
      <c r="P192" s="28" t="n">
        <v>0.04</v>
      </c>
      <c r="Q192" s="28" t="n">
        <v>0.040555</v>
      </c>
      <c r="R192" s="26" t="n">
        <v>46</v>
      </c>
      <c r="S192" s="29" t="n">
        <v>1.5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1.1811</v>
      </c>
      <c r="AD192" s="24" t="inlineStr">
        <is>
          <t>2026-08-02T04:26:21.937064Z</t>
        </is>
      </c>
      <c r="AE192" s="31" t="inlineStr">
        <is>
          <t>Poisson-DC rates 2.28 (home) / 1.24 (away) from EWMA attack/defense strengths. Executable ask 0.5600 (atc-mls-col-aus-2026-08-01-col).</t>
        </is>
      </c>
      <c r="AF192" s="31" t="inlineStr">
        <is>
          <t>Research-only soccer score model; draw-aware, but not yet locked-holdout qualified.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Austin FC</t>
        </is>
      </c>
      <c r="AQ192" s="24" t="inlineStr">
        <is>
          <t>Austin FC</t>
        </is>
      </c>
      <c r="AR192" s="24" t="inlineStr">
        <is>
          <t>Austin FC</t>
        </is>
      </c>
      <c r="AS192" s="24" t="inlineStr">
        <is>
          <t>Colorado Rapids</t>
        </is>
      </c>
      <c r="AT192" s="24" t="inlineStr">
        <is>
          <t>Colorado Rapids</t>
        </is>
      </c>
      <c r="AU192" s="24" t="inlineStr">
        <is>
          <t>Colorado Rapids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2026-08-01T23:52:09.543896Z</t>
        </is>
      </c>
      <c r="BI192" s="24" t="inlineStr">
        <is>
          <t>["same_event","same_team_same_day","same_league_same_day"]</t>
        </is>
      </c>
      <c r="BJ192" s="25" t="n"/>
      <c r="BK192" s="26" t="n">
        <v>-127</v>
      </c>
      <c r="BL192" s="27" t="n">
        <v>1.787402</v>
      </c>
      <c r="BM192" s="28" t="n">
        <v>0.5594710000000001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</row>
    <row r="193" ht="36" customHeight="1">
      <c r="A193" s="24" t="inlineStr">
        <is>
          <t>17c41ca1fdf74770</t>
        </is>
      </c>
      <c r="B193" s="24" t="inlineStr">
        <is>
          <t>2026-08-01T23:53:24.455746Z</t>
        </is>
      </c>
      <c r="C193" s="24" t="inlineStr">
        <is>
          <t>2026-08-02T02:30Z</t>
        </is>
      </c>
      <c r="D193" s="24" t="inlineStr">
        <is>
          <t>761709</t>
        </is>
      </c>
      <c r="E193" s="24" t="inlineStr">
        <is>
          <t>SOCCER</t>
        </is>
      </c>
      <c r="F193" s="24" t="inlineStr">
        <is>
          <t>FC Dallas</t>
        </is>
      </c>
      <c r="G193" s="24" t="inlineStr">
        <is>
          <t>LA Galaxy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186</v>
      </c>
      <c r="M193" s="27" t="n">
        <v>2.86</v>
      </c>
      <c r="N193" s="28" t="n">
        <v>0.34965</v>
      </c>
      <c r="O193" s="28" t="n">
        <v>0.38746</v>
      </c>
      <c r="P193" s="28" t="n">
        <v>0.04</v>
      </c>
      <c r="Q193" s="28" t="n">
        <v>0.03781</v>
      </c>
      <c r="R193" s="26" t="n">
        <v>45</v>
      </c>
      <c r="S193" s="29" t="n">
        <v>1.5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push</t>
        </is>
      </c>
      <c r="W193" s="26" t="n">
        <v>0</v>
      </c>
      <c r="X193" s="26" t="n">
        <v>0</v>
      </c>
      <c r="Y193" s="25" t="n"/>
      <c r="Z193" s="26" t="n"/>
      <c r="AA193" s="28" t="n"/>
      <c r="AB193" s="28" t="n"/>
      <c r="AC193" s="30" t="n">
        <v>0</v>
      </c>
      <c r="AD193" s="24" t="inlineStr">
        <is>
          <t>2026-08-02T05:39:25.608387Z</t>
        </is>
      </c>
      <c r="AE193" s="31" t="inlineStr">
        <is>
          <t>Poisson-DC rates 1.76 (home) / 1.79 (away) from EWMA attack/defense strengths. Executable ask 0.3500 (atc-mls-lag-dal-2026-08-01-dal).</t>
        </is>
      </c>
      <c r="AF193" s="31" t="inlineStr">
        <is>
          <t>Research-only soccer score model; draw-aware, but not yet locked-holdout qualified.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FC Dallas</t>
        </is>
      </c>
      <c r="AQ193" s="24" t="inlineStr">
        <is>
          <t>FC Dallas</t>
        </is>
      </c>
      <c r="AR193" s="24" t="inlineStr">
        <is>
          <t>FC Dallas</t>
        </is>
      </c>
      <c r="AS193" s="24" t="inlineStr">
        <is>
          <t>LA Galaxy</t>
        </is>
      </c>
      <c r="AT193" s="24" t="inlineStr">
        <is>
          <t>LA Galaxy</t>
        </is>
      </c>
      <c r="AU193" s="24" t="inlineStr">
        <is>
          <t>LA Galaxy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2026-08-01T23:52:11.231740Z</t>
        </is>
      </c>
      <c r="BI193" s="24" t="inlineStr">
        <is>
          <t>["same_event","same_team_same_day","same_league_same_day"]</t>
        </is>
      </c>
      <c r="BJ193" s="25" t="n"/>
      <c r="BK193" s="26" t="n">
        <v>186</v>
      </c>
      <c r="BL193" s="27" t="n">
        <v>2.86</v>
      </c>
      <c r="BM193" s="28" t="n">
        <v>0.34965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</row>
    <row r="194" ht="36" customHeight="1">
      <c r="A194" s="24" t="inlineStr">
        <is>
          <t>6a04218c09a84664</t>
        </is>
      </c>
      <c r="B194" s="24" t="inlineStr">
        <is>
          <t>2026-08-01T23:53:24.455746Z</t>
        </is>
      </c>
      <c r="C194" s="24" t="inlineStr">
        <is>
          <t>2026-08-02T02:45Z</t>
        </is>
      </c>
      <c r="D194" s="24" t="inlineStr">
        <is>
          <t>761708</t>
        </is>
      </c>
      <c r="E194" s="24" t="inlineStr">
        <is>
          <t>SOCCER</t>
        </is>
      </c>
      <c r="F194" s="24" t="inlineStr">
        <is>
          <t>Seattle Sounders FC</t>
        </is>
      </c>
      <c r="G194" s="24" t="inlineStr">
        <is>
          <t>Portland Timbers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113</v>
      </c>
      <c r="M194" s="27" t="n">
        <v>2.13</v>
      </c>
      <c r="N194" s="28" t="n">
        <v>0.469484</v>
      </c>
      <c r="O194" s="28" t="n">
        <v>0.432832</v>
      </c>
      <c r="P194" s="28" t="n">
        <v>0.04</v>
      </c>
      <c r="Q194" s="28" t="n">
        <v>-0.036652</v>
      </c>
      <c r="R194" s="26" t="n">
        <v>8</v>
      </c>
      <c r="S194" s="29" t="n">
        <v>1.25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2</v>
      </c>
      <c r="Y194" s="25" t="n"/>
      <c r="Z194" s="26" t="n"/>
      <c r="AA194" s="28" t="n"/>
      <c r="AB194" s="28" t="n"/>
      <c r="AC194" s="30" t="n">
        <v>1.4125</v>
      </c>
      <c r="AD194" s="24" t="inlineStr">
        <is>
          <t>2026-08-02T05:39:26.164706Z</t>
        </is>
      </c>
      <c r="AE194" s="31" t="inlineStr">
        <is>
          <t>Poisson-DC rates 1.85 (home) / 1.59 (away) from EWMA attack/defense strengths. Executable ask 0.4700 (atc-mls-por-sea-2026-08-01-por).</t>
        </is>
      </c>
      <c r="AF194" s="31" t="inlineStr">
        <is>
          <t>Research-only soccer score model; draw-aware, but not yet locked-holdout qualified.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Seattle Sounders FC</t>
        </is>
      </c>
      <c r="AQ194" s="24" t="inlineStr">
        <is>
          <t>Seattle Sounders FC</t>
        </is>
      </c>
      <c r="AR194" s="24" t="inlineStr">
        <is>
          <t>Seattle Sounders FC</t>
        </is>
      </c>
      <c r="AS194" s="24" t="inlineStr">
        <is>
          <t>Portland Timbers</t>
        </is>
      </c>
      <c r="AT194" s="24" t="inlineStr">
        <is>
          <t>Portland Timbers</t>
        </is>
      </c>
      <c r="AU194" s="24" t="inlineStr">
        <is>
          <t>Portland Timbers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2026-08-01T23:52:12.696180Z</t>
        </is>
      </c>
      <c r="BI194" s="24" t="inlineStr">
        <is>
          <t>["same_event","same_team_same_day","same_league_same_day"]</t>
        </is>
      </c>
      <c r="BJ194" s="25" t="n"/>
      <c r="BK194" s="26" t="n">
        <v>113</v>
      </c>
      <c r="BL194" s="27" t="n">
        <v>2.13</v>
      </c>
      <c r="BM194" s="28" t="n">
        <v>0.469484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</row>
    <row r="195" ht="36" customHeight="1">
      <c r="A195" s="24" t="inlineStr">
        <is>
          <t>3d7c6e251fde488b</t>
        </is>
      </c>
      <c r="B195" s="24" t="inlineStr">
        <is>
          <t>2026-08-01T23:53:24.455746Z</t>
        </is>
      </c>
      <c r="C195" s="24" t="inlineStr">
        <is>
          <t>2026-08-02T00:00Z</t>
        </is>
      </c>
      <c r="D195" s="24" t="inlineStr">
        <is>
          <t>401859646</t>
        </is>
      </c>
      <c r="E195" s="24" t="inlineStr">
        <is>
          <t>SOCCER</t>
        </is>
      </c>
      <c r="F195" s="24" t="inlineStr">
        <is>
          <t>Aucas</t>
        </is>
      </c>
      <c r="G195" s="24" t="inlineStr">
        <is>
          <t>Emelec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133</v>
      </c>
      <c r="M195" s="27" t="n">
        <v>2.33</v>
      </c>
      <c r="N195" s="28" t="n">
        <v>0.429185</v>
      </c>
      <c r="O195" s="28" t="n">
        <v>0.456135</v>
      </c>
      <c r="P195" s="28" t="n">
        <v>0.2</v>
      </c>
      <c r="Q195" s="28" t="n">
        <v>0.02695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2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2026-08-02T03:26:22.035170Z</t>
        </is>
      </c>
      <c r="AE195" s="31" t="inlineStr">
        <is>
          <t>Poisson-DC rates 1.64 (home) / 1.24 (away) from EWMA attack/defense strengths. Executable ask 0.4300 (atc-ecu1-cse-sda-2026-08-01-cse).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Aucas</t>
        </is>
      </c>
      <c r="AQ195" s="24" t="inlineStr">
        <is>
          <t>Aucas</t>
        </is>
      </c>
      <c r="AR195" s="24" t="inlineStr">
        <is>
          <t>Aucas</t>
        </is>
      </c>
      <c r="AS195" s="24" t="inlineStr">
        <is>
          <t>Emelec</t>
        </is>
      </c>
      <c r="AT195" s="24" t="inlineStr">
        <is>
          <t>Emelec</t>
        </is>
      </c>
      <c r="AU195" s="24" t="inlineStr">
        <is>
          <t>Emelec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2026-08-01T23:52:16.427787Z</t>
        </is>
      </c>
      <c r="BI195" s="24" t="inlineStr">
        <is>
          <t>["same_event","same_team_same_day","same_league_same_day"]</t>
        </is>
      </c>
      <c r="BJ195" s="25" t="n"/>
      <c r="BK195" s="26" t="n">
        <v>133</v>
      </c>
      <c r="BL195" s="27" t="n">
        <v>2.33</v>
      </c>
      <c r="BM195" s="28" t="n">
        <v>0.429185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</row>
    <row r="196" ht="36" customHeight="1">
      <c r="A196" s="24" t="inlineStr">
        <is>
          <t>1570b2da88bb4c5a</t>
        </is>
      </c>
      <c r="B196" s="24" t="inlineStr">
        <is>
          <t>2026-08-02T12:28:25.454250Z</t>
        </is>
      </c>
      <c r="C196" s="24" t="inlineStr">
        <is>
          <t>2026-08-02T12:30Z</t>
        </is>
      </c>
      <c r="D196" s="24" t="inlineStr">
        <is>
          <t>401886552</t>
        </is>
      </c>
      <c r="E196" s="24" t="inlineStr">
        <is>
          <t>SOCCER</t>
        </is>
      </c>
      <c r="F196" s="24" t="inlineStr">
        <is>
          <t>Ajax Amsterdam</t>
        </is>
      </c>
      <c r="G196" s="24" t="inlineStr">
        <is>
          <t>FC Volendam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-194</v>
      </c>
      <c r="M196" s="27" t="n">
        <v>1.515464</v>
      </c>
      <c r="N196" s="28" t="n">
        <v>0.659864</v>
      </c>
      <c r="O196" s="28" t="n">
        <v>0.515227</v>
      </c>
      <c r="P196" s="28" t="n">
        <v>0.04</v>
      </c>
      <c r="Q196" s="28" t="n">
        <v>-0.144637</v>
      </c>
      <c r="R196" s="26" t="n">
        <v>0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win</t>
        </is>
      </c>
      <c r="W196" s="26" t="n">
        <v>3</v>
      </c>
      <c r="X196" s="26" t="n">
        <v>1</v>
      </c>
      <c r="Y196" s="25" t="n"/>
      <c r="Z196" s="26" t="n"/>
      <c r="AA196" s="28" t="n"/>
      <c r="AB196" s="28" t="n"/>
      <c r="AC196" s="30" t="n">
        <v>0.5155</v>
      </c>
      <c r="AD196" s="24" t="inlineStr">
        <is>
          <t>2026-08-02T15:52:39.747371Z</t>
        </is>
      </c>
      <c r="AE196" s="31" t="inlineStr">
        <is>
          <t>Poisson-DC rates 0.88 (home) / 1.54 (away) from EWMA attack/defense strengths. Executable ask 0.6600 (atc-clbf-fvco-aja-2026-08-02-aja).</t>
        </is>
      </c>
      <c r="AF196" s="31" t="inlineStr">
        <is>
          <t>Research-only soccer score model; draw-aware, but not yet locked-holdout qualified.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Ajax Amsterdam</t>
        </is>
      </c>
      <c r="AQ196" s="24" t="inlineStr">
        <is>
          <t>Ajax Amsterdam</t>
        </is>
      </c>
      <c r="AR196" s="24" t="inlineStr">
        <is>
          <t>Ajax Amsterdam</t>
        </is>
      </c>
      <c r="AS196" s="24" t="inlineStr">
        <is>
          <t>FC Volendam</t>
        </is>
      </c>
      <c r="AT196" s="24" t="inlineStr">
        <is>
          <t>FC Volendam</t>
        </is>
      </c>
      <c r="AU196" s="24" t="inlineStr">
        <is>
          <t>FC Volendam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2026-08-02T12:25:27.623402Z</t>
        </is>
      </c>
      <c r="BI196" s="24" t="inlineStr">
        <is>
          <t>["same_event","same_team_same_day","same_league_same_day"]</t>
        </is>
      </c>
      <c r="BJ196" s="25" t="n"/>
      <c r="BK196" s="26" t="n">
        <v>-194</v>
      </c>
      <c r="BL196" s="27" t="n">
        <v>1.515464</v>
      </c>
      <c r="BM196" s="28" t="n">
        <v>0.659864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</row>
    <row r="197" ht="36" customHeight="1">
      <c r="A197" s="24" t="inlineStr">
        <is>
          <t>f7b150997a264103</t>
        </is>
      </c>
      <c r="B197" s="24" t="inlineStr">
        <is>
          <t>2026-08-02T12:28:25.454250Z</t>
        </is>
      </c>
      <c r="C197" s="24" t="inlineStr">
        <is>
          <t>2026-08-02T13:00Z</t>
        </is>
      </c>
      <c r="D197" s="24" t="inlineStr">
        <is>
          <t>401886551</t>
        </is>
      </c>
      <c r="E197" s="24" t="inlineStr">
        <is>
          <t>SOCCER</t>
        </is>
      </c>
      <c r="F197" s="24" t="inlineStr">
        <is>
          <t>Atalanta</t>
        </is>
      </c>
      <c r="G197" s="24" t="inlineStr">
        <is>
          <t>Feyenoord Rotterdam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194</v>
      </c>
      <c r="M197" s="27" t="n">
        <v>2.94</v>
      </c>
      <c r="N197" s="28" t="n">
        <v>0.340136</v>
      </c>
      <c r="O197" s="28" t="n">
        <v>0.575359</v>
      </c>
      <c r="P197" s="28" t="n">
        <v>0.04</v>
      </c>
      <c r="Q197" s="28" t="n">
        <v>0.235223</v>
      </c>
      <c r="R197" s="26" t="n">
        <v>100</v>
      </c>
      <c r="S197" s="29" t="n">
        <v>1.25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2</v>
      </c>
      <c r="Y197" s="25" t="n"/>
      <c r="Z197" s="26" t="n"/>
      <c r="AA197" s="28" t="n"/>
      <c r="AB197" s="28" t="n"/>
      <c r="AC197" s="30" t="n">
        <v>2.425</v>
      </c>
      <c r="AD197" s="24" t="inlineStr">
        <is>
          <t>2026-08-02T15:52:40.668054Z</t>
        </is>
      </c>
      <c r="AE197" s="31" t="inlineStr">
        <is>
          <t>Poisson-DC rates 1.92 (home) / 1.01 (away) from EWMA attack/defense strengths. Executable ask 0.3400 (atc-clbf-fey-ata-2026-08-02-fey).</t>
        </is>
      </c>
      <c r="AF197" s="31" t="inlineStr">
        <is>
          <t>Research-only soccer score model; draw-aware, but not yet locked-holdout qualified.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Atalanta</t>
        </is>
      </c>
      <c r="AQ197" s="24" t="inlineStr">
        <is>
          <t>Atalanta</t>
        </is>
      </c>
      <c r="AR197" s="24" t="inlineStr">
        <is>
          <t>Atalanta</t>
        </is>
      </c>
      <c r="AS197" s="24" t="inlineStr">
        <is>
          <t>Feyenoord Rotterdam</t>
        </is>
      </c>
      <c r="AT197" s="24" t="inlineStr">
        <is>
          <t>Feyenoord Rotterdam</t>
        </is>
      </c>
      <c r="AU197" s="24" t="inlineStr">
        <is>
          <t>Feyenoord Rotterdam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2026-08-02T12:25:27.610137Z</t>
        </is>
      </c>
      <c r="BI197" s="24" t="inlineStr">
        <is>
          <t>["same_event","same_team_same_day","same_league_same_day"]</t>
        </is>
      </c>
      <c r="BJ197" s="25" t="n"/>
      <c r="BK197" s="26" t="n">
        <v>194</v>
      </c>
      <c r="BL197" s="27" t="n">
        <v>2.94</v>
      </c>
      <c r="BM197" s="28" t="n">
        <v>0.340136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</row>
    <row r="198" ht="36" customHeight="1">
      <c r="A198" s="24" t="inlineStr">
        <is>
          <t>7ab1c307320046bd</t>
        </is>
      </c>
      <c r="B198" s="24" t="inlineStr">
        <is>
          <t>2026-08-02T13:05:47.245126Z</t>
        </is>
      </c>
      <c r="C198" s="24" t="inlineStr">
        <is>
          <t>2026-08-02T15:00Z</t>
        </is>
      </c>
      <c r="D198" s="24" t="inlineStr">
        <is>
          <t>401872734</t>
        </is>
      </c>
      <c r="E198" s="24" t="inlineStr">
        <is>
          <t>SOCCER</t>
        </is>
      </c>
      <c r="F198" s="24" t="inlineStr">
        <is>
          <t>Boston River</t>
        </is>
      </c>
      <c r="G198" s="24" t="inlineStr">
        <is>
          <t>Racing (Montevideo)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-127</v>
      </c>
      <c r="M198" s="27" t="n">
        <v>1.787402</v>
      </c>
      <c r="N198" s="28" t="n">
        <v>0.5594710000000001</v>
      </c>
      <c r="O198" s="28" t="n">
        <v>0.5359159999999999</v>
      </c>
      <c r="P198" s="28" t="n">
        <v>0.2</v>
      </c>
      <c r="Q198" s="28" t="n">
        <v>-0.023555</v>
      </c>
      <c r="R198" s="26" t="n">
        <v>0</v>
      </c>
      <c r="S198" s="29" t="n">
        <v>1</v>
      </c>
      <c r="T198" s="24" t="inlineStr">
        <is>
          <t>soccer-poisson-dc-v1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Poisson-DC rates 1.84 (home) / 1.10 (away) from EWMA attack/defense strengths. Executable ask 0.5600 (atc-uru1-rcm-bri-2026-08-02-rcm).</t>
        </is>
      </c>
      <c r="AF198" s="31" t="inlineStr">
        <is>
          <t>Research-only soccer score model; draw-aware, but not yet locked-holdout qualified.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Boston River</t>
        </is>
      </c>
      <c r="AQ198" s="24" t="inlineStr">
        <is>
          <t>Boston River</t>
        </is>
      </c>
      <c r="AR198" s="24" t="inlineStr">
        <is>
          <t>Boston River</t>
        </is>
      </c>
      <c r="AS198" s="24" t="inlineStr">
        <is>
          <t>Racing (Montevideo)</t>
        </is>
      </c>
      <c r="AT198" s="24" t="inlineStr">
        <is>
          <t>Racing (Montevideo)</t>
        </is>
      </c>
      <c r="AU198" s="24" t="inlineStr">
        <is>
          <t>Racing (Montevideo)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2026-08-02T13:02:47.678863Z</t>
        </is>
      </c>
      <c r="BI198" s="24" t="inlineStr">
        <is>
          <t>["same_event","same_team_same_day","same_league_same_day"]</t>
        </is>
      </c>
      <c r="BJ198" s="25" t="n"/>
      <c r="BK198" s="26" t="n">
        <v>-127</v>
      </c>
      <c r="BL198" s="27" t="n">
        <v>1.787402</v>
      </c>
      <c r="BM198" s="28" t="n">
        <v>0.5594710000000001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</row>
    <row r="199" ht="36" customHeight="1">
      <c r="A199" s="24" t="inlineStr">
        <is>
          <t>ba6383f0b7054d55</t>
        </is>
      </c>
      <c r="B199" s="24" t="inlineStr">
        <is>
          <t>2026-08-02T13:05:47.245126Z</t>
        </is>
      </c>
      <c r="C199" s="24" t="inlineStr">
        <is>
          <t>2026-08-02T14:30Z</t>
        </is>
      </c>
      <c r="D199" s="24" t="inlineStr">
        <is>
          <t>401898711</t>
        </is>
      </c>
      <c r="E199" s="24" t="inlineStr">
        <is>
          <t>SOCCER</t>
        </is>
      </c>
      <c r="F199" s="24" t="inlineStr">
        <is>
          <t>Udinese</t>
        </is>
      </c>
      <c r="G199" s="24" t="inlineStr">
        <is>
          <t>Trabzonspor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156</v>
      </c>
      <c r="M199" s="27" t="n">
        <v>2.56</v>
      </c>
      <c r="N199" s="28" t="n">
        <v>0.390625</v>
      </c>
      <c r="O199" s="28" t="n">
        <v>0.395816</v>
      </c>
      <c r="P199" s="28" t="n">
        <v>0.2</v>
      </c>
      <c r="Q199" s="28" t="n">
        <v>0.005191</v>
      </c>
      <c r="R199" s="26" t="n">
        <v>0</v>
      </c>
      <c r="S199" s="29" t="n">
        <v>1</v>
      </c>
      <c r="T199" s="24" t="inlineStr">
        <is>
          <t>soccer-poisson-dc-v1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Poisson-DC rates 1.26 (home) / 1.06 (away) from EWMA attack/defense strengths. Executable ask 0.3900 (atc-clbf-tra-udi-2026-08-02-tra).</t>
        </is>
      </c>
      <c r="AF199" s="31" t="inlineStr">
        <is>
          <t>Research-only soccer score model; draw-aware, but not yet locked-holdout qualified.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NO_CALL_LOW_EDGE</t>
        </is>
      </c>
      <c r="AP199" s="24" t="inlineStr">
        <is>
          <t>Udinese</t>
        </is>
      </c>
      <c r="AQ199" s="24" t="inlineStr">
        <is>
          <t>Udinese</t>
        </is>
      </c>
      <c r="AR199" s="24" t="inlineStr">
        <is>
          <t>Udinese</t>
        </is>
      </c>
      <c r="AS199" s="24" t="inlineStr">
        <is>
          <t>Trabzonspor</t>
        </is>
      </c>
      <c r="AT199" s="24" t="inlineStr">
        <is>
          <t>Trabzonspor</t>
        </is>
      </c>
      <c r="AU199" s="24" t="inlineStr">
        <is>
          <t>Trabzonspor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2026-08-02T13:02:50.866524Z</t>
        </is>
      </c>
      <c r="BI199" s="24" t="inlineStr">
        <is>
          <t>["same_event","same_team_same_day","same_league_same_day"]</t>
        </is>
      </c>
      <c r="BJ199" s="25" t="n"/>
      <c r="BK199" s="26" t="n">
        <v>156</v>
      </c>
      <c r="BL199" s="27" t="n">
        <v>2.56</v>
      </c>
      <c r="BM199" s="28" t="n">
        <v>0.390625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</row>
    <row r="200" ht="36" customHeight="1">
      <c r="A200" s="24" t="inlineStr">
        <is>
          <t>1f8fd2c9785b4d8b</t>
        </is>
      </c>
      <c r="B200" s="24" t="inlineStr">
        <is>
          <t>2026-08-02T15:47:12.114060Z</t>
        </is>
      </c>
      <c r="C200" s="24" t="inlineStr">
        <is>
          <t>2026-08-02T13:00:00-0400</t>
        </is>
      </c>
      <c r="D200" s="24" t="inlineStr">
        <is>
          <t>401857107</t>
        </is>
      </c>
      <c r="E200" s="24" t="inlineStr">
        <is>
          <t>WNBA</t>
        </is>
      </c>
      <c r="F200" s="24" t="inlineStr">
        <is>
          <t>Indiana Fever</t>
        </is>
      </c>
      <c r="G200" s="24" t="inlineStr">
        <is>
          <t>Minnesota Lynx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-194</v>
      </c>
      <c r="M200" s="27" t="n">
        <v>1.515464</v>
      </c>
      <c r="N200" s="28" t="n">
        <v>0.659864</v>
      </c>
      <c r="O200" s="28" t="n">
        <v>0.643489</v>
      </c>
      <c r="P200" s="28" t="n"/>
      <c r="Q200" s="28" t="n">
        <v>-0.016375</v>
      </c>
      <c r="R200" s="26" t="n">
        <v>15</v>
      </c>
      <c r="S200" s="29" t="n">
        <v>1.5</v>
      </c>
      <c r="T200" s="24" t="inlineStr">
        <is>
          <t>wnba-elo-trend-lr-v4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Learned LR call at threshold 0.5001; executable ask 0.6600 (aec-wnba-ind-min-2026-08-02); model edge vs ask -0.0165. NOTE: NO_CALL_AVAILABILITY_PLAYER_UNMAPPED unavailable for this game — defaulted to neutral, other features used normally.</t>
        </is>
      </c>
      <c r="AF200" s="31" t="inlineStr">
        <is>
          <t>Learned model; shadow-qualified via operator override.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3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wnba-ind</t>
        </is>
      </c>
      <c r="AQ200" s="24" t="inlineStr">
        <is>
          <t>Indiana Fever</t>
        </is>
      </c>
      <c r="AR200" s="24" t="inlineStr">
        <is>
          <t>Indiana Fever</t>
        </is>
      </c>
      <c r="AS200" s="24" t="inlineStr">
        <is>
          <t>wnba-min</t>
        </is>
      </c>
      <c r="AT200" s="24" t="inlineStr">
        <is>
          <t>Minnesota Lynx</t>
        </is>
      </c>
      <c r="AU200" s="24" t="inlineStr">
        <is>
          <t>Minnesota Lynx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7afd5274214b58b7efd7f7febc7be3ab33b92351cda5cc6403c0a39faea0cc8c</t>
        </is>
      </c>
      <c r="BB200" s="24" t="inlineStr">
        <is>
          <t>learned_lr</t>
        </is>
      </c>
      <c r="BC200" s="24" t="inlineStr">
        <is>
          <t>wnba-elo-trend-lr-v4</t>
        </is>
      </c>
      <c r="BD200" s="24" t="inlineStr">
        <is>
          <t>7afd5274214b58b7efd7f7febc7be3ab33b92351cda5cc6403c0a39faea0cc8c</t>
        </is>
      </c>
      <c r="BE200" s="24" t="inlineStr">
        <is>
          <t>cb6d856341c7efe7</t>
        </is>
      </c>
      <c r="BF200" s="24" t="inlineStr">
        <is>
          <t>1</t>
        </is>
      </c>
      <c r="BG200" s="24" t="inlineStr">
        <is>
          <t>wnba-elo-trend-lr-v4</t>
        </is>
      </c>
      <c r="BH200" s="24" t="inlineStr">
        <is>
          <t>2026-08-02T15:46:25.259050Z</t>
        </is>
      </c>
      <c r="BI200" s="24" t="inlineStr">
        <is>
          <t>["same_event","same_team_same_day","same_league_same_day"]</t>
        </is>
      </c>
      <c r="BJ200" s="25" t="n"/>
      <c r="BK200" s="26" t="n">
        <v>-194</v>
      </c>
      <c r="BL200" s="27" t="n">
        <v>1.515464</v>
      </c>
      <c r="BM200" s="28" t="n">
        <v>0.659864</v>
      </c>
      <c r="BN200" s="28" t="n">
        <v>0.653465</v>
      </c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inlineStr">
        <is>
          <t>0.6810434571</t>
        </is>
      </c>
      <c r="CD200" s="24" t="inlineStr">
        <is>
          <t>-4.330577</t>
        </is>
      </c>
      <c r="CE200" s="24" t="n"/>
      <c r="CF200" s="24" t="n"/>
      <c r="CG200" s="24" t="n"/>
      <c r="CH200" s="24" t="n"/>
      <c r="CI200" s="24" t="inlineStr">
        <is>
          <t>NO_CALL_AVAILABILITY_PLAYER_UNMAPPED</t>
        </is>
      </c>
      <c r="CJ200" s="24" t="n"/>
      <c r="CK200" s="24" t="n"/>
      <c r="CL200" s="24" t="n"/>
      <c r="CM200" s="24" t="n"/>
      <c r="CN200" s="24" t="n"/>
      <c r="CO200" s="24" t="n"/>
      <c r="CP200" s="24" t="inlineStr">
        <is>
          <t>False</t>
        </is>
      </c>
    </row>
    <row r="201" ht="36" customHeight="1">
      <c r="A201" s="24" t="inlineStr">
        <is>
          <t>aefb9a5b63b54ef1</t>
        </is>
      </c>
      <c r="B201" s="24" t="inlineStr">
        <is>
          <t>2026-08-02T15:47:12.114060Z</t>
        </is>
      </c>
      <c r="C201" s="24" t="inlineStr">
        <is>
          <t>2026-08-02T13:35:00-0400</t>
        </is>
      </c>
      <c r="D201" s="24" t="inlineStr">
        <is>
          <t>401816365</t>
        </is>
      </c>
      <c r="E201" s="24" t="inlineStr">
        <is>
          <t>MLB</t>
        </is>
      </c>
      <c r="F201" s="24" t="inlineStr">
        <is>
          <t>Philadelphia Phillies</t>
        </is>
      </c>
      <c r="G201" s="24" t="inlineStr">
        <is>
          <t>Baltimore Orioles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-130</v>
      </c>
      <c r="M201" s="27" t="n">
        <v>1.769231</v>
      </c>
      <c r="N201" s="28" t="n">
        <v>0.565217</v>
      </c>
      <c r="O201" s="28" t="n">
        <v>0.510402</v>
      </c>
      <c r="P201" s="28" t="n"/>
      <c r="Q201" s="28" t="n">
        <v>-0.054815</v>
      </c>
      <c r="R201" s="26" t="n">
        <v>0</v>
      </c>
      <c r="S201" s="29" t="n">
        <v>1</v>
      </c>
      <c r="T201" s="24" t="inlineStr">
        <is>
          <t>mlb-elo-trend-lr-v7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0.6242; executable ask 0.5650 (aec-mlb-phi-bal-2026-08-02); model edge vs ask -0.0546.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mlb-phi</t>
        </is>
      </c>
      <c r="AQ201" s="24" t="inlineStr">
        <is>
          <t>Philadelphia Phillies</t>
        </is>
      </c>
      <c r="AR201" s="24" t="inlineStr">
        <is>
          <t>Philadelphia Phillies</t>
        </is>
      </c>
      <c r="AS201" s="24" t="inlineStr">
        <is>
          <t>mlb-bal</t>
        </is>
      </c>
      <c r="AT201" s="24" t="inlineStr">
        <is>
          <t>Baltimore Orioles</t>
        </is>
      </c>
      <c r="AU201" s="24" t="inlineStr">
        <is>
          <t>Baltimore Orioles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464eef695bfbbdaa819ec6f5e4c5bd1068ed20b92915fb2677220ae91e20d8b6</t>
        </is>
      </c>
      <c r="BB201" s="24" t="inlineStr">
        <is>
          <t>learned_lr</t>
        </is>
      </c>
      <c r="BC201" s="24" t="inlineStr">
        <is>
          <t>mlb-elo-trend-lr-v7</t>
        </is>
      </c>
      <c r="BD201" s="24" t="inlineStr">
        <is>
          <t>464eef695bfbbdaa819ec6f5e4c5bd1068ed20b92915fb2677220ae91e20d8b6</t>
        </is>
      </c>
      <c r="BE201" s="24" t="inlineStr">
        <is>
          <t>396e9b6ed64f1f86</t>
        </is>
      </c>
      <c r="BF201" s="24" t="inlineStr">
        <is>
          <t>1</t>
        </is>
      </c>
      <c r="BG201" s="24" t="inlineStr">
        <is>
          <t>mlb-elo-trend-lr-v7</t>
        </is>
      </c>
      <c r="BH201" s="24" t="inlineStr">
        <is>
          <t>2026-08-02T15:46:10.204146Z</t>
        </is>
      </c>
      <c r="BI201" s="24" t="inlineStr">
        <is>
          <t>["same_event","same_team_same_day","same_league_same_day"]</t>
        </is>
      </c>
      <c r="BJ201" s="25" t="n"/>
      <c r="BK201" s="26" t="n">
        <v>-130</v>
      </c>
      <c r="BL201" s="27" t="n">
        <v>1.769231</v>
      </c>
      <c r="BM201" s="28" t="n">
        <v>0.565217</v>
      </c>
      <c r="BN201" s="28" t="n">
        <v>0.562189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0.4831243511</t>
        </is>
      </c>
      <c r="CD201" s="24" t="inlineStr">
        <is>
          <t>-0.050102</t>
        </is>
      </c>
      <c r="CE201" s="24" t="inlineStr">
        <is>
          <t>1.03</t>
        </is>
      </c>
      <c r="CF201" s="24" t="inlineStr">
        <is>
          <t>1.0236</t>
        </is>
      </c>
      <c r="CG201" s="24" t="inlineStr">
        <is>
          <t>2.8</t>
        </is>
      </c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inlineStr">
        <is>
          <t>False</t>
        </is>
      </c>
    </row>
    <row r="202" ht="36" customHeight="1">
      <c r="A202" s="24" t="inlineStr">
        <is>
          <t>d6a94f7569de416f</t>
        </is>
      </c>
      <c r="B202" s="24" t="inlineStr">
        <is>
          <t>2026-08-02T15:47:12.114060Z</t>
        </is>
      </c>
      <c r="C202" s="24" t="inlineStr">
        <is>
          <t>2026-08-02T15:30:00-0400</t>
        </is>
      </c>
      <c r="D202" s="24" t="inlineStr">
        <is>
          <t>401857108</t>
        </is>
      </c>
      <c r="E202" s="24" t="inlineStr">
        <is>
          <t>WNBA</t>
        </is>
      </c>
      <c r="F202" s="24" t="inlineStr">
        <is>
          <t>Los Angeles Sparks</t>
        </is>
      </c>
      <c r="G202" s="24" t="inlineStr">
        <is>
          <t>Portland Fire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100</v>
      </c>
      <c r="M202" s="27" t="n">
        <v>2</v>
      </c>
      <c r="N202" s="28" t="n">
        <v>0.5</v>
      </c>
      <c r="O202" s="28" t="n">
        <v>0.57112</v>
      </c>
      <c r="P202" s="28" t="n"/>
      <c r="Q202" s="28" t="n">
        <v>0.07112</v>
      </c>
      <c r="R202" s="26" t="n">
        <v>58</v>
      </c>
      <c r="S202" s="29" t="n">
        <v>1.25</v>
      </c>
      <c r="T202" s="24" t="inlineStr">
        <is>
          <t>wnba-elo-trend-lr-v4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202" s="31" t="inlineStr">
        <is>
          <t>Learned model; shadow-qualified via operator override.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wnba-las</t>
        </is>
      </c>
      <c r="AQ202" s="24" t="inlineStr">
        <is>
          <t>Los Angeles Sparks</t>
        </is>
      </c>
      <c r="AR202" s="24" t="inlineStr">
        <is>
          <t>Los Angeles Sparks</t>
        </is>
      </c>
      <c r="AS202" s="24" t="inlineStr">
        <is>
          <t>wnba-por</t>
        </is>
      </c>
      <c r="AT202" s="24" t="inlineStr">
        <is>
          <t>Portland Fire</t>
        </is>
      </c>
      <c r="AU202" s="24" t="inlineStr">
        <is>
          <t>Portland Fire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7afd5274214b58b7efd7f7febc7be3ab33b92351cda5cc6403c0a39faea0cc8c</t>
        </is>
      </c>
      <c r="BB202" s="24" t="inlineStr">
        <is>
          <t>learned_lr</t>
        </is>
      </c>
      <c r="BC202" s="24" t="inlineStr">
        <is>
          <t>wnba-elo-trend-lr-v4</t>
        </is>
      </c>
      <c r="BD202" s="24" t="inlineStr">
        <is>
          <t>7afd5274214b58b7efd7f7febc7be3ab33b92351cda5cc6403c0a39faea0cc8c</t>
        </is>
      </c>
      <c r="BE202" s="24" t="inlineStr">
        <is>
          <t>58d7c01d51192db8</t>
        </is>
      </c>
      <c r="BF202" s="24" t="inlineStr">
        <is>
          <t>1</t>
        </is>
      </c>
      <c r="BG202" s="24" t="inlineStr">
        <is>
          <t>wnba-elo-trend-lr-v4</t>
        </is>
      </c>
      <c r="BH202" s="24" t="inlineStr">
        <is>
          <t>2026-08-02T15:46:26.229088Z</t>
        </is>
      </c>
      <c r="BI202" s="24" t="inlineStr">
        <is>
          <t>["same_event","same_team_same_day","same_league_same_day"]</t>
        </is>
      </c>
      <c r="BJ202" s="25" t="n"/>
      <c r="BK202" s="26" t="n">
        <v>100</v>
      </c>
      <c r="BL202" s="27" t="n">
        <v>2</v>
      </c>
      <c r="BM202" s="28" t="n">
        <v>0.5</v>
      </c>
      <c r="BN202" s="28" t="n">
        <v>0.49505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inlineStr">
        <is>
          <t>0.5937045717</t>
        </is>
      </c>
      <c r="CD202" s="24" t="inlineStr">
        <is>
          <t>-1.420483</t>
        </is>
      </c>
      <c r="CE202" s="24" t="n"/>
      <c r="CF202" s="24" t="n"/>
      <c r="CG202" s="24" t="n"/>
      <c r="CH202" s="24" t="n"/>
      <c r="CI202" s="24" t="inlineStr">
        <is>
          <t>NO_CALL_AVAILABILITY_PLAYER_UNMAPPED</t>
        </is>
      </c>
      <c r="CJ202" s="24" t="n"/>
      <c r="CK202" s="24" t="n"/>
      <c r="CL202" s="24" t="n"/>
      <c r="CM202" s="24" t="n"/>
      <c r="CN202" s="24" t="n"/>
      <c r="CO202" s="24" t="n"/>
      <c r="CP202" s="24" t="inlineStr">
        <is>
          <t>True</t>
        </is>
      </c>
    </row>
    <row r="203" ht="36" customHeight="1">
      <c r="A203" s="24" t="inlineStr">
        <is>
          <t>d09b334bf22e4eea</t>
        </is>
      </c>
      <c r="B203" s="24" t="inlineStr">
        <is>
          <t>2026-08-02T15:47:12.114060Z</t>
        </is>
      </c>
      <c r="C203" s="24" t="inlineStr">
        <is>
          <t>2026-08-02T13:35:00-0400</t>
        </is>
      </c>
      <c r="D203" s="24" t="inlineStr">
        <is>
          <t>401816368</t>
        </is>
      </c>
      <c r="E203" s="24" t="inlineStr">
        <is>
          <t>MLB</t>
        </is>
      </c>
      <c r="F203" s="24" t="inlineStr">
        <is>
          <t>Washington Nationals</t>
        </is>
      </c>
      <c r="G203" s="24" t="inlineStr">
        <is>
          <t>Atlanta Braves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-113</v>
      </c>
      <c r="M203" s="27" t="n">
        <v>1.884956</v>
      </c>
      <c r="N203" s="28" t="n">
        <v>0.530516</v>
      </c>
      <c r="O203" s="28" t="n">
        <v>0.600545</v>
      </c>
      <c r="P203" s="28" t="n"/>
      <c r="Q203" s="28" t="n">
        <v>0.07002899999999999</v>
      </c>
      <c r="R203" s="26" t="n">
        <v>57</v>
      </c>
      <c r="S203" s="29" t="n">
        <v>1.25</v>
      </c>
      <c r="T203" s="24" t="inlineStr">
        <is>
          <t>mlb-elo-trend-lr-v7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Learned LR call at threshold 0.6242; executable ask 0.5300 (aec-mlb-wsh-atl-2026-08-02); model edge vs ask +0.0705.</t>
        </is>
      </c>
      <c r="AF203" s="31" t="inlineStr">
        <is>
          <t>Learned model; shadow-qualified via operator override.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mlb-wsh</t>
        </is>
      </c>
      <c r="AQ203" s="24" t="inlineStr">
        <is>
          <t>Washington Nationals</t>
        </is>
      </c>
      <c r="AR203" s="24" t="inlineStr">
        <is>
          <t>Washington Nationals</t>
        </is>
      </c>
      <c r="AS203" s="24" t="inlineStr">
        <is>
          <t>mlb-atl</t>
        </is>
      </c>
      <c r="AT203" s="24" t="inlineStr">
        <is>
          <t>Atlanta Braves</t>
        </is>
      </c>
      <c r="AU203" s="24" t="inlineStr">
        <is>
          <t>Atlanta Braves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464eef695bfbbdaa819ec6f5e4c5bd1068ed20b92915fb2677220ae91e20d8b6</t>
        </is>
      </c>
      <c r="BB203" s="24" t="inlineStr">
        <is>
          <t>learned_lr</t>
        </is>
      </c>
      <c r="BC203" s="24" t="inlineStr">
        <is>
          <t>mlb-elo-trend-lr-v7</t>
        </is>
      </c>
      <c r="BD203" s="24" t="inlineStr">
        <is>
          <t>464eef695bfbbdaa819ec6f5e4c5bd1068ed20b92915fb2677220ae91e20d8b6</t>
        </is>
      </c>
      <c r="BE203" s="24" t="inlineStr">
        <is>
          <t>2ab775901513f2c3</t>
        </is>
      </c>
      <c r="BF203" s="24" t="inlineStr">
        <is>
          <t>1</t>
        </is>
      </c>
      <c r="BG203" s="24" t="inlineStr">
        <is>
          <t>mlb-elo-trend-lr-v7</t>
        </is>
      </c>
      <c r="BH203" s="24" t="inlineStr">
        <is>
          <t>2026-08-02T15:46:11.267614Z</t>
        </is>
      </c>
      <c r="BI203" s="24" t="inlineStr">
        <is>
          <t>["same_event","same_team_same_day","same_league_same_day"]</t>
        </is>
      </c>
      <c r="BJ203" s="25" t="n"/>
      <c r="BK203" s="26" t="n">
        <v>-113</v>
      </c>
      <c r="BL203" s="27" t="n">
        <v>1.884956</v>
      </c>
      <c r="BM203" s="28" t="n">
        <v>0.530516</v>
      </c>
      <c r="BN203" s="28" t="n">
        <v>0.527363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inlineStr">
        <is>
          <t>0.6335187094</t>
        </is>
      </c>
      <c r="CD203" s="24" t="inlineStr">
        <is>
          <t>1.061773</t>
        </is>
      </c>
      <c r="CE203" s="24" t="inlineStr">
        <is>
          <t>0.929</t>
        </is>
      </c>
      <c r="CF203" s="24" t="inlineStr">
        <is>
          <t>1.0167</t>
        </is>
      </c>
      <c r="CG203" s="24" t="inlineStr">
        <is>
          <t>-3.6</t>
        </is>
      </c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inlineStr">
        <is>
          <t>True</t>
        </is>
      </c>
    </row>
    <row r="204" ht="36" customHeight="1">
      <c r="A204" s="24" t="inlineStr">
        <is>
          <t>edca6ae5b8a4460a</t>
        </is>
      </c>
      <c r="B204" s="24" t="inlineStr">
        <is>
          <t>2026-08-02T15:47:12.114060Z</t>
        </is>
      </c>
      <c r="C204" s="24" t="inlineStr">
        <is>
          <t>2026-08-02T19:00:00-0400</t>
        </is>
      </c>
      <c r="D204" s="24" t="inlineStr">
        <is>
          <t>401857109</t>
        </is>
      </c>
      <c r="E204" s="24" t="inlineStr">
        <is>
          <t>WNBA</t>
        </is>
      </c>
      <c r="F204" s="24" t="inlineStr">
        <is>
          <t>Connecticut Sun</t>
        </is>
      </c>
      <c r="G204" s="24" t="inlineStr">
        <is>
          <t>Dallas Wings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-525</v>
      </c>
      <c r="M204" s="27" t="n">
        <v>1.190476</v>
      </c>
      <c r="N204" s="28" t="n">
        <v>0.84</v>
      </c>
      <c r="O204" s="28" t="n">
        <v>0.758559</v>
      </c>
      <c r="P204" s="28" t="n"/>
      <c r="Q204" s="28" t="n">
        <v>-0.081441</v>
      </c>
      <c r="R204" s="26" t="n">
        <v>0</v>
      </c>
      <c r="S204" s="29" t="n">
        <v>2</v>
      </c>
      <c r="T204" s="24" t="inlineStr">
        <is>
          <t>wnba-elo-trend-lr-v4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wnba-con</t>
        </is>
      </c>
      <c r="AQ204" s="24" t="inlineStr">
        <is>
          <t>Connecticut Sun</t>
        </is>
      </c>
      <c r="AR204" s="24" t="inlineStr">
        <is>
          <t>Connecticut Sun</t>
        </is>
      </c>
      <c r="AS204" s="24" t="inlineStr">
        <is>
          <t>wnba-dal</t>
        </is>
      </c>
      <c r="AT204" s="24" t="inlineStr">
        <is>
          <t>Dallas Wings</t>
        </is>
      </c>
      <c r="AU204" s="24" t="inlineStr">
        <is>
          <t>Dallas Wings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7afd5274214b58b7efd7f7febc7be3ab33b92351cda5cc6403c0a39faea0cc8c</t>
        </is>
      </c>
      <c r="BB204" s="24" t="inlineStr">
        <is>
          <t>learned_lr</t>
        </is>
      </c>
      <c r="BC204" s="24" t="inlineStr">
        <is>
          <t>wnba-elo-trend-lr-v4</t>
        </is>
      </c>
      <c r="BD204" s="24" t="inlineStr">
        <is>
          <t>7afd5274214b58b7efd7f7febc7be3ab33b92351cda5cc6403c0a39faea0cc8c</t>
        </is>
      </c>
      <c r="BE204" s="24" t="inlineStr">
        <is>
          <t>9c0c7cfe02317de7</t>
        </is>
      </c>
      <c r="BF204" s="24" t="inlineStr">
        <is>
          <t>1</t>
        </is>
      </c>
      <c r="BG204" s="24" t="inlineStr">
        <is>
          <t>wnba-elo-trend-lr-v4</t>
        </is>
      </c>
      <c r="BH204" s="24" t="inlineStr">
        <is>
          <t>2026-08-02T15:46:27.644884Z</t>
        </is>
      </c>
      <c r="BI204" s="24" t="inlineStr">
        <is>
          <t>["same_event","same_team_same_day","same_league_same_day"]</t>
        </is>
      </c>
      <c r="BJ204" s="25" t="n"/>
      <c r="BK204" s="26" t="n">
        <v>-525</v>
      </c>
      <c r="BL204" s="27" t="n">
        <v>1.190476</v>
      </c>
      <c r="BM204" s="28" t="n">
        <v>0.84</v>
      </c>
      <c r="BN204" s="28" t="n">
        <v>0.831683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0.8648169599</t>
        </is>
      </c>
      <c r="CD204" s="24" t="inlineStr">
        <is>
          <t>-2.14749</t>
        </is>
      </c>
      <c r="CE204" s="24" t="n"/>
      <c r="CF204" s="24" t="n"/>
      <c r="CG204" s="24" t="n"/>
      <c r="CH204" s="24" t="n"/>
      <c r="CI204" s="24" t="inlineStr">
        <is>
          <t>NO_CALL_AVAILABILITY_PLAYER_UNMAPPED</t>
        </is>
      </c>
      <c r="CJ204" s="24" t="n"/>
      <c r="CK204" s="24" t="n"/>
      <c r="CL204" s="24" t="n"/>
      <c r="CM204" s="24" t="n"/>
      <c r="CN204" s="24" t="n"/>
      <c r="CO204" s="24" t="n"/>
      <c r="CP204" s="24" t="inlineStr">
        <is>
          <t>False</t>
        </is>
      </c>
    </row>
    <row r="205" ht="36" customHeight="1">
      <c r="A205" s="24" t="inlineStr">
        <is>
          <t>26e73cab3fac4b1d</t>
        </is>
      </c>
      <c r="B205" s="24" t="inlineStr">
        <is>
          <t>2026-08-02T15:47:12.114060Z</t>
        </is>
      </c>
      <c r="C205" s="24" t="inlineStr">
        <is>
          <t>2026-08-02T13:37:00-0400</t>
        </is>
      </c>
      <c r="D205" s="24" t="inlineStr">
        <is>
          <t>401816367</t>
        </is>
      </c>
      <c r="E205" s="24" t="inlineStr">
        <is>
          <t>MLB</t>
        </is>
      </c>
      <c r="F205" s="24" t="inlineStr">
        <is>
          <t>St. Louis Cardinals</t>
        </is>
      </c>
      <c r="G205" s="24" t="inlineStr">
        <is>
          <t>Toronto Blue Jays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-120</v>
      </c>
      <c r="M205" s="27" t="n">
        <v>1.833333</v>
      </c>
      <c r="N205" s="28" t="n">
        <v>0.545455</v>
      </c>
      <c r="O205" s="28" t="n">
        <v>0.536276</v>
      </c>
      <c r="P205" s="28" t="n"/>
      <c r="Q205" s="28" t="n">
        <v>-0.009179</v>
      </c>
      <c r="R205" s="26" t="n">
        <v>17</v>
      </c>
      <c r="S205" s="29" t="n">
        <v>1</v>
      </c>
      <c r="T205" s="24" t="inlineStr">
        <is>
          <t>mlb-elo-trend-lr-v7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Learned LR call at threshold 0.6242; executable ask 0.5450 (aec-mlb-stl-tor-2026-08-02); model edge vs ask -0.0087.</t>
        </is>
      </c>
      <c r="AF205" s="31" t="inlineStr">
        <is>
          <t>Learned model; shadow-qualified via operator override.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mlb-stl</t>
        </is>
      </c>
      <c r="AQ205" s="24" t="inlineStr">
        <is>
          <t>St. Louis Cardinals</t>
        </is>
      </c>
      <c r="AR205" s="24" t="inlineStr">
        <is>
          <t>St. Louis Cardinals</t>
        </is>
      </c>
      <c r="AS205" s="24" t="inlineStr">
        <is>
          <t>mlb-tor</t>
        </is>
      </c>
      <c r="AT205" s="24" t="inlineStr">
        <is>
          <t>Toronto Blue Jays</t>
        </is>
      </c>
      <c r="AU205" s="24" t="inlineStr">
        <is>
          <t>Toronto Blue Jays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464eef695bfbbdaa819ec6f5e4c5bd1068ed20b92915fb2677220ae91e20d8b6</t>
        </is>
      </c>
      <c r="BB205" s="24" t="inlineStr">
        <is>
          <t>learned_lr</t>
        </is>
      </c>
      <c r="BC205" s="24" t="inlineStr">
        <is>
          <t>mlb-elo-trend-lr-v7</t>
        </is>
      </c>
      <c r="BD205" s="24" t="inlineStr">
        <is>
          <t>464eef695bfbbdaa819ec6f5e4c5bd1068ed20b92915fb2677220ae91e20d8b6</t>
        </is>
      </c>
      <c r="BE205" s="24" t="inlineStr">
        <is>
          <t>429c13d4c562f5e8</t>
        </is>
      </c>
      <c r="BF205" s="24" t="inlineStr">
        <is>
          <t>1</t>
        </is>
      </c>
      <c r="BG205" s="24" t="inlineStr">
        <is>
          <t>mlb-elo-trend-lr-v7</t>
        </is>
      </c>
      <c r="BH205" s="24" t="inlineStr">
        <is>
          <t>2026-08-02T15:46:12.237303Z</t>
        </is>
      </c>
      <c r="BI205" s="24" t="inlineStr">
        <is>
          <t>["same_event","same_team_same_day","same_league_same_day"]</t>
        </is>
      </c>
      <c r="BJ205" s="25" t="n"/>
      <c r="BK205" s="26" t="n">
        <v>-120</v>
      </c>
      <c r="BL205" s="27" t="n">
        <v>1.833333</v>
      </c>
      <c r="BM205" s="28" t="n">
        <v>0.545455</v>
      </c>
      <c r="BN205" s="28" t="n">
        <v>0.542289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inlineStr">
        <is>
          <t>0.5658417148</t>
        </is>
      </c>
      <c r="CD205" s="24" t="inlineStr">
        <is>
          <t>1.499161</t>
        </is>
      </c>
      <c r="CE205" s="24" t="inlineStr">
        <is>
          <t>1.019</t>
        </is>
      </c>
      <c r="CF205" s="24" t="inlineStr">
        <is>
          <t>1.0</t>
        </is>
      </c>
      <c r="CG205" s="24" t="inlineStr">
        <is>
          <t>-2.0</t>
        </is>
      </c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inlineStr">
        <is>
          <t>False</t>
        </is>
      </c>
    </row>
    <row r="206" ht="36" customHeight="1">
      <c r="A206" s="24" t="inlineStr">
        <is>
          <t>e03b8717409d4ac7</t>
        </is>
      </c>
      <c r="B206" s="24" t="inlineStr">
        <is>
          <t>2026-08-02T15:47:12.114060Z</t>
        </is>
      </c>
      <c r="C206" s="24" t="inlineStr">
        <is>
          <t>2026-08-02T20:30:00-0400</t>
        </is>
      </c>
      <c r="D206" s="24" t="inlineStr">
        <is>
          <t>401857110</t>
        </is>
      </c>
      <c r="E206" s="24" t="inlineStr">
        <is>
          <t>WNBA</t>
        </is>
      </c>
      <c r="F206" s="24" t="inlineStr">
        <is>
          <t>Toronto Tempo</t>
        </is>
      </c>
      <c r="G206" s="24" t="inlineStr">
        <is>
          <t>Golden State Valkyries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-669</v>
      </c>
      <c r="M206" s="27" t="n">
        <v>1.149477</v>
      </c>
      <c r="N206" s="28" t="n">
        <v>0.869961</v>
      </c>
      <c r="O206" s="28" t="n">
        <v>0.772803</v>
      </c>
      <c r="P206" s="28" t="n"/>
      <c r="Q206" s="28" t="n">
        <v>-0.09715799999999999</v>
      </c>
      <c r="R206" s="26" t="n">
        <v>0</v>
      </c>
      <c r="S206" s="29" t="n">
        <v>2</v>
      </c>
      <c r="T206" s="24" t="inlineStr">
        <is>
          <t>wnba-elo-trend-lr-v4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wnba-tor</t>
        </is>
      </c>
      <c r="AQ206" s="24" t="inlineStr">
        <is>
          <t>Toronto Tempo</t>
        </is>
      </c>
      <c r="AR206" s="24" t="inlineStr">
        <is>
          <t>Toronto Tempo</t>
        </is>
      </c>
      <c r="AS206" s="24" t="inlineStr">
        <is>
          <t>wnba-gsv</t>
        </is>
      </c>
      <c r="AT206" s="24" t="inlineStr">
        <is>
          <t>Golden State Valkyries</t>
        </is>
      </c>
      <c r="AU206" s="24" t="inlineStr">
        <is>
          <t>Golden State Valkyries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7afd5274214b58b7efd7f7febc7be3ab33b92351cda5cc6403c0a39faea0cc8c</t>
        </is>
      </c>
      <c r="BB206" s="24" t="inlineStr">
        <is>
          <t>learned_lr</t>
        </is>
      </c>
      <c r="BC206" s="24" t="inlineStr">
        <is>
          <t>wnba-elo-trend-lr-v4</t>
        </is>
      </c>
      <c r="BD206" s="24" t="inlineStr">
        <is>
          <t>7afd5274214b58b7efd7f7febc7be3ab33b92351cda5cc6403c0a39faea0cc8c</t>
        </is>
      </c>
      <c r="BE206" s="24" t="inlineStr">
        <is>
          <t>c1ef9fc1d2a3714a</t>
        </is>
      </c>
      <c r="BF206" s="24" t="inlineStr">
        <is>
          <t>1</t>
        </is>
      </c>
      <c r="BG206" s="24" t="inlineStr">
        <is>
          <t>wnba-elo-trend-lr-v4</t>
        </is>
      </c>
      <c r="BH206" s="24" t="inlineStr">
        <is>
          <t>2026-08-02T15:46:28.797893Z</t>
        </is>
      </c>
      <c r="BI206" s="24" t="inlineStr">
        <is>
          <t>["same_event","same_team_same_day","same_league_same_day"]</t>
        </is>
      </c>
      <c r="BJ206" s="25" t="n"/>
      <c r="BK206" s="26" t="n">
        <v>-669</v>
      </c>
      <c r="BL206" s="27" t="n">
        <v>1.149477</v>
      </c>
      <c r="BM206" s="28" t="n">
        <v>0.869961</v>
      </c>
      <c r="BN206" s="28" t="n">
        <v>0.861386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0.8973864278</t>
        </is>
      </c>
      <c r="CD206" s="24" t="inlineStr">
        <is>
          <t>2.248193</t>
        </is>
      </c>
      <c r="CE206" s="24" t="n"/>
      <c r="CF206" s="24" t="n"/>
      <c r="CG206" s="24" t="n"/>
      <c r="CH206" s="24" t="n"/>
      <c r="CI206" s="24" t="inlineStr">
        <is>
          <t>NO_CALL_AVAILABILITY_PLAYER_UNMAPPED</t>
        </is>
      </c>
      <c r="CJ206" s="24" t="n"/>
      <c r="CK206" s="24" t="n"/>
      <c r="CL206" s="24" t="n"/>
      <c r="CM206" s="24" t="n"/>
      <c r="CN206" s="24" t="n"/>
      <c r="CO206" s="24" t="n"/>
      <c r="CP206" s="24" t="inlineStr">
        <is>
          <t>False</t>
        </is>
      </c>
    </row>
    <row r="207" ht="36" customHeight="1">
      <c r="A207" s="24" t="inlineStr">
        <is>
          <t>bd9f34059cf2440c</t>
        </is>
      </c>
      <c r="B207" s="24" t="inlineStr">
        <is>
          <t>2026-08-02T15:47:12.114060Z</t>
        </is>
      </c>
      <c r="C207" s="24" t="inlineStr">
        <is>
          <t>2026-08-02T13:40:00-0400</t>
        </is>
      </c>
      <c r="D207" s="24" t="inlineStr">
        <is>
          <t>401816362</t>
        </is>
      </c>
      <c r="E207" s="24" t="inlineStr">
        <is>
          <t>MLB</t>
        </is>
      </c>
      <c r="F207" s="24" t="inlineStr">
        <is>
          <t>Arizona Diamondbacks</t>
        </is>
      </c>
      <c r="G207" s="24" t="inlineStr">
        <is>
          <t>Cleveland Guardians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-160</v>
      </c>
      <c r="M207" s="27" t="n">
        <v>1.625</v>
      </c>
      <c r="N207" s="28" t="n">
        <v>0.615385</v>
      </c>
      <c r="O207" s="28" t="n">
        <v>0.54198</v>
      </c>
      <c r="P207" s="28" t="n"/>
      <c r="Q207" s="28" t="n">
        <v>-0.073405</v>
      </c>
      <c r="R207" s="26" t="n">
        <v>0</v>
      </c>
      <c r="S207" s="29" t="n">
        <v>1</v>
      </c>
      <c r="T207" s="24" t="inlineStr">
        <is>
          <t>mlb-elo-trend-lr-v7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Learned LR call at threshold 0.6242; executable ask 0.6150 (aec-mlb-az-cle-2026-08-02); model edge vs ask -0.0730.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mlb-ari</t>
        </is>
      </c>
      <c r="AQ207" s="24" t="inlineStr">
        <is>
          <t>Arizona Diamondbacks</t>
        </is>
      </c>
      <c r="AR207" s="24" t="inlineStr">
        <is>
          <t>Arizona Diamondbacks</t>
        </is>
      </c>
      <c r="AS207" s="24" t="inlineStr">
        <is>
          <t>mlb-cle</t>
        </is>
      </c>
      <c r="AT207" s="24" t="inlineStr">
        <is>
          <t>Cleveland Guardians</t>
        </is>
      </c>
      <c r="AU207" s="24" t="inlineStr">
        <is>
          <t>Cleveland Guardians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464eef695bfbbdaa819ec6f5e4c5bd1068ed20b92915fb2677220ae91e20d8b6</t>
        </is>
      </c>
      <c r="BB207" s="24" t="inlineStr">
        <is>
          <t>learned_lr</t>
        </is>
      </c>
      <c r="BC207" s="24" t="inlineStr">
        <is>
          <t>mlb-elo-trend-lr-v7</t>
        </is>
      </c>
      <c r="BD207" s="24" t="inlineStr">
        <is>
          <t>464eef695bfbbdaa819ec6f5e4c5bd1068ed20b92915fb2677220ae91e20d8b6</t>
        </is>
      </c>
      <c r="BE207" s="24" t="inlineStr">
        <is>
          <t>78f97c83c3bab22d</t>
        </is>
      </c>
      <c r="BF207" s="24" t="inlineStr">
        <is>
          <t>1</t>
        </is>
      </c>
      <c r="BG207" s="24" t="inlineStr">
        <is>
          <t>mlb-elo-trend-lr-v7</t>
        </is>
      </c>
      <c r="BH207" s="24" t="inlineStr">
        <is>
          <t>2026-08-02T15:46:13.303313Z</t>
        </is>
      </c>
      <c r="BI207" s="24" t="inlineStr">
        <is>
          <t>["same_event","same_team_same_day","same_league_same_day"]</t>
        </is>
      </c>
      <c r="BJ207" s="25" t="n"/>
      <c r="BK207" s="26" t="n">
        <v>-160</v>
      </c>
      <c r="BL207" s="27" t="n">
        <v>1.625</v>
      </c>
      <c r="BM207" s="28" t="n">
        <v>0.615385</v>
      </c>
      <c r="BN207" s="28" t="n">
        <v>0.61194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0.5147263352</t>
        </is>
      </c>
      <c r="CD207" s="24" t="inlineStr">
        <is>
          <t>-1.620545</t>
        </is>
      </c>
      <c r="CE207" s="24" t="inlineStr">
        <is>
          <t>0.966</t>
        </is>
      </c>
      <c r="CF207" s="24" t="inlineStr">
        <is>
          <t>1.0119</t>
        </is>
      </c>
      <c r="CG207" s="24" t="inlineStr">
        <is>
          <t>1.0</t>
        </is>
      </c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inlineStr">
        <is>
          <t>False</t>
        </is>
      </c>
    </row>
    <row r="208" ht="36" customHeight="1">
      <c r="A208" s="24" t="inlineStr">
        <is>
          <t>cb2004e9bae04a63</t>
        </is>
      </c>
      <c r="B208" s="24" t="inlineStr">
        <is>
          <t>2026-08-02T15:47:12.114060Z</t>
        </is>
      </c>
      <c r="C208" s="24" t="inlineStr">
        <is>
          <t>2026-08-02T13:40:00-0400</t>
        </is>
      </c>
      <c r="D208" s="24" t="inlineStr">
        <is>
          <t>401816363</t>
        </is>
      </c>
      <c r="E208" s="24" t="inlineStr">
        <is>
          <t>MLB</t>
        </is>
      </c>
      <c r="F208" s="24" t="inlineStr">
        <is>
          <t>Chicago White Sox</t>
        </is>
      </c>
      <c r="G208" s="24" t="inlineStr">
        <is>
          <t>Tampa Bay Rays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-138</v>
      </c>
      <c r="M208" s="27" t="n">
        <v>1.724638</v>
      </c>
      <c r="N208" s="28" t="n">
        <v>0.579832</v>
      </c>
      <c r="O208" s="28" t="n">
        <v>0.565508</v>
      </c>
      <c r="P208" s="28" t="n"/>
      <c r="Q208" s="28" t="n">
        <v>-0.014324</v>
      </c>
      <c r="R208" s="26" t="n">
        <v>14</v>
      </c>
      <c r="S208" s="29" t="n">
        <v>1</v>
      </c>
      <c r="T208" s="24" t="inlineStr">
        <is>
          <t>mlb-elo-trend-lr-v7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Learned LR call at threshold 0.6242; executable ask 0.5800 (aec-mlb-cws-tb-2026-08-02); model edge vs ask -0.0145.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mlb-cws</t>
        </is>
      </c>
      <c r="AQ208" s="24" t="inlineStr">
        <is>
          <t>Chicago White Sox</t>
        </is>
      </c>
      <c r="AR208" s="24" t="inlineStr">
        <is>
          <t>Chicago White Sox</t>
        </is>
      </c>
      <c r="AS208" s="24" t="inlineStr">
        <is>
          <t>mlb-tb</t>
        </is>
      </c>
      <c r="AT208" s="24" t="inlineStr">
        <is>
          <t>Tampa Bay Rays</t>
        </is>
      </c>
      <c r="AU208" s="24" t="inlineStr">
        <is>
          <t>Tampa Bay Rays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464eef695bfbbdaa819ec6f5e4c5bd1068ed20b92915fb2677220ae91e20d8b6</t>
        </is>
      </c>
      <c r="BB208" s="24" t="inlineStr">
        <is>
          <t>learned_lr</t>
        </is>
      </c>
      <c r="BC208" s="24" t="inlineStr">
        <is>
          <t>mlb-elo-trend-lr-v7</t>
        </is>
      </c>
      <c r="BD208" s="24" t="inlineStr">
        <is>
          <t>464eef695bfbbdaa819ec6f5e4c5bd1068ed20b92915fb2677220ae91e20d8b6</t>
        </is>
      </c>
      <c r="BE208" s="24" t="inlineStr">
        <is>
          <t>adafae297aed5d6c</t>
        </is>
      </c>
      <c r="BF208" s="24" t="inlineStr">
        <is>
          <t>1</t>
        </is>
      </c>
      <c r="BG208" s="24" t="inlineStr">
        <is>
          <t>mlb-elo-trend-lr-v7</t>
        </is>
      </c>
      <c r="BH208" s="24" t="inlineStr">
        <is>
          <t>2026-08-02T15:46:16.183877Z</t>
        </is>
      </c>
      <c r="BI208" s="24" t="inlineStr">
        <is>
          <t>["same_event","same_team_same_day","same_league_same_day"]</t>
        </is>
      </c>
      <c r="BJ208" s="25" t="n"/>
      <c r="BK208" s="26" t="n">
        <v>-138</v>
      </c>
      <c r="BL208" s="27" t="n">
        <v>1.724638</v>
      </c>
      <c r="BM208" s="28" t="n">
        <v>0.579832</v>
      </c>
      <c r="BN208" s="28" t="n">
        <v>0.577114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0.5503982216</t>
        </is>
      </c>
      <c r="CD208" s="24" t="inlineStr">
        <is>
          <t>-0.597101</t>
        </is>
      </c>
      <c r="CE208" s="24" t="inlineStr">
        <is>
          <t>0.965</t>
        </is>
      </c>
      <c r="CF208" s="24" t="inlineStr">
        <is>
          <t>1.0</t>
        </is>
      </c>
      <c r="CG208" s="24" t="inlineStr">
        <is>
          <t>0.2</t>
        </is>
      </c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inlineStr">
        <is>
          <t>False</t>
        </is>
      </c>
    </row>
    <row r="209" ht="36" customHeight="1">
      <c r="A209" s="24" t="inlineStr">
        <is>
          <t>61e23b682f9e4fd2</t>
        </is>
      </c>
      <c r="B209" s="24" t="inlineStr">
        <is>
          <t>2026-08-02T15:47:12.114060Z</t>
        </is>
      </c>
      <c r="C209" s="24" t="inlineStr">
        <is>
          <t>2026-08-02T13:40:00-0400</t>
        </is>
      </c>
      <c r="D209" s="24" t="inlineStr">
        <is>
          <t>401816364</t>
        </is>
      </c>
      <c r="E209" s="24" t="inlineStr">
        <is>
          <t>MLB</t>
        </is>
      </c>
      <c r="F209" s="24" t="inlineStr">
        <is>
          <t>Miami Marlins</t>
        </is>
      </c>
      <c r="G209" s="24" t="inlineStr">
        <is>
          <t>New York Mets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108</v>
      </c>
      <c r="M209" s="27" t="n">
        <v>2.08</v>
      </c>
      <c r="N209" s="28" t="n">
        <v>0.480769</v>
      </c>
      <c r="O209" s="28" t="n">
        <v>0.519099</v>
      </c>
      <c r="P209" s="28" t="n"/>
      <c r="Q209" s="28" t="n">
        <v>0.03833</v>
      </c>
      <c r="R209" s="26" t="n">
        <v>41</v>
      </c>
      <c r="S209" s="29" t="n">
        <v>1</v>
      </c>
      <c r="T209" s="24" t="inlineStr">
        <is>
          <t>mlb-elo-trend-lr-v7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Learned LR call at threshold 0.6242; executable ask 0.4800 (aec-mlb-mia-nym-2026-08-02); model edge vs ask +0.0391.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mlb-mia</t>
        </is>
      </c>
      <c r="AQ209" s="24" t="inlineStr">
        <is>
          <t>Miami Marlins</t>
        </is>
      </c>
      <c r="AR209" s="24" t="inlineStr">
        <is>
          <t>Miami Marlins</t>
        </is>
      </c>
      <c r="AS209" s="24" t="inlineStr">
        <is>
          <t>mlb-nym</t>
        </is>
      </c>
      <c r="AT209" s="24" t="inlineStr">
        <is>
          <t>New York Mets</t>
        </is>
      </c>
      <c r="AU209" s="24" t="inlineStr">
        <is>
          <t>New York Mets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464eef695bfbbdaa819ec6f5e4c5bd1068ed20b92915fb2677220ae91e20d8b6</t>
        </is>
      </c>
      <c r="BB209" s="24" t="inlineStr">
        <is>
          <t>learned_lr</t>
        </is>
      </c>
      <c r="BC209" s="24" t="inlineStr">
        <is>
          <t>mlb-elo-trend-lr-v7</t>
        </is>
      </c>
      <c r="BD209" s="24" t="inlineStr">
        <is>
          <t>464eef695bfbbdaa819ec6f5e4c5bd1068ed20b92915fb2677220ae91e20d8b6</t>
        </is>
      </c>
      <c r="BE209" s="24" t="inlineStr">
        <is>
          <t>013a86e9f49cbd87</t>
        </is>
      </c>
      <c r="BF209" s="24" t="inlineStr">
        <is>
          <t>1</t>
        </is>
      </c>
      <c r="BG209" s="24" t="inlineStr">
        <is>
          <t>mlb-elo-trend-lr-v7</t>
        </is>
      </c>
      <c r="BH209" s="24" t="inlineStr">
        <is>
          <t>2026-08-02T15:46:15.017661Z</t>
        </is>
      </c>
      <c r="BI209" s="24" t="inlineStr">
        <is>
          <t>["same_event","same_team_same_day","same_league_same_day"]</t>
        </is>
      </c>
      <c r="BJ209" s="25" t="n"/>
      <c r="BK209" s="26" t="n">
        <v>108</v>
      </c>
      <c r="BL209" s="27" t="n">
        <v>2.08</v>
      </c>
      <c r="BM209" s="28" t="n">
        <v>0.480769</v>
      </c>
      <c r="BN209" s="28" t="n">
        <v>0.477612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0.4938777222</t>
        </is>
      </c>
      <c r="CD209" s="24" t="inlineStr">
        <is>
          <t>-0.998113</t>
        </is>
      </c>
      <c r="CE209" s="24" t="inlineStr">
        <is>
          <t>0.978</t>
        </is>
      </c>
      <c r="CF209" s="24" t="inlineStr">
        <is>
          <t>1.0245</t>
        </is>
      </c>
      <c r="CG209" s="24" t="inlineStr">
        <is>
          <t>0.4</t>
        </is>
      </c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inlineStr">
        <is>
          <t>True</t>
        </is>
      </c>
    </row>
    <row r="210" ht="36" customHeight="1">
      <c r="A210" s="24" t="inlineStr">
        <is>
          <t>a3e196b3eb70481b</t>
        </is>
      </c>
      <c r="B210" s="24" t="inlineStr">
        <is>
          <t>2026-08-02T15:47:12.114060Z</t>
        </is>
      </c>
      <c r="C210" s="24" t="inlineStr">
        <is>
          <t>2026-08-02T13:40:00-0400</t>
        </is>
      </c>
      <c r="D210" s="24" t="inlineStr">
        <is>
          <t>401816366</t>
        </is>
      </c>
      <c r="E210" s="24" t="inlineStr">
        <is>
          <t>MLB</t>
        </is>
      </c>
      <c r="F210" s="24" t="inlineStr">
        <is>
          <t>Pittsburgh Pirates</t>
        </is>
      </c>
      <c r="G210" s="24" t="inlineStr">
        <is>
          <t>Cincinnati Reds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127</v>
      </c>
      <c r="M210" s="27" t="n">
        <v>2.27</v>
      </c>
      <c r="N210" s="28" t="n">
        <v>0.440529</v>
      </c>
      <c r="O210" s="28" t="n">
        <v>0.518492</v>
      </c>
      <c r="P210" s="28" t="n"/>
      <c r="Q210" s="28" t="n">
        <v>0.077963</v>
      </c>
      <c r="R210" s="26" t="n">
        <v>60</v>
      </c>
      <c r="S210" s="29" t="n">
        <v>1</v>
      </c>
      <c r="T210" s="24" t="inlineStr">
        <is>
          <t>mlb-elo-trend-lr-v7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Learned LR call at threshold 0.6242; executable ask 0.4400 (aec-mlb-pit-cin-2026-08-02); model edge vs ask +0.0785.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mlb-pit</t>
        </is>
      </c>
      <c r="AQ210" s="24" t="inlineStr">
        <is>
          <t>Pittsburgh Pirates</t>
        </is>
      </c>
      <c r="AR210" s="24" t="inlineStr">
        <is>
          <t>Pittsburgh Pirates</t>
        </is>
      </c>
      <c r="AS210" s="24" t="inlineStr">
        <is>
          <t>mlb-cin</t>
        </is>
      </c>
      <c r="AT210" s="24" t="inlineStr">
        <is>
          <t>Cincinnati Reds</t>
        </is>
      </c>
      <c r="AU210" s="24" t="inlineStr">
        <is>
          <t>Cincinnati Reds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464eef695bfbbdaa819ec6f5e4c5bd1068ed20b92915fb2677220ae91e20d8b6</t>
        </is>
      </c>
      <c r="BB210" s="24" t="inlineStr">
        <is>
          <t>learned_lr</t>
        </is>
      </c>
      <c r="BC210" s="24" t="inlineStr">
        <is>
          <t>mlb-elo-trend-lr-v7</t>
        </is>
      </c>
      <c r="BD210" s="24" t="inlineStr">
        <is>
          <t>464eef695bfbbdaa819ec6f5e4c5bd1068ed20b92915fb2677220ae91e20d8b6</t>
        </is>
      </c>
      <c r="BE210" s="24" t="inlineStr">
        <is>
          <t>0929ee2ba98690ba</t>
        </is>
      </c>
      <c r="BF210" s="24" t="inlineStr">
        <is>
          <t>1</t>
        </is>
      </c>
      <c r="BG210" s="24" t="inlineStr">
        <is>
          <t>mlb-elo-trend-lr-v7</t>
        </is>
      </c>
      <c r="BH210" s="24" t="inlineStr">
        <is>
          <t>2026-08-02T15:46:14.205645Z</t>
        </is>
      </c>
      <c r="BI210" s="24" t="inlineStr">
        <is>
          <t>["same_event","same_team_same_day","same_league_same_day"]</t>
        </is>
      </c>
      <c r="BJ210" s="25" t="n"/>
      <c r="BK210" s="26" t="n">
        <v>127</v>
      </c>
      <c r="BL210" s="27" t="n">
        <v>2.27</v>
      </c>
      <c r="BM210" s="28" t="n">
        <v>0.440529</v>
      </c>
      <c r="BN210" s="28" t="n">
        <v>0.437811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0.4891381657</t>
        </is>
      </c>
      <c r="CD210" s="24" t="inlineStr">
        <is>
          <t>0.471311</t>
        </is>
      </c>
      <c r="CE210" s="24" t="inlineStr">
        <is>
          <t>1.036</t>
        </is>
      </c>
      <c r="CF210" s="24" t="inlineStr">
        <is>
          <t>1.0038</t>
        </is>
      </c>
      <c r="CG210" s="24" t="inlineStr">
        <is>
          <t>-0.8</t>
        </is>
      </c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inlineStr">
        <is>
          <t>True</t>
        </is>
      </c>
    </row>
    <row r="211" ht="36" customHeight="1">
      <c r="A211" s="24" t="inlineStr">
        <is>
          <t>ded0c85630b24533</t>
        </is>
      </c>
      <c r="B211" s="24" t="inlineStr">
        <is>
          <t>2026-08-02T15:47:12.114060Z</t>
        </is>
      </c>
      <c r="C211" s="24" t="inlineStr">
        <is>
          <t>2026-08-02T14:10:00-0400</t>
        </is>
      </c>
      <c r="D211" s="24" t="inlineStr">
        <is>
          <t>401816370</t>
        </is>
      </c>
      <c r="E211" s="24" t="inlineStr">
        <is>
          <t>MLB</t>
        </is>
      </c>
      <c r="F211" s="24" t="inlineStr">
        <is>
          <t>Texas Rangers</t>
        </is>
      </c>
      <c r="G211" s="24" t="inlineStr">
        <is>
          <t>Houston Astros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-127</v>
      </c>
      <c r="M211" s="27" t="n">
        <v>1.787402</v>
      </c>
      <c r="N211" s="28" t="n">
        <v>0.5594710000000001</v>
      </c>
      <c r="O211" s="28" t="n">
        <v>0.538187</v>
      </c>
      <c r="P211" s="28" t="n"/>
      <c r="Q211" s="28" t="n">
        <v>-0.021284</v>
      </c>
      <c r="R211" s="26" t="n">
        <v>10</v>
      </c>
      <c r="S211" s="29" t="n">
        <v>1</v>
      </c>
      <c r="T211" s="24" t="inlineStr">
        <is>
          <t>mlb-elo-trend-lr-v7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Learned LR call at threshold 0.6242; executable ask 0.5600 (aec-mlb-tex-hou-2026-08-02); model edge vs ask -0.0218.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mlb-tex</t>
        </is>
      </c>
      <c r="AQ211" s="24" t="inlineStr">
        <is>
          <t>Texas Rangers</t>
        </is>
      </c>
      <c r="AR211" s="24" t="inlineStr">
        <is>
          <t>Texas Rangers</t>
        </is>
      </c>
      <c r="AS211" s="24" t="inlineStr">
        <is>
          <t>mlb-hou</t>
        </is>
      </c>
      <c r="AT211" s="24" t="inlineStr">
        <is>
          <t>Houston Astros</t>
        </is>
      </c>
      <c r="AU211" s="24" t="inlineStr">
        <is>
          <t>Houston Astros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464eef695bfbbdaa819ec6f5e4c5bd1068ed20b92915fb2677220ae91e20d8b6</t>
        </is>
      </c>
      <c r="BB211" s="24" t="inlineStr">
        <is>
          <t>learned_lr</t>
        </is>
      </c>
      <c r="BC211" s="24" t="inlineStr">
        <is>
          <t>mlb-elo-trend-lr-v7</t>
        </is>
      </c>
      <c r="BD211" s="24" t="inlineStr">
        <is>
          <t>464eef695bfbbdaa819ec6f5e4c5bd1068ed20b92915fb2677220ae91e20d8b6</t>
        </is>
      </c>
      <c r="BE211" s="24" t="inlineStr">
        <is>
          <t>2d42dfba300c1668</t>
        </is>
      </c>
      <c r="BF211" s="24" t="inlineStr">
        <is>
          <t>1</t>
        </is>
      </c>
      <c r="BG211" s="24" t="inlineStr">
        <is>
          <t>mlb-elo-trend-lr-v7</t>
        </is>
      </c>
      <c r="BH211" s="24" t="inlineStr">
        <is>
          <t>2026-08-02T15:46:17.051792Z</t>
        </is>
      </c>
      <c r="BI211" s="24" t="inlineStr">
        <is>
          <t>["same_event","same_team_same_day","same_league_same_day"]</t>
        </is>
      </c>
      <c r="BJ211" s="25" t="n"/>
      <c r="BK211" s="26" t="n">
        <v>-127</v>
      </c>
      <c r="BL211" s="27" t="n">
        <v>1.787402</v>
      </c>
      <c r="BM211" s="28" t="n">
        <v>0.5594710000000001</v>
      </c>
      <c r="BN211" s="28" t="n">
        <v>0.557214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0.5570987062</t>
        </is>
      </c>
      <c r="CD211" s="24" t="inlineStr">
        <is>
          <t>1.976345</t>
        </is>
      </c>
      <c r="CE211" s="24" t="inlineStr">
        <is>
          <t>0.956</t>
        </is>
      </c>
      <c r="CF211" s="24" t="inlineStr">
        <is>
          <t>1.0</t>
        </is>
      </c>
      <c r="CG211" s="24" t="inlineStr">
        <is>
          <t>-1.4</t>
        </is>
      </c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inlineStr">
        <is>
          <t>False</t>
        </is>
      </c>
    </row>
    <row r="212" ht="36" customHeight="1">
      <c r="A212" s="24" t="inlineStr">
        <is>
          <t>cbd3d7a47ccd4659</t>
        </is>
      </c>
      <c r="B212" s="24" t="inlineStr">
        <is>
          <t>2026-08-02T15:47:12.114060Z</t>
        </is>
      </c>
      <c r="C212" s="24" t="inlineStr">
        <is>
          <t>2026-08-02T14:20:00-0400</t>
        </is>
      </c>
      <c r="D212" s="24" t="inlineStr">
        <is>
          <t>401816369</t>
        </is>
      </c>
      <c r="E212" s="24" t="inlineStr">
        <is>
          <t>MLB</t>
        </is>
      </c>
      <c r="F212" s="24" t="inlineStr">
        <is>
          <t>New York Yankees</t>
        </is>
      </c>
      <c r="G212" s="24" t="inlineStr">
        <is>
          <t>Chicago Cubs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115</v>
      </c>
      <c r="M212" s="27" t="n">
        <v>2.15</v>
      </c>
      <c r="N212" s="28" t="n">
        <v>0.465116</v>
      </c>
      <c r="O212" s="28" t="n">
        <v>0.549233</v>
      </c>
      <c r="P212" s="28" t="n"/>
      <c r="Q212" s="28" t="n">
        <v>0.084117</v>
      </c>
      <c r="R212" s="26" t="n">
        <v>63</v>
      </c>
      <c r="S212" s="29" t="n">
        <v>1</v>
      </c>
      <c r="T212" s="24" t="inlineStr">
        <is>
          <t>mlb-elo-trend-lr-v7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Learned LR call at threshold 0.6242; executable ask 0.4650 (aec-mlb-nyy-chc-2026-08-02); model edge vs ask +0.0842.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mlb-nyy</t>
        </is>
      </c>
      <c r="AQ212" s="24" t="inlineStr">
        <is>
          <t>New York Yankees</t>
        </is>
      </c>
      <c r="AR212" s="24" t="inlineStr">
        <is>
          <t>New York Yankees</t>
        </is>
      </c>
      <c r="AS212" s="24" t="inlineStr">
        <is>
          <t>mlb-chc</t>
        </is>
      </c>
      <c r="AT212" s="24" t="inlineStr">
        <is>
          <t>Chicago Cubs</t>
        </is>
      </c>
      <c r="AU212" s="24" t="inlineStr">
        <is>
          <t>Chicago Cubs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464eef695bfbbdaa819ec6f5e4c5bd1068ed20b92915fb2677220ae91e20d8b6</t>
        </is>
      </c>
      <c r="BB212" s="24" t="inlineStr">
        <is>
          <t>learned_lr</t>
        </is>
      </c>
      <c r="BC212" s="24" t="inlineStr">
        <is>
          <t>mlb-elo-trend-lr-v7</t>
        </is>
      </c>
      <c r="BD212" s="24" t="inlineStr">
        <is>
          <t>464eef695bfbbdaa819ec6f5e4c5bd1068ed20b92915fb2677220ae91e20d8b6</t>
        </is>
      </c>
      <c r="BE212" s="24" t="inlineStr">
        <is>
          <t>d88c9d9a1fbe820c</t>
        </is>
      </c>
      <c r="BF212" s="24" t="inlineStr">
        <is>
          <t>1</t>
        </is>
      </c>
      <c r="BG212" s="24" t="inlineStr">
        <is>
          <t>mlb-elo-trend-lr-v7</t>
        </is>
      </c>
      <c r="BH212" s="24" t="inlineStr">
        <is>
          <t>2026-08-02T15:46:17.714917Z</t>
        </is>
      </c>
      <c r="BI212" s="24" t="inlineStr">
        <is>
          <t>["same_event","same_team_same_day","same_league_same_day"]</t>
        </is>
      </c>
      <c r="BJ212" s="25" t="n"/>
      <c r="BK212" s="26" t="n">
        <v>115</v>
      </c>
      <c r="BL212" s="27" t="n">
        <v>2.15</v>
      </c>
      <c r="BM212" s="28" t="n">
        <v>0.465116</v>
      </c>
      <c r="BN212" s="28" t="n">
        <v>0.462687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0.5479631024</t>
        </is>
      </c>
      <c r="CD212" s="24" t="inlineStr">
        <is>
          <t>0.358864</t>
        </is>
      </c>
      <c r="CE212" s="24" t="inlineStr">
        <is>
          <t>0.986</t>
        </is>
      </c>
      <c r="CF212" s="24" t="inlineStr">
        <is>
          <t>1.0137</t>
        </is>
      </c>
      <c r="CG212" s="24" t="inlineStr">
        <is>
          <t>-0.8</t>
        </is>
      </c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inlineStr">
        <is>
          <t>True</t>
        </is>
      </c>
    </row>
    <row r="213" ht="36" customHeight="1">
      <c r="A213" s="24" t="inlineStr">
        <is>
          <t>4c231831903a44a3</t>
        </is>
      </c>
      <c r="B213" s="24" t="inlineStr">
        <is>
          <t>2026-08-02T15:47:12.114060Z</t>
        </is>
      </c>
      <c r="C213" s="24" t="inlineStr">
        <is>
          <t>2026-08-02T15:10:00-0400</t>
        </is>
      </c>
      <c r="D213" s="24" t="inlineStr">
        <is>
          <t>401816371</t>
        </is>
      </c>
      <c r="E213" s="24" t="inlineStr">
        <is>
          <t>MLB</t>
        </is>
      </c>
      <c r="F213" s="24" t="inlineStr">
        <is>
          <t>Kansas City Royals</t>
        </is>
      </c>
      <c r="G213" s="24" t="inlineStr">
        <is>
          <t>Colorado Rockies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120</v>
      </c>
      <c r="M213" s="27" t="n">
        <v>2.2</v>
      </c>
      <c r="N213" s="28" t="n">
        <v>0.454545</v>
      </c>
      <c r="O213" s="28" t="n">
        <v>0.60006</v>
      </c>
      <c r="P213" s="28" t="n"/>
      <c r="Q213" s="28" t="n">
        <v>0.145515</v>
      </c>
      <c r="R213" s="26" t="n">
        <v>94</v>
      </c>
      <c r="S213" s="29" t="n">
        <v>1.25</v>
      </c>
      <c r="T213" s="24" t="inlineStr">
        <is>
          <t>mlb-elo-trend-lr-v7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Learned LR call at threshold 0.6242; executable ask 0.4550 (aec-mlb-kc-col-2026-08-02); model edge vs ask +0.1451.</t>
        </is>
      </c>
      <c r="AF213" s="31" t="inlineStr">
        <is>
          <t>Learned model; shadow-qualified via operator override.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mlb-kc</t>
        </is>
      </c>
      <c r="AQ213" s="24" t="inlineStr">
        <is>
          <t>Kansas City Royals</t>
        </is>
      </c>
      <c r="AR213" s="24" t="inlineStr">
        <is>
          <t>Kansas City Royals</t>
        </is>
      </c>
      <c r="AS213" s="24" t="inlineStr">
        <is>
          <t>mlb-col</t>
        </is>
      </c>
      <c r="AT213" s="24" t="inlineStr">
        <is>
          <t>Colorado Rockies</t>
        </is>
      </c>
      <c r="AU213" s="24" t="inlineStr">
        <is>
          <t>Colorado Rockies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464eef695bfbbdaa819ec6f5e4c5bd1068ed20b92915fb2677220ae91e20d8b6</t>
        </is>
      </c>
      <c r="BB213" s="24" t="inlineStr">
        <is>
          <t>learned_lr</t>
        </is>
      </c>
      <c r="BC213" s="24" t="inlineStr">
        <is>
          <t>mlb-elo-trend-lr-v7</t>
        </is>
      </c>
      <c r="BD213" s="24" t="inlineStr">
        <is>
          <t>464eef695bfbbdaa819ec6f5e4c5bd1068ed20b92915fb2677220ae91e20d8b6</t>
        </is>
      </c>
      <c r="BE213" s="24" t="inlineStr">
        <is>
          <t>62dbe7754fcae735</t>
        </is>
      </c>
      <c r="BF213" s="24" t="inlineStr">
        <is>
          <t>1</t>
        </is>
      </c>
      <c r="BG213" s="24" t="inlineStr">
        <is>
          <t>mlb-elo-trend-lr-v7</t>
        </is>
      </c>
      <c r="BH213" s="24" t="inlineStr">
        <is>
          <t>2026-08-02T15:46:19.019436Z</t>
        </is>
      </c>
      <c r="BI213" s="24" t="inlineStr">
        <is>
          <t>["same_event","same_team_same_day","same_league_same_day"]</t>
        </is>
      </c>
      <c r="BJ213" s="25" t="n"/>
      <c r="BK213" s="26" t="n">
        <v>120</v>
      </c>
      <c r="BL213" s="27" t="n">
        <v>2.2</v>
      </c>
      <c r="BM213" s="28" t="n">
        <v>0.454545</v>
      </c>
      <c r="BN213" s="28" t="n">
        <v>0.452736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0.4463973804</t>
        </is>
      </c>
      <c r="CD213" s="24" t="inlineStr">
        <is>
          <t>1.55286</t>
        </is>
      </c>
      <c r="CE213" s="24" t="inlineStr">
        <is>
          <t>1.193</t>
        </is>
      </c>
      <c r="CF213" s="24" t="inlineStr">
        <is>
          <t>1.0315</t>
        </is>
      </c>
      <c r="CG213" s="24" t="inlineStr">
        <is>
          <t>1.4</t>
        </is>
      </c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inlineStr">
        <is>
          <t>True</t>
        </is>
      </c>
    </row>
    <row r="214" ht="36" customHeight="1">
      <c r="A214" s="24" t="inlineStr">
        <is>
          <t>c473fb55fcef4f21</t>
        </is>
      </c>
      <c r="B214" s="24" t="inlineStr">
        <is>
          <t>2026-08-02T15:47:12.114060Z</t>
        </is>
      </c>
      <c r="C214" s="24" t="inlineStr">
        <is>
          <t>2026-08-02T15:15:00-0400</t>
        </is>
      </c>
      <c r="D214" s="24" t="inlineStr">
        <is>
          <t>401816374</t>
        </is>
      </c>
      <c r="E214" s="24" t="inlineStr">
        <is>
          <t>MLB</t>
        </is>
      </c>
      <c r="F214" s="24" t="inlineStr">
        <is>
          <t>Milwaukee Brewers</t>
        </is>
      </c>
      <c r="G214" s="24" t="inlineStr">
        <is>
          <t>Los Angeles Angels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-217</v>
      </c>
      <c r="M214" s="27" t="n">
        <v>1.460829</v>
      </c>
      <c r="N214" s="28" t="n">
        <v>0.684543</v>
      </c>
      <c r="O214" s="28" t="n">
        <v>0.625622</v>
      </c>
      <c r="P214" s="28" t="n"/>
      <c r="Q214" s="28" t="n">
        <v>-0.058921</v>
      </c>
      <c r="R214" s="26" t="n">
        <v>0</v>
      </c>
      <c r="S214" s="29" t="n">
        <v>1.5</v>
      </c>
      <c r="T214" s="24" t="inlineStr">
        <is>
          <t>mlb-elo-trend-lr-v7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Learned LR call at threshold 0.6242; executable ask 0.6850 (aec-mlb-mil-laa-2026-08-02); model edge vs ask -0.0594.</t>
        </is>
      </c>
      <c r="AF214" s="31" t="inlineStr">
        <is>
          <t>Learned model; shadow-qualified via operator override.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mlb-mil</t>
        </is>
      </c>
      <c r="AQ214" s="24" t="inlineStr">
        <is>
          <t>Milwaukee Brewers</t>
        </is>
      </c>
      <c r="AR214" s="24" t="inlineStr">
        <is>
          <t>Milwaukee Brewers</t>
        </is>
      </c>
      <c r="AS214" s="24" t="inlineStr">
        <is>
          <t>mlb-laa</t>
        </is>
      </c>
      <c r="AT214" s="24" t="inlineStr">
        <is>
          <t>Los Angeles Angels</t>
        </is>
      </c>
      <c r="AU214" s="24" t="inlineStr">
        <is>
          <t>Los Angeles Angels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464eef695bfbbdaa819ec6f5e4c5bd1068ed20b92915fb2677220ae91e20d8b6</t>
        </is>
      </c>
      <c r="BB214" s="24" t="inlineStr">
        <is>
          <t>learned_lr</t>
        </is>
      </c>
      <c r="BC214" s="24" t="inlineStr">
        <is>
          <t>mlb-elo-trend-lr-v7</t>
        </is>
      </c>
      <c r="BD214" s="24" t="inlineStr">
        <is>
          <t>464eef695bfbbdaa819ec6f5e4c5bd1068ed20b92915fb2677220ae91e20d8b6</t>
        </is>
      </c>
      <c r="BE214" s="24" t="inlineStr">
        <is>
          <t>82a9ab0f1e6ef134</t>
        </is>
      </c>
      <c r="BF214" s="24" t="inlineStr">
        <is>
          <t>1</t>
        </is>
      </c>
      <c r="BG214" s="24" t="inlineStr">
        <is>
          <t>mlb-elo-trend-lr-v7</t>
        </is>
      </c>
      <c r="BH214" s="24" t="inlineStr">
        <is>
          <t>2026-08-02T15:46:19.636487Z</t>
        </is>
      </c>
      <c r="BI214" s="24" t="inlineStr">
        <is>
          <t>["same_event","same_team_same_day","same_league_same_day"]</t>
        </is>
      </c>
      <c r="BJ214" s="25" t="n"/>
      <c r="BK214" s="26" t="n">
        <v>-217</v>
      </c>
      <c r="BL214" s="27" t="n">
        <v>1.460829</v>
      </c>
      <c r="BM214" s="28" t="n">
        <v>0.684543</v>
      </c>
      <c r="BN214" s="28" t="n">
        <v>0.681592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0.3268450055</t>
        </is>
      </c>
      <c r="CD214" s="24" t="inlineStr">
        <is>
          <t>-0.59379</t>
        </is>
      </c>
      <c r="CE214" s="24" t="inlineStr">
        <is>
          <t>1.01</t>
        </is>
      </c>
      <c r="CF214" s="24" t="inlineStr">
        <is>
          <t>1.0178</t>
        </is>
      </c>
      <c r="CG214" s="24" t="inlineStr">
        <is>
          <t>0.2</t>
        </is>
      </c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inlineStr">
        <is>
          <t>False</t>
        </is>
      </c>
    </row>
    <row r="215" ht="36" customHeight="1">
      <c r="A215" s="24" t="inlineStr">
        <is>
          <t>042fd4dcf6fb43a6</t>
        </is>
      </c>
      <c r="B215" s="24" t="inlineStr">
        <is>
          <t>2026-08-02T15:47:12.114060Z</t>
        </is>
      </c>
      <c r="C215" s="24" t="inlineStr">
        <is>
          <t>2026-08-02T16:05:00-0400</t>
        </is>
      </c>
      <c r="D215" s="24" t="inlineStr">
        <is>
          <t>401816373</t>
        </is>
      </c>
      <c r="E215" s="24" t="inlineStr">
        <is>
          <t>MLB</t>
        </is>
      </c>
      <c r="F215" s="24" t="inlineStr">
        <is>
          <t>Detroit Tigers</t>
        </is>
      </c>
      <c r="G215" s="24" t="inlineStr">
        <is>
          <t>Athletics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-108</v>
      </c>
      <c r="M215" s="27" t="n">
        <v>1.925926</v>
      </c>
      <c r="N215" s="28" t="n">
        <v>0.519231</v>
      </c>
      <c r="O215" s="28" t="n">
        <v>0.559409</v>
      </c>
      <c r="P215" s="28" t="n"/>
      <c r="Q215" s="28" t="n">
        <v>0.040178</v>
      </c>
      <c r="R215" s="26" t="n">
        <v>41</v>
      </c>
      <c r="S215" s="29" t="n">
        <v>1</v>
      </c>
      <c r="T215" s="24" t="inlineStr">
        <is>
          <t>mlb-elo-trend-lr-v7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Learned LR call at threshold 0.6242; executable ask 0.5200 (aec-mlb-det-ath-2026-08-02); model edge vs ask +0.0394.</t>
        </is>
      </c>
      <c r="AF215" s="31" t="inlineStr">
        <is>
          <t>Learned model; shadow-qualified via operator override.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mlb-det</t>
        </is>
      </c>
      <c r="AQ215" s="24" t="inlineStr">
        <is>
          <t>Detroit Tigers</t>
        </is>
      </c>
      <c r="AR215" s="24" t="inlineStr">
        <is>
          <t>Detroit Tigers</t>
        </is>
      </c>
      <c r="AS215" s="24" t="inlineStr">
        <is>
          <t>mlb-ath</t>
        </is>
      </c>
      <c r="AT215" s="24" t="inlineStr">
        <is>
          <t>Athletics</t>
        </is>
      </c>
      <c r="AU215" s="24" t="inlineStr">
        <is>
          <t>Athletics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464eef695bfbbdaa819ec6f5e4c5bd1068ed20b92915fb2677220ae91e20d8b6</t>
        </is>
      </c>
      <c r="BB215" s="24" t="inlineStr">
        <is>
          <t>learned_lr</t>
        </is>
      </c>
      <c r="BC215" s="24" t="inlineStr">
        <is>
          <t>mlb-elo-trend-lr-v7</t>
        </is>
      </c>
      <c r="BD215" s="24" t="inlineStr">
        <is>
          <t>464eef695bfbbdaa819ec6f5e4c5bd1068ed20b92915fb2677220ae91e20d8b6</t>
        </is>
      </c>
      <c r="BE215" s="24" t="inlineStr">
        <is>
          <t>4c763ac6e835dcdb</t>
        </is>
      </c>
      <c r="BF215" s="24" t="inlineStr">
        <is>
          <t>1</t>
        </is>
      </c>
      <c r="BG215" s="24" t="inlineStr">
        <is>
          <t>mlb-elo-trend-lr-v7</t>
        </is>
      </c>
      <c r="BH215" s="24" t="inlineStr">
        <is>
          <t>2026-08-02T15:46:20.858339Z</t>
        </is>
      </c>
      <c r="BI215" s="24" t="inlineStr">
        <is>
          <t>["same_event","same_team_same_day","same_league_same_day"]</t>
        </is>
      </c>
      <c r="BJ215" s="25" t="n"/>
      <c r="BK215" s="26" t="n">
        <v>-108</v>
      </c>
      <c r="BL215" s="27" t="n">
        <v>1.925926</v>
      </c>
      <c r="BM215" s="28" t="n">
        <v>0.519231</v>
      </c>
      <c r="BN215" s="28" t="n">
        <v>0.517413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inlineStr">
        <is>
          <t>0.4182489247</t>
        </is>
      </c>
      <c r="CD215" s="24" t="inlineStr">
        <is>
          <t>-3.449013</t>
        </is>
      </c>
      <c r="CE215" s="24" t="inlineStr">
        <is>
          <t>1.153</t>
        </is>
      </c>
      <c r="CF215" s="24" t="inlineStr">
        <is>
          <t>1.0282</t>
        </is>
      </c>
      <c r="CG215" s="24" t="inlineStr">
        <is>
          <t>1.0</t>
        </is>
      </c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inlineStr">
        <is>
          <t>True</t>
        </is>
      </c>
    </row>
    <row r="216" ht="36" customHeight="1">
      <c r="A216" s="24" t="inlineStr">
        <is>
          <t>1c7b80d6b5934185</t>
        </is>
      </c>
      <c r="B216" s="24" t="inlineStr">
        <is>
          <t>2026-08-02T15:47:12.114060Z</t>
        </is>
      </c>
      <c r="C216" s="24" t="inlineStr">
        <is>
          <t>2026-08-02T16:10:00-0400</t>
        </is>
      </c>
      <c r="D216" s="24" t="inlineStr">
        <is>
          <t>401816375</t>
        </is>
      </c>
      <c r="E216" s="24" t="inlineStr">
        <is>
          <t>MLB</t>
        </is>
      </c>
      <c r="F216" s="24" t="inlineStr">
        <is>
          <t>Minnesota Twins</t>
        </is>
      </c>
      <c r="G216" s="24" t="inlineStr">
        <is>
          <t>Seattle Mariners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-127</v>
      </c>
      <c r="M216" s="27" t="n">
        <v>1.787402</v>
      </c>
      <c r="N216" s="28" t="n">
        <v>0.5594710000000001</v>
      </c>
      <c r="O216" s="28" t="n">
        <v>0.596425</v>
      </c>
      <c r="P216" s="28" t="n"/>
      <c r="Q216" s="28" t="n">
        <v>0.036954</v>
      </c>
      <c r="R216" s="26" t="n">
        <v>40</v>
      </c>
      <c r="S216" s="29" t="n">
        <v>1.25</v>
      </c>
      <c r="T216" s="24" t="inlineStr">
        <is>
          <t>mlb-elo-trend-lr-v7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Learned LR call at threshold 0.6242; executable ask 0.5600 (aec-mlb-min-sea-2026-08-02); model edge vs ask +0.0364.</t>
        </is>
      </c>
      <c r="AF216" s="31" t="inlineStr">
        <is>
          <t>Learned model; shadow-qualified via operator override.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mlb-min</t>
        </is>
      </c>
      <c r="AQ216" s="24" t="inlineStr">
        <is>
          <t>Minnesota Twins</t>
        </is>
      </c>
      <c r="AR216" s="24" t="inlineStr">
        <is>
          <t>Minnesota Twins</t>
        </is>
      </c>
      <c r="AS216" s="24" t="inlineStr">
        <is>
          <t>mlb-sea</t>
        </is>
      </c>
      <c r="AT216" s="24" t="inlineStr">
        <is>
          <t>Seattle Mariners</t>
        </is>
      </c>
      <c r="AU216" s="24" t="inlineStr">
        <is>
          <t>Seattle Mariners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464eef695bfbbdaa819ec6f5e4c5bd1068ed20b92915fb2677220ae91e20d8b6</t>
        </is>
      </c>
      <c r="BB216" s="24" t="inlineStr">
        <is>
          <t>learned_lr</t>
        </is>
      </c>
      <c r="BC216" s="24" t="inlineStr">
        <is>
          <t>mlb-elo-trend-lr-v7</t>
        </is>
      </c>
      <c r="BD216" s="24" t="inlineStr">
        <is>
          <t>464eef695bfbbdaa819ec6f5e4c5bd1068ed20b92915fb2677220ae91e20d8b6</t>
        </is>
      </c>
      <c r="BE216" s="24" t="inlineStr">
        <is>
          <t>e58bfb84888a3f7a</t>
        </is>
      </c>
      <c r="BF216" s="24" t="inlineStr">
        <is>
          <t>1</t>
        </is>
      </c>
      <c r="BG216" s="24" t="inlineStr">
        <is>
          <t>mlb-elo-trend-lr-v7</t>
        </is>
      </c>
      <c r="BH216" s="24" t="inlineStr">
        <is>
          <t>2026-08-02T15:46:22.683047Z</t>
        </is>
      </c>
      <c r="BI216" s="24" t="inlineStr">
        <is>
          <t>["same_event","same_team_same_day","same_league_same_day"]</t>
        </is>
      </c>
      <c r="BJ216" s="25" t="n"/>
      <c r="BK216" s="26" t="n">
        <v>-127</v>
      </c>
      <c r="BL216" s="27" t="n">
        <v>1.787402</v>
      </c>
      <c r="BM216" s="28" t="n">
        <v>0.5594710000000001</v>
      </c>
      <c r="BN216" s="28" t="n">
        <v>0.557214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inlineStr">
        <is>
          <t>0.5819178739</t>
        </is>
      </c>
      <c r="CD216" s="24" t="inlineStr">
        <is>
          <t>0.703281</t>
        </is>
      </c>
      <c r="CE216" s="24" t="inlineStr">
        <is>
          <t>0.936</t>
        </is>
      </c>
      <c r="CF216" s="24" t="inlineStr">
        <is>
          <t>1.0</t>
        </is>
      </c>
      <c r="CG216" s="24" t="inlineStr">
        <is>
          <t>1.8</t>
        </is>
      </c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inlineStr">
        <is>
          <t>True</t>
        </is>
      </c>
    </row>
    <row r="217" ht="36" customHeight="1">
      <c r="A217" s="24" t="inlineStr">
        <is>
          <t>b3df946040bc4924</t>
        </is>
      </c>
      <c r="B217" s="24" t="inlineStr">
        <is>
          <t>2026-08-02T15:47:12.114060Z</t>
        </is>
      </c>
      <c r="C217" s="24" t="inlineStr">
        <is>
          <t>2026-08-02T16:10:00-0400</t>
        </is>
      </c>
      <c r="D217" s="24" t="inlineStr">
        <is>
          <t>401816376</t>
        </is>
      </c>
      <c r="E217" s="24" t="inlineStr">
        <is>
          <t>MLB</t>
        </is>
      </c>
      <c r="F217" s="24" t="inlineStr">
        <is>
          <t>San Francisco Giants</t>
        </is>
      </c>
      <c r="G217" s="24" t="inlineStr">
        <is>
          <t>San Diego Padres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-138</v>
      </c>
      <c r="M217" s="27" t="n">
        <v>1.724638</v>
      </c>
      <c r="N217" s="28" t="n">
        <v>0.579832</v>
      </c>
      <c r="O217" s="28" t="n">
        <v>0.589154</v>
      </c>
      <c r="P217" s="28" t="n"/>
      <c r="Q217" s="28" t="n">
        <v>0.009322</v>
      </c>
      <c r="R217" s="26" t="n">
        <v>26</v>
      </c>
      <c r="S217" s="29" t="n">
        <v>1.25</v>
      </c>
      <c r="T217" s="24" t="inlineStr">
        <is>
          <t>mlb-elo-trend-lr-v7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Learned LR call at threshold 0.6242; executable ask 0.5800 (aec-mlb-sf-sd-2026-08-02); model edge vs ask +0.0092.</t>
        </is>
      </c>
      <c r="AF217" s="31" t="inlineStr">
        <is>
          <t>Learned model; shadow-qualified via operator override.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mlb-sf</t>
        </is>
      </c>
      <c r="AQ217" s="24" t="inlineStr">
        <is>
          <t>San Francisco Giants</t>
        </is>
      </c>
      <c r="AR217" s="24" t="inlineStr">
        <is>
          <t>San Francisco Giants</t>
        </is>
      </c>
      <c r="AS217" s="24" t="inlineStr">
        <is>
          <t>mlb-sd</t>
        </is>
      </c>
      <c r="AT217" s="24" t="inlineStr">
        <is>
          <t>San Diego Padres</t>
        </is>
      </c>
      <c r="AU217" s="24" t="inlineStr">
        <is>
          <t>San Diego Padres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464eef695bfbbdaa819ec6f5e4c5bd1068ed20b92915fb2677220ae91e20d8b6</t>
        </is>
      </c>
      <c r="BB217" s="24" t="inlineStr">
        <is>
          <t>learned_lr</t>
        </is>
      </c>
      <c r="BC217" s="24" t="inlineStr">
        <is>
          <t>mlb-elo-trend-lr-v7</t>
        </is>
      </c>
      <c r="BD217" s="24" t="inlineStr">
        <is>
          <t>464eef695bfbbdaa819ec6f5e4c5bd1068ed20b92915fb2677220ae91e20d8b6</t>
        </is>
      </c>
      <c r="BE217" s="24" t="inlineStr">
        <is>
          <t>be3929e3cfe65fa0</t>
        </is>
      </c>
      <c r="BF217" s="24" t="inlineStr">
        <is>
          <t>1</t>
        </is>
      </c>
      <c r="BG217" s="24" t="inlineStr">
        <is>
          <t>mlb-elo-trend-lr-v7</t>
        </is>
      </c>
      <c r="BH217" s="24" t="inlineStr">
        <is>
          <t>2026-08-02T15:46:21.851531Z</t>
        </is>
      </c>
      <c r="BI217" s="24" t="inlineStr">
        <is>
          <t>["same_event","same_team_same_day","same_league_same_day"]</t>
        </is>
      </c>
      <c r="BJ217" s="25" t="n"/>
      <c r="BK217" s="26" t="n">
        <v>-138</v>
      </c>
      <c r="BL217" s="27" t="n">
        <v>1.724638</v>
      </c>
      <c r="BM217" s="28" t="n">
        <v>0.579832</v>
      </c>
      <c r="BN217" s="28" t="n">
        <v>0.577114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inlineStr">
        <is>
          <t>0.5952401601</t>
        </is>
      </c>
      <c r="CD217" s="24" t="inlineStr">
        <is>
          <t>0.046644</t>
        </is>
      </c>
      <c r="CE217" s="24" t="inlineStr">
        <is>
          <t>0.945</t>
        </is>
      </c>
      <c r="CF217" s="24" t="inlineStr">
        <is>
          <t>1.0095</t>
        </is>
      </c>
      <c r="CG217" s="24" t="inlineStr">
        <is>
          <t>-1.6</t>
        </is>
      </c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inlineStr">
        <is>
          <t>True</t>
        </is>
      </c>
    </row>
    <row r="218" ht="36" customHeight="1">
      <c r="A218" s="24" t="inlineStr">
        <is>
          <t>630737eba14d4421</t>
        </is>
      </c>
      <c r="B218" s="24" t="inlineStr">
        <is>
          <t>2026-08-02T15:47:12.114060Z</t>
        </is>
      </c>
      <c r="C218" s="24" t="inlineStr">
        <is>
          <t>2026-08-02T19:20:00-0400</t>
        </is>
      </c>
      <c r="D218" s="24" t="inlineStr">
        <is>
          <t>401816372</t>
        </is>
      </c>
      <c r="E218" s="24" t="inlineStr">
        <is>
          <t>MLB</t>
        </is>
      </c>
      <c r="F218" s="24" t="inlineStr">
        <is>
          <t>Boston Red Sox</t>
        </is>
      </c>
      <c r="G218" s="24" t="inlineStr">
        <is>
          <t>Los Angeles Dodgers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-167</v>
      </c>
      <c r="M218" s="27" t="n">
        <v>1.598802</v>
      </c>
      <c r="N218" s="28" t="n">
        <v>0.625468</v>
      </c>
      <c r="O218" s="28" t="n">
        <v>0.559397</v>
      </c>
      <c r="P218" s="28" t="n"/>
      <c r="Q218" s="28" t="n">
        <v>-0.066071</v>
      </c>
      <c r="R218" s="26" t="n">
        <v>0</v>
      </c>
      <c r="S218" s="29" t="n">
        <v>1</v>
      </c>
      <c r="T218" s="24" t="inlineStr">
        <is>
          <t>mlb-elo-trend-lr-v7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Learned LR call at threshold 0.6242; executable ask 0.6250 (aec-mlb-bos-lad-2026-08-02); model edge vs ask -0.0656.</t>
        </is>
      </c>
      <c r="AF218" s="31" t="inlineStr">
        <is>
          <t>Learned model; shadow-qualified via operator override.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mlb-bos</t>
        </is>
      </c>
      <c r="AQ218" s="24" t="inlineStr">
        <is>
          <t>Boston Red Sox</t>
        </is>
      </c>
      <c r="AR218" s="24" t="inlineStr">
        <is>
          <t>Boston Red Sox</t>
        </is>
      </c>
      <c r="AS218" s="24" t="inlineStr">
        <is>
          <t>mlb-lad</t>
        </is>
      </c>
      <c r="AT218" s="24" t="inlineStr">
        <is>
          <t>Los Angeles Dodgers</t>
        </is>
      </c>
      <c r="AU218" s="24" t="inlineStr">
        <is>
          <t>Los Angeles Dodgers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464eef695bfbbdaa819ec6f5e4c5bd1068ed20b92915fb2677220ae91e20d8b6</t>
        </is>
      </c>
      <c r="BB218" s="24" t="inlineStr">
        <is>
          <t>learned_lr</t>
        </is>
      </c>
      <c r="BC218" s="24" t="inlineStr">
        <is>
          <t>mlb-elo-trend-lr-v7</t>
        </is>
      </c>
      <c r="BD218" s="24" t="inlineStr">
        <is>
          <t>464eef695bfbbdaa819ec6f5e4c5bd1068ed20b92915fb2677220ae91e20d8b6</t>
        </is>
      </c>
      <c r="BE218" s="24" t="inlineStr">
        <is>
          <t>8ffc7cccca1bf73e</t>
        </is>
      </c>
      <c r="BF218" s="24" t="inlineStr">
        <is>
          <t>1</t>
        </is>
      </c>
      <c r="BG218" s="24" t="inlineStr">
        <is>
          <t>mlb-elo-trend-lr-v7</t>
        </is>
      </c>
      <c r="BH218" s="24" t="inlineStr">
        <is>
          <t>2026-08-02T15:46:23.855093Z</t>
        </is>
      </c>
      <c r="BI218" s="24" t="inlineStr">
        <is>
          <t>["same_event","same_team_same_day","same_league_same_day"]</t>
        </is>
      </c>
      <c r="BJ218" s="25" t="n"/>
      <c r="BK218" s="26" t="n">
        <v>-167</v>
      </c>
      <c r="BL218" s="27" t="n">
        <v>1.598802</v>
      </c>
      <c r="BM218" s="28" t="n">
        <v>0.625468</v>
      </c>
      <c r="BN218" s="28" t="n">
        <v>0.621891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inlineStr">
        <is>
          <t>0.5465616607</t>
        </is>
      </c>
      <c r="CD218" s="24" t="inlineStr">
        <is>
          <t>-0.812713</t>
        </is>
      </c>
      <c r="CE218" s="24" t="inlineStr">
        <is>
          <t>1.026</t>
        </is>
      </c>
      <c r="CF218" s="24" t="inlineStr">
        <is>
          <t>1.0169</t>
        </is>
      </c>
      <c r="CG218" s="24" t="inlineStr">
        <is>
          <t>2.6</t>
        </is>
      </c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inlineStr">
        <is>
          <t>False</t>
        </is>
      </c>
    </row>
    <row r="219" ht="36" customHeight="1">
      <c r="A219" s="24" t="inlineStr">
        <is>
          <t>f3c81ef4997c4a62</t>
        </is>
      </c>
      <c r="B219" s="24" t="inlineStr">
        <is>
          <t>2026-08-02T15:47:52.139141Z</t>
        </is>
      </c>
      <c r="C219" s="24" t="inlineStr">
        <is>
          <t>2026-08-02T17:35Z</t>
        </is>
      </c>
      <c r="D219" s="24" t="inlineStr">
        <is>
          <t>401816365</t>
        </is>
      </c>
      <c r="E219" s="24" t="inlineStr">
        <is>
          <t>MLB</t>
        </is>
      </c>
      <c r="F219" s="24" t="inlineStr">
        <is>
          <t>Philadelphia Phillies</t>
        </is>
      </c>
      <c r="G219" s="24" t="inlineStr">
        <is>
          <t>Baltimore Orioles</t>
        </is>
      </c>
      <c r="H219" s="24" t="inlineStr">
        <is>
          <t>spread</t>
        </is>
      </c>
      <c r="I219" s="24" t="inlineStr">
        <is>
          <t>home</t>
        </is>
      </c>
      <c r="J219" s="25" t="n">
        <v>1.5</v>
      </c>
      <c r="K219" s="24" t="inlineStr">
        <is>
          <t>polymarket_us</t>
        </is>
      </c>
      <c r="L219" s="26" t="n">
        <v>-135</v>
      </c>
      <c r="M219" s="27" t="n">
        <v>1.740741</v>
      </c>
      <c r="N219" s="28" t="n">
        <v>0.574468</v>
      </c>
      <c r="O219" s="28" t="n">
        <v>0.610603</v>
      </c>
      <c r="P219" s="28" t="n">
        <v>0.042131</v>
      </c>
      <c r="Q219" s="28" t="n">
        <v>0.036135</v>
      </c>
      <c r="R219" s="26" t="n">
        <v>44</v>
      </c>
      <c r="S219" s="29" t="n">
        <v>1.5</v>
      </c>
      <c r="T219" s="24" t="inlineStr">
        <is>
          <t>measured-edge-margin-v2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Measured Edge Margin: Trend Engine projected 4.52-4.52; raw selected-side p=0.6685, calibrated p=0.6106.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mlb-phi</t>
        </is>
      </c>
      <c r="AQ219" s="24" t="inlineStr">
        <is>
          <t>Philadelphia Phillies</t>
        </is>
      </c>
      <c r="AR219" s="24" t="inlineStr">
        <is>
          <t>Philadelphia Phillies</t>
        </is>
      </c>
      <c r="AS219" s="24" t="inlineStr">
        <is>
          <t>mlb-bal</t>
        </is>
      </c>
      <c r="AT219" s="24" t="inlineStr">
        <is>
          <t>Baltimore Orioles</t>
        </is>
      </c>
      <c r="AU219" s="24" t="inlineStr">
        <is>
          <t>Baltimore Orioles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8360b122264b796b0fb193095cfe4506c7e064e5f3f8c0a659aec41efd08dd25</t>
        </is>
      </c>
      <c r="BB219" s="24" t="inlineStr">
        <is>
          <t>flat_probability_shrinkage_toward_half</t>
        </is>
      </c>
      <c r="BC219" s="24" t="inlineStr">
        <is>
          <t>measured-edge-margin-v2</t>
        </is>
      </c>
      <c r="BD219" s="24" t="inlineStr">
        <is>
          <t>8360b122264b796b0fb193095cfe4506c7e064e5f3f8c0a659aec41efd08dd25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2026-08-02T15:47:52.139141Z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-135</v>
      </c>
      <c r="BL219" s="27" t="n">
        <v>1.740741</v>
      </c>
      <c r="BM219" s="28" t="n">
        <v>0.574468</v>
      </c>
      <c r="BN219" s="28" t="n">
        <v>0.572139</v>
      </c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inlineStr">
        <is>
          <t>True</t>
        </is>
      </c>
    </row>
    <row r="220" ht="36" customHeight="1">
      <c r="A220" s="24" t="inlineStr">
        <is>
          <t>6ad576e37be34e84</t>
        </is>
      </c>
      <c r="B220" s="24" t="inlineStr">
        <is>
          <t>2026-08-02T15:47:52.139141Z</t>
        </is>
      </c>
      <c r="C220" s="24" t="inlineStr">
        <is>
          <t>2026-08-02T17:35Z</t>
        </is>
      </c>
      <c r="D220" s="24" t="inlineStr">
        <is>
          <t>401816365</t>
        </is>
      </c>
      <c r="E220" s="24" t="inlineStr">
        <is>
          <t>MLB</t>
        </is>
      </c>
      <c r="F220" s="24" t="inlineStr">
        <is>
          <t>Philadelphia Phillies</t>
        </is>
      </c>
      <c r="G220" s="24" t="inlineStr">
        <is>
          <t>Baltimore Orioles</t>
        </is>
      </c>
      <c r="H220" s="24" t="inlineStr">
        <is>
          <t>total</t>
        </is>
      </c>
      <c r="I220" s="24" t="inlineStr">
        <is>
          <t>over</t>
        </is>
      </c>
      <c r="J220" s="25" t="n">
        <v>7.5</v>
      </c>
      <c r="K220" s="24" t="inlineStr">
        <is>
          <t>polymarket_us</t>
        </is>
      </c>
      <c r="L220" s="26" t="n">
        <v>-115</v>
      </c>
      <c r="M220" s="27" t="n">
        <v>1.869565</v>
      </c>
      <c r="N220" s="28" t="n">
        <v>0.534884</v>
      </c>
      <c r="O220" s="28" t="n">
        <v>0.539814</v>
      </c>
      <c r="P220" s="28" t="n">
        <v>0.042131</v>
      </c>
      <c r="Q220" s="28" t="n">
        <v>0.00493</v>
      </c>
      <c r="R220" s="26" t="n">
        <v>28</v>
      </c>
      <c r="S220" s="29" t="n">
        <v>1</v>
      </c>
      <c r="T220" s="24" t="inlineStr">
        <is>
          <t>measured-edge-totals-v2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Measured Edge Totals: Trend Engine projected 4.52-4.52; raw selected-side p=0.5933, calibrated p=0.5398.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3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mlb-phi</t>
        </is>
      </c>
      <c r="AQ220" s="24" t="inlineStr">
        <is>
          <t>Philadelphia Phillies</t>
        </is>
      </c>
      <c r="AR220" s="24" t="inlineStr">
        <is>
          <t>Philadelphia Phillies</t>
        </is>
      </c>
      <c r="AS220" s="24" t="inlineStr">
        <is>
          <t>mlb-bal</t>
        </is>
      </c>
      <c r="AT220" s="24" t="inlineStr">
        <is>
          <t>Baltimore Orioles</t>
        </is>
      </c>
      <c r="AU220" s="24" t="inlineStr">
        <is>
          <t>Baltimore Orioles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433578016242b27f9c1c7132cc6b5a2bcc7dd1b0234590c12a944455a88e71bd</t>
        </is>
      </c>
      <c r="BB220" s="24" t="inlineStr">
        <is>
          <t>flat_probability_shrinkage_toward_half</t>
        </is>
      </c>
      <c r="BC220" s="24" t="inlineStr">
        <is>
          <t>measured-edge-totals-v2</t>
        </is>
      </c>
      <c r="BD220" s="24" t="inlineStr">
        <is>
          <t>433578016242b27f9c1c7132cc6b5a2bcc7dd1b0234590c12a944455a88e71bd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2026-08-02T15:47:52.139141Z</t>
        </is>
      </c>
      <c r="BI220" s="24" t="inlineStr">
        <is>
          <t>["same_event","same_team_same_day","same_league_same_day"]</t>
        </is>
      </c>
      <c r="BJ220" s="25" t="n">
        <v>7.5</v>
      </c>
      <c r="BK220" s="26" t="n">
        <v>-115</v>
      </c>
      <c r="BL220" s="27" t="n">
        <v>1.869565</v>
      </c>
      <c r="BM220" s="28" t="n">
        <v>0.534884</v>
      </c>
      <c r="BN220" s="28" t="n">
        <v>0.532338</v>
      </c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inlineStr">
        <is>
          <t>True</t>
        </is>
      </c>
    </row>
    <row r="221" ht="36" customHeight="1">
      <c r="A221" s="24" t="inlineStr">
        <is>
          <t>2a926b12451d427e</t>
        </is>
      </c>
      <c r="B221" s="24" t="inlineStr">
        <is>
          <t>2026-08-02T15:47:52.139141Z</t>
        </is>
      </c>
      <c r="C221" s="24" t="inlineStr">
        <is>
          <t>2026-08-02T17:35Z</t>
        </is>
      </c>
      <c r="D221" s="24" t="inlineStr">
        <is>
          <t>401816368</t>
        </is>
      </c>
      <c r="E221" s="24" t="inlineStr">
        <is>
          <t>MLB</t>
        </is>
      </c>
      <c r="F221" s="24" t="inlineStr">
        <is>
          <t>Washington Nationals</t>
        </is>
      </c>
      <c r="G221" s="24" t="inlineStr">
        <is>
          <t>Atlanta Braves</t>
        </is>
      </c>
      <c r="H221" s="24" t="inlineStr">
        <is>
          <t>spread</t>
        </is>
      </c>
      <c r="I221" s="24" t="inlineStr">
        <is>
          <t>home</t>
        </is>
      </c>
      <c r="J221" s="25" t="n">
        <v>1.5</v>
      </c>
      <c r="K221" s="24" t="inlineStr">
        <is>
          <t>polymarket_us</t>
        </is>
      </c>
      <c r="L221" s="26" t="n">
        <v>-182</v>
      </c>
      <c r="M221" s="27" t="n">
        <v>1.549451</v>
      </c>
      <c r="N221" s="28" t="n">
        <v>0.64539</v>
      </c>
      <c r="O221" s="28" t="n">
        <v>0.615819</v>
      </c>
      <c r="P221" s="28" t="n">
        <v>0.042131</v>
      </c>
      <c r="Q221" s="28" t="n">
        <v>-0.029571</v>
      </c>
      <c r="R221" s="26" t="n">
        <v>12</v>
      </c>
      <c r="S221" s="29" t="n">
        <v>1.5</v>
      </c>
      <c r="T221" s="24" t="inlineStr">
        <is>
          <t>measured-edge-margin-v2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Measured Edge Margin: Trend Engine projected 4.45-4.46; raw selected-side p=0.6764, calibrated p=0.6158.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mlb-wsh</t>
        </is>
      </c>
      <c r="AQ221" s="24" t="inlineStr">
        <is>
          <t>Washington Nationals</t>
        </is>
      </c>
      <c r="AR221" s="24" t="inlineStr">
        <is>
          <t>Washington Nationals</t>
        </is>
      </c>
      <c r="AS221" s="24" t="inlineStr">
        <is>
          <t>mlb-atl</t>
        </is>
      </c>
      <c r="AT221" s="24" t="inlineStr">
        <is>
          <t>Atlanta Braves</t>
        </is>
      </c>
      <c r="AU221" s="24" t="inlineStr">
        <is>
          <t>Atlanta Braves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8360b122264b796b0fb193095cfe4506c7e064e5f3f8c0a659aec41efd08dd25</t>
        </is>
      </c>
      <c r="BB221" s="24" t="inlineStr">
        <is>
          <t>flat_probability_shrinkage_toward_half</t>
        </is>
      </c>
      <c r="BC221" s="24" t="inlineStr">
        <is>
          <t>measured-edge-margin-v2</t>
        </is>
      </c>
      <c r="BD221" s="24" t="inlineStr">
        <is>
          <t>8360b122264b796b0fb193095cfe4506c7e064e5f3f8c0a659aec41efd08dd25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2026-08-02T15:47:52.139141Z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-182</v>
      </c>
      <c r="BL221" s="27" t="n">
        <v>1.549451</v>
      </c>
      <c r="BM221" s="28" t="n">
        <v>0.64539</v>
      </c>
      <c r="BN221" s="28" t="n">
        <v>0.641791</v>
      </c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inlineStr">
        <is>
          <t>False</t>
        </is>
      </c>
    </row>
    <row r="222" ht="36" customHeight="1">
      <c r="A222" s="24" t="inlineStr">
        <is>
          <t>62f792236499468d</t>
        </is>
      </c>
      <c r="B222" s="24" t="inlineStr">
        <is>
          <t>2026-08-02T15:47:52.139141Z</t>
        </is>
      </c>
      <c r="C222" s="24" t="inlineStr">
        <is>
          <t>2026-08-02T17:35Z</t>
        </is>
      </c>
      <c r="D222" s="24" t="inlineStr">
        <is>
          <t>401816368</t>
        </is>
      </c>
      <c r="E222" s="24" t="inlineStr">
        <is>
          <t>MLB</t>
        </is>
      </c>
      <c r="F222" s="24" t="inlineStr">
        <is>
          <t>Washington Nationals</t>
        </is>
      </c>
      <c r="G222" s="24" t="inlineStr">
        <is>
          <t>Atlanta Braves</t>
        </is>
      </c>
      <c r="H222" s="24" t="inlineStr">
        <is>
          <t>total</t>
        </is>
      </c>
      <c r="I222" s="24" t="inlineStr">
        <is>
          <t>over</t>
        </is>
      </c>
      <c r="J222" s="25" t="n">
        <v>8.5</v>
      </c>
      <c r="K222" s="24" t="inlineStr">
        <is>
          <t>polymarket_us</t>
        </is>
      </c>
      <c r="L222" s="26" t="n">
        <v>-117</v>
      </c>
      <c r="M222" s="27" t="n">
        <v>1.854701</v>
      </c>
      <c r="N222" s="28" t="n">
        <v>0.539171</v>
      </c>
      <c r="O222" s="28" t="n">
        <v>0.509061</v>
      </c>
      <c r="P222" s="28" t="n">
        <v>0.042131</v>
      </c>
      <c r="Q222" s="28" t="n">
        <v>-0.03011</v>
      </c>
      <c r="R222" s="26" t="n">
        <v>11</v>
      </c>
      <c r="S222" s="29" t="n">
        <v>1</v>
      </c>
      <c r="T222" s="24" t="inlineStr">
        <is>
          <t>measured-edge-totals-v2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Measured Edge Totals: Trend Engine projected 4.45-4.46; raw selected-side p=0.5032, calibrated p=0.5091.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mlb-wsh</t>
        </is>
      </c>
      <c r="AQ222" s="24" t="inlineStr">
        <is>
          <t>Washington Nationals</t>
        </is>
      </c>
      <c r="AR222" s="24" t="inlineStr">
        <is>
          <t>Washington Nationals</t>
        </is>
      </c>
      <c r="AS222" s="24" t="inlineStr">
        <is>
          <t>mlb-atl</t>
        </is>
      </c>
      <c r="AT222" s="24" t="inlineStr">
        <is>
          <t>Atlanta Braves</t>
        </is>
      </c>
      <c r="AU222" s="24" t="inlineStr">
        <is>
          <t>Atlanta Braves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433578016242b27f9c1c7132cc6b5a2bcc7dd1b0234590c12a944455a88e71bd</t>
        </is>
      </c>
      <c r="BB222" s="24" t="inlineStr">
        <is>
          <t>flat_probability_shrinkage_toward_half</t>
        </is>
      </c>
      <c r="BC222" s="24" t="inlineStr">
        <is>
          <t>measured-edge-totals-v2</t>
        </is>
      </c>
      <c r="BD222" s="24" t="inlineStr">
        <is>
          <t>433578016242b27f9c1c7132cc6b5a2bcc7dd1b0234590c12a944455a88e71bd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2026-08-02T15:47:52.139141Z</t>
        </is>
      </c>
      <c r="BI222" s="24" t="inlineStr">
        <is>
          <t>["same_event","same_team_same_day","same_league_same_day"]</t>
        </is>
      </c>
      <c r="BJ222" s="25" t="n">
        <v>8.5</v>
      </c>
      <c r="BK222" s="26" t="n">
        <v>-117</v>
      </c>
      <c r="BL222" s="27" t="n">
        <v>1.854701</v>
      </c>
      <c r="BM222" s="28" t="n">
        <v>0.539171</v>
      </c>
      <c r="BN222" s="28" t="n">
        <v>0.537313</v>
      </c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inlineStr">
        <is>
          <t>False</t>
        </is>
      </c>
    </row>
    <row r="223" ht="36" customHeight="1">
      <c r="A223" s="24" t="inlineStr">
        <is>
          <t>90c01bb23f9143f3</t>
        </is>
      </c>
      <c r="B223" s="24" t="inlineStr">
        <is>
          <t>2026-08-02T15:47:52.139141Z</t>
        </is>
      </c>
      <c r="C223" s="24" t="inlineStr">
        <is>
          <t>2026-08-02T17:37Z</t>
        </is>
      </c>
      <c r="D223" s="24" t="inlineStr">
        <is>
          <t>401816367</t>
        </is>
      </c>
      <c r="E223" s="24" t="inlineStr">
        <is>
          <t>MLB</t>
        </is>
      </c>
      <c r="F223" s="24" t="inlineStr">
        <is>
          <t>St. Louis Cardinals</t>
        </is>
      </c>
      <c r="G223" s="24" t="inlineStr">
        <is>
          <t>Toronto Blue Jays</t>
        </is>
      </c>
      <c r="H223" s="24" t="inlineStr">
        <is>
          <t>spread</t>
        </is>
      </c>
      <c r="I223" s="24" t="inlineStr">
        <is>
          <t>away</t>
        </is>
      </c>
      <c r="J223" s="25" t="n">
        <v>1.5</v>
      </c>
      <c r="K223" s="24" t="inlineStr">
        <is>
          <t>polymarket_us</t>
        </is>
      </c>
      <c r="L223" s="26" t="n">
        <v>-174</v>
      </c>
      <c r="M223" s="27" t="n">
        <v>1.574713</v>
      </c>
      <c r="N223" s="28" t="n">
        <v>0.635036</v>
      </c>
      <c r="O223" s="28" t="n">
        <v>0.626316</v>
      </c>
      <c r="P223" s="28" t="n">
        <v>0.05172</v>
      </c>
      <c r="Q223" s="28" t="n">
        <v>-0.00872</v>
      </c>
      <c r="R223" s="26" t="n">
        <v>16</v>
      </c>
      <c r="S223" s="29" t="n">
        <v>1.5</v>
      </c>
      <c r="T223" s="24" t="inlineStr">
        <is>
          <t>measured-edge-margin-v2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Measured Edge Margin: Trend Engine projected 5.24-4.85; raw selected-side p=0.6925, calibrated p=0.6263.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mlb-stl</t>
        </is>
      </c>
      <c r="AQ223" s="24" t="inlineStr">
        <is>
          <t>St. Louis Cardinals</t>
        </is>
      </c>
      <c r="AR223" s="24" t="inlineStr">
        <is>
          <t>St. Louis Cardinals</t>
        </is>
      </c>
      <c r="AS223" s="24" t="inlineStr">
        <is>
          <t>mlb-tor</t>
        </is>
      </c>
      <c r="AT223" s="24" t="inlineStr">
        <is>
          <t>Toronto Blue Jays</t>
        </is>
      </c>
      <c r="AU223" s="24" t="inlineStr">
        <is>
          <t>Toronto Blue Jays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8360b122264b796b0fb193095cfe4506c7e064e5f3f8c0a659aec41efd08dd25</t>
        </is>
      </c>
      <c r="BB223" s="24" t="inlineStr">
        <is>
          <t>flat_probability_shrinkage_toward_half</t>
        </is>
      </c>
      <c r="BC223" s="24" t="inlineStr">
        <is>
          <t>measured-edge-margin-v2</t>
        </is>
      </c>
      <c r="BD223" s="24" t="inlineStr">
        <is>
          <t>8360b122264b796b0fb193095cfe4506c7e064e5f3f8c0a659aec41efd08dd25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2026-08-02T15:47:52.139141Z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-174</v>
      </c>
      <c r="BL223" s="27" t="n">
        <v>1.574713</v>
      </c>
      <c r="BM223" s="28" t="n">
        <v>0.635036</v>
      </c>
      <c r="BN223" s="28" t="n">
        <v>0.631841</v>
      </c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inlineStr">
        <is>
          <t>False</t>
        </is>
      </c>
    </row>
    <row r="224" ht="36" customHeight="1">
      <c r="A224" s="24" t="inlineStr">
        <is>
          <t>63f448929cdd42ed</t>
        </is>
      </c>
      <c r="B224" s="24" t="inlineStr">
        <is>
          <t>2026-08-02T15:47:52.139141Z</t>
        </is>
      </c>
      <c r="C224" s="24" t="inlineStr">
        <is>
          <t>2026-08-02T17:37Z</t>
        </is>
      </c>
      <c r="D224" s="24" t="inlineStr">
        <is>
          <t>401816367</t>
        </is>
      </c>
      <c r="E224" s="24" t="inlineStr">
        <is>
          <t>MLB</t>
        </is>
      </c>
      <c r="F224" s="24" t="inlineStr">
        <is>
          <t>St. Louis Cardinals</t>
        </is>
      </c>
      <c r="G224" s="24" t="inlineStr">
        <is>
          <t>Toronto Blue Jays</t>
        </is>
      </c>
      <c r="H224" s="24" t="inlineStr">
        <is>
          <t>total</t>
        </is>
      </c>
      <c r="I224" s="24" t="inlineStr">
        <is>
          <t>over</t>
        </is>
      </c>
      <c r="J224" s="25" t="n">
        <v>8.5</v>
      </c>
      <c r="K224" s="24" t="inlineStr">
        <is>
          <t>polymarket_us</t>
        </is>
      </c>
      <c r="L224" s="26" t="n">
        <v>-113</v>
      </c>
      <c r="M224" s="27" t="n">
        <v>1.884956</v>
      </c>
      <c r="N224" s="28" t="n">
        <v>0.530516</v>
      </c>
      <c r="O224" s="28" t="n">
        <v>0.54376</v>
      </c>
      <c r="P224" s="28" t="n">
        <v>0.05172</v>
      </c>
      <c r="Q224" s="28" t="n">
        <v>0.013244</v>
      </c>
      <c r="R224" s="26" t="n">
        <v>27</v>
      </c>
      <c r="S224" s="29" t="n">
        <v>1</v>
      </c>
      <c r="T224" s="24" t="inlineStr">
        <is>
          <t>measured-edge-totals-v2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Measured Edge Totals: Trend Engine projected 5.24-4.85; raw selected-side p=0.6048, calibrated p=0.5438.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3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mlb-stl</t>
        </is>
      </c>
      <c r="AQ224" s="24" t="inlineStr">
        <is>
          <t>St. Louis Cardinals</t>
        </is>
      </c>
      <c r="AR224" s="24" t="inlineStr">
        <is>
          <t>St. Louis Cardinals</t>
        </is>
      </c>
      <c r="AS224" s="24" t="inlineStr">
        <is>
          <t>mlb-tor</t>
        </is>
      </c>
      <c r="AT224" s="24" t="inlineStr">
        <is>
          <t>Toronto Blue Jays</t>
        </is>
      </c>
      <c r="AU224" s="24" t="inlineStr">
        <is>
          <t>Toronto Blue Jays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433578016242b27f9c1c7132cc6b5a2bcc7dd1b0234590c12a944455a88e71bd</t>
        </is>
      </c>
      <c r="BB224" s="24" t="inlineStr">
        <is>
          <t>flat_probability_shrinkage_toward_half</t>
        </is>
      </c>
      <c r="BC224" s="24" t="inlineStr">
        <is>
          <t>measured-edge-totals-v2</t>
        </is>
      </c>
      <c r="BD224" s="24" t="inlineStr">
        <is>
          <t>433578016242b27f9c1c7132cc6b5a2bcc7dd1b0234590c12a944455a88e71bd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2026-08-02T15:47:52.139141Z</t>
        </is>
      </c>
      <c r="BI224" s="24" t="inlineStr">
        <is>
          <t>["same_event","same_team_same_day","same_league_same_day"]</t>
        </is>
      </c>
      <c r="BJ224" s="25" t="n">
        <v>8.5</v>
      </c>
      <c r="BK224" s="26" t="n">
        <v>-113</v>
      </c>
      <c r="BL224" s="27" t="n">
        <v>1.884956</v>
      </c>
      <c r="BM224" s="28" t="n">
        <v>0.530516</v>
      </c>
      <c r="BN224" s="28" t="n">
        <v>0.527363</v>
      </c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inlineStr">
        <is>
          <t>True</t>
        </is>
      </c>
    </row>
    <row r="225" ht="36" customHeight="1">
      <c r="A225" s="24" t="inlineStr">
        <is>
          <t>d232d7d1583a4a7f</t>
        </is>
      </c>
      <c r="B225" s="24" t="inlineStr">
        <is>
          <t>2026-08-02T15:47:52.139141Z</t>
        </is>
      </c>
      <c r="C225" s="24" t="inlineStr">
        <is>
          <t>2026-08-02T17:40Z</t>
        </is>
      </c>
      <c r="D225" s="24" t="inlineStr">
        <is>
          <t>401816362</t>
        </is>
      </c>
      <c r="E225" s="24" t="inlineStr">
        <is>
          <t>MLB</t>
        </is>
      </c>
      <c r="F225" s="24" t="inlineStr">
        <is>
          <t>Arizona Diamondbacks</t>
        </is>
      </c>
      <c r="G225" s="24" t="inlineStr">
        <is>
          <t>Cleveland Guardians</t>
        </is>
      </c>
      <c r="H225" s="24" t="inlineStr">
        <is>
          <t>spread</t>
        </is>
      </c>
      <c r="I225" s="24" t="inlineStr">
        <is>
          <t>away</t>
        </is>
      </c>
      <c r="J225" s="25" t="n">
        <v>1.5</v>
      </c>
      <c r="K225" s="24" t="inlineStr">
        <is>
          <t>polymarket_us</t>
        </is>
      </c>
      <c r="L225" s="26" t="n">
        <v>-138</v>
      </c>
      <c r="M225" s="27" t="n">
        <v>1.724638</v>
      </c>
      <c r="N225" s="28" t="n">
        <v>0.579832</v>
      </c>
      <c r="O225" s="28" t="n">
        <v>0.603943</v>
      </c>
      <c r="P225" s="28" t="n">
        <v>0.042131</v>
      </c>
      <c r="Q225" s="28" t="n">
        <v>0.024111</v>
      </c>
      <c r="R225" s="26" t="n">
        <v>38</v>
      </c>
      <c r="S225" s="29" t="n">
        <v>1.5</v>
      </c>
      <c r="T225" s="24" t="inlineStr">
        <is>
          <t>measured-edge-margin-v2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Measured Edge Margin: Trend Engine projected 4.39-4.52; raw selected-side p=0.6583, calibrated p=0.6039.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mlb-ari</t>
        </is>
      </c>
      <c r="AQ225" s="24" t="inlineStr">
        <is>
          <t>Arizona Diamondbacks</t>
        </is>
      </c>
      <c r="AR225" s="24" t="inlineStr">
        <is>
          <t>Arizona Diamondbacks</t>
        </is>
      </c>
      <c r="AS225" s="24" t="inlineStr">
        <is>
          <t>mlb-cle</t>
        </is>
      </c>
      <c r="AT225" s="24" t="inlineStr">
        <is>
          <t>Cleveland Guardians</t>
        </is>
      </c>
      <c r="AU225" s="24" t="inlineStr">
        <is>
          <t>Cleveland Guardians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8360b122264b796b0fb193095cfe4506c7e064e5f3f8c0a659aec41efd08dd25</t>
        </is>
      </c>
      <c r="BB225" s="24" t="inlineStr">
        <is>
          <t>flat_probability_shrinkage_toward_half</t>
        </is>
      </c>
      <c r="BC225" s="24" t="inlineStr">
        <is>
          <t>measured-edge-margin-v2</t>
        </is>
      </c>
      <c r="BD225" s="24" t="inlineStr">
        <is>
          <t>8360b122264b796b0fb193095cfe4506c7e064e5f3f8c0a659aec41efd08dd25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2026-08-02T15:47:52.139141Z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-138</v>
      </c>
      <c r="BL225" s="27" t="n">
        <v>1.724638</v>
      </c>
      <c r="BM225" s="28" t="n">
        <v>0.579832</v>
      </c>
      <c r="BN225" s="28" t="n">
        <v>0.577114</v>
      </c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inlineStr">
        <is>
          <t>True</t>
        </is>
      </c>
    </row>
    <row r="226" ht="36" customHeight="1">
      <c r="A226" s="24" t="inlineStr">
        <is>
          <t>8d6daf7c4a9d420b</t>
        </is>
      </c>
      <c r="B226" s="24" t="inlineStr">
        <is>
          <t>2026-08-02T15:47:52.139141Z</t>
        </is>
      </c>
      <c r="C226" s="24" t="inlineStr">
        <is>
          <t>2026-08-02T17:40Z</t>
        </is>
      </c>
      <c r="D226" s="24" t="inlineStr">
        <is>
          <t>401816362</t>
        </is>
      </c>
      <c r="E226" s="24" t="inlineStr">
        <is>
          <t>MLB</t>
        </is>
      </c>
      <c r="F226" s="24" t="inlineStr">
        <is>
          <t>Arizona Diamondbacks</t>
        </is>
      </c>
      <c r="G226" s="24" t="inlineStr">
        <is>
          <t>Cleveland Guardians</t>
        </is>
      </c>
      <c r="H226" s="24" t="inlineStr">
        <is>
          <t>total</t>
        </is>
      </c>
      <c r="I226" s="24" t="inlineStr">
        <is>
          <t>over</t>
        </is>
      </c>
      <c r="J226" s="25" t="n">
        <v>7.5</v>
      </c>
      <c r="K226" s="24" t="inlineStr">
        <is>
          <t>polymarket_us</t>
        </is>
      </c>
      <c r="L226" s="26" t="n">
        <v>-108</v>
      </c>
      <c r="M226" s="27" t="n">
        <v>1.925926</v>
      </c>
      <c r="N226" s="28" t="n">
        <v>0.519231</v>
      </c>
      <c r="O226" s="28" t="n">
        <v>0.5377459999999999</v>
      </c>
      <c r="P226" s="28" t="n">
        <v>0.042131</v>
      </c>
      <c r="Q226" s="28" t="n">
        <v>0.018515</v>
      </c>
      <c r="R226" s="26" t="n">
        <v>35</v>
      </c>
      <c r="S226" s="29" t="n">
        <v>1</v>
      </c>
      <c r="T226" s="24" t="inlineStr">
        <is>
          <t>measured-edge-totals-v2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Measured Edge Totals: Trend Engine projected 4.39-4.52; raw selected-side p=0.5872, calibrated p=0.5377.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mlb-ari</t>
        </is>
      </c>
      <c r="AQ226" s="24" t="inlineStr">
        <is>
          <t>Arizona Diamondbacks</t>
        </is>
      </c>
      <c r="AR226" s="24" t="inlineStr">
        <is>
          <t>Arizona Diamondbacks</t>
        </is>
      </c>
      <c r="AS226" s="24" t="inlineStr">
        <is>
          <t>mlb-cle</t>
        </is>
      </c>
      <c r="AT226" s="24" t="inlineStr">
        <is>
          <t>Cleveland Guardians</t>
        </is>
      </c>
      <c r="AU226" s="24" t="inlineStr">
        <is>
          <t>Cleveland Guardians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433578016242b27f9c1c7132cc6b5a2bcc7dd1b0234590c12a944455a88e71bd</t>
        </is>
      </c>
      <c r="BB226" s="24" t="inlineStr">
        <is>
          <t>flat_probability_shrinkage_toward_half</t>
        </is>
      </c>
      <c r="BC226" s="24" t="inlineStr">
        <is>
          <t>measured-edge-totals-v2</t>
        </is>
      </c>
      <c r="BD226" s="24" t="inlineStr">
        <is>
          <t>433578016242b27f9c1c7132cc6b5a2bcc7dd1b0234590c12a944455a88e71bd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2026-08-02T15:47:52.139141Z</t>
        </is>
      </c>
      <c r="BI226" s="24" t="inlineStr">
        <is>
          <t>["same_event","same_team_same_day","same_league_same_day"]</t>
        </is>
      </c>
      <c r="BJ226" s="25" t="n">
        <v>7.5</v>
      </c>
      <c r="BK226" s="26" t="n">
        <v>-108</v>
      </c>
      <c r="BL226" s="27" t="n">
        <v>1.925926</v>
      </c>
      <c r="BM226" s="28" t="n">
        <v>0.519231</v>
      </c>
      <c r="BN226" s="28" t="n">
        <v>0.517413</v>
      </c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inlineStr">
        <is>
          <t>True</t>
        </is>
      </c>
    </row>
    <row r="227" ht="36" customHeight="1">
      <c r="A227" s="24" t="inlineStr">
        <is>
          <t>0f659b2215d04398</t>
        </is>
      </c>
      <c r="B227" s="24" t="inlineStr">
        <is>
          <t>2026-08-02T15:47:52.139141Z</t>
        </is>
      </c>
      <c r="C227" s="24" t="inlineStr">
        <is>
          <t>2026-08-02T17:40Z</t>
        </is>
      </c>
      <c r="D227" s="24" t="inlineStr">
        <is>
          <t>401816363</t>
        </is>
      </c>
      <c r="E227" s="24" t="inlineStr">
        <is>
          <t>MLB</t>
        </is>
      </c>
      <c r="F227" s="24" t="inlineStr">
        <is>
          <t>Chicago White Sox</t>
        </is>
      </c>
      <c r="G227" s="24" t="inlineStr">
        <is>
          <t>Tampa Bay Rays</t>
        </is>
      </c>
      <c r="H227" s="24" t="inlineStr">
        <is>
          <t>spread</t>
        </is>
      </c>
      <c r="I227" s="24" t="inlineStr">
        <is>
          <t>away</t>
        </is>
      </c>
      <c r="J227" s="25" t="n">
        <v>1.5</v>
      </c>
      <c r="K227" s="24" t="inlineStr">
        <is>
          <t>polymarket_us</t>
        </is>
      </c>
      <c r="L227" s="26" t="n">
        <v>-156</v>
      </c>
      <c r="M227" s="27" t="n">
        <v>1.641026</v>
      </c>
      <c r="N227" s="28" t="n">
        <v>0.609375</v>
      </c>
      <c r="O227" s="28" t="n">
        <v>0.604764</v>
      </c>
      <c r="P227" s="28" t="n">
        <v>0.042131</v>
      </c>
      <c r="Q227" s="28" t="n">
        <v>-0.004611</v>
      </c>
      <c r="R227" s="26" t="n">
        <v>24</v>
      </c>
      <c r="S227" s="29" t="n">
        <v>1.5</v>
      </c>
      <c r="T227" s="24" t="inlineStr">
        <is>
          <t>measured-edge-margin-v2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Measured Edge Margin: Trend Engine projected 4.47-4.63; raw selected-side p=0.6596, calibrated p=0.6048.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mlb-cws</t>
        </is>
      </c>
      <c r="AQ227" s="24" t="inlineStr">
        <is>
          <t>Chicago White Sox</t>
        </is>
      </c>
      <c r="AR227" s="24" t="inlineStr">
        <is>
          <t>Chicago White Sox</t>
        </is>
      </c>
      <c r="AS227" s="24" t="inlineStr">
        <is>
          <t>mlb-tb</t>
        </is>
      </c>
      <c r="AT227" s="24" t="inlineStr">
        <is>
          <t>Tampa Bay Rays</t>
        </is>
      </c>
      <c r="AU227" s="24" t="inlineStr">
        <is>
          <t>Tampa Bay Rays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8360b122264b796b0fb193095cfe4506c7e064e5f3f8c0a659aec41efd08dd25</t>
        </is>
      </c>
      <c r="BB227" s="24" t="inlineStr">
        <is>
          <t>flat_probability_shrinkage_toward_half</t>
        </is>
      </c>
      <c r="BC227" s="24" t="inlineStr">
        <is>
          <t>measured-edge-margin-v2</t>
        </is>
      </c>
      <c r="BD227" s="24" t="inlineStr">
        <is>
          <t>8360b122264b796b0fb193095cfe4506c7e064e5f3f8c0a659aec41efd08dd25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2026-08-02T15:47:52.139141Z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-156</v>
      </c>
      <c r="BL227" s="27" t="n">
        <v>1.641026</v>
      </c>
      <c r="BM227" s="28" t="n">
        <v>0.609375</v>
      </c>
      <c r="BN227" s="28" t="n">
        <v>0.606965</v>
      </c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inlineStr">
        <is>
          <t>False</t>
        </is>
      </c>
    </row>
    <row r="228" ht="36" customHeight="1">
      <c r="A228" s="24" t="inlineStr">
        <is>
          <t>8a885be2cbea4db3</t>
        </is>
      </c>
      <c r="B228" s="24" t="inlineStr">
        <is>
          <t>2026-08-02T15:47:52.139141Z</t>
        </is>
      </c>
      <c r="C228" s="24" t="inlineStr">
        <is>
          <t>2026-08-02T17:40Z</t>
        </is>
      </c>
      <c r="D228" s="24" t="inlineStr">
        <is>
          <t>401816363</t>
        </is>
      </c>
      <c r="E228" s="24" t="inlineStr">
        <is>
          <t>MLB</t>
        </is>
      </c>
      <c r="F228" s="24" t="inlineStr">
        <is>
          <t>Chicago White Sox</t>
        </is>
      </c>
      <c r="G228" s="24" t="inlineStr">
        <is>
          <t>Tampa Bay Rays</t>
        </is>
      </c>
      <c r="H228" s="24" t="inlineStr">
        <is>
          <t>total</t>
        </is>
      </c>
      <c r="I228" s="24" t="inlineStr">
        <is>
          <t>over</t>
        </is>
      </c>
      <c r="J228" s="25" t="n">
        <v>7.5</v>
      </c>
      <c r="K228" s="24" t="inlineStr">
        <is>
          <t>polymarket_us</t>
        </is>
      </c>
      <c r="L228" s="26" t="n">
        <v>106</v>
      </c>
      <c r="M228" s="27" t="n">
        <v>2.06</v>
      </c>
      <c r="N228" s="28" t="n">
        <v>0.485437</v>
      </c>
      <c r="O228" s="28" t="n">
        <v>0.54171</v>
      </c>
      <c r="P228" s="28" t="n">
        <v>0.042131</v>
      </c>
      <c r="Q228" s="28" t="n">
        <v>0.056273</v>
      </c>
      <c r="R228" s="26" t="n">
        <v>54</v>
      </c>
      <c r="S228" s="29" t="n">
        <v>1</v>
      </c>
      <c r="T228" s="24" t="inlineStr">
        <is>
          <t>measured-edge-totals-v2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Measured Edge Totals: Trend Engine projected 4.47-4.63; raw selected-side p=0.5988, calibrated p=0.5417.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mlb-cws</t>
        </is>
      </c>
      <c r="AQ228" s="24" t="inlineStr">
        <is>
          <t>Chicago White Sox</t>
        </is>
      </c>
      <c r="AR228" s="24" t="inlineStr">
        <is>
          <t>Chicago White Sox</t>
        </is>
      </c>
      <c r="AS228" s="24" t="inlineStr">
        <is>
          <t>mlb-tb</t>
        </is>
      </c>
      <c r="AT228" s="24" t="inlineStr">
        <is>
          <t>Tampa Bay Rays</t>
        </is>
      </c>
      <c r="AU228" s="24" t="inlineStr">
        <is>
          <t>Tampa Bay Rays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433578016242b27f9c1c7132cc6b5a2bcc7dd1b0234590c12a944455a88e71bd</t>
        </is>
      </c>
      <c r="BB228" s="24" t="inlineStr">
        <is>
          <t>flat_probability_shrinkage_toward_half</t>
        </is>
      </c>
      <c r="BC228" s="24" t="inlineStr">
        <is>
          <t>measured-edge-totals-v2</t>
        </is>
      </c>
      <c r="BD228" s="24" t="inlineStr">
        <is>
          <t>433578016242b27f9c1c7132cc6b5a2bcc7dd1b0234590c12a944455a88e71bd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2026-08-02T15:47:52.139141Z</t>
        </is>
      </c>
      <c r="BI228" s="24" t="inlineStr">
        <is>
          <t>["same_event","same_team_same_day","same_league_same_day"]</t>
        </is>
      </c>
      <c r="BJ228" s="25" t="n">
        <v>7.5</v>
      </c>
      <c r="BK228" s="26" t="n">
        <v>106</v>
      </c>
      <c r="BL228" s="27" t="n">
        <v>2.06</v>
      </c>
      <c r="BM228" s="28" t="n">
        <v>0.485437</v>
      </c>
      <c r="BN228" s="28" t="n">
        <v>0.482587</v>
      </c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inlineStr">
        <is>
          <t>True</t>
        </is>
      </c>
    </row>
    <row r="229" ht="36" customHeight="1">
      <c r="A229" s="24" t="inlineStr">
        <is>
          <t>4ed6baee1fad4f6c</t>
        </is>
      </c>
      <c r="B229" s="24" t="inlineStr">
        <is>
          <t>2026-08-02T15:47:52.139141Z</t>
        </is>
      </c>
      <c r="C229" s="24" t="inlineStr">
        <is>
          <t>2026-08-02T17:40Z</t>
        </is>
      </c>
      <c r="D229" s="24" t="inlineStr">
        <is>
          <t>401816364</t>
        </is>
      </c>
      <c r="E229" s="24" t="inlineStr">
        <is>
          <t>MLB</t>
        </is>
      </c>
      <c r="F229" s="24" t="inlineStr">
        <is>
          <t>Miami Marlins</t>
        </is>
      </c>
      <c r="G229" s="24" t="inlineStr">
        <is>
          <t>New York Mets</t>
        </is>
      </c>
      <c r="H229" s="24" t="inlineStr">
        <is>
          <t>spread</t>
        </is>
      </c>
      <c r="I229" s="24" t="inlineStr">
        <is>
          <t>home</t>
        </is>
      </c>
      <c r="J229" s="25" t="n">
        <v>1.5</v>
      </c>
      <c r="K229" s="24" t="inlineStr">
        <is>
          <t>polymarket_us</t>
        </is>
      </c>
      <c r="L229" s="26" t="n">
        <v>-147</v>
      </c>
      <c r="M229" s="27" t="n">
        <v>1.680272</v>
      </c>
      <c r="N229" s="28" t="n">
        <v>0.5951419999999999</v>
      </c>
      <c r="O229" s="28" t="n">
        <v>0.609619</v>
      </c>
      <c r="P229" s="28" t="n">
        <v>0.05172</v>
      </c>
      <c r="Q229" s="28" t="n">
        <v>0.014477</v>
      </c>
      <c r="R229" s="26" t="n">
        <v>28</v>
      </c>
      <c r="S229" s="29" t="n">
        <v>1.5</v>
      </c>
      <c r="T229" s="24" t="inlineStr">
        <is>
          <t>measured-edge-margin-v2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Measured Edge Margin: Trend Engine projected 4.52-4.47; raw selected-side p=0.6670, calibrated p=0.6096.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mlb-mia</t>
        </is>
      </c>
      <c r="AQ229" s="24" t="inlineStr">
        <is>
          <t>Miami Marlins</t>
        </is>
      </c>
      <c r="AR229" s="24" t="inlineStr">
        <is>
          <t>Miami Marlins</t>
        </is>
      </c>
      <c r="AS229" s="24" t="inlineStr">
        <is>
          <t>mlb-nym</t>
        </is>
      </c>
      <c r="AT229" s="24" t="inlineStr">
        <is>
          <t>New York Mets</t>
        </is>
      </c>
      <c r="AU229" s="24" t="inlineStr">
        <is>
          <t>New York Mets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8360b122264b796b0fb193095cfe4506c7e064e5f3f8c0a659aec41efd08dd25</t>
        </is>
      </c>
      <c r="BB229" s="24" t="inlineStr">
        <is>
          <t>flat_probability_shrinkage_toward_half</t>
        </is>
      </c>
      <c r="BC229" s="24" t="inlineStr">
        <is>
          <t>measured-edge-margin-v2</t>
        </is>
      </c>
      <c r="BD229" s="24" t="inlineStr">
        <is>
          <t>8360b122264b796b0fb193095cfe4506c7e064e5f3f8c0a659aec41efd08dd25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2026-08-02T15:47:52.139141Z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-147</v>
      </c>
      <c r="BL229" s="27" t="n">
        <v>1.680272</v>
      </c>
      <c r="BM229" s="28" t="n">
        <v>0.5951419999999999</v>
      </c>
      <c r="BN229" s="28" t="n">
        <v>0.59204</v>
      </c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inlineStr">
        <is>
          <t>True</t>
        </is>
      </c>
    </row>
    <row r="230" ht="36" customHeight="1">
      <c r="A230" s="24" t="inlineStr">
        <is>
          <t>5d90fc0bea12409b</t>
        </is>
      </c>
      <c r="B230" s="24" t="inlineStr">
        <is>
          <t>2026-08-02T15:47:52.139141Z</t>
        </is>
      </c>
      <c r="C230" s="24" t="inlineStr">
        <is>
          <t>2026-08-02T17:40Z</t>
        </is>
      </c>
      <c r="D230" s="24" t="inlineStr">
        <is>
          <t>401816364</t>
        </is>
      </c>
      <c r="E230" s="24" t="inlineStr">
        <is>
          <t>MLB</t>
        </is>
      </c>
      <c r="F230" s="24" t="inlineStr">
        <is>
          <t>Miami Marlins</t>
        </is>
      </c>
      <c r="G230" s="24" t="inlineStr">
        <is>
          <t>New York Mets</t>
        </is>
      </c>
      <c r="H230" s="24" t="inlineStr">
        <is>
          <t>total</t>
        </is>
      </c>
      <c r="I230" s="24" t="inlineStr">
        <is>
          <t>over</t>
        </is>
      </c>
      <c r="J230" s="25" t="n">
        <v>8.5</v>
      </c>
      <c r="K230" s="24" t="inlineStr">
        <is>
          <t>polymarket_us</t>
        </is>
      </c>
      <c r="L230" s="26" t="n">
        <v>-111</v>
      </c>
      <c r="M230" s="27" t="n">
        <v>1.900901</v>
      </c>
      <c r="N230" s="28" t="n">
        <v>0.526066</v>
      </c>
      <c r="O230" s="28" t="n">
        <v>0.513024</v>
      </c>
      <c r="P230" s="28" t="n">
        <v>0.05172</v>
      </c>
      <c r="Q230" s="28" t="n">
        <v>-0.013042</v>
      </c>
      <c r="R230" s="26" t="n">
        <v>14</v>
      </c>
      <c r="S230" s="29" t="n">
        <v>1</v>
      </c>
      <c r="T230" s="24" t="inlineStr">
        <is>
          <t>measured-edge-totals-v2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Measured Edge Totals: Trend Engine projected 4.52-4.47; raw selected-side p=0.5149, calibrated p=0.5130.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mlb-mia</t>
        </is>
      </c>
      <c r="AQ230" s="24" t="inlineStr">
        <is>
          <t>Miami Marlins</t>
        </is>
      </c>
      <c r="AR230" s="24" t="inlineStr">
        <is>
          <t>Miami Marlins</t>
        </is>
      </c>
      <c r="AS230" s="24" t="inlineStr">
        <is>
          <t>mlb-nym</t>
        </is>
      </c>
      <c r="AT230" s="24" t="inlineStr">
        <is>
          <t>New York Mets</t>
        </is>
      </c>
      <c r="AU230" s="24" t="inlineStr">
        <is>
          <t>New York Mets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433578016242b27f9c1c7132cc6b5a2bcc7dd1b0234590c12a944455a88e71bd</t>
        </is>
      </c>
      <c r="BB230" s="24" t="inlineStr">
        <is>
          <t>flat_probability_shrinkage_toward_half</t>
        </is>
      </c>
      <c r="BC230" s="24" t="inlineStr">
        <is>
          <t>measured-edge-totals-v2</t>
        </is>
      </c>
      <c r="BD230" s="24" t="inlineStr">
        <is>
          <t>433578016242b27f9c1c7132cc6b5a2bcc7dd1b0234590c12a944455a88e71bd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2026-08-02T15:47:52.139141Z</t>
        </is>
      </c>
      <c r="BI230" s="24" t="inlineStr">
        <is>
          <t>["same_event","same_team_same_day","same_league_same_day"]</t>
        </is>
      </c>
      <c r="BJ230" s="25" t="n">
        <v>8.5</v>
      </c>
      <c r="BK230" s="26" t="n">
        <v>-111</v>
      </c>
      <c r="BL230" s="27" t="n">
        <v>1.900901</v>
      </c>
      <c r="BM230" s="28" t="n">
        <v>0.526066</v>
      </c>
      <c r="BN230" s="28" t="n">
        <v>0.522388</v>
      </c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inlineStr">
        <is>
          <t>False</t>
        </is>
      </c>
    </row>
    <row r="231" ht="36" customHeight="1">
      <c r="A231" s="24" t="inlineStr">
        <is>
          <t>746c2dd8706d46ee</t>
        </is>
      </c>
      <c r="B231" s="24" t="inlineStr">
        <is>
          <t>2026-08-02T15:47:52.139141Z</t>
        </is>
      </c>
      <c r="C231" s="24" t="inlineStr">
        <is>
          <t>2026-08-02T17:40Z</t>
        </is>
      </c>
      <c r="D231" s="24" t="inlineStr">
        <is>
          <t>401816366</t>
        </is>
      </c>
      <c r="E231" s="24" t="inlineStr">
        <is>
          <t>MLB</t>
        </is>
      </c>
      <c r="F231" s="24" t="inlineStr">
        <is>
          <t>Pittsburgh Pirates</t>
        </is>
      </c>
      <c r="G231" s="24" t="inlineStr">
        <is>
          <t>Cincinnati Reds</t>
        </is>
      </c>
      <c r="H231" s="24" t="inlineStr">
        <is>
          <t>spread</t>
        </is>
      </c>
      <c r="I231" s="24" t="inlineStr">
        <is>
          <t>away</t>
        </is>
      </c>
      <c r="J231" s="25" t="n">
        <v>1.5</v>
      </c>
      <c r="K231" s="24" t="inlineStr">
        <is>
          <t>polymarket_us</t>
        </is>
      </c>
      <c r="L231" s="26" t="n">
        <v>-150</v>
      </c>
      <c r="M231" s="27" t="n">
        <v>1.666667</v>
      </c>
      <c r="N231" s="28" t="n">
        <v>0.6</v>
      </c>
      <c r="O231" s="28" t="n">
        <v>0.573041</v>
      </c>
      <c r="P231" s="28" t="n">
        <v>0.042131</v>
      </c>
      <c r="Q231" s="28" t="n">
        <v>-0.026959</v>
      </c>
      <c r="R231" s="26" t="n">
        <v>13</v>
      </c>
      <c r="S231" s="29" t="n">
        <v>1.25</v>
      </c>
      <c r="T231" s="24" t="inlineStr">
        <is>
          <t>measured-edge-margin-v2</t>
        </is>
      </c>
      <c r="U231" s="24" t="inlineStr">
        <is>
          <t>open</t>
        </is>
      </c>
      <c r="V231" s="24" t="n"/>
      <c r="W231" s="26" t="n"/>
      <c r="X231" s="26" t="n"/>
      <c r="Y231" s="25" t="n"/>
      <c r="Z231" s="26" t="n"/>
      <c r="AA231" s="28" t="n"/>
      <c r="AB231" s="28" t="n"/>
      <c r="AC231" s="30" t="n"/>
      <c r="AD231" s="24" t="n"/>
      <c r="AE231" s="31" t="inlineStr">
        <is>
          <t>Measured Edge Margin: Trend Engine projected 4.31-4.86; raw selected-side p=0.6112, calibrated p=0.5730.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mlb-pit</t>
        </is>
      </c>
      <c r="AQ231" s="24" t="inlineStr">
        <is>
          <t>Pittsburgh Pirates</t>
        </is>
      </c>
      <c r="AR231" s="24" t="inlineStr">
        <is>
          <t>Pittsburgh Pirates</t>
        </is>
      </c>
      <c r="AS231" s="24" t="inlineStr">
        <is>
          <t>mlb-cin</t>
        </is>
      </c>
      <c r="AT231" s="24" t="inlineStr">
        <is>
          <t>Cincinnati Reds</t>
        </is>
      </c>
      <c r="AU231" s="24" t="inlineStr">
        <is>
          <t>Cincinnati Reds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8360b122264b796b0fb193095cfe4506c7e064e5f3f8c0a659aec41efd08dd25</t>
        </is>
      </c>
      <c r="BB231" s="24" t="inlineStr">
        <is>
          <t>flat_probability_shrinkage_toward_half</t>
        </is>
      </c>
      <c r="BC231" s="24" t="inlineStr">
        <is>
          <t>measured-edge-margin-v2</t>
        </is>
      </c>
      <c r="BD231" s="24" t="inlineStr">
        <is>
          <t>8360b122264b796b0fb193095cfe4506c7e064e5f3f8c0a659aec41efd08dd25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2026-08-02T15:47:52.139141Z</t>
        </is>
      </c>
      <c r="BI231" s="24" t="inlineStr">
        <is>
          <t>["same_event","same_team_same_day","same_league_same_day"]</t>
        </is>
      </c>
      <c r="BJ231" s="25" t="n">
        <v>1.5</v>
      </c>
      <c r="BK231" s="26" t="n">
        <v>-150</v>
      </c>
      <c r="BL231" s="27" t="n">
        <v>1.666667</v>
      </c>
      <c r="BM231" s="28" t="n">
        <v>0.6</v>
      </c>
      <c r="BN231" s="28" t="n">
        <v>0.597015</v>
      </c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inlineStr">
        <is>
          <t>False</t>
        </is>
      </c>
    </row>
    <row r="232" ht="36" customHeight="1">
      <c r="A232" s="24" t="inlineStr">
        <is>
          <t>63aab6f459f7467a</t>
        </is>
      </c>
      <c r="B232" s="24" t="inlineStr">
        <is>
          <t>2026-08-02T15:47:52.139141Z</t>
        </is>
      </c>
      <c r="C232" s="24" t="inlineStr">
        <is>
          <t>2026-08-02T17:40Z</t>
        </is>
      </c>
      <c r="D232" s="24" t="inlineStr">
        <is>
          <t>401816366</t>
        </is>
      </c>
      <c r="E232" s="24" t="inlineStr">
        <is>
          <t>MLB</t>
        </is>
      </c>
      <c r="F232" s="24" t="inlineStr">
        <is>
          <t>Pittsburgh Pirates</t>
        </is>
      </c>
      <c r="G232" s="24" t="inlineStr">
        <is>
          <t>Cincinnati Reds</t>
        </is>
      </c>
      <c r="H232" s="24" t="inlineStr">
        <is>
          <t>total</t>
        </is>
      </c>
      <c r="I232" s="24" t="inlineStr">
        <is>
          <t>over</t>
        </is>
      </c>
      <c r="J232" s="25" t="n">
        <v>8.5</v>
      </c>
      <c r="K232" s="24" t="inlineStr">
        <is>
          <t>polymarket_us</t>
        </is>
      </c>
      <c r="L232" s="26" t="n">
        <v>-108</v>
      </c>
      <c r="M232" s="27" t="n">
        <v>1.925926</v>
      </c>
      <c r="N232" s="28" t="n">
        <v>0.519231</v>
      </c>
      <c r="O232" s="28" t="n">
        <v>0.52049</v>
      </c>
      <c r="P232" s="28" t="n">
        <v>0.042131</v>
      </c>
      <c r="Q232" s="28" t="n">
        <v>0.001259</v>
      </c>
      <c r="R232" s="26" t="n">
        <v>26</v>
      </c>
      <c r="S232" s="29" t="n">
        <v>1</v>
      </c>
      <c r="T232" s="24" t="inlineStr">
        <is>
          <t>measured-edge-totals-v2</t>
        </is>
      </c>
      <c r="U232" s="24" t="inlineStr">
        <is>
          <t>open</t>
        </is>
      </c>
      <c r="V232" s="24" t="n"/>
      <c r="W232" s="26" t="n"/>
      <c r="X232" s="26" t="n"/>
      <c r="Y232" s="25" t="n"/>
      <c r="Z232" s="26" t="n"/>
      <c r="AA232" s="28" t="n"/>
      <c r="AB232" s="28" t="n"/>
      <c r="AC232" s="30" t="n"/>
      <c r="AD232" s="24" t="n"/>
      <c r="AE232" s="31" t="inlineStr">
        <is>
          <t>Measured Edge Totals: Trend Engine projected 4.31-4.86; raw selected-side p=0.5367, calibrated p=0.5205.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3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mlb-pit</t>
        </is>
      </c>
      <c r="AQ232" s="24" t="inlineStr">
        <is>
          <t>Pittsburgh Pirates</t>
        </is>
      </c>
      <c r="AR232" s="24" t="inlineStr">
        <is>
          <t>Pittsburgh Pirates</t>
        </is>
      </c>
      <c r="AS232" s="24" t="inlineStr">
        <is>
          <t>mlb-cin</t>
        </is>
      </c>
      <c r="AT232" s="24" t="inlineStr">
        <is>
          <t>Cincinnati Reds</t>
        </is>
      </c>
      <c r="AU232" s="24" t="inlineStr">
        <is>
          <t>Cincinnati Reds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433578016242b27f9c1c7132cc6b5a2bcc7dd1b0234590c12a944455a88e71bd</t>
        </is>
      </c>
      <c r="BB232" s="24" t="inlineStr">
        <is>
          <t>flat_probability_shrinkage_toward_half</t>
        </is>
      </c>
      <c r="BC232" s="24" t="inlineStr">
        <is>
          <t>measured-edge-totals-v2</t>
        </is>
      </c>
      <c r="BD232" s="24" t="inlineStr">
        <is>
          <t>433578016242b27f9c1c7132cc6b5a2bcc7dd1b0234590c12a944455a88e71bd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2026-08-02T15:47:52.139141Z</t>
        </is>
      </c>
      <c r="BI232" s="24" t="inlineStr">
        <is>
          <t>["same_event","same_team_same_day","same_league_same_day"]</t>
        </is>
      </c>
      <c r="BJ232" s="25" t="n">
        <v>8.5</v>
      </c>
      <c r="BK232" s="26" t="n">
        <v>-108</v>
      </c>
      <c r="BL232" s="27" t="n">
        <v>1.925926</v>
      </c>
      <c r="BM232" s="28" t="n">
        <v>0.519231</v>
      </c>
      <c r="BN232" s="28" t="n">
        <v>0.517413</v>
      </c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inlineStr">
        <is>
          <t>True</t>
        </is>
      </c>
    </row>
    <row r="233" ht="36" customHeight="1">
      <c r="A233" s="24" t="inlineStr">
        <is>
          <t>fdb2445a724c48c1</t>
        </is>
      </c>
      <c r="B233" s="24" t="inlineStr">
        <is>
          <t>2026-08-02T15:47:52.139141Z</t>
        </is>
      </c>
      <c r="C233" s="24" t="inlineStr">
        <is>
          <t>2026-08-02T18:10Z</t>
        </is>
      </c>
      <c r="D233" s="24" t="inlineStr">
        <is>
          <t>401816370</t>
        </is>
      </c>
      <c r="E233" s="24" t="inlineStr">
        <is>
          <t>MLB</t>
        </is>
      </c>
      <c r="F233" s="24" t="inlineStr">
        <is>
          <t>Texas Rangers</t>
        </is>
      </c>
      <c r="G233" s="24" t="inlineStr">
        <is>
          <t>Houston Astros</t>
        </is>
      </c>
      <c r="H233" s="24" t="inlineStr">
        <is>
          <t>spread</t>
        </is>
      </c>
      <c r="I233" s="24" t="inlineStr">
        <is>
          <t>away</t>
        </is>
      </c>
      <c r="J233" s="25" t="n">
        <v>1.5</v>
      </c>
      <c r="K233" s="24" t="inlineStr">
        <is>
          <t>polymarket_us</t>
        </is>
      </c>
      <c r="L233" s="26" t="n">
        <v>-167</v>
      </c>
      <c r="M233" s="27" t="n">
        <v>1.598802</v>
      </c>
      <c r="N233" s="28" t="n">
        <v>0.625468</v>
      </c>
      <c r="O233" s="28" t="n">
        <v>0.576847</v>
      </c>
      <c r="P233" s="28" t="n">
        <v>0.042131</v>
      </c>
      <c r="Q233" s="28" t="n">
        <v>-0.048621</v>
      </c>
      <c r="R233" s="26" t="n">
        <v>2</v>
      </c>
      <c r="S233" s="29" t="n">
        <v>1.25</v>
      </c>
      <c r="T233" s="24" t="inlineStr">
        <is>
          <t>measured-edge-margin-v2</t>
        </is>
      </c>
      <c r="U233" s="24" t="inlineStr">
        <is>
          <t>open</t>
        </is>
      </c>
      <c r="V233" s="24" t="n"/>
      <c r="W233" s="26" t="n"/>
      <c r="X233" s="26" t="n"/>
      <c r="Y233" s="25" t="n"/>
      <c r="Z233" s="26" t="n"/>
      <c r="AA233" s="28" t="n"/>
      <c r="AB233" s="28" t="n"/>
      <c r="AC233" s="30" t="n"/>
      <c r="AD233" s="24" t="n"/>
      <c r="AE233" s="31" t="inlineStr">
        <is>
          <t>Measured Edge Margin: Trend Engine projected 4.10-4.64; raw selected-side p=0.6170, calibrated p=0.5768.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mlb-tex</t>
        </is>
      </c>
      <c r="AQ233" s="24" t="inlineStr">
        <is>
          <t>Texas Rangers</t>
        </is>
      </c>
      <c r="AR233" s="24" t="inlineStr">
        <is>
          <t>Texas Rangers</t>
        </is>
      </c>
      <c r="AS233" s="24" t="inlineStr">
        <is>
          <t>mlb-hou</t>
        </is>
      </c>
      <c r="AT233" s="24" t="inlineStr">
        <is>
          <t>Houston Astros</t>
        </is>
      </c>
      <c r="AU233" s="24" t="inlineStr">
        <is>
          <t>Houston Astros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8360b122264b796b0fb193095cfe4506c7e064e5f3f8c0a659aec41efd08dd25</t>
        </is>
      </c>
      <c r="BB233" s="24" t="inlineStr">
        <is>
          <t>flat_probability_shrinkage_toward_half</t>
        </is>
      </c>
      <c r="BC233" s="24" t="inlineStr">
        <is>
          <t>measured-edge-margin-v2</t>
        </is>
      </c>
      <c r="BD233" s="24" t="inlineStr">
        <is>
          <t>8360b122264b796b0fb193095cfe4506c7e064e5f3f8c0a659aec41efd08dd25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2026-08-02T15:47:52.139141Z</t>
        </is>
      </c>
      <c r="BI233" s="24" t="inlineStr">
        <is>
          <t>["same_event","same_team_same_day","same_league_same_day"]</t>
        </is>
      </c>
      <c r="BJ233" s="25" t="n">
        <v>1.5</v>
      </c>
      <c r="BK233" s="26" t="n">
        <v>-167</v>
      </c>
      <c r="BL233" s="27" t="n">
        <v>1.598802</v>
      </c>
      <c r="BM233" s="28" t="n">
        <v>0.625468</v>
      </c>
      <c r="BN233" s="28" t="n">
        <v>0.621891</v>
      </c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inlineStr">
        <is>
          <t>False</t>
        </is>
      </c>
    </row>
    <row r="234" ht="36" customHeight="1">
      <c r="A234" s="24" t="inlineStr">
        <is>
          <t>990083ff46c54c3b</t>
        </is>
      </c>
      <c r="B234" s="24" t="inlineStr">
        <is>
          <t>2026-08-02T15:47:52.139141Z</t>
        </is>
      </c>
      <c r="C234" s="24" t="inlineStr">
        <is>
          <t>2026-08-02T18:10Z</t>
        </is>
      </c>
      <c r="D234" s="24" t="inlineStr">
        <is>
          <t>401816370</t>
        </is>
      </c>
      <c r="E234" s="24" t="inlineStr">
        <is>
          <t>MLB</t>
        </is>
      </c>
      <c r="F234" s="24" t="inlineStr">
        <is>
          <t>Texas Rangers</t>
        </is>
      </c>
      <c r="G234" s="24" t="inlineStr">
        <is>
          <t>Houston Astros</t>
        </is>
      </c>
      <c r="H234" s="24" t="inlineStr">
        <is>
          <t>total</t>
        </is>
      </c>
      <c r="I234" s="24" t="inlineStr">
        <is>
          <t>under</t>
        </is>
      </c>
      <c r="J234" s="25" t="n">
        <v>8.5</v>
      </c>
      <c r="K234" s="24" t="inlineStr">
        <is>
          <t>polymarket_us</t>
        </is>
      </c>
      <c r="L234" s="26" t="n">
        <v>102</v>
      </c>
      <c r="M234" s="27" t="n">
        <v>2.02</v>
      </c>
      <c r="N234" s="28" t="n">
        <v>0.49505</v>
      </c>
      <c r="O234" s="28" t="n">
        <v>0.509385</v>
      </c>
      <c r="P234" s="28" t="n">
        <v>0.042131</v>
      </c>
      <c r="Q234" s="28" t="n">
        <v>0.014335</v>
      </c>
      <c r="R234" s="26" t="n">
        <v>33</v>
      </c>
      <c r="S234" s="29" t="n">
        <v>1</v>
      </c>
      <c r="T234" s="24" t="inlineStr">
        <is>
          <t>measured-edge-totals-v2</t>
        </is>
      </c>
      <c r="U234" s="24" t="inlineStr">
        <is>
          <t>open</t>
        </is>
      </c>
      <c r="V234" s="24" t="n"/>
      <c r="W234" s="26" t="n"/>
      <c r="X234" s="26" t="n"/>
      <c r="Y234" s="25" t="n"/>
      <c r="Z234" s="26" t="n"/>
      <c r="AA234" s="28" t="n"/>
      <c r="AB234" s="28" t="n"/>
      <c r="AC234" s="30" t="n"/>
      <c r="AD234" s="24" t="n"/>
      <c r="AE234" s="31" t="inlineStr">
        <is>
          <t>Measured Edge Totals: Trend Engine projected 4.10-4.64; raw selected-side p=0.5042, calibrated p=0.5094.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mlb-tex</t>
        </is>
      </c>
      <c r="AQ234" s="24" t="inlineStr">
        <is>
          <t>Texas Rangers</t>
        </is>
      </c>
      <c r="AR234" s="24" t="inlineStr">
        <is>
          <t>Texas Rangers</t>
        </is>
      </c>
      <c r="AS234" s="24" t="inlineStr">
        <is>
          <t>mlb-hou</t>
        </is>
      </c>
      <c r="AT234" s="24" t="inlineStr">
        <is>
          <t>Houston Astros</t>
        </is>
      </c>
      <c r="AU234" s="24" t="inlineStr">
        <is>
          <t>Houston Astros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433578016242b27f9c1c7132cc6b5a2bcc7dd1b0234590c12a944455a88e71bd</t>
        </is>
      </c>
      <c r="BB234" s="24" t="inlineStr">
        <is>
          <t>flat_probability_shrinkage_toward_half</t>
        </is>
      </c>
      <c r="BC234" s="24" t="inlineStr">
        <is>
          <t>measured-edge-totals-v2</t>
        </is>
      </c>
      <c r="BD234" s="24" t="inlineStr">
        <is>
          <t>433578016242b27f9c1c7132cc6b5a2bcc7dd1b0234590c12a944455a88e71bd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2026-08-02T15:47:52.139141Z</t>
        </is>
      </c>
      <c r="BI234" s="24" t="inlineStr">
        <is>
          <t>["same_event","same_team_same_day","same_league_same_day"]</t>
        </is>
      </c>
      <c r="BJ234" s="25" t="n">
        <v>8.5</v>
      </c>
      <c r="BK234" s="26" t="n">
        <v>102</v>
      </c>
      <c r="BL234" s="27" t="n">
        <v>2.02</v>
      </c>
      <c r="BM234" s="28" t="n">
        <v>0.49505</v>
      </c>
      <c r="BN234" s="28" t="n">
        <v>0.492537</v>
      </c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inlineStr">
        <is>
          <t>True</t>
        </is>
      </c>
    </row>
    <row r="235" ht="36" customHeight="1">
      <c r="A235" s="24" t="inlineStr">
        <is>
          <t>457a6e193a65421d</t>
        </is>
      </c>
      <c r="B235" s="24" t="inlineStr">
        <is>
          <t>2026-08-02T15:47:52.139141Z</t>
        </is>
      </c>
      <c r="C235" s="24" t="inlineStr">
        <is>
          <t>2026-08-02T18:20Z</t>
        </is>
      </c>
      <c r="D235" s="24" t="inlineStr">
        <is>
          <t>401816369</t>
        </is>
      </c>
      <c r="E235" s="24" t="inlineStr">
        <is>
          <t>MLB</t>
        </is>
      </c>
      <c r="F235" s="24" t="inlineStr">
        <is>
          <t>New York Yankees</t>
        </is>
      </c>
      <c r="G235" s="24" t="inlineStr">
        <is>
          <t>Chicago Cubs</t>
        </is>
      </c>
      <c r="H235" s="24" t="inlineStr">
        <is>
          <t>spread</t>
        </is>
      </c>
      <c r="I235" s="24" t="inlineStr">
        <is>
          <t>home</t>
        </is>
      </c>
      <c r="J235" s="25" t="n">
        <v>1.5</v>
      </c>
      <c r="K235" s="24" t="inlineStr">
        <is>
          <t>polymarket_us</t>
        </is>
      </c>
      <c r="L235" s="26" t="n">
        <v>-163</v>
      </c>
      <c r="M235" s="27" t="n">
        <v>1.613497</v>
      </c>
      <c r="N235" s="28" t="n">
        <v>0.619772</v>
      </c>
      <c r="O235" s="28" t="n">
        <v>0.607421</v>
      </c>
      <c r="P235" s="28" t="n">
        <v>0.042131</v>
      </c>
      <c r="Q235" s="28" t="n">
        <v>-0.012351</v>
      </c>
      <c r="R235" s="26" t="n">
        <v>20</v>
      </c>
      <c r="S235" s="29" t="n">
        <v>1.5</v>
      </c>
      <c r="T235" s="24" t="inlineStr">
        <is>
          <t>measured-edge-margin-v2</t>
        </is>
      </c>
      <c r="U235" s="24" t="inlineStr">
        <is>
          <t>open</t>
        </is>
      </c>
      <c r="V235" s="24" t="n"/>
      <c r="W235" s="26" t="n"/>
      <c r="X235" s="26" t="n"/>
      <c r="Y235" s="25" t="n"/>
      <c r="Z235" s="26" t="n"/>
      <c r="AA235" s="28" t="n"/>
      <c r="AB235" s="28" t="n"/>
      <c r="AC235" s="30" t="n"/>
      <c r="AD235" s="24" t="n"/>
      <c r="AE235" s="31" t="inlineStr">
        <is>
          <t>Measured Edge Margin: Trend Engine projected 4.57-4.52; raw selected-side p=0.6636, calibrated p=0.6074.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3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mlb-nyy</t>
        </is>
      </c>
      <c r="AQ235" s="24" t="inlineStr">
        <is>
          <t>New York Yankees</t>
        </is>
      </c>
      <c r="AR235" s="24" t="inlineStr">
        <is>
          <t>New York Yankees</t>
        </is>
      </c>
      <c r="AS235" s="24" t="inlineStr">
        <is>
          <t>mlb-chc</t>
        </is>
      </c>
      <c r="AT235" s="24" t="inlineStr">
        <is>
          <t>Chicago Cubs</t>
        </is>
      </c>
      <c r="AU235" s="24" t="inlineStr">
        <is>
          <t>Chicago Cubs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8360b122264b796b0fb193095cfe4506c7e064e5f3f8c0a659aec41efd08dd25</t>
        </is>
      </c>
      <c r="BB235" s="24" t="inlineStr">
        <is>
          <t>flat_probability_shrinkage_toward_half</t>
        </is>
      </c>
      <c r="BC235" s="24" t="inlineStr">
        <is>
          <t>measured-edge-margin-v2</t>
        </is>
      </c>
      <c r="BD235" s="24" t="inlineStr">
        <is>
          <t>8360b122264b796b0fb193095cfe4506c7e064e5f3f8c0a659aec41efd08dd25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2026-08-02T15:47:52.139141Z</t>
        </is>
      </c>
      <c r="BI235" s="24" t="inlineStr">
        <is>
          <t>["same_event","same_team_same_day","same_league_same_day"]</t>
        </is>
      </c>
      <c r="BJ235" s="25" t="n">
        <v>1.5</v>
      </c>
      <c r="BK235" s="26" t="n">
        <v>-163</v>
      </c>
      <c r="BL235" s="27" t="n">
        <v>1.613497</v>
      </c>
      <c r="BM235" s="28" t="n">
        <v>0.619772</v>
      </c>
      <c r="BN235" s="28" t="n">
        <v>0.616915</v>
      </c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inlineStr">
        <is>
          <t>False</t>
        </is>
      </c>
    </row>
    <row r="236" ht="36" customHeight="1">
      <c r="A236" s="24" t="inlineStr">
        <is>
          <t>a7e6e73b3b764449</t>
        </is>
      </c>
      <c r="B236" s="24" t="inlineStr">
        <is>
          <t>2026-08-02T15:47:52.139141Z</t>
        </is>
      </c>
      <c r="C236" s="24" t="inlineStr">
        <is>
          <t>2026-08-02T18:20Z</t>
        </is>
      </c>
      <c r="D236" s="24" t="inlineStr">
        <is>
          <t>401816369</t>
        </is>
      </c>
      <c r="E236" s="24" t="inlineStr">
        <is>
          <t>MLB</t>
        </is>
      </c>
      <c r="F236" s="24" t="inlineStr">
        <is>
          <t>New York Yankees</t>
        </is>
      </c>
      <c r="G236" s="24" t="inlineStr">
        <is>
          <t>Chicago Cubs</t>
        </is>
      </c>
      <c r="H236" s="24" t="inlineStr">
        <is>
          <t>total</t>
        </is>
      </c>
      <c r="I236" s="24" t="inlineStr">
        <is>
          <t>over</t>
        </is>
      </c>
      <c r="J236" s="25" t="n">
        <v>6.5</v>
      </c>
      <c r="K236" s="24" t="inlineStr">
        <is>
          <t>polymarket_us</t>
        </is>
      </c>
      <c r="L236" s="26" t="n">
        <v>-106</v>
      </c>
      <c r="M236" s="27" t="n">
        <v>1.943396</v>
      </c>
      <c r="N236" s="28" t="n">
        <v>0.514563</v>
      </c>
      <c r="O236" s="28" t="n">
        <v>0.583944</v>
      </c>
      <c r="P236" s="28" t="n">
        <v>0.042131</v>
      </c>
      <c r="Q236" s="28" t="n">
        <v>0.069381</v>
      </c>
      <c r="R236" s="26" t="n">
        <v>60</v>
      </c>
      <c r="S236" s="29" t="n">
        <v>1.25</v>
      </c>
      <c r="T236" s="24" t="inlineStr">
        <is>
          <t>measured-edge-totals-v2</t>
        </is>
      </c>
      <c r="U236" s="24" t="inlineStr">
        <is>
          <t>open</t>
        </is>
      </c>
      <c r="V236" s="24" t="n"/>
      <c r="W236" s="26" t="n"/>
      <c r="X236" s="26" t="n"/>
      <c r="Y236" s="25" t="n"/>
      <c r="Z236" s="26" t="n"/>
      <c r="AA236" s="28" t="n"/>
      <c r="AB236" s="28" t="n"/>
      <c r="AC236" s="30" t="n"/>
      <c r="AD236" s="24" t="n"/>
      <c r="AE236" s="31" t="inlineStr">
        <is>
          <t>Measured Edge Totals: Trend Engine projected 4.57-4.52; raw selected-side p=0.7224, calibrated p=0.5839.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3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mlb-nyy</t>
        </is>
      </c>
      <c r="AQ236" s="24" t="inlineStr">
        <is>
          <t>New York Yankees</t>
        </is>
      </c>
      <c r="AR236" s="24" t="inlineStr">
        <is>
          <t>New York Yankees</t>
        </is>
      </c>
      <c r="AS236" s="24" t="inlineStr">
        <is>
          <t>mlb-chc</t>
        </is>
      </c>
      <c r="AT236" s="24" t="inlineStr">
        <is>
          <t>Chicago Cubs</t>
        </is>
      </c>
      <c r="AU236" s="24" t="inlineStr">
        <is>
          <t>Chicago Cubs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433578016242b27f9c1c7132cc6b5a2bcc7dd1b0234590c12a944455a88e71bd</t>
        </is>
      </c>
      <c r="BB236" s="24" t="inlineStr">
        <is>
          <t>flat_probability_shrinkage_toward_half</t>
        </is>
      </c>
      <c r="BC236" s="24" t="inlineStr">
        <is>
          <t>measured-edge-totals-v2</t>
        </is>
      </c>
      <c r="BD236" s="24" t="inlineStr">
        <is>
          <t>433578016242b27f9c1c7132cc6b5a2bcc7dd1b0234590c12a944455a88e71bd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2026-08-02T15:47:52.139141Z</t>
        </is>
      </c>
      <c r="BI236" s="24" t="inlineStr">
        <is>
          <t>["same_event","same_team_same_day","same_league_same_day"]</t>
        </is>
      </c>
      <c r="BJ236" s="25" t="n">
        <v>6.5</v>
      </c>
      <c r="BK236" s="26" t="n">
        <v>-106</v>
      </c>
      <c r="BL236" s="27" t="n">
        <v>1.943396</v>
      </c>
      <c r="BM236" s="28" t="n">
        <v>0.514563</v>
      </c>
      <c r="BN236" s="28" t="n">
        <v>0.5124379999999999</v>
      </c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inlineStr">
        <is>
          <t>True</t>
        </is>
      </c>
    </row>
    <row r="237" ht="36" customHeight="1">
      <c r="A237" s="24" t="inlineStr">
        <is>
          <t>523dbe2efc084d1c</t>
        </is>
      </c>
      <c r="B237" s="24" t="inlineStr">
        <is>
          <t>2026-08-02T15:47:52.139141Z</t>
        </is>
      </c>
      <c r="C237" s="24" t="inlineStr">
        <is>
          <t>2026-08-02T19:10Z</t>
        </is>
      </c>
      <c r="D237" s="24" t="inlineStr">
        <is>
          <t>401816371</t>
        </is>
      </c>
      <c r="E237" s="24" t="inlineStr">
        <is>
          <t>MLB</t>
        </is>
      </c>
      <c r="F237" s="24" t="inlineStr">
        <is>
          <t>Kansas City Royals</t>
        </is>
      </c>
      <c r="G237" s="24" t="inlineStr">
        <is>
          <t>Colorado Rockies</t>
        </is>
      </c>
      <c r="H237" s="24" t="inlineStr">
        <is>
          <t>spread</t>
        </is>
      </c>
      <c r="I237" s="24" t="inlineStr">
        <is>
          <t>away</t>
        </is>
      </c>
      <c r="J237" s="25" t="n">
        <v>1.5</v>
      </c>
      <c r="K237" s="24" t="inlineStr">
        <is>
          <t>polymarket_us</t>
        </is>
      </c>
      <c r="L237" s="26" t="n">
        <v>-163</v>
      </c>
      <c r="M237" s="27" t="n">
        <v>1.613497</v>
      </c>
      <c r="N237" s="28" t="n">
        <v>0.619772</v>
      </c>
      <c r="O237" s="28" t="n">
        <v>0.6215270000000001</v>
      </c>
      <c r="P237" s="28" t="n">
        <v>0.042131</v>
      </c>
      <c r="Q237" s="28" t="n">
        <v>0.001755</v>
      </c>
      <c r="R237" s="26" t="n">
        <v>27</v>
      </c>
      <c r="S237" s="29" t="n">
        <v>1.5</v>
      </c>
      <c r="T237" s="24" t="inlineStr">
        <is>
          <t>measured-edge-margin-v2</t>
        </is>
      </c>
      <c r="U237" s="24" t="inlineStr">
        <is>
          <t>open</t>
        </is>
      </c>
      <c r="V237" s="24" t="n"/>
      <c r="W237" s="26" t="n"/>
      <c r="X237" s="26" t="n"/>
      <c r="Y237" s="25" t="n"/>
      <c r="Z237" s="26" t="n"/>
      <c r="AA237" s="28" t="n"/>
      <c r="AB237" s="28" t="n"/>
      <c r="AC237" s="30" t="n"/>
      <c r="AD237" s="24" t="n"/>
      <c r="AE237" s="31" t="inlineStr">
        <is>
          <t>Measured Edge Margin: Trend Engine projected 5.19-4.94; raw selected-side p=0.6852, calibrated p=0.6215.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mlb-kc</t>
        </is>
      </c>
      <c r="AQ237" s="24" t="inlineStr">
        <is>
          <t>Kansas City Royals</t>
        </is>
      </c>
      <c r="AR237" s="24" t="inlineStr">
        <is>
          <t>Kansas City Royals</t>
        </is>
      </c>
      <c r="AS237" s="24" t="inlineStr">
        <is>
          <t>mlb-col</t>
        </is>
      </c>
      <c r="AT237" s="24" t="inlineStr">
        <is>
          <t>Colorado Rockies</t>
        </is>
      </c>
      <c r="AU237" s="24" t="inlineStr">
        <is>
          <t>Colorado Rockies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8360b122264b796b0fb193095cfe4506c7e064e5f3f8c0a659aec41efd08dd25</t>
        </is>
      </c>
      <c r="BB237" s="24" t="inlineStr">
        <is>
          <t>flat_probability_shrinkage_toward_half</t>
        </is>
      </c>
      <c r="BC237" s="24" t="inlineStr">
        <is>
          <t>measured-edge-margin-v2</t>
        </is>
      </c>
      <c r="BD237" s="24" t="inlineStr">
        <is>
          <t>8360b122264b796b0fb193095cfe4506c7e064e5f3f8c0a659aec41efd08dd25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2026-08-02T15:47:52.139141Z</t>
        </is>
      </c>
      <c r="BI237" s="24" t="inlineStr">
        <is>
          <t>["same_event","same_team_same_day","same_league_same_day"]</t>
        </is>
      </c>
      <c r="BJ237" s="25" t="n">
        <v>1.5</v>
      </c>
      <c r="BK237" s="26" t="n">
        <v>-163</v>
      </c>
      <c r="BL237" s="27" t="n">
        <v>1.613497</v>
      </c>
      <c r="BM237" s="28" t="n">
        <v>0.619772</v>
      </c>
      <c r="BN237" s="28" t="n">
        <v>0.616915</v>
      </c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inlineStr">
        <is>
          <t>True</t>
        </is>
      </c>
    </row>
    <row r="238" ht="36" customHeight="1">
      <c r="A238" s="24" t="inlineStr">
        <is>
          <t>bb986ddf960a40e6</t>
        </is>
      </c>
      <c r="B238" s="24" t="inlineStr">
        <is>
          <t>2026-08-02T15:47:52.139141Z</t>
        </is>
      </c>
      <c r="C238" s="24" t="inlineStr">
        <is>
          <t>2026-08-02T19:10Z</t>
        </is>
      </c>
      <c r="D238" s="24" t="inlineStr">
        <is>
          <t>401816371</t>
        </is>
      </c>
      <c r="E238" s="24" t="inlineStr">
        <is>
          <t>MLB</t>
        </is>
      </c>
      <c r="F238" s="24" t="inlineStr">
        <is>
          <t>Kansas City Royals</t>
        </is>
      </c>
      <c r="G238" s="24" t="inlineStr">
        <is>
          <t>Colorado Rockies</t>
        </is>
      </c>
      <c r="H238" s="24" t="inlineStr">
        <is>
          <t>total</t>
        </is>
      </c>
      <c r="I238" s="24" t="inlineStr">
        <is>
          <t>under</t>
        </is>
      </c>
      <c r="J238" s="25" t="n">
        <v>11.5</v>
      </c>
      <c r="K238" s="24" t="inlineStr">
        <is>
          <t>polymarket_us</t>
        </is>
      </c>
      <c r="L238" s="26" t="n">
        <v>-106</v>
      </c>
      <c r="M238" s="27" t="n">
        <v>1.943396</v>
      </c>
      <c r="N238" s="28" t="n">
        <v>0.514563</v>
      </c>
      <c r="O238" s="28" t="n">
        <v>0.562144</v>
      </c>
      <c r="P238" s="28" t="n">
        <v>0.042131</v>
      </c>
      <c r="Q238" s="28" t="n">
        <v>0.047581</v>
      </c>
      <c r="R238" s="26" t="n">
        <v>50</v>
      </c>
      <c r="S238" s="29" t="n">
        <v>1.25</v>
      </c>
      <c r="T238" s="24" t="inlineStr">
        <is>
          <t>measured-edge-totals-v2</t>
        </is>
      </c>
      <c r="U238" s="24" t="inlineStr">
        <is>
          <t>open</t>
        </is>
      </c>
      <c r="V238" s="24" t="n"/>
      <c r="W238" s="26" t="n"/>
      <c r="X238" s="26" t="n"/>
      <c r="Y238" s="25" t="n"/>
      <c r="Z238" s="26" t="n"/>
      <c r="AA238" s="28" t="n"/>
      <c r="AB238" s="28" t="n"/>
      <c r="AC238" s="30" t="n"/>
      <c r="AD238" s="24" t="n"/>
      <c r="AE238" s="31" t="inlineStr">
        <is>
          <t>Measured Edge Totals: Trend Engine projected 5.19-4.94; raw selected-side p=0.6586, calibrated p=0.5621.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3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mlb-kc</t>
        </is>
      </c>
      <c r="AQ238" s="24" t="inlineStr">
        <is>
          <t>Kansas City Royals</t>
        </is>
      </c>
      <c r="AR238" s="24" t="inlineStr">
        <is>
          <t>Kansas City Royals</t>
        </is>
      </c>
      <c r="AS238" s="24" t="inlineStr">
        <is>
          <t>mlb-col</t>
        </is>
      </c>
      <c r="AT238" s="24" t="inlineStr">
        <is>
          <t>Colorado Rockies</t>
        </is>
      </c>
      <c r="AU238" s="24" t="inlineStr">
        <is>
          <t>Colorado Rockies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433578016242b27f9c1c7132cc6b5a2bcc7dd1b0234590c12a944455a88e71bd</t>
        </is>
      </c>
      <c r="BB238" s="24" t="inlineStr">
        <is>
          <t>flat_probability_shrinkage_toward_half</t>
        </is>
      </c>
      <c r="BC238" s="24" t="inlineStr">
        <is>
          <t>measured-edge-totals-v2</t>
        </is>
      </c>
      <c r="BD238" s="24" t="inlineStr">
        <is>
          <t>433578016242b27f9c1c7132cc6b5a2bcc7dd1b0234590c12a944455a88e71bd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2026-08-02T15:47:52.139141Z</t>
        </is>
      </c>
      <c r="BI238" s="24" t="inlineStr">
        <is>
          <t>["same_event","same_team_same_day","same_league_same_day"]</t>
        </is>
      </c>
      <c r="BJ238" s="25" t="n">
        <v>11.5</v>
      </c>
      <c r="BK238" s="26" t="n">
        <v>-106</v>
      </c>
      <c r="BL238" s="27" t="n">
        <v>1.943396</v>
      </c>
      <c r="BM238" s="28" t="n">
        <v>0.514563</v>
      </c>
      <c r="BN238" s="28" t="n">
        <v>0.5124379999999999</v>
      </c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inlineStr">
        <is>
          <t>True</t>
        </is>
      </c>
    </row>
    <row r="239" ht="36" customHeight="1">
      <c r="A239" s="24" t="inlineStr">
        <is>
          <t>cf1407ac915a4ad9</t>
        </is>
      </c>
      <c r="B239" s="24" t="inlineStr">
        <is>
          <t>2026-08-02T15:47:52.139141Z</t>
        </is>
      </c>
      <c r="C239" s="24" t="inlineStr">
        <is>
          <t>2026-08-02T19:15Z</t>
        </is>
      </c>
      <c r="D239" s="24" t="inlineStr">
        <is>
          <t>401816374</t>
        </is>
      </c>
      <c r="E239" s="24" t="inlineStr">
        <is>
          <t>MLB</t>
        </is>
      </c>
      <c r="F239" s="24" t="inlineStr">
        <is>
          <t>Milwaukee Brewers</t>
        </is>
      </c>
      <c r="G239" s="24" t="inlineStr">
        <is>
          <t>Los Angeles Angels</t>
        </is>
      </c>
      <c r="H239" s="24" t="inlineStr">
        <is>
          <t>spread</t>
        </is>
      </c>
      <c r="I239" s="24" t="inlineStr">
        <is>
          <t>home</t>
        </is>
      </c>
      <c r="J239" s="25" t="n">
        <v>1.5</v>
      </c>
      <c r="K239" s="24" t="inlineStr">
        <is>
          <t>polymarket_us</t>
        </is>
      </c>
      <c r="L239" s="26" t="n">
        <v>122</v>
      </c>
      <c r="M239" s="27" t="n">
        <v>2.22</v>
      </c>
      <c r="N239" s="28" t="n">
        <v>0.45045</v>
      </c>
      <c r="O239" s="28" t="n">
        <v>0.594922</v>
      </c>
      <c r="P239" s="28" t="n">
        <v>0.042131</v>
      </c>
      <c r="Q239" s="28" t="n">
        <v>0.144472</v>
      </c>
      <c r="R239" s="26" t="n">
        <v>98</v>
      </c>
      <c r="S239" s="29" t="n">
        <v>1.25</v>
      </c>
      <c r="T239" s="24" t="inlineStr">
        <is>
          <t>measured-edge-margin-v2</t>
        </is>
      </c>
      <c r="U239" s="24" t="inlineStr">
        <is>
          <t>open</t>
        </is>
      </c>
      <c r="V239" s="24" t="n"/>
      <c r="W239" s="26" t="n"/>
      <c r="X239" s="26" t="n"/>
      <c r="Y239" s="25" t="n"/>
      <c r="Z239" s="26" t="n"/>
      <c r="AA239" s="28" t="n"/>
      <c r="AB239" s="28" t="n"/>
      <c r="AC239" s="30" t="n"/>
      <c r="AD239" s="24" t="n"/>
      <c r="AE239" s="31" t="inlineStr">
        <is>
          <t>Measured Edge Margin: Trend Engine projected 4.33-4.07; raw selected-side p=0.6446, calibrated p=0.5949.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3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mlb-mil</t>
        </is>
      </c>
      <c r="AQ239" s="24" t="inlineStr">
        <is>
          <t>Milwaukee Brewers</t>
        </is>
      </c>
      <c r="AR239" s="24" t="inlineStr">
        <is>
          <t>Milwaukee Brewers</t>
        </is>
      </c>
      <c r="AS239" s="24" t="inlineStr">
        <is>
          <t>mlb-laa</t>
        </is>
      </c>
      <c r="AT239" s="24" t="inlineStr">
        <is>
          <t>Los Angeles Angels</t>
        </is>
      </c>
      <c r="AU239" s="24" t="inlineStr">
        <is>
          <t>Los Angeles Angels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8360b122264b796b0fb193095cfe4506c7e064e5f3f8c0a659aec41efd08dd25</t>
        </is>
      </c>
      <c r="BB239" s="24" t="inlineStr">
        <is>
          <t>flat_probability_shrinkage_toward_half</t>
        </is>
      </c>
      <c r="BC239" s="24" t="inlineStr">
        <is>
          <t>measured-edge-margin-v2</t>
        </is>
      </c>
      <c r="BD239" s="24" t="inlineStr">
        <is>
          <t>8360b122264b796b0fb193095cfe4506c7e064e5f3f8c0a659aec41efd08dd25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2026-08-02T15:47:52.139141Z</t>
        </is>
      </c>
      <c r="BI239" s="24" t="inlineStr">
        <is>
          <t>["same_event","same_team_same_day","same_league_same_day"]</t>
        </is>
      </c>
      <c r="BJ239" s="25" t="n">
        <v>1.5</v>
      </c>
      <c r="BK239" s="26" t="n">
        <v>122</v>
      </c>
      <c r="BL239" s="27" t="n">
        <v>2.22</v>
      </c>
      <c r="BM239" s="28" t="n">
        <v>0.45045</v>
      </c>
      <c r="BN239" s="28" t="n">
        <v>0.447761</v>
      </c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inlineStr">
        <is>
          <t>True</t>
        </is>
      </c>
    </row>
    <row r="240" ht="36" customHeight="1">
      <c r="A240" s="24" t="inlineStr">
        <is>
          <t>814afe5a97e6493b</t>
        </is>
      </c>
      <c r="B240" s="24" t="inlineStr">
        <is>
          <t>2026-08-02T15:47:52.139141Z</t>
        </is>
      </c>
      <c r="C240" s="24" t="inlineStr">
        <is>
          <t>2026-08-02T19:15Z</t>
        </is>
      </c>
      <c r="D240" s="24" t="inlineStr">
        <is>
          <t>401816374</t>
        </is>
      </c>
      <c r="E240" s="24" t="inlineStr">
        <is>
          <t>MLB</t>
        </is>
      </c>
      <c r="F240" s="24" t="inlineStr">
        <is>
          <t>Milwaukee Brewers</t>
        </is>
      </c>
      <c r="G240" s="24" t="inlineStr">
        <is>
          <t>Los Angeles Angels</t>
        </is>
      </c>
      <c r="H240" s="24" t="inlineStr">
        <is>
          <t>total</t>
        </is>
      </c>
      <c r="I240" s="24" t="inlineStr">
        <is>
          <t>over</t>
        </is>
      </c>
      <c r="J240" s="25" t="n">
        <v>7.5</v>
      </c>
      <c r="K240" s="24" t="inlineStr">
        <is>
          <t>polymarket_us</t>
        </is>
      </c>
      <c r="L240" s="26" t="n">
        <v>100</v>
      </c>
      <c r="M240" s="27" t="n">
        <v>2</v>
      </c>
      <c r="N240" s="28" t="n">
        <v>0.5</v>
      </c>
      <c r="O240" s="28" t="n">
        <v>0.518936</v>
      </c>
      <c r="P240" s="28" t="n">
        <v>0.042131</v>
      </c>
      <c r="Q240" s="28" t="n">
        <v>0.018936</v>
      </c>
      <c r="R240" s="26" t="n">
        <v>35</v>
      </c>
      <c r="S240" s="29" t="n">
        <v>1</v>
      </c>
      <c r="T240" s="24" t="inlineStr">
        <is>
          <t>measured-edge-totals-v2</t>
        </is>
      </c>
      <c r="U240" s="24" t="inlineStr">
        <is>
          <t>open</t>
        </is>
      </c>
      <c r="V240" s="24" t="n"/>
      <c r="W240" s="26" t="n"/>
      <c r="X240" s="26" t="n"/>
      <c r="Y240" s="25" t="n"/>
      <c r="Z240" s="26" t="n"/>
      <c r="AA240" s="28" t="n"/>
      <c r="AB240" s="28" t="n"/>
      <c r="AC240" s="30" t="n"/>
      <c r="AD240" s="24" t="n"/>
      <c r="AE240" s="31" t="inlineStr">
        <is>
          <t>Measured Edge Totals: Trend Engine projected 4.33-4.07; raw selected-side p=0.5322, calibrated p=0.5189.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mlb-mil</t>
        </is>
      </c>
      <c r="AQ240" s="24" t="inlineStr">
        <is>
          <t>Milwaukee Brewers</t>
        </is>
      </c>
      <c r="AR240" s="24" t="inlineStr">
        <is>
          <t>Milwaukee Brewers</t>
        </is>
      </c>
      <c r="AS240" s="24" t="inlineStr">
        <is>
          <t>mlb-laa</t>
        </is>
      </c>
      <c r="AT240" s="24" t="inlineStr">
        <is>
          <t>Los Angeles Angels</t>
        </is>
      </c>
      <c r="AU240" s="24" t="inlineStr">
        <is>
          <t>Los Angeles Angels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433578016242b27f9c1c7132cc6b5a2bcc7dd1b0234590c12a944455a88e71bd</t>
        </is>
      </c>
      <c r="BB240" s="24" t="inlineStr">
        <is>
          <t>flat_probability_shrinkage_toward_half</t>
        </is>
      </c>
      <c r="BC240" s="24" t="inlineStr">
        <is>
          <t>measured-edge-totals-v2</t>
        </is>
      </c>
      <c r="BD240" s="24" t="inlineStr">
        <is>
          <t>433578016242b27f9c1c7132cc6b5a2bcc7dd1b0234590c12a944455a88e71bd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2026-08-02T15:47:52.139141Z</t>
        </is>
      </c>
      <c r="BI240" s="24" t="inlineStr">
        <is>
          <t>["same_event","same_team_same_day","same_league_same_day"]</t>
        </is>
      </c>
      <c r="BJ240" s="25" t="n">
        <v>7.5</v>
      </c>
      <c r="BK240" s="26" t="n">
        <v>100</v>
      </c>
      <c r="BL240" s="27" t="n">
        <v>2</v>
      </c>
      <c r="BM240" s="28" t="n">
        <v>0.5</v>
      </c>
      <c r="BN240" s="28" t="n">
        <v>0.497512</v>
      </c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inlineStr">
        <is>
          <t>True</t>
        </is>
      </c>
    </row>
    <row r="241" ht="36" customHeight="1">
      <c r="A241" s="24" t="inlineStr">
        <is>
          <t>26367d04c0814082</t>
        </is>
      </c>
      <c r="B241" s="24" t="inlineStr">
        <is>
          <t>2026-08-02T15:47:52.139141Z</t>
        </is>
      </c>
      <c r="C241" s="24" t="inlineStr">
        <is>
          <t>2026-08-02T20:05Z</t>
        </is>
      </c>
      <c r="D241" s="24" t="inlineStr">
        <is>
          <t>401816373</t>
        </is>
      </c>
      <c r="E241" s="24" t="inlineStr">
        <is>
          <t>MLB</t>
        </is>
      </c>
      <c r="F241" s="24" t="inlineStr">
        <is>
          <t>Detroit Tigers</t>
        </is>
      </c>
      <c r="G241" s="24" t="inlineStr">
        <is>
          <t>Athletics</t>
        </is>
      </c>
      <c r="H241" s="24" t="inlineStr">
        <is>
          <t>spread</t>
        </is>
      </c>
      <c r="I241" s="24" t="inlineStr">
        <is>
          <t>home</t>
        </is>
      </c>
      <c r="J241" s="25" t="n">
        <v>1.5</v>
      </c>
      <c r="K241" s="24" t="inlineStr">
        <is>
          <t>polymarket_us</t>
        </is>
      </c>
      <c r="L241" s="26" t="n">
        <v>-141</v>
      </c>
      <c r="M241" s="27" t="n">
        <v>1.70922</v>
      </c>
      <c r="N241" s="28" t="n">
        <v>0.585062</v>
      </c>
      <c r="O241" s="28" t="n">
        <v>0.6009910000000001</v>
      </c>
      <c r="P241" s="28" t="n">
        <v>0.042131</v>
      </c>
      <c r="Q241" s="28" t="n">
        <v>0.015929</v>
      </c>
      <c r="R241" s="26" t="n">
        <v>34</v>
      </c>
      <c r="S241" s="29" t="n">
        <v>1.5</v>
      </c>
      <c r="T241" s="24" t="inlineStr">
        <is>
          <t>measured-edge-margin-v2</t>
        </is>
      </c>
      <c r="U241" s="24" t="inlineStr">
        <is>
          <t>open</t>
        </is>
      </c>
      <c r="V241" s="24" t="n"/>
      <c r="W241" s="26" t="n"/>
      <c r="X241" s="26" t="n"/>
      <c r="Y241" s="25" t="n"/>
      <c r="Z241" s="26" t="n"/>
      <c r="AA241" s="28" t="n"/>
      <c r="AB241" s="28" t="n"/>
      <c r="AC241" s="30" t="n"/>
      <c r="AD241" s="24" t="n"/>
      <c r="AE241" s="31" t="inlineStr">
        <is>
          <t>Measured Edge Margin: Trend Engine projected 4.86-4.74; raw selected-side p=0.6539, calibrated p=0.6010.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3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mlb-det</t>
        </is>
      </c>
      <c r="AQ241" s="24" t="inlineStr">
        <is>
          <t>Detroit Tigers</t>
        </is>
      </c>
      <c r="AR241" s="24" t="inlineStr">
        <is>
          <t>Detroit Tigers</t>
        </is>
      </c>
      <c r="AS241" s="24" t="inlineStr">
        <is>
          <t>mlb-ath</t>
        </is>
      </c>
      <c r="AT241" s="24" t="inlineStr">
        <is>
          <t>Athletics</t>
        </is>
      </c>
      <c r="AU241" s="24" t="inlineStr">
        <is>
          <t>Athletics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8360b122264b796b0fb193095cfe4506c7e064e5f3f8c0a659aec41efd08dd25</t>
        </is>
      </c>
      <c r="BB241" s="24" t="inlineStr">
        <is>
          <t>flat_probability_shrinkage_toward_half</t>
        </is>
      </c>
      <c r="BC241" s="24" t="inlineStr">
        <is>
          <t>measured-edge-margin-v2</t>
        </is>
      </c>
      <c r="BD241" s="24" t="inlineStr">
        <is>
          <t>8360b122264b796b0fb193095cfe4506c7e064e5f3f8c0a659aec41efd08dd25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2026-08-02T15:47:52.139141Z</t>
        </is>
      </c>
      <c r="BI241" s="24" t="inlineStr">
        <is>
          <t>["same_event","same_team_same_day","same_league_same_day"]</t>
        </is>
      </c>
      <c r="BJ241" s="25" t="n">
        <v>1.5</v>
      </c>
      <c r="BK241" s="26" t="n">
        <v>-141</v>
      </c>
      <c r="BL241" s="27" t="n">
        <v>1.70922</v>
      </c>
      <c r="BM241" s="28" t="n">
        <v>0.585062</v>
      </c>
      <c r="BN241" s="28" t="n">
        <v>0.58209</v>
      </c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inlineStr">
        <is>
          <t>True</t>
        </is>
      </c>
    </row>
    <row r="242" ht="36" customHeight="1">
      <c r="A242" s="24" t="inlineStr">
        <is>
          <t>a638185ee16e4740</t>
        </is>
      </c>
      <c r="B242" s="24" t="inlineStr">
        <is>
          <t>2026-08-02T15:47:52.139141Z</t>
        </is>
      </c>
      <c r="C242" s="24" t="inlineStr">
        <is>
          <t>2026-08-02T20:05Z</t>
        </is>
      </c>
      <c r="D242" s="24" t="inlineStr">
        <is>
          <t>401816373</t>
        </is>
      </c>
      <c r="E242" s="24" t="inlineStr">
        <is>
          <t>MLB</t>
        </is>
      </c>
      <c r="F242" s="24" t="inlineStr">
        <is>
          <t>Detroit Tigers</t>
        </is>
      </c>
      <c r="G242" s="24" t="inlineStr">
        <is>
          <t>Athletics</t>
        </is>
      </c>
      <c r="H242" s="24" t="inlineStr">
        <is>
          <t>total</t>
        </is>
      </c>
      <c r="I242" s="24" t="inlineStr">
        <is>
          <t>under</t>
        </is>
      </c>
      <c r="J242" s="25" t="n">
        <v>10.5</v>
      </c>
      <c r="K242" s="24" t="inlineStr">
        <is>
          <t>polymarket_us</t>
        </is>
      </c>
      <c r="L242" s="26" t="n">
        <v>111</v>
      </c>
      <c r="M242" s="27" t="n">
        <v>2.11</v>
      </c>
      <c r="N242" s="28" t="n">
        <v>0.473934</v>
      </c>
      <c r="O242" s="28" t="n">
        <v>0.546169</v>
      </c>
      <c r="P242" s="28" t="n">
        <v>0.042131</v>
      </c>
      <c r="Q242" s="28" t="n">
        <v>0.07223499999999999</v>
      </c>
      <c r="R242" s="26" t="n">
        <v>61</v>
      </c>
      <c r="S242" s="29" t="n">
        <v>1</v>
      </c>
      <c r="T242" s="24" t="inlineStr">
        <is>
          <t>measured-edge-totals-v2</t>
        </is>
      </c>
      <c r="U242" s="24" t="inlineStr">
        <is>
          <t>open</t>
        </is>
      </c>
      <c r="V242" s="24" t="n"/>
      <c r="W242" s="26" t="n"/>
      <c r="X242" s="26" t="n"/>
      <c r="Y242" s="25" t="n"/>
      <c r="Z242" s="26" t="n"/>
      <c r="AA242" s="28" t="n"/>
      <c r="AB242" s="28" t="n"/>
      <c r="AC242" s="30" t="n"/>
      <c r="AD242" s="24" t="n"/>
      <c r="AE242" s="31" t="inlineStr">
        <is>
          <t>Measured Edge Totals: Trend Engine projected 4.86-4.74; raw selected-side p=0.6119, calibrated p=0.5462.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3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mlb-det</t>
        </is>
      </c>
      <c r="AQ242" s="24" t="inlineStr">
        <is>
          <t>Detroit Tigers</t>
        </is>
      </c>
      <c r="AR242" s="24" t="inlineStr">
        <is>
          <t>Detroit Tigers</t>
        </is>
      </c>
      <c r="AS242" s="24" t="inlineStr">
        <is>
          <t>mlb-ath</t>
        </is>
      </c>
      <c r="AT242" s="24" t="inlineStr">
        <is>
          <t>Athletics</t>
        </is>
      </c>
      <c r="AU242" s="24" t="inlineStr">
        <is>
          <t>Athletics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433578016242b27f9c1c7132cc6b5a2bcc7dd1b0234590c12a944455a88e71bd</t>
        </is>
      </c>
      <c r="BB242" s="24" t="inlineStr">
        <is>
          <t>flat_probability_shrinkage_toward_half</t>
        </is>
      </c>
      <c r="BC242" s="24" t="inlineStr">
        <is>
          <t>measured-edge-totals-v2</t>
        </is>
      </c>
      <c r="BD242" s="24" t="inlineStr">
        <is>
          <t>433578016242b27f9c1c7132cc6b5a2bcc7dd1b0234590c12a944455a88e71bd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2026-08-02T15:47:52.139141Z</t>
        </is>
      </c>
      <c r="BI242" s="24" t="inlineStr">
        <is>
          <t>["same_event","same_team_same_day","same_league_same_day"]</t>
        </is>
      </c>
      <c r="BJ242" s="25" t="n">
        <v>10.5</v>
      </c>
      <c r="BK242" s="26" t="n">
        <v>111</v>
      </c>
      <c r="BL242" s="27" t="n">
        <v>2.11</v>
      </c>
      <c r="BM242" s="28" t="n">
        <v>0.473934</v>
      </c>
      <c r="BN242" s="28" t="n">
        <v>0.472637</v>
      </c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inlineStr">
        <is>
          <t>True</t>
        </is>
      </c>
    </row>
    <row r="243" ht="36" customHeight="1">
      <c r="A243" s="24" t="inlineStr">
        <is>
          <t>a82a273620444306</t>
        </is>
      </c>
      <c r="B243" s="24" t="inlineStr">
        <is>
          <t>2026-08-02T15:47:52.139141Z</t>
        </is>
      </c>
      <c r="C243" s="24" t="inlineStr">
        <is>
          <t>2026-08-02T20:10Z</t>
        </is>
      </c>
      <c r="D243" s="24" t="inlineStr">
        <is>
          <t>401816375</t>
        </is>
      </c>
      <c r="E243" s="24" t="inlineStr">
        <is>
          <t>MLB</t>
        </is>
      </c>
      <c r="F243" s="24" t="inlineStr">
        <is>
          <t>Minnesota Twins</t>
        </is>
      </c>
      <c r="G243" s="24" t="inlineStr">
        <is>
          <t>Seattle Mariners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-174</v>
      </c>
      <c r="M243" s="27" t="n">
        <v>1.574713</v>
      </c>
      <c r="N243" s="28" t="n">
        <v>0.635036</v>
      </c>
      <c r="O243" s="28" t="n">
        <v>0.606732</v>
      </c>
      <c r="P243" s="28" t="n">
        <v>0.042131</v>
      </c>
      <c r="Q243" s="28" t="n">
        <v>-0.028304</v>
      </c>
      <c r="R243" s="26" t="n">
        <v>12</v>
      </c>
      <c r="S243" s="29" t="n">
        <v>1.5</v>
      </c>
      <c r="T243" s="24" t="inlineStr">
        <is>
          <t>measured-edge-margin-v2</t>
        </is>
      </c>
      <c r="U243" s="24" t="inlineStr">
        <is>
          <t>open</t>
        </is>
      </c>
      <c r="V243" s="24" t="n"/>
      <c r="W243" s="26" t="n"/>
      <c r="X243" s="26" t="n"/>
      <c r="Y243" s="25" t="n"/>
      <c r="Z243" s="26" t="n"/>
      <c r="AA243" s="28" t="n"/>
      <c r="AB243" s="28" t="n"/>
      <c r="AC243" s="30" t="n"/>
      <c r="AD243" s="24" t="n"/>
      <c r="AE243" s="31" t="inlineStr">
        <is>
          <t>Measured Edge Margin: Trend Engine projected 4.39-4.46; raw selected-side p=0.6626, calibrated p=0.6067.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3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mlb-min</t>
        </is>
      </c>
      <c r="AQ243" s="24" t="inlineStr">
        <is>
          <t>Minnesota Twins</t>
        </is>
      </c>
      <c r="AR243" s="24" t="inlineStr">
        <is>
          <t>Minnesota Twins</t>
        </is>
      </c>
      <c r="AS243" s="24" t="inlineStr">
        <is>
          <t>mlb-sea</t>
        </is>
      </c>
      <c r="AT243" s="24" t="inlineStr">
        <is>
          <t>Seattle Mariners</t>
        </is>
      </c>
      <c r="AU243" s="24" t="inlineStr">
        <is>
          <t>Seattle Mariners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8360b122264b796b0fb193095cfe4506c7e064e5f3f8c0a659aec41efd08dd25</t>
        </is>
      </c>
      <c r="BB243" s="24" t="inlineStr">
        <is>
          <t>flat_probability_shrinkage_toward_half</t>
        </is>
      </c>
      <c r="BC243" s="24" t="inlineStr">
        <is>
          <t>measured-edge-margin-v2</t>
        </is>
      </c>
      <c r="BD243" s="24" t="inlineStr">
        <is>
          <t>8360b122264b796b0fb193095cfe4506c7e064e5f3f8c0a659aec41efd08dd25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2026-08-02T15:47:52.139141Z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-174</v>
      </c>
      <c r="BL243" s="27" t="n">
        <v>1.574713</v>
      </c>
      <c r="BM243" s="28" t="n">
        <v>0.635036</v>
      </c>
      <c r="BN243" s="28" t="n">
        <v>0.631841</v>
      </c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inlineStr">
        <is>
          <t>False</t>
        </is>
      </c>
    </row>
    <row r="244" ht="36" customHeight="1">
      <c r="A244" s="24" t="inlineStr">
        <is>
          <t>fae639a57f154386</t>
        </is>
      </c>
      <c r="B244" s="24" t="inlineStr">
        <is>
          <t>2026-08-02T15:47:52.139141Z</t>
        </is>
      </c>
      <c r="C244" s="24" t="inlineStr">
        <is>
          <t>2026-08-02T20:10Z</t>
        </is>
      </c>
      <c r="D244" s="24" t="inlineStr">
        <is>
          <t>401816375</t>
        </is>
      </c>
      <c r="E244" s="24" t="inlineStr">
        <is>
          <t>MLB</t>
        </is>
      </c>
      <c r="F244" s="24" t="inlineStr">
        <is>
          <t>Minnesota Twins</t>
        </is>
      </c>
      <c r="G244" s="24" t="inlineStr">
        <is>
          <t>Seattle Mariners</t>
        </is>
      </c>
      <c r="H244" s="24" t="inlineStr">
        <is>
          <t>total</t>
        </is>
      </c>
      <c r="I244" s="24" t="inlineStr">
        <is>
          <t>over</t>
        </is>
      </c>
      <c r="J244" s="25" t="n">
        <v>7.5</v>
      </c>
      <c r="K244" s="24" t="inlineStr">
        <is>
          <t>polymarket_us</t>
        </is>
      </c>
      <c r="L244" s="26" t="n">
        <v>125</v>
      </c>
      <c r="M244" s="27" t="n">
        <v>2.25</v>
      </c>
      <c r="N244" s="28" t="n">
        <v>0.444444</v>
      </c>
      <c r="O244" s="28" t="n">
        <v>0.535064</v>
      </c>
      <c r="P244" s="28" t="n">
        <v>0.042131</v>
      </c>
      <c r="Q244" s="28" t="n">
        <v>0.09062000000000001</v>
      </c>
      <c r="R244" s="26" t="n">
        <v>71</v>
      </c>
      <c r="S244" s="29" t="n">
        <v>1</v>
      </c>
      <c r="T244" s="24" t="inlineStr">
        <is>
          <t>measured-edge-totals-v2</t>
        </is>
      </c>
      <c r="U244" s="24" t="inlineStr">
        <is>
          <t>open</t>
        </is>
      </c>
      <c r="V244" s="24" t="n"/>
      <c r="W244" s="26" t="n"/>
      <c r="X244" s="26" t="n"/>
      <c r="Y244" s="25" t="n"/>
      <c r="Z244" s="26" t="n"/>
      <c r="AA244" s="28" t="n"/>
      <c r="AB244" s="28" t="n"/>
      <c r="AC244" s="30" t="n"/>
      <c r="AD244" s="24" t="n"/>
      <c r="AE244" s="31" t="inlineStr">
        <is>
          <t>Measured Edge Totals: Trend Engine projected 4.39-4.46; raw selected-side p=0.5794, calibrated p=0.5351.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3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mlb-min</t>
        </is>
      </c>
      <c r="AQ244" s="24" t="inlineStr">
        <is>
          <t>Minnesota Twins</t>
        </is>
      </c>
      <c r="AR244" s="24" t="inlineStr">
        <is>
          <t>Minnesota Twins</t>
        </is>
      </c>
      <c r="AS244" s="24" t="inlineStr">
        <is>
          <t>mlb-sea</t>
        </is>
      </c>
      <c r="AT244" s="24" t="inlineStr">
        <is>
          <t>Seattle Mariners</t>
        </is>
      </c>
      <c r="AU244" s="24" t="inlineStr">
        <is>
          <t>Seattle Mariners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433578016242b27f9c1c7132cc6b5a2bcc7dd1b0234590c12a944455a88e71bd</t>
        </is>
      </c>
      <c r="BB244" s="24" t="inlineStr">
        <is>
          <t>flat_probability_shrinkage_toward_half</t>
        </is>
      </c>
      <c r="BC244" s="24" t="inlineStr">
        <is>
          <t>measured-edge-totals-v2</t>
        </is>
      </c>
      <c r="BD244" s="24" t="inlineStr">
        <is>
          <t>433578016242b27f9c1c7132cc6b5a2bcc7dd1b0234590c12a944455a88e71bd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2026-08-02T15:47:52.139141Z</t>
        </is>
      </c>
      <c r="BI244" s="24" t="inlineStr">
        <is>
          <t>["same_event","same_team_same_day","same_league_same_day"]</t>
        </is>
      </c>
      <c r="BJ244" s="25" t="n">
        <v>7.5</v>
      </c>
      <c r="BK244" s="26" t="n">
        <v>125</v>
      </c>
      <c r="BL244" s="27" t="n">
        <v>2.25</v>
      </c>
      <c r="BM244" s="28" t="n">
        <v>0.444444</v>
      </c>
      <c r="BN244" s="28" t="n">
        <v>0.442786</v>
      </c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inlineStr">
        <is>
          <t>True</t>
        </is>
      </c>
    </row>
    <row r="245" ht="36" customHeight="1">
      <c r="A245" s="24" t="inlineStr">
        <is>
          <t>6312d2a9128849b4</t>
        </is>
      </c>
      <c r="B245" s="24" t="inlineStr">
        <is>
          <t>2026-08-02T15:47:52.139141Z</t>
        </is>
      </c>
      <c r="C245" s="24" t="inlineStr">
        <is>
          <t>2026-08-02T20:10Z</t>
        </is>
      </c>
      <c r="D245" s="24" t="inlineStr">
        <is>
          <t>401816376</t>
        </is>
      </c>
      <c r="E245" s="24" t="inlineStr">
        <is>
          <t>MLB</t>
        </is>
      </c>
      <c r="F245" s="24" t="inlineStr">
        <is>
          <t>San Francisco Giants</t>
        </is>
      </c>
      <c r="G245" s="24" t="inlineStr">
        <is>
          <t>San Diego Padres</t>
        </is>
      </c>
      <c r="H245" s="24" t="inlineStr">
        <is>
          <t>spread</t>
        </is>
      </c>
      <c r="I245" s="24" t="inlineStr">
        <is>
          <t>away</t>
        </is>
      </c>
      <c r="J245" s="25" t="n">
        <v>1.5</v>
      </c>
      <c r="K245" s="24" t="inlineStr">
        <is>
          <t>polymarket_us</t>
        </is>
      </c>
      <c r="L245" s="26" t="n">
        <v>-156</v>
      </c>
      <c r="M245" s="27" t="n">
        <v>1.641026</v>
      </c>
      <c r="N245" s="28" t="n">
        <v>0.609375</v>
      </c>
      <c r="O245" s="28" t="n">
        <v>0.583047</v>
      </c>
      <c r="P245" s="28" t="n">
        <v>0.042131</v>
      </c>
      <c r="Q245" s="28" t="n">
        <v>-0.026328</v>
      </c>
      <c r="R245" s="26" t="n">
        <v>13</v>
      </c>
      <c r="S245" s="29" t="n">
        <v>1.25</v>
      </c>
      <c r="T245" s="24" t="inlineStr">
        <is>
          <t>measured-edge-margin-v2</t>
        </is>
      </c>
      <c r="U245" s="24" t="inlineStr">
        <is>
          <t>open</t>
        </is>
      </c>
      <c r="V245" s="24" t="n"/>
      <c r="W245" s="26" t="n"/>
      <c r="X245" s="26" t="n"/>
      <c r="Y245" s="25" t="n"/>
      <c r="Z245" s="26" t="n"/>
      <c r="AA245" s="28" t="n"/>
      <c r="AB245" s="28" t="n"/>
      <c r="AC245" s="30" t="n"/>
      <c r="AD245" s="24" t="n"/>
      <c r="AE245" s="31" t="inlineStr">
        <is>
          <t>Measured Edge Margin: Trend Engine projected 4.27-4.69; raw selected-side p=0.6265, calibrated p=0.5830.</t>
        </is>
      </c>
      <c r="AF245" s="31" t="inlineStr">
        <is>
          <t>Research-only; lineup, bullpen, park, weather, xFIP, and wRC+ may be neutral fallbacks; market availability and BBO depth may change before first pitch.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3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mlb-sf</t>
        </is>
      </c>
      <c r="AQ245" s="24" t="inlineStr">
        <is>
          <t>San Francisco Giants</t>
        </is>
      </c>
      <c r="AR245" s="24" t="inlineStr">
        <is>
          <t>San Francisco Giants</t>
        </is>
      </c>
      <c r="AS245" s="24" t="inlineStr">
        <is>
          <t>mlb-sd</t>
        </is>
      </c>
      <c r="AT245" s="24" t="inlineStr">
        <is>
          <t>San Diego Padres</t>
        </is>
      </c>
      <c r="AU245" s="24" t="inlineStr">
        <is>
          <t>San Diego Padres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8360b122264b796b0fb193095cfe4506c7e064e5f3f8c0a659aec41efd08dd25</t>
        </is>
      </c>
      <c r="BB245" s="24" t="inlineStr">
        <is>
          <t>flat_probability_shrinkage_toward_half</t>
        </is>
      </c>
      <c r="BC245" s="24" t="inlineStr">
        <is>
          <t>measured-edge-margin-v2</t>
        </is>
      </c>
      <c r="BD245" s="24" t="inlineStr">
        <is>
          <t>8360b122264b796b0fb193095cfe4506c7e064e5f3f8c0a659aec41efd08dd25</t>
        </is>
      </c>
      <c r="BE245" s="24" t="inlineStr">
        <is>
          <t>v3</t>
        </is>
      </c>
      <c r="BF245" s="24" t="inlineStr">
        <is>
          <t>1</t>
        </is>
      </c>
      <c r="BG245" s="24" t="inlineStr">
        <is>
          <t>measured-edge-paired-v1</t>
        </is>
      </c>
      <c r="BH245" s="24" t="inlineStr">
        <is>
          <t>2026-08-02T15:47:52.139141Z</t>
        </is>
      </c>
      <c r="BI245" s="24" t="inlineStr">
        <is>
          <t>["same_event","same_team_same_day","same_league_same_day"]</t>
        </is>
      </c>
      <c r="BJ245" s="25" t="n">
        <v>1.5</v>
      </c>
      <c r="BK245" s="26" t="n">
        <v>-156</v>
      </c>
      <c r="BL245" s="27" t="n">
        <v>1.641026</v>
      </c>
      <c r="BM245" s="28" t="n">
        <v>0.609375</v>
      </c>
      <c r="BN245" s="28" t="n">
        <v>0.606965</v>
      </c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inlineStr">
        <is>
          <t>False</t>
        </is>
      </c>
    </row>
    <row r="246" ht="36" customHeight="1">
      <c r="A246" s="24" t="inlineStr">
        <is>
          <t>7e9355c9380d4185</t>
        </is>
      </c>
      <c r="B246" s="24" t="inlineStr">
        <is>
          <t>2026-08-02T15:47:52.139141Z</t>
        </is>
      </c>
      <c r="C246" s="24" t="inlineStr">
        <is>
          <t>2026-08-02T20:10Z</t>
        </is>
      </c>
      <c r="D246" s="24" t="inlineStr">
        <is>
          <t>401816376</t>
        </is>
      </c>
      <c r="E246" s="24" t="inlineStr">
        <is>
          <t>MLB</t>
        </is>
      </c>
      <c r="F246" s="24" t="inlineStr">
        <is>
          <t>San Francisco Giants</t>
        </is>
      </c>
      <c r="G246" s="24" t="inlineStr">
        <is>
          <t>San Diego Padres</t>
        </is>
      </c>
      <c r="H246" s="24" t="inlineStr">
        <is>
          <t>total</t>
        </is>
      </c>
      <c r="I246" s="24" t="inlineStr">
        <is>
          <t>over</t>
        </is>
      </c>
      <c r="J246" s="25" t="n">
        <v>8.5</v>
      </c>
      <c r="K246" s="24" t="inlineStr">
        <is>
          <t>polymarket_us</t>
        </is>
      </c>
      <c r="L246" s="26" t="n">
        <v>115</v>
      </c>
      <c r="M246" s="27" t="n">
        <v>2.15</v>
      </c>
      <c r="N246" s="28" t="n">
        <v>0.465116</v>
      </c>
      <c r="O246" s="28" t="n">
        <v>0.510752</v>
      </c>
      <c r="P246" s="28" t="n">
        <v>0.042131</v>
      </c>
      <c r="Q246" s="28" t="n">
        <v>0.045636</v>
      </c>
      <c r="R246" s="26" t="n">
        <v>49</v>
      </c>
      <c r="S246" s="29" t="n">
        <v>1</v>
      </c>
      <c r="T246" s="24" t="inlineStr">
        <is>
          <t>measured-edge-totals-v2</t>
        </is>
      </c>
      <c r="U246" s="24" t="inlineStr">
        <is>
          <t>open</t>
        </is>
      </c>
      <c r="V246" s="24" t="n"/>
      <c r="W246" s="26" t="n"/>
      <c r="X246" s="26" t="n"/>
      <c r="Y246" s="25" t="n"/>
      <c r="Z246" s="26" t="n"/>
      <c r="AA246" s="28" t="n"/>
      <c r="AB246" s="28" t="n"/>
      <c r="AC246" s="30" t="n"/>
      <c r="AD246" s="24" t="n"/>
      <c r="AE246" s="31" t="inlineStr">
        <is>
          <t>Measured Edge Totals: Trend Engine projected 4.27-4.69; raw selected-side p=0.5082, calibrated p=0.5108.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mlb-sf</t>
        </is>
      </c>
      <c r="AQ246" s="24" t="inlineStr">
        <is>
          <t>San Francisco Giants</t>
        </is>
      </c>
      <c r="AR246" s="24" t="inlineStr">
        <is>
          <t>San Francisco Giants</t>
        </is>
      </c>
      <c r="AS246" s="24" t="inlineStr">
        <is>
          <t>mlb-sd</t>
        </is>
      </c>
      <c r="AT246" s="24" t="inlineStr">
        <is>
          <t>San Diego Padres</t>
        </is>
      </c>
      <c r="AU246" s="24" t="inlineStr">
        <is>
          <t>San Diego Padres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433578016242b27f9c1c7132cc6b5a2bcc7dd1b0234590c12a944455a88e71bd</t>
        </is>
      </c>
      <c r="BB246" s="24" t="inlineStr">
        <is>
          <t>flat_probability_shrinkage_toward_half</t>
        </is>
      </c>
      <c r="BC246" s="24" t="inlineStr">
        <is>
          <t>measured-edge-totals-v2</t>
        </is>
      </c>
      <c r="BD246" s="24" t="inlineStr">
        <is>
          <t>433578016242b27f9c1c7132cc6b5a2bcc7dd1b0234590c12a944455a88e71bd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2026-08-02T15:47:52.139141Z</t>
        </is>
      </c>
      <c r="BI246" s="24" t="inlineStr">
        <is>
          <t>["same_event","same_team_same_day","same_league_same_day"]</t>
        </is>
      </c>
      <c r="BJ246" s="25" t="n">
        <v>8.5</v>
      </c>
      <c r="BK246" s="26" t="n">
        <v>115</v>
      </c>
      <c r="BL246" s="27" t="n">
        <v>2.15</v>
      </c>
      <c r="BM246" s="28" t="n">
        <v>0.465116</v>
      </c>
      <c r="BN246" s="28" t="n">
        <v>0.462687</v>
      </c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inlineStr">
        <is>
          <t>True</t>
        </is>
      </c>
    </row>
    <row r="247" ht="36" customHeight="1">
      <c r="A247" s="24" t="inlineStr">
        <is>
          <t>85eefd84a9614a40</t>
        </is>
      </c>
      <c r="B247" s="24" t="inlineStr">
        <is>
          <t>2026-08-02T15:47:52.139141Z</t>
        </is>
      </c>
      <c r="C247" s="24" t="inlineStr">
        <is>
          <t>2026-08-02T23:20Z</t>
        </is>
      </c>
      <c r="D247" s="24" t="inlineStr">
        <is>
          <t>401816372</t>
        </is>
      </c>
      <c r="E247" s="24" t="inlineStr">
        <is>
          <t>MLB</t>
        </is>
      </c>
      <c r="F247" s="24" t="inlineStr">
        <is>
          <t>Boston Red Sox</t>
        </is>
      </c>
      <c r="G247" s="24" t="inlineStr">
        <is>
          <t>Los Angeles Dodgers</t>
        </is>
      </c>
      <c r="H247" s="24" t="inlineStr">
        <is>
          <t>spread</t>
        </is>
      </c>
      <c r="I247" s="24" t="inlineStr">
        <is>
          <t>away</t>
        </is>
      </c>
      <c r="J247" s="25" t="n">
        <v>1.5</v>
      </c>
      <c r="K247" s="24" t="inlineStr">
        <is>
          <t>polymarket_us</t>
        </is>
      </c>
      <c r="L247" s="26" t="n">
        <v>-127</v>
      </c>
      <c r="M247" s="27" t="n">
        <v>1.787402</v>
      </c>
      <c r="N247" s="28" t="n">
        <v>0.5594710000000001</v>
      </c>
      <c r="O247" s="28" t="n">
        <v>0.632943</v>
      </c>
      <c r="P247" s="28" t="n">
        <v>0.042131</v>
      </c>
      <c r="Q247" s="28" t="n">
        <v>0.073472</v>
      </c>
      <c r="R247" s="26" t="n">
        <v>63</v>
      </c>
      <c r="S247" s="29" t="n">
        <v>1.5</v>
      </c>
      <c r="T247" s="24" t="inlineStr">
        <is>
          <t>measured-edge-margin-v2</t>
        </is>
      </c>
      <c r="U247" s="24" t="inlineStr">
        <is>
          <t>open</t>
        </is>
      </c>
      <c r="V247" s="24" t="n"/>
      <c r="W247" s="26" t="n"/>
      <c r="X247" s="26" t="n"/>
      <c r="Y247" s="25" t="n"/>
      <c r="Z247" s="26" t="n"/>
      <c r="AA247" s="28" t="n"/>
      <c r="AB247" s="28" t="n"/>
      <c r="AC247" s="30" t="n"/>
      <c r="AD247" s="24" t="n"/>
      <c r="AE247" s="31" t="inlineStr">
        <is>
          <t>Measured Edge Margin: Trend Engine projected 4.62-4.38; raw selected-side p=0.7026, calibrated p=0.6329.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3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mlb-bos</t>
        </is>
      </c>
      <c r="AQ247" s="24" t="inlineStr">
        <is>
          <t>Boston Red Sox</t>
        </is>
      </c>
      <c r="AR247" s="24" t="inlineStr">
        <is>
          <t>Boston Red Sox</t>
        </is>
      </c>
      <c r="AS247" s="24" t="inlineStr">
        <is>
          <t>mlb-lad</t>
        </is>
      </c>
      <c r="AT247" s="24" t="inlineStr">
        <is>
          <t>Los Angeles Dodgers</t>
        </is>
      </c>
      <c r="AU247" s="24" t="inlineStr">
        <is>
          <t>Los Angeles Dodgers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8360b122264b796b0fb193095cfe4506c7e064e5f3f8c0a659aec41efd08dd25</t>
        </is>
      </c>
      <c r="BB247" s="24" t="inlineStr">
        <is>
          <t>flat_probability_shrinkage_toward_half</t>
        </is>
      </c>
      <c r="BC247" s="24" t="inlineStr">
        <is>
          <t>measured-edge-margin-v2</t>
        </is>
      </c>
      <c r="BD247" s="24" t="inlineStr">
        <is>
          <t>8360b122264b796b0fb193095cfe4506c7e064e5f3f8c0a659aec41efd08dd25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2026-08-02T15:47:52.139141Z</t>
        </is>
      </c>
      <c r="BI247" s="24" t="inlineStr">
        <is>
          <t>["same_event","same_team_same_day","same_league_same_day"]</t>
        </is>
      </c>
      <c r="BJ247" s="25" t="n">
        <v>1.5</v>
      </c>
      <c r="BK247" s="26" t="n">
        <v>-127</v>
      </c>
      <c r="BL247" s="27" t="n">
        <v>1.787402</v>
      </c>
      <c r="BM247" s="28" t="n">
        <v>0.5594710000000001</v>
      </c>
      <c r="BN247" s="28" t="n">
        <v>0.557214</v>
      </c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inlineStr">
        <is>
          <t>True</t>
        </is>
      </c>
    </row>
    <row r="248" ht="36" customHeight="1">
      <c r="A248" s="24" t="inlineStr">
        <is>
          <t>f767178f8f5744e2</t>
        </is>
      </c>
      <c r="B248" s="24" t="inlineStr">
        <is>
          <t>2026-08-02T15:47:52.139141Z</t>
        </is>
      </c>
      <c r="C248" s="24" t="inlineStr">
        <is>
          <t>2026-08-02T23:20Z</t>
        </is>
      </c>
      <c r="D248" s="24" t="inlineStr">
        <is>
          <t>401816372</t>
        </is>
      </c>
      <c r="E248" s="24" t="inlineStr">
        <is>
          <t>MLB</t>
        </is>
      </c>
      <c r="F248" s="24" t="inlineStr">
        <is>
          <t>Boston Red Sox</t>
        </is>
      </c>
      <c r="G248" s="24" t="inlineStr">
        <is>
          <t>Los Angeles Dodgers</t>
        </is>
      </c>
      <c r="H248" s="24" t="inlineStr">
        <is>
          <t>total</t>
        </is>
      </c>
      <c r="I248" s="24" t="inlineStr">
        <is>
          <t>over</t>
        </is>
      </c>
      <c r="J248" s="25" t="n">
        <v>8.5</v>
      </c>
      <c r="K248" s="24" t="inlineStr">
        <is>
          <t>polymarket_us</t>
        </is>
      </c>
      <c r="L248" s="26" t="n">
        <v>102</v>
      </c>
      <c r="M248" s="27" t="n">
        <v>2.02</v>
      </c>
      <c r="N248" s="28" t="n">
        <v>0.49505</v>
      </c>
      <c r="O248" s="28" t="n">
        <v>0.513964</v>
      </c>
      <c r="P248" s="28" t="n">
        <v>0.042131</v>
      </c>
      <c r="Q248" s="28" t="n">
        <v>0.018914</v>
      </c>
      <c r="R248" s="26" t="n">
        <v>35</v>
      </c>
      <c r="S248" s="29" t="n">
        <v>1</v>
      </c>
      <c r="T248" s="24" t="inlineStr">
        <is>
          <t>measured-edge-totals-v2</t>
        </is>
      </c>
      <c r="U248" s="24" t="inlineStr">
        <is>
          <t>open</t>
        </is>
      </c>
      <c r="V248" s="24" t="n"/>
      <c r="W248" s="26" t="n"/>
      <c r="X248" s="26" t="n"/>
      <c r="Y248" s="25" t="n"/>
      <c r="Z248" s="26" t="n"/>
      <c r="AA248" s="28" t="n"/>
      <c r="AB248" s="28" t="n"/>
      <c r="AC248" s="30" t="n"/>
      <c r="AD248" s="24" t="n"/>
      <c r="AE248" s="31" t="inlineStr">
        <is>
          <t>Measured Edge Totals: Trend Engine projected 4.62-4.38; raw selected-side p=0.5176, calibrated p=0.5140.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3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mlb-bos</t>
        </is>
      </c>
      <c r="AQ248" s="24" t="inlineStr">
        <is>
          <t>Boston Red Sox</t>
        </is>
      </c>
      <c r="AR248" s="24" t="inlineStr">
        <is>
          <t>Boston Red Sox</t>
        </is>
      </c>
      <c r="AS248" s="24" t="inlineStr">
        <is>
          <t>mlb-lad</t>
        </is>
      </c>
      <c r="AT248" s="24" t="inlineStr">
        <is>
          <t>Los Angeles Dodgers</t>
        </is>
      </c>
      <c r="AU248" s="24" t="inlineStr">
        <is>
          <t>Los Angeles Dodgers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433578016242b27f9c1c7132cc6b5a2bcc7dd1b0234590c12a944455a88e71bd</t>
        </is>
      </c>
      <c r="BB248" s="24" t="inlineStr">
        <is>
          <t>flat_probability_shrinkage_toward_half</t>
        </is>
      </c>
      <c r="BC248" s="24" t="inlineStr">
        <is>
          <t>measured-edge-totals-v2</t>
        </is>
      </c>
      <c r="BD248" s="24" t="inlineStr">
        <is>
          <t>433578016242b27f9c1c7132cc6b5a2bcc7dd1b0234590c12a944455a88e71bd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2026-08-02T15:47:52.139141Z</t>
        </is>
      </c>
      <c r="BI248" s="24" t="inlineStr">
        <is>
          <t>["same_event","same_team_same_day","same_league_same_day"]</t>
        </is>
      </c>
      <c r="BJ248" s="25" t="n">
        <v>8.5</v>
      </c>
      <c r="BK248" s="26" t="n">
        <v>102</v>
      </c>
      <c r="BL248" s="27" t="n">
        <v>2.02</v>
      </c>
      <c r="BM248" s="28" t="n">
        <v>0.49505</v>
      </c>
      <c r="BN248" s="28" t="n">
        <v>0.492537</v>
      </c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inlineStr">
        <is>
          <t>True</t>
        </is>
      </c>
    </row>
    <row r="249" ht="36" customHeight="1">
      <c r="A249" s="24" t="inlineStr">
        <is>
          <t>83bd246a49504e1e</t>
        </is>
      </c>
      <c r="B249" s="24" t="inlineStr">
        <is>
          <t>2026-08-02T15:49:40.829108Z</t>
        </is>
      </c>
      <c r="C249" s="24" t="inlineStr">
        <is>
          <t>2026-08-02T17:30Z</t>
        </is>
      </c>
      <c r="D249" s="24" t="inlineStr">
        <is>
          <t>401841470</t>
        </is>
      </c>
      <c r="E249" s="24" t="inlineStr">
        <is>
          <t>SOCCER</t>
        </is>
      </c>
      <c r="F249" s="24" t="inlineStr">
        <is>
          <t>Gimnasia La Plata</t>
        </is>
      </c>
      <c r="G249" s="24" t="inlineStr">
        <is>
          <t>Aldosivi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233</v>
      </c>
      <c r="M249" s="27" t="n">
        <v>3.33</v>
      </c>
      <c r="N249" s="28" t="n">
        <v>0.3003</v>
      </c>
      <c r="O249" s="28" t="n">
        <v>0.456135</v>
      </c>
      <c r="P249" s="28" t="n">
        <v>0.2</v>
      </c>
      <c r="Q249" s="28" t="n">
        <v>0.155835</v>
      </c>
      <c r="R249" s="26" t="n">
        <v>8</v>
      </c>
      <c r="S249" s="29" t="n">
        <v>1</v>
      </c>
      <c r="T249" s="24" t="inlineStr">
        <is>
          <t>soccer-poisson-dc-v1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Poisson-DC rates 1.64 (home) / 1.24 (away) from EWMA attack/defense strengths. Executable ask 0.3000 (atc-lpa-ald-gim-2026-08-02-ald).</t>
        </is>
      </c>
      <c r="AF249" s="31" t="inlineStr">
        <is>
          <t>Research-only soccer score model; draw-aware, but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3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Gimnasia La Plata</t>
        </is>
      </c>
      <c r="AQ249" s="24" t="inlineStr">
        <is>
          <t>Gimnasia La Plata</t>
        </is>
      </c>
      <c r="AR249" s="24" t="inlineStr">
        <is>
          <t>Gimnasia La Plata</t>
        </is>
      </c>
      <c r="AS249" s="24" t="inlineStr">
        <is>
          <t>Aldosivi</t>
        </is>
      </c>
      <c r="AT249" s="24" t="inlineStr">
        <is>
          <t>Aldosivi</t>
        </is>
      </c>
      <c r="AU249" s="24" t="inlineStr">
        <is>
          <t>Aldosivi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34d1568aad0ff11b5db35f118324684f93281e1c21fa7b80be7a4a4e2cb4bb03</t>
        </is>
      </c>
      <c r="BB249" s="24" t="inlineStr">
        <is>
          <t>poisson_dixon_coles</t>
        </is>
      </c>
      <c r="BC249" s="24" t="inlineStr">
        <is>
          <t>soccer-poisson-dc-v1</t>
        </is>
      </c>
      <c r="BD249" s="24" t="inlineStr">
        <is>
          <t>34d1568aad0ff11b5db35f118324684f93281e1c21fa7b80be7a4a4e2cb4bb03</t>
        </is>
      </c>
      <c r="BE249" s="24" t="inlineStr">
        <is>
          <t>soccer-poisson-dc-v1</t>
        </is>
      </c>
      <c r="BF249" s="24" t="inlineStr">
        <is>
          <t>1</t>
        </is>
      </c>
      <c r="BG249" s="24" t="inlineStr">
        <is>
          <t>34d1568aad0ff11b5db35f118324684f93281e1c21fa7b80be7a4a4e2cb4bb03</t>
        </is>
      </c>
      <c r="BH249" s="24" t="inlineStr">
        <is>
          <t>2026-08-02T15:46:29.596146Z</t>
        </is>
      </c>
      <c r="BI249" s="24" t="inlineStr">
        <is>
          <t>["same_event","same_team_same_day","same_league_same_day"]</t>
        </is>
      </c>
      <c r="BJ249" s="25" t="n"/>
      <c r="BK249" s="26" t="n">
        <v>233</v>
      </c>
      <c r="BL249" s="27" t="n">
        <v>3.33</v>
      </c>
      <c r="BM249" s="28" t="n">
        <v>0.3003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inlineStr">
        <is>
          <t>True</t>
        </is>
      </c>
    </row>
    <row r="250" ht="36" customHeight="1">
      <c r="A250" s="24" t="inlineStr">
        <is>
          <t>8df46c92148e403e</t>
        </is>
      </c>
      <c r="B250" s="24" t="inlineStr">
        <is>
          <t>2026-08-02T15:49:40.829108Z</t>
        </is>
      </c>
      <c r="C250" s="24" t="inlineStr">
        <is>
          <t>2026-08-02T20:00Z</t>
        </is>
      </c>
      <c r="D250" s="24" t="inlineStr">
        <is>
          <t>401841473</t>
        </is>
      </c>
      <c r="E250" s="24" t="inlineStr">
        <is>
          <t>SOCCER</t>
        </is>
      </c>
      <c r="F250" s="24" t="inlineStr">
        <is>
          <t>Boca Juniors</t>
        </is>
      </c>
      <c r="G250" s="24" t="inlineStr">
        <is>
          <t>Newell's Old Boys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335</v>
      </c>
      <c r="M250" s="27" t="n">
        <v>4.35</v>
      </c>
      <c r="N250" s="28" t="n">
        <v>0.229885</v>
      </c>
      <c r="O250" s="28" t="n">
        <v>0.398039</v>
      </c>
      <c r="P250" s="28" t="n">
        <v>0.2</v>
      </c>
      <c r="Q250" s="28" t="n">
        <v>0.168154</v>
      </c>
      <c r="R250" s="26" t="n">
        <v>14</v>
      </c>
      <c r="S250" s="29" t="n">
        <v>1</v>
      </c>
      <c r="T250" s="24" t="inlineStr">
        <is>
          <t>soccer-poisson-dc-v1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Poisson-DC rates 1.46 (home) / 1.30 (away) from EWMA attack/defense strengths. Executable ask 0.2300 (atc-lpa-new-boc-2026-08-02-new).</t>
        </is>
      </c>
      <c r="AF250" s="31" t="inlineStr">
        <is>
          <t>Research-only soccer score model; draw-aware, but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3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Boca Juniors</t>
        </is>
      </c>
      <c r="AQ250" s="24" t="inlineStr">
        <is>
          <t>Boca Juniors</t>
        </is>
      </c>
      <c r="AR250" s="24" t="inlineStr">
        <is>
          <t>Boca Juniors</t>
        </is>
      </c>
      <c r="AS250" s="24" t="inlineStr">
        <is>
          <t>Newell's Old Boys</t>
        </is>
      </c>
      <c r="AT250" s="24" t="inlineStr">
        <is>
          <t>Newell's Old Boys</t>
        </is>
      </c>
      <c r="AU250" s="24" t="inlineStr">
        <is>
          <t>Newell's Old Boys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34d1568aad0ff11b5db35f118324684f93281e1c21fa7b80be7a4a4e2cb4bb03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34d1568aad0ff11b5db35f118324684f93281e1c21fa7b80be7a4a4e2cb4bb03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34d1568aad0ff11b5db35f118324684f93281e1c21fa7b80be7a4a4e2cb4bb03</t>
        </is>
      </c>
      <c r="BH250" s="24" t="inlineStr">
        <is>
          <t>2026-08-02T15:46:29.646850Z</t>
        </is>
      </c>
      <c r="BI250" s="24" t="inlineStr">
        <is>
          <t>["same_event","same_team_same_day","same_league_same_day"]</t>
        </is>
      </c>
      <c r="BJ250" s="25" t="n"/>
      <c r="BK250" s="26" t="n">
        <v>335</v>
      </c>
      <c r="BL250" s="27" t="n">
        <v>4.35</v>
      </c>
      <c r="BM250" s="28" t="n">
        <v>0.229885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inlineStr">
        <is>
          <t>True</t>
        </is>
      </c>
    </row>
    <row r="251" ht="36" customHeight="1">
      <c r="A251" s="24" t="inlineStr">
        <is>
          <t>ae3758ca0daa4299</t>
        </is>
      </c>
      <c r="B251" s="24" t="inlineStr">
        <is>
          <t>2026-08-02T15:49:40.829108Z</t>
        </is>
      </c>
      <c r="C251" s="24" t="inlineStr">
        <is>
          <t>2026-08-02T22:15Z</t>
        </is>
      </c>
      <c r="D251" s="24" t="inlineStr">
        <is>
          <t>401841476</t>
        </is>
      </c>
      <c r="E251" s="24" t="inlineStr">
        <is>
          <t>SOCCER</t>
        </is>
      </c>
      <c r="F251" s="24" t="inlineStr">
        <is>
          <t>Rosario Central</t>
        </is>
      </c>
      <c r="G251" s="24" t="inlineStr">
        <is>
          <t>River Plate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113</v>
      </c>
      <c r="M251" s="27" t="n">
        <v>2.13</v>
      </c>
      <c r="N251" s="28" t="n">
        <v>0.469484</v>
      </c>
      <c r="O251" s="28" t="n">
        <v>0.5359159999999999</v>
      </c>
      <c r="P251" s="28" t="n">
        <v>0.2</v>
      </c>
      <c r="Q251" s="28" t="n">
        <v>0.066432</v>
      </c>
      <c r="R251" s="26" t="n">
        <v>0</v>
      </c>
      <c r="S251" s="29" t="n">
        <v>1</v>
      </c>
      <c r="T251" s="24" t="inlineStr">
        <is>
          <t>soccer-poisson-dc-v1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Poisson-DC rates 1.84 (home) / 1.10 (away) from EWMA attack/defense strengths. Executable ask 0.4700 (atc-lpa-riv-ros-2026-08-02-riv).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3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Rosario Central</t>
        </is>
      </c>
      <c r="AQ251" s="24" t="inlineStr">
        <is>
          <t>Rosario Central</t>
        </is>
      </c>
      <c r="AR251" s="24" t="inlineStr">
        <is>
          <t>Rosario Central</t>
        </is>
      </c>
      <c r="AS251" s="24" t="inlineStr">
        <is>
          <t>River Plate</t>
        </is>
      </c>
      <c r="AT251" s="24" t="inlineStr">
        <is>
          <t>River Plate</t>
        </is>
      </c>
      <c r="AU251" s="24" t="inlineStr">
        <is>
          <t>River Plate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34d1568aad0ff11b5db35f118324684f93281e1c21fa7b80be7a4a4e2cb4bb03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34d1568aad0ff11b5db35f118324684f93281e1c21fa7b80be7a4a4e2cb4bb03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34d1568aad0ff11b5db35f118324684f93281e1c21fa7b80be7a4a4e2cb4bb03</t>
        </is>
      </c>
      <c r="BH251" s="24" t="inlineStr">
        <is>
          <t>2026-08-02T15:46:30.158682Z</t>
        </is>
      </c>
      <c r="BI251" s="24" t="inlineStr">
        <is>
          <t>["same_event","same_team_same_day","same_league_same_day"]</t>
        </is>
      </c>
      <c r="BJ251" s="25" t="n"/>
      <c r="BK251" s="26" t="n">
        <v>113</v>
      </c>
      <c r="BL251" s="27" t="n">
        <v>2.13</v>
      </c>
      <c r="BM251" s="28" t="n">
        <v>0.469484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inlineStr">
        <is>
          <t>True</t>
        </is>
      </c>
    </row>
    <row r="252" ht="36" customHeight="1">
      <c r="A252" s="24" t="inlineStr">
        <is>
          <t>757b695c57d048d8</t>
        </is>
      </c>
      <c r="B252" s="24" t="inlineStr">
        <is>
          <t>2026-08-02T15:49:40.829108Z</t>
        </is>
      </c>
      <c r="C252" s="24" t="inlineStr">
        <is>
          <t>2026-08-02T18:00Z</t>
        </is>
      </c>
      <c r="D252" s="24" t="inlineStr">
        <is>
          <t>401844015</t>
        </is>
      </c>
      <c r="E252" s="24" t="inlineStr">
        <is>
          <t>SOCCER</t>
        </is>
      </c>
      <c r="F252" s="24" t="inlineStr">
        <is>
          <t>Agropecuario</t>
        </is>
      </c>
      <c r="G252" s="24" t="inlineStr">
        <is>
          <t>Chacarita Juniors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122</v>
      </c>
      <c r="M252" s="27" t="n">
        <v>2.22</v>
      </c>
      <c r="N252" s="28" t="n">
        <v>0.45045</v>
      </c>
      <c r="O252" s="28" t="n">
        <v>0.456135</v>
      </c>
      <c r="P252" s="28" t="n">
        <v>0.2</v>
      </c>
      <c r="Q252" s="28" t="n">
        <v>0.005685</v>
      </c>
      <c r="R252" s="26" t="n">
        <v>0</v>
      </c>
      <c r="S252" s="29" t="n">
        <v>1</v>
      </c>
      <c r="T252" s="24" t="inlineStr">
        <is>
          <t>soccer-poisson-dc-v1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Poisson-DC rates 1.64 (home) / 1.24 (away) from EWMA attack/defense strengths. Executable ask 0.4500 (atc-arg2-cjh-caa-2026-08-01-cjh).</t>
        </is>
      </c>
      <c r="AF252" s="31" t="inlineStr">
        <is>
          <t>Research-only soccer score model; draw-aware, but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NO_CALL_LOW_EDGE</t>
        </is>
      </c>
      <c r="AP252" s="24" t="inlineStr">
        <is>
          <t>Agropecuario</t>
        </is>
      </c>
      <c r="AQ252" s="24" t="inlineStr">
        <is>
          <t>Agropecuario</t>
        </is>
      </c>
      <c r="AR252" s="24" t="inlineStr">
        <is>
          <t>Agropecuario</t>
        </is>
      </c>
      <c r="AS252" s="24" t="inlineStr">
        <is>
          <t>Chacarita Juniors</t>
        </is>
      </c>
      <c r="AT252" s="24" t="inlineStr">
        <is>
          <t>Chacarita Juniors</t>
        </is>
      </c>
      <c r="AU252" s="24" t="inlineStr">
        <is>
          <t>Chacarita Juniors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34d1568aad0ff11b5db35f118324684f93281e1c21fa7b80be7a4a4e2cb4bb03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34d1568aad0ff11b5db35f118324684f93281e1c21fa7b80be7a4a4e2cb4bb03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34d1568aad0ff11b5db35f118324684f93281e1c21fa7b80be7a4a4e2cb4bb03</t>
        </is>
      </c>
      <c r="BH252" s="24" t="inlineStr">
        <is>
          <t>2026-08-02T15:46:30.754443Z</t>
        </is>
      </c>
      <c r="BI252" s="24" t="inlineStr">
        <is>
          <t>["same_event","same_team_same_day","same_league_same_day"]</t>
        </is>
      </c>
      <c r="BJ252" s="25" t="n"/>
      <c r="BK252" s="26" t="n">
        <v>122</v>
      </c>
      <c r="BL252" s="27" t="n">
        <v>2.22</v>
      </c>
      <c r="BM252" s="28" t="n">
        <v>0.45045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inlineStr">
        <is>
          <t>True</t>
        </is>
      </c>
    </row>
    <row r="253" ht="36" customHeight="1">
      <c r="A253" s="24" t="inlineStr">
        <is>
          <t>5ab4c00f53f5486d</t>
        </is>
      </c>
      <c r="B253" s="24" t="inlineStr">
        <is>
          <t>2026-08-02T15:49:40.829108Z</t>
        </is>
      </c>
      <c r="C253" s="24" t="inlineStr">
        <is>
          <t>2026-08-02T18:00Z</t>
        </is>
      </c>
      <c r="D253" s="24" t="inlineStr">
        <is>
          <t>401844019</t>
        </is>
      </c>
      <c r="E253" s="24" t="inlineStr">
        <is>
          <t>SOCCER</t>
        </is>
      </c>
      <c r="F253" s="24" t="inlineStr">
        <is>
          <t>San Miguel</t>
        </is>
      </c>
      <c r="G253" s="24" t="inlineStr">
        <is>
          <t>San Telmo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170</v>
      </c>
      <c r="M253" s="27" t="n">
        <v>2.7</v>
      </c>
      <c r="N253" s="28" t="n">
        <v>0.37037</v>
      </c>
      <c r="O253" s="28" t="n">
        <v>0.456135</v>
      </c>
      <c r="P253" s="28" t="n">
        <v>0.2</v>
      </c>
      <c r="Q253" s="28" t="n">
        <v>0.08576499999999999</v>
      </c>
      <c r="R253" s="26" t="n">
        <v>0</v>
      </c>
      <c r="S253" s="29" t="n">
        <v>1</v>
      </c>
      <c r="T253" s="24" t="inlineStr">
        <is>
          <t>soccer-poisson-dc-v1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Poisson-DC rates 1.64 (home) / 1.24 (away) from EWMA attack/defense strengths. Executable ask 0.3700 (atc-arg2-ste-casm-2026-08-02-ste).</t>
        </is>
      </c>
      <c r="AF253" s="31" t="inlineStr">
        <is>
          <t>Research-only soccer score model; draw-aware, but not yet locked-holdout qualified.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3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San Miguel</t>
        </is>
      </c>
      <c r="AQ253" s="24" t="inlineStr">
        <is>
          <t>San Miguel</t>
        </is>
      </c>
      <c r="AR253" s="24" t="inlineStr">
        <is>
          <t>San Miguel</t>
        </is>
      </c>
      <c r="AS253" s="24" t="inlineStr">
        <is>
          <t>San Telmo</t>
        </is>
      </c>
      <c r="AT253" s="24" t="inlineStr">
        <is>
          <t>San Telmo</t>
        </is>
      </c>
      <c r="AU253" s="24" t="inlineStr">
        <is>
          <t>San Telmo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34d1568aad0ff11b5db35f118324684f93281e1c21fa7b80be7a4a4e2cb4bb03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34d1568aad0ff11b5db35f118324684f93281e1c21fa7b80be7a4a4e2cb4bb03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34d1568aad0ff11b5db35f118324684f93281e1c21fa7b80be7a4a4e2cb4bb03</t>
        </is>
      </c>
      <c r="BH253" s="24" t="inlineStr">
        <is>
          <t>2026-08-02T15:46:31.355163Z</t>
        </is>
      </c>
      <c r="BI253" s="24" t="inlineStr">
        <is>
          <t>["same_event","same_team_same_day","same_league_same_day"]</t>
        </is>
      </c>
      <c r="BJ253" s="25" t="n"/>
      <c r="BK253" s="26" t="n">
        <v>170</v>
      </c>
      <c r="BL253" s="27" t="n">
        <v>2.7</v>
      </c>
      <c r="BM253" s="28" t="n">
        <v>0.37037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inlineStr">
        <is>
          <t>True</t>
        </is>
      </c>
    </row>
    <row r="254" ht="36" customHeight="1">
      <c r="A254" s="24" t="inlineStr">
        <is>
          <t>3ee247cbcde54b33</t>
        </is>
      </c>
      <c r="B254" s="24" t="inlineStr">
        <is>
          <t>2026-08-02T15:49:40.829108Z</t>
        </is>
      </c>
      <c r="C254" s="24" t="inlineStr">
        <is>
          <t>2026-08-02T18:30Z</t>
        </is>
      </c>
      <c r="D254" s="24" t="inlineStr">
        <is>
          <t>401844012</t>
        </is>
      </c>
      <c r="E254" s="24" t="inlineStr">
        <is>
          <t>SOCCER</t>
        </is>
      </c>
      <c r="F254" s="24" t="inlineStr">
        <is>
          <t>Gimnasia y Tiro (Salta)</t>
        </is>
      </c>
      <c r="G254" s="24" t="inlineStr">
        <is>
          <t>Temperley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117</v>
      </c>
      <c r="M254" s="27" t="n">
        <v>2.17</v>
      </c>
      <c r="N254" s="28" t="n">
        <v>0.460829</v>
      </c>
      <c r="O254" s="28" t="n">
        <v>0.456135</v>
      </c>
      <c r="P254" s="28" t="n">
        <v>0.2</v>
      </c>
      <c r="Q254" s="28" t="n">
        <v>-0.004694</v>
      </c>
      <c r="R254" s="26" t="n">
        <v>0</v>
      </c>
      <c r="S254" s="29" t="n">
        <v>1</v>
      </c>
      <c r="T254" s="24" t="inlineStr">
        <is>
          <t>soccer-poisson-dc-v1</t>
        </is>
      </c>
      <c r="U254" s="24" t="inlineStr">
        <is>
          <t>open</t>
        </is>
      </c>
      <c r="V254" s="24" t="n"/>
      <c r="W254" s="26" t="n"/>
      <c r="X254" s="26" t="n"/>
      <c r="Y254" s="25" t="n"/>
      <c r="Z254" s="26" t="n"/>
      <c r="AA254" s="28" t="n"/>
      <c r="AB254" s="28" t="n"/>
      <c r="AC254" s="30" t="n"/>
      <c r="AD254" s="24" t="n"/>
      <c r="AE254" s="31" t="inlineStr">
        <is>
          <t>Poisson-DC rates 1.64 (home) / 1.24 (away) from EWMA attack/defense strengths. Executable ask 0.4600 (atc-arg2-cat-gyt-2026-08-02-cat).</t>
        </is>
      </c>
      <c r="AF254" s="31" t="inlineStr">
        <is>
          <t>Research-only soccer score model; draw-aware, but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NO_CALL_LOW_EDGE</t>
        </is>
      </c>
      <c r="AP254" s="24" t="inlineStr">
        <is>
          <t>Gimnasia y Tiro (Salta)</t>
        </is>
      </c>
      <c r="AQ254" s="24" t="inlineStr">
        <is>
          <t>Gimnasia y Tiro (Salta)</t>
        </is>
      </c>
      <c r="AR254" s="24" t="inlineStr">
        <is>
          <t>Gimnasia y Tiro (Salta)</t>
        </is>
      </c>
      <c r="AS254" s="24" t="inlineStr">
        <is>
          <t>Temperley</t>
        </is>
      </c>
      <c r="AT254" s="24" t="inlineStr">
        <is>
          <t>Temperley</t>
        </is>
      </c>
      <c r="AU254" s="24" t="inlineStr">
        <is>
          <t>Temperley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34d1568aad0ff11b5db35f118324684f93281e1c21fa7b80be7a4a4e2cb4bb03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34d1568aad0ff11b5db35f118324684f93281e1c21fa7b80be7a4a4e2cb4bb03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34d1568aad0ff11b5db35f118324684f93281e1c21fa7b80be7a4a4e2cb4bb03</t>
        </is>
      </c>
      <c r="BH254" s="24" t="inlineStr">
        <is>
          <t>2026-08-02T15:46:31.317492Z</t>
        </is>
      </c>
      <c r="BI254" s="24" t="inlineStr">
        <is>
          <t>["same_event","same_team_same_day","same_league_same_day"]</t>
        </is>
      </c>
      <c r="BJ254" s="25" t="n"/>
      <c r="BK254" s="26" t="n">
        <v>117</v>
      </c>
      <c r="BL254" s="27" t="n">
        <v>2.17</v>
      </c>
      <c r="BM254" s="28" t="n">
        <v>0.460829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inlineStr">
        <is>
          <t>False</t>
        </is>
      </c>
    </row>
    <row r="255" ht="36" customHeight="1">
      <c r="A255" s="24" t="inlineStr">
        <is>
          <t>2f2115f499b54b3c</t>
        </is>
      </c>
      <c r="B255" s="24" t="inlineStr">
        <is>
          <t>2026-08-02T15:49:40.829108Z</t>
        </is>
      </c>
      <c r="C255" s="24" t="inlineStr">
        <is>
          <t>2026-08-02T19:00Z</t>
        </is>
      </c>
      <c r="D255" s="24" t="inlineStr">
        <is>
          <t>401844026</t>
        </is>
      </c>
      <c r="E255" s="24" t="inlineStr">
        <is>
          <t>SOCCER</t>
        </is>
      </c>
      <c r="F255" s="24" t="inlineStr">
        <is>
          <t>All Boys</t>
        </is>
      </c>
      <c r="G255" s="24" t="inlineStr">
        <is>
          <t>Deportivo Madryn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-104</v>
      </c>
      <c r="M255" s="27" t="n">
        <v>1.961538</v>
      </c>
      <c r="N255" s="28" t="n">
        <v>0.509804</v>
      </c>
      <c r="O255" s="28" t="n">
        <v>0.456135</v>
      </c>
      <c r="P255" s="28" t="n">
        <v>0.2</v>
      </c>
      <c r="Q255" s="28" t="n">
        <v>-0.053669</v>
      </c>
      <c r="R255" s="26" t="n">
        <v>0</v>
      </c>
      <c r="S255" s="29" t="n">
        <v>1</v>
      </c>
      <c r="T255" s="24" t="inlineStr">
        <is>
          <t>soccer-poisson-dc-v1</t>
        </is>
      </c>
      <c r="U255" s="24" t="inlineStr">
        <is>
          <t>open</t>
        </is>
      </c>
      <c r="V255" s="24" t="n"/>
      <c r="W255" s="26" t="n"/>
      <c r="X255" s="26" t="n"/>
      <c r="Y255" s="25" t="n"/>
      <c r="Z255" s="26" t="n"/>
      <c r="AA255" s="28" t="n"/>
      <c r="AB255" s="28" t="n"/>
      <c r="AC255" s="30" t="n"/>
      <c r="AD255" s="24" t="n"/>
      <c r="AE255" s="31" t="inlineStr">
        <is>
          <t>Poisson-DC rates 1.64 (home) / 1.24 (away) from EWMA attack/defense strengths. Executable ask 0.5100 (atc-arg2-dma-abo-2026-08-02-dma).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NO_CALL_LOW_EDGE</t>
        </is>
      </c>
      <c r="AP255" s="24" t="inlineStr">
        <is>
          <t>All Boys</t>
        </is>
      </c>
      <c r="AQ255" s="24" t="inlineStr">
        <is>
          <t>All Boys</t>
        </is>
      </c>
      <c r="AR255" s="24" t="inlineStr">
        <is>
          <t>All Boys</t>
        </is>
      </c>
      <c r="AS255" s="24" t="inlineStr">
        <is>
          <t>Deportivo Madryn</t>
        </is>
      </c>
      <c r="AT255" s="24" t="inlineStr">
        <is>
          <t>Deportivo Madryn</t>
        </is>
      </c>
      <c r="AU255" s="24" t="inlineStr">
        <is>
          <t>Deportivo Madryn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34d1568aad0ff11b5db35f118324684f93281e1c21fa7b80be7a4a4e2cb4bb03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34d1568aad0ff11b5db35f118324684f93281e1c21fa7b80be7a4a4e2cb4bb03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34d1568aad0ff11b5db35f118324684f93281e1c21fa7b80be7a4a4e2cb4bb03</t>
        </is>
      </c>
      <c r="BH255" s="24" t="inlineStr">
        <is>
          <t>2026-08-02T15:46:31.887658Z</t>
        </is>
      </c>
      <c r="BI255" s="24" t="inlineStr">
        <is>
          <t>["same_event","same_team_same_day","same_league_same_day"]</t>
        </is>
      </c>
      <c r="BJ255" s="25" t="n"/>
      <c r="BK255" s="26" t="n">
        <v>-104</v>
      </c>
      <c r="BL255" s="27" t="n">
        <v>1.961538</v>
      </c>
      <c r="BM255" s="28" t="n">
        <v>0.509804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inlineStr">
        <is>
          <t>False</t>
        </is>
      </c>
    </row>
    <row r="256" ht="36" customHeight="1">
      <c r="A256" s="24" t="inlineStr">
        <is>
          <t>33da211093c141b6</t>
        </is>
      </c>
      <c r="B256" s="24" t="inlineStr">
        <is>
          <t>2026-08-02T15:49:40.829108Z</t>
        </is>
      </c>
      <c r="C256" s="24" t="inlineStr">
        <is>
          <t>2026-08-02T19:30Z</t>
        </is>
      </c>
      <c r="D256" s="24" t="inlineStr">
        <is>
          <t>401844014</t>
        </is>
      </c>
      <c r="E256" s="24" t="inlineStr">
        <is>
          <t>SOCCER</t>
        </is>
      </c>
      <c r="F256" s="24" t="inlineStr">
        <is>
          <t>Los Andes</t>
        </is>
      </c>
      <c r="G256" s="24" t="inlineStr">
        <is>
          <t>Central Norte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150</v>
      </c>
      <c r="M256" s="27" t="n">
        <v>2.5</v>
      </c>
      <c r="N256" s="28" t="n">
        <v>0.4</v>
      </c>
      <c r="O256" s="28" t="n">
        <v>0.456135</v>
      </c>
      <c r="P256" s="28" t="n">
        <v>0.2</v>
      </c>
      <c r="Q256" s="28" t="n">
        <v>0.056135</v>
      </c>
      <c r="R256" s="26" t="n">
        <v>0</v>
      </c>
      <c r="S256" s="29" t="n">
        <v>1</v>
      </c>
      <c r="T256" s="24" t="inlineStr">
        <is>
          <t>soccer-poisson-dc-v1</t>
        </is>
      </c>
      <c r="U256" s="24" t="inlineStr">
        <is>
          <t>open</t>
        </is>
      </c>
      <c r="V256" s="24" t="n"/>
      <c r="W256" s="26" t="n"/>
      <c r="X256" s="26" t="n"/>
      <c r="Y256" s="25" t="n"/>
      <c r="Z256" s="26" t="n"/>
      <c r="AA256" s="28" t="n"/>
      <c r="AB256" s="28" t="n"/>
      <c r="AC256" s="30" t="n"/>
      <c r="AD256" s="24" t="n"/>
      <c r="AE256" s="31" t="inlineStr">
        <is>
          <t>Poisson-DC rates 1.64 (home) / 1.24 (away) from EWMA attack/defense strengths. Executable ask 0.4000 (atc-arg2-ccns-ala-2026-08-02-ccns).</t>
        </is>
      </c>
      <c r="AF256" s="31" t="inlineStr">
        <is>
          <t>Research-only soccer score model; draw-aware, but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model_qualified</t>
        </is>
      </c>
      <c r="AL256" s="26" t="n">
        <v>3</v>
      </c>
      <c r="AM256" s="24" t="inlineStr">
        <is>
          <t>QUALIFIED_SHADOW_CALL</t>
        </is>
      </c>
      <c r="AN256" s="24" t="inlineStr">
        <is>
          <t>CALL</t>
        </is>
      </c>
      <c r="AO256" s="24" t="inlineStr">
        <is>
          <t>QUALIFIED</t>
        </is>
      </c>
      <c r="AP256" s="24" t="inlineStr">
        <is>
          <t>Los Andes</t>
        </is>
      </c>
      <c r="AQ256" s="24" t="inlineStr">
        <is>
          <t>Los Andes</t>
        </is>
      </c>
      <c r="AR256" s="24" t="inlineStr">
        <is>
          <t>Los Andes</t>
        </is>
      </c>
      <c r="AS256" s="24" t="inlineStr">
        <is>
          <t>Central Norte</t>
        </is>
      </c>
      <c r="AT256" s="24" t="inlineStr">
        <is>
          <t>Central Norte</t>
        </is>
      </c>
      <c r="AU256" s="24" t="inlineStr">
        <is>
          <t>Central Norte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34d1568aad0ff11b5db35f118324684f93281e1c21fa7b80be7a4a4e2cb4bb03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34d1568aad0ff11b5db35f118324684f93281e1c21fa7b80be7a4a4e2cb4bb03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34d1568aad0ff11b5db35f118324684f93281e1c21fa7b80be7a4a4e2cb4bb03</t>
        </is>
      </c>
      <c r="BH256" s="24" t="inlineStr">
        <is>
          <t>2026-08-02T15:46:32.444165Z</t>
        </is>
      </c>
      <c r="BI256" s="24" t="inlineStr">
        <is>
          <t>["same_event","same_team_same_day","same_league_same_day"]</t>
        </is>
      </c>
      <c r="BJ256" s="25" t="n"/>
      <c r="BK256" s="26" t="n">
        <v>150</v>
      </c>
      <c r="BL256" s="27" t="n">
        <v>2.5</v>
      </c>
      <c r="BM256" s="28" t="n">
        <v>0.4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inlineStr">
        <is>
          <t>True</t>
        </is>
      </c>
    </row>
    <row r="257" ht="36" customHeight="1">
      <c r="A257" s="24" t="inlineStr">
        <is>
          <t>14f7b83e36f147da</t>
        </is>
      </c>
      <c r="B257" s="24" t="inlineStr">
        <is>
          <t>2026-08-02T15:49:40.829108Z</t>
        </is>
      </c>
      <c r="C257" s="24" t="inlineStr">
        <is>
          <t>2026-08-03T01:00Z</t>
        </is>
      </c>
      <c r="D257" s="24" t="inlineStr">
        <is>
          <t>401877966</t>
        </is>
      </c>
      <c r="E257" s="24" t="inlineStr">
        <is>
          <t>SOCCER</t>
        </is>
      </c>
      <c r="F257" s="24" t="inlineStr">
        <is>
          <t>Once Caldas</t>
        </is>
      </c>
      <c r="G257" s="24" t="inlineStr">
        <is>
          <t>Independiente Santa Fe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117</v>
      </c>
      <c r="M257" s="27" t="n">
        <v>2.17</v>
      </c>
      <c r="N257" s="28" t="n">
        <v>0.460829</v>
      </c>
      <c r="O257" s="28" t="n">
        <v>0.456135</v>
      </c>
      <c r="P257" s="28" t="n">
        <v>0.2</v>
      </c>
      <c r="Q257" s="28" t="n">
        <v>-0.004694</v>
      </c>
      <c r="R257" s="26" t="n">
        <v>0</v>
      </c>
      <c r="S257" s="29" t="n">
        <v>1</v>
      </c>
      <c r="T257" s="24" t="inlineStr">
        <is>
          <t>soccer-poisson-dc-v1</t>
        </is>
      </c>
      <c r="U257" s="24" t="inlineStr">
        <is>
          <t>open</t>
        </is>
      </c>
      <c r="V257" s="24" t="n"/>
      <c r="W257" s="26" t="n"/>
      <c r="X257" s="26" t="n"/>
      <c r="Y257" s="25" t="n"/>
      <c r="Z257" s="26" t="n"/>
      <c r="AA257" s="28" t="n"/>
      <c r="AB257" s="28" t="n"/>
      <c r="AC257" s="30" t="n"/>
      <c r="AD257" s="24" t="n"/>
      <c r="AE257" s="31" t="inlineStr">
        <is>
          <t>Poisson-DC rates 1.64 (home) / 1.24 (away) from EWMA attack/defense strengths. Executable ask 0.4600 (atc-lco-san-onc-2026-08-02-san).</t>
        </is>
      </c>
      <c r="AF257" s="31" t="inlineStr">
        <is>
          <t>Research-only soccer score model; draw-aware, but not yet locked-holdout qualified.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NO_CALL_LOW_EDGE</t>
        </is>
      </c>
      <c r="AP257" s="24" t="inlineStr">
        <is>
          <t>Once Caldas</t>
        </is>
      </c>
      <c r="AQ257" s="24" t="inlineStr">
        <is>
          <t>Once Caldas</t>
        </is>
      </c>
      <c r="AR257" s="24" t="inlineStr">
        <is>
          <t>Once Caldas</t>
        </is>
      </c>
      <c r="AS257" s="24" t="inlineStr">
        <is>
          <t>Independiente Santa Fe</t>
        </is>
      </c>
      <c r="AT257" s="24" t="inlineStr">
        <is>
          <t>Independiente Santa Fe</t>
        </is>
      </c>
      <c r="AU257" s="24" t="inlineStr">
        <is>
          <t>Independiente Santa Fe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34d1568aad0ff11b5db35f118324684f93281e1c21fa7b80be7a4a4e2cb4bb03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34d1568aad0ff11b5db35f118324684f93281e1c21fa7b80be7a4a4e2cb4bb03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34d1568aad0ff11b5db35f118324684f93281e1c21fa7b80be7a4a4e2cb4bb03</t>
        </is>
      </c>
      <c r="BH257" s="24" t="inlineStr">
        <is>
          <t>2026-08-02T15:46:32.970430Z</t>
        </is>
      </c>
      <c r="BI257" s="24" t="inlineStr">
        <is>
          <t>["same_event","same_team_same_day","same_league_same_day"]</t>
        </is>
      </c>
      <c r="BJ257" s="25" t="n"/>
      <c r="BK257" s="26" t="n">
        <v>117</v>
      </c>
      <c r="BL257" s="27" t="n">
        <v>2.17</v>
      </c>
      <c r="BM257" s="28" t="n">
        <v>0.460829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inlineStr">
        <is>
          <t>False</t>
        </is>
      </c>
    </row>
    <row r="258" ht="36" customHeight="1">
      <c r="A258" s="24" t="inlineStr">
        <is>
          <t>0e57311f3661448a</t>
        </is>
      </c>
      <c r="B258" s="24" t="inlineStr">
        <is>
          <t>2026-08-02T15:49:40.829108Z</t>
        </is>
      </c>
      <c r="C258" s="24" t="inlineStr">
        <is>
          <t>2026-08-02T19:00Z</t>
        </is>
      </c>
      <c r="D258" s="24" t="inlineStr">
        <is>
          <t>401850609</t>
        </is>
      </c>
      <c r="E258" s="24" t="inlineStr">
        <is>
          <t>SOCCER</t>
        </is>
      </c>
      <c r="F258" s="24" t="inlineStr">
        <is>
          <t>O'Higgins</t>
        </is>
      </c>
      <c r="G258" s="24" t="inlineStr">
        <is>
          <t>La Serena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156</v>
      </c>
      <c r="M258" s="27" t="n">
        <v>2.56</v>
      </c>
      <c r="N258" s="28" t="n">
        <v>0.390625</v>
      </c>
      <c r="O258" s="28" t="n">
        <v>0.5359159999999999</v>
      </c>
      <c r="P258" s="28" t="n">
        <v>0.2</v>
      </c>
      <c r="Q258" s="28" t="n">
        <v>0.145291</v>
      </c>
      <c r="R258" s="26" t="n">
        <v>3</v>
      </c>
      <c r="S258" s="29" t="n">
        <v>1</v>
      </c>
      <c r="T258" s="24" t="inlineStr">
        <is>
          <t>soccer-poisson-dc-v1</t>
        </is>
      </c>
      <c r="U258" s="24" t="inlineStr">
        <is>
          <t>open</t>
        </is>
      </c>
      <c r="V258" s="24" t="n"/>
      <c r="W258" s="26" t="n"/>
      <c r="X258" s="26" t="n"/>
      <c r="Y258" s="25" t="n"/>
      <c r="Z258" s="26" t="n"/>
      <c r="AA258" s="28" t="n"/>
      <c r="AB258" s="28" t="n"/>
      <c r="AC258" s="30" t="n"/>
      <c r="AD258" s="24" t="n"/>
      <c r="AE258" s="31" t="inlineStr">
        <is>
          <t>Poisson-DC rates 1.84 (home) / 1.10 (away) from EWMA attack/defense strengths. Executable ask 0.3900 (atc-pdc-ser-ohi-2026-08-02-ser).</t>
        </is>
      </c>
      <c r="AF258" s="31" t="inlineStr">
        <is>
          <t>Research-only soccer score model; draw-aware, but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3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O'Higgins</t>
        </is>
      </c>
      <c r="AQ258" s="24" t="inlineStr">
        <is>
          <t>O'Higgins</t>
        </is>
      </c>
      <c r="AR258" s="24" t="inlineStr">
        <is>
          <t>O'Higgins</t>
        </is>
      </c>
      <c r="AS258" s="24" t="inlineStr">
        <is>
          <t>La Serena</t>
        </is>
      </c>
      <c r="AT258" s="24" t="inlineStr">
        <is>
          <t>La Serena</t>
        </is>
      </c>
      <c r="AU258" s="24" t="inlineStr">
        <is>
          <t>La Serena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34d1568aad0ff11b5db35f118324684f93281e1c21fa7b80be7a4a4e2cb4bb03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34d1568aad0ff11b5db35f118324684f93281e1c21fa7b80be7a4a4e2cb4bb03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34d1568aad0ff11b5db35f118324684f93281e1c21fa7b80be7a4a4e2cb4bb03</t>
        </is>
      </c>
      <c r="BH258" s="24" t="inlineStr">
        <is>
          <t>2026-08-02T15:46:34.034224Z</t>
        </is>
      </c>
      <c r="BI258" s="24" t="inlineStr">
        <is>
          <t>["same_event","same_team_same_day","same_league_same_day"]</t>
        </is>
      </c>
      <c r="BJ258" s="25" t="n"/>
      <c r="BK258" s="26" t="n">
        <v>156</v>
      </c>
      <c r="BL258" s="27" t="n">
        <v>2.56</v>
      </c>
      <c r="BM258" s="28" t="n">
        <v>0.390625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inlineStr">
        <is>
          <t>True</t>
        </is>
      </c>
    </row>
    <row r="259" ht="36" customHeight="1">
      <c r="A259" s="24" t="inlineStr">
        <is>
          <t>a5e17c7080d24e2b</t>
        </is>
      </c>
      <c r="B259" s="24" t="inlineStr">
        <is>
          <t>2026-08-02T15:49:40.829108Z</t>
        </is>
      </c>
      <c r="C259" s="24" t="inlineStr">
        <is>
          <t>2026-08-02T21:30Z</t>
        </is>
      </c>
      <c r="D259" s="24" t="inlineStr">
        <is>
          <t>401850607</t>
        </is>
      </c>
      <c r="E259" s="24" t="inlineStr">
        <is>
          <t>SOCCER</t>
        </is>
      </c>
      <c r="F259" s="24" t="inlineStr">
        <is>
          <t>Huachipato</t>
        </is>
      </c>
      <c r="G259" s="24" t="inlineStr">
        <is>
          <t>Universidad de Chile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-178</v>
      </c>
      <c r="M259" s="27" t="n">
        <v>1.561798</v>
      </c>
      <c r="N259" s="28" t="n">
        <v>0.640288</v>
      </c>
      <c r="O259" s="28" t="n">
        <v>0.414794</v>
      </c>
      <c r="P259" s="28" t="n">
        <v>0.19</v>
      </c>
      <c r="Q259" s="28" t="n">
        <v>-0.225494</v>
      </c>
      <c r="R259" s="26" t="n">
        <v>0</v>
      </c>
      <c r="S259" s="29" t="n">
        <v>1</v>
      </c>
      <c r="T259" s="24" t="inlineStr">
        <is>
          <t>soccer-poisson-dc-v1</t>
        </is>
      </c>
      <c r="U259" s="24" t="inlineStr">
        <is>
          <t>open</t>
        </is>
      </c>
      <c r="V259" s="24" t="n"/>
      <c r="W259" s="26" t="n"/>
      <c r="X259" s="26" t="n"/>
      <c r="Y259" s="25" t="n"/>
      <c r="Z259" s="26" t="n"/>
      <c r="AA259" s="28" t="n"/>
      <c r="AB259" s="28" t="n"/>
      <c r="AC259" s="30" t="n"/>
      <c r="AD259" s="24" t="n"/>
      <c r="AE259" s="31" t="inlineStr">
        <is>
          <t>Poisson-DC rates 1.41 (home) / 1.16 (away) from EWMA attack/defense strengths. Executable ask 0.6400 (atc-pdc-unc-hua-2026-08-02-unc).</t>
        </is>
      </c>
      <c r="AF259" s="31" t="inlineStr">
        <is>
          <t>Research-only soccer score model; draw-aware, but not yet locked-holdout qualified.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NO_CALL_LOW_EDGE</t>
        </is>
      </c>
      <c r="AP259" s="24" t="inlineStr">
        <is>
          <t>Huachipato</t>
        </is>
      </c>
      <c r="AQ259" s="24" t="inlineStr">
        <is>
          <t>Huachipato</t>
        </is>
      </c>
      <c r="AR259" s="24" t="inlineStr">
        <is>
          <t>Huachipato</t>
        </is>
      </c>
      <c r="AS259" s="24" t="inlineStr">
        <is>
          <t>Universidad de Chile</t>
        </is>
      </c>
      <c r="AT259" s="24" t="inlineStr">
        <is>
          <t>Universidad de Chile</t>
        </is>
      </c>
      <c r="AU259" s="24" t="inlineStr">
        <is>
          <t>Universidad de Chile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34d1568aad0ff11b5db35f118324684f93281e1c21fa7b80be7a4a4e2cb4bb03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34d1568aad0ff11b5db35f118324684f93281e1c21fa7b80be7a4a4e2cb4bb03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34d1568aad0ff11b5db35f118324684f93281e1c21fa7b80be7a4a4e2cb4bb03</t>
        </is>
      </c>
      <c r="BH259" s="24" t="inlineStr">
        <is>
          <t>2026-08-02T15:46:33.999302Z</t>
        </is>
      </c>
      <c r="BI259" s="24" t="inlineStr">
        <is>
          <t>["same_event","same_team_same_day","same_league_same_day"]</t>
        </is>
      </c>
      <c r="BJ259" s="25" t="n"/>
      <c r="BK259" s="26" t="n">
        <v>-178</v>
      </c>
      <c r="BL259" s="27" t="n">
        <v>1.561798</v>
      </c>
      <c r="BM259" s="28" t="n">
        <v>0.640288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inlineStr">
        <is>
          <t>False</t>
        </is>
      </c>
    </row>
    <row r="260" ht="36" customHeight="1">
      <c r="A260" s="24" t="inlineStr">
        <is>
          <t>d986ae8077ec4c9e</t>
        </is>
      </c>
      <c r="B260" s="24" t="inlineStr">
        <is>
          <t>2026-08-02T15:49:40.829108Z</t>
        </is>
      </c>
      <c r="C260" s="24" t="inlineStr">
        <is>
          <t>2026-08-02T20:30Z</t>
        </is>
      </c>
      <c r="D260" s="24" t="inlineStr">
        <is>
          <t>401859644</t>
        </is>
      </c>
      <c r="E260" s="24" t="inlineStr">
        <is>
          <t>SOCCER</t>
        </is>
      </c>
      <c r="F260" s="24" t="inlineStr">
        <is>
          <t>Guayaquil City FC</t>
        </is>
      </c>
      <c r="G260" s="24" t="inlineStr">
        <is>
          <t>Macará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-194</v>
      </c>
      <c r="M260" s="27" t="n">
        <v>1.515464</v>
      </c>
      <c r="N260" s="28" t="n">
        <v>0.659864</v>
      </c>
      <c r="O260" s="28" t="n">
        <v>0.456135</v>
      </c>
      <c r="P260" s="28" t="n">
        <v>0.2</v>
      </c>
      <c r="Q260" s="28" t="n">
        <v>-0.203729</v>
      </c>
      <c r="R260" s="26" t="n">
        <v>0</v>
      </c>
      <c r="S260" s="29" t="n">
        <v>1</v>
      </c>
      <c r="T260" s="24" t="inlineStr">
        <is>
          <t>soccer-poisson-dc-v1</t>
        </is>
      </c>
      <c r="U260" s="24" t="inlineStr">
        <is>
          <t>open</t>
        </is>
      </c>
      <c r="V260" s="24" t="n"/>
      <c r="W260" s="26" t="n"/>
      <c r="X260" s="26" t="n"/>
      <c r="Y260" s="25" t="n"/>
      <c r="Z260" s="26" t="n"/>
      <c r="AA260" s="28" t="n"/>
      <c r="AB260" s="28" t="n"/>
      <c r="AC260" s="30" t="n"/>
      <c r="AD260" s="24" t="n"/>
      <c r="AE260" s="31" t="inlineStr">
        <is>
          <t>Poisson-DC rates 1.64 (home) / 1.24 (away) from EWMA attack/defense strengths. Executable ask 0.6600 (atc-ecu1-mac-gua-2026-08-02-mac).</t>
        </is>
      </c>
      <c r="AF260" s="31" t="inlineStr">
        <is>
          <t>Research-only soccer score model; draw-aware, but not yet locked-holdout qualified.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NO_CALL_LOW_EDGE</t>
        </is>
      </c>
      <c r="AP260" s="24" t="inlineStr">
        <is>
          <t>Guayaquil City FC</t>
        </is>
      </c>
      <c r="AQ260" s="24" t="inlineStr">
        <is>
          <t>Guayaquil City FC</t>
        </is>
      </c>
      <c r="AR260" s="24" t="inlineStr">
        <is>
          <t>Guayaquil City FC</t>
        </is>
      </c>
      <c r="AS260" s="24" t="inlineStr">
        <is>
          <t>Macará</t>
        </is>
      </c>
      <c r="AT260" s="24" t="inlineStr">
        <is>
          <t>Macará</t>
        </is>
      </c>
      <c r="AU260" s="24" t="inlineStr">
        <is>
          <t>Macará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34d1568aad0ff11b5db35f118324684f93281e1c21fa7b80be7a4a4e2cb4bb03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34d1568aad0ff11b5db35f118324684f93281e1c21fa7b80be7a4a4e2cb4bb03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34d1568aad0ff11b5db35f118324684f93281e1c21fa7b80be7a4a4e2cb4bb03</t>
        </is>
      </c>
      <c r="BH260" s="24" t="inlineStr">
        <is>
          <t>2026-08-02T15:46:35.744825Z</t>
        </is>
      </c>
      <c r="BI260" s="24" t="inlineStr">
        <is>
          <t>["same_event","same_team_same_day","same_league_same_day"]</t>
        </is>
      </c>
      <c r="BJ260" s="25" t="n"/>
      <c r="BK260" s="26" t="n">
        <v>-194</v>
      </c>
      <c r="BL260" s="27" t="n">
        <v>1.515464</v>
      </c>
      <c r="BM260" s="28" t="n">
        <v>0.659864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inlineStr">
        <is>
          <t>False</t>
        </is>
      </c>
    </row>
    <row r="261" ht="36" customHeight="1">
      <c r="A261" s="24" t="inlineStr">
        <is>
          <t>6306b9a09e794697</t>
        </is>
      </c>
      <c r="B261" s="24" t="inlineStr">
        <is>
          <t>2026-08-02T15:49:40.829108Z</t>
        </is>
      </c>
      <c r="C261" s="24" t="inlineStr">
        <is>
          <t>2026-08-02T23:10Z</t>
        </is>
      </c>
      <c r="D261" s="24" t="inlineStr">
        <is>
          <t>401859718</t>
        </is>
      </c>
      <c r="E261" s="24" t="inlineStr">
        <is>
          <t>SOCCER</t>
        </is>
      </c>
      <c r="F261" s="24" t="inlineStr">
        <is>
          <t>Barcelona SC</t>
        </is>
      </c>
      <c r="G261" s="24" t="inlineStr">
        <is>
          <t>Leones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203</v>
      </c>
      <c r="M261" s="27" t="n">
        <v>3.03</v>
      </c>
      <c r="N261" s="28" t="n">
        <v>0.330033</v>
      </c>
      <c r="O261" s="28" t="n">
        <v>0.406677</v>
      </c>
      <c r="P261" s="28" t="n">
        <v>0.19</v>
      </c>
      <c r="Q261" s="28" t="n">
        <v>0.076644</v>
      </c>
      <c r="R261" s="26" t="n">
        <v>0</v>
      </c>
      <c r="S261" s="29" t="n">
        <v>1</v>
      </c>
      <c r="T261" s="24" t="inlineStr">
        <is>
          <t>soccer-poisson-dc-v1</t>
        </is>
      </c>
      <c r="U261" s="24" t="inlineStr">
        <is>
          <t>open</t>
        </is>
      </c>
      <c r="V261" s="24" t="n"/>
      <c r="W261" s="26" t="n"/>
      <c r="X261" s="26" t="n"/>
      <c r="Y261" s="25" t="n"/>
      <c r="Z261" s="26" t="n"/>
      <c r="AA261" s="28" t="n"/>
      <c r="AB261" s="28" t="n"/>
      <c r="AC261" s="30" t="n"/>
      <c r="AD261" s="24" t="n"/>
      <c r="AE261" s="31" t="inlineStr">
        <is>
          <t>Poisson-DC rates 1.38 (home) / 1.56 (away) from EWMA attack/defense strengths. Executable ask 0.3300 (atc-ecu1-leo-bsc-2026-08-02-bsc).</t>
        </is>
      </c>
      <c r="AF261" s="31" t="inlineStr">
        <is>
          <t>Research-only soccer score model; draw-aware, but not yet locked-holdout qualified.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3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Barcelona SC</t>
        </is>
      </c>
      <c r="AQ261" s="24" t="inlineStr">
        <is>
          <t>Barcelona SC</t>
        </is>
      </c>
      <c r="AR261" s="24" t="inlineStr">
        <is>
          <t>Barcelona SC</t>
        </is>
      </c>
      <c r="AS261" s="24" t="inlineStr">
        <is>
          <t>Leones</t>
        </is>
      </c>
      <c r="AT261" s="24" t="inlineStr">
        <is>
          <t>Leones</t>
        </is>
      </c>
      <c r="AU261" s="24" t="inlineStr">
        <is>
          <t>Leones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34d1568aad0ff11b5db35f118324684f93281e1c21fa7b80be7a4a4e2cb4bb03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34d1568aad0ff11b5db35f118324684f93281e1c21fa7b80be7a4a4e2cb4bb03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34d1568aad0ff11b5db35f118324684f93281e1c21fa7b80be7a4a4e2cb4bb03</t>
        </is>
      </c>
      <c r="BH261" s="24" t="inlineStr">
        <is>
          <t>2026-08-02T15:46:36.285171Z</t>
        </is>
      </c>
      <c r="BI261" s="24" t="inlineStr">
        <is>
          <t>["same_event","same_team_same_day","same_league_same_day"]</t>
        </is>
      </c>
      <c r="BJ261" s="25" t="n"/>
      <c r="BK261" s="26" t="n">
        <v>203</v>
      </c>
      <c r="BL261" s="27" t="n">
        <v>3.03</v>
      </c>
      <c r="BM261" s="28" t="n">
        <v>0.330033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inlineStr">
        <is>
          <t>True</t>
        </is>
      </c>
    </row>
    <row r="262" ht="36" customHeight="1">
      <c r="A262" s="24" t="inlineStr">
        <is>
          <t>73e5fffe29124687</t>
        </is>
      </c>
      <c r="B262" s="24" t="inlineStr">
        <is>
          <t>2026-08-02T15:49:40.829108Z</t>
        </is>
      </c>
      <c r="C262" s="24" t="inlineStr">
        <is>
          <t>2026-08-02T16:00Z</t>
        </is>
      </c>
      <c r="D262" s="24" t="inlineStr">
        <is>
          <t>401897751</t>
        </is>
      </c>
      <c r="E262" s="24" t="inlineStr">
        <is>
          <t>SOCCER</t>
        </is>
      </c>
      <c r="F262" s="24" t="inlineStr">
        <is>
          <t>Wrexham</t>
        </is>
      </c>
      <c r="G262" s="24" t="inlineStr">
        <is>
          <t>Sunderland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-104</v>
      </c>
      <c r="M262" s="27" t="n">
        <v>1.961538</v>
      </c>
      <c r="N262" s="28" t="n">
        <v>0.509804</v>
      </c>
      <c r="O262" s="28" t="n">
        <v>0.395592</v>
      </c>
      <c r="P262" s="28" t="n">
        <v>0.04</v>
      </c>
      <c r="Q262" s="28" t="n">
        <v>-0.114212</v>
      </c>
      <c r="R262" s="26" t="n">
        <v>0</v>
      </c>
      <c r="S262" s="29" t="n">
        <v>1.5</v>
      </c>
      <c r="T262" s="24" t="inlineStr">
        <is>
          <t>soccer-poisson-dc-v1</t>
        </is>
      </c>
      <c r="U262" s="24" t="inlineStr">
        <is>
          <t>open</t>
        </is>
      </c>
      <c r="V262" s="24" t="n"/>
      <c r="W262" s="26" t="n"/>
      <c r="X262" s="26" t="n"/>
      <c r="Y262" s="25" t="n"/>
      <c r="Z262" s="26" t="n"/>
      <c r="AA262" s="28" t="n"/>
      <c r="AB262" s="28" t="n"/>
      <c r="AC262" s="30" t="n"/>
      <c r="AD262" s="24" t="n"/>
      <c r="AE262" s="31" t="inlineStr">
        <is>
          <t>Poisson-DC rates 1.40 (home) / 1.24 (away) from EWMA attack/defense strengths. Executable ask 0.5100 (atc-clbf-sun-wre-2026-08-02-sun).</t>
        </is>
      </c>
      <c r="AF262" s="31" t="inlineStr">
        <is>
          <t>Research-only soccer score model; draw-aware, but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NO_CALL_LOW_EDGE</t>
        </is>
      </c>
      <c r="AP262" s="24" t="inlineStr">
        <is>
          <t>Wrexham</t>
        </is>
      </c>
      <c r="AQ262" s="24" t="inlineStr">
        <is>
          <t>Wrexham</t>
        </is>
      </c>
      <c r="AR262" s="24" t="inlineStr">
        <is>
          <t>Wrexham</t>
        </is>
      </c>
      <c r="AS262" s="24" t="inlineStr">
        <is>
          <t>Sunderland</t>
        </is>
      </c>
      <c r="AT262" s="24" t="inlineStr">
        <is>
          <t>Sunderland</t>
        </is>
      </c>
      <c r="AU262" s="24" t="inlineStr">
        <is>
          <t>Sunderland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34d1568aad0ff11b5db35f118324684f93281e1c21fa7b80be7a4a4e2cb4bb03</t>
        </is>
      </c>
      <c r="BB262" s="24" t="inlineStr">
        <is>
          <t>poisson_dixon_coles</t>
        </is>
      </c>
      <c r="BC262" s="24" t="inlineStr">
        <is>
          <t>soccer-poisson-dc-v1</t>
        </is>
      </c>
      <c r="BD262" s="24" t="inlineStr">
        <is>
          <t>34d1568aad0ff11b5db35f118324684f93281e1c21fa7b80be7a4a4e2cb4bb03</t>
        </is>
      </c>
      <c r="BE262" s="24" t="inlineStr">
        <is>
          <t>soccer-poisson-dc-v1</t>
        </is>
      </c>
      <c r="BF262" s="24" t="inlineStr">
        <is>
          <t>1</t>
        </is>
      </c>
      <c r="BG262" s="24" t="inlineStr">
        <is>
          <t>34d1568aad0ff11b5db35f118324684f93281e1c21fa7b80be7a4a4e2cb4bb03</t>
        </is>
      </c>
      <c r="BH262" s="24" t="inlineStr">
        <is>
          <t>2026-08-02T15:46:37.855949Z</t>
        </is>
      </c>
      <c r="BI262" s="24" t="inlineStr">
        <is>
          <t>["same_event","same_team_same_day","same_league_same_day"]</t>
        </is>
      </c>
      <c r="BJ262" s="25" t="n"/>
      <c r="BK262" s="26" t="n">
        <v>-104</v>
      </c>
      <c r="BL262" s="27" t="n">
        <v>1.961538</v>
      </c>
      <c r="BM262" s="28" t="n">
        <v>0.509804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inlineStr">
        <is>
          <t>False</t>
        </is>
      </c>
    </row>
    <row r="263" ht="36" customHeight="1">
      <c r="A263" s="24" t="inlineStr">
        <is>
          <t>a724d46587fc4f4c</t>
        </is>
      </c>
      <c r="B263" s="24" t="inlineStr">
        <is>
          <t>2026-08-02T15:49:40.829108Z</t>
        </is>
      </c>
      <c r="C263" s="24" t="inlineStr">
        <is>
          <t>2026-08-02T20:00Z</t>
        </is>
      </c>
      <c r="D263" s="24" t="inlineStr">
        <is>
          <t>401863533</t>
        </is>
      </c>
      <c r="E263" s="24" t="inlineStr">
        <is>
          <t>SOCCER</t>
        </is>
      </c>
      <c r="F263" s="24" t="inlineStr">
        <is>
          <t>Leeds United</t>
        </is>
      </c>
      <c r="G263" s="24" t="inlineStr">
        <is>
          <t>Liverpool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-138</v>
      </c>
      <c r="M263" s="27" t="n">
        <v>1.724638</v>
      </c>
      <c r="N263" s="28" t="n">
        <v>0.579832</v>
      </c>
      <c r="O263" s="28" t="n">
        <v>0.482992</v>
      </c>
      <c r="P263" s="28" t="n">
        <v>0.04</v>
      </c>
      <c r="Q263" s="28" t="n">
        <v>-0.09684</v>
      </c>
      <c r="R263" s="26" t="n">
        <v>0</v>
      </c>
      <c r="S263" s="29" t="n">
        <v>1</v>
      </c>
      <c r="T263" s="24" t="inlineStr">
        <is>
          <t>soccer-poisson-dc-v1</t>
        </is>
      </c>
      <c r="U263" s="24" t="inlineStr">
        <is>
          <t>open</t>
        </is>
      </c>
      <c r="V263" s="24" t="n"/>
      <c r="W263" s="26" t="n"/>
      <c r="X263" s="26" t="n"/>
      <c r="Y263" s="25" t="n"/>
      <c r="Z263" s="26" t="n"/>
      <c r="AA263" s="28" t="n"/>
      <c r="AB263" s="28" t="n"/>
      <c r="AC263" s="30" t="n"/>
      <c r="AD263" s="24" t="n"/>
      <c r="AE263" s="31" t="inlineStr">
        <is>
          <t>Poisson-DC rates 1.69 (home) / 1.17 (away) from EWMA attack/defense strengths. Executable ask 0.5800 (atc-clbf-lfc-lee-2026-08-02-lfc).</t>
        </is>
      </c>
      <c r="AF263" s="31" t="inlineStr">
        <is>
          <t>Research-only soccer score model; draw-aware, but not yet locked-holdout qualified.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NO_CALL_LOW_EDGE</t>
        </is>
      </c>
      <c r="AP263" s="24" t="inlineStr">
        <is>
          <t>Leeds United</t>
        </is>
      </c>
      <c r="AQ263" s="24" t="inlineStr">
        <is>
          <t>Leeds United</t>
        </is>
      </c>
      <c r="AR263" s="24" t="inlineStr">
        <is>
          <t>Leeds United</t>
        </is>
      </c>
      <c r="AS263" s="24" t="inlineStr">
        <is>
          <t>Liverpool</t>
        </is>
      </c>
      <c r="AT263" s="24" t="inlineStr">
        <is>
          <t>Liverpool</t>
        </is>
      </c>
      <c r="AU263" s="24" t="inlineStr">
        <is>
          <t>Liverpool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34d1568aad0ff11b5db35f118324684f93281e1c21fa7b80be7a4a4e2cb4bb03</t>
        </is>
      </c>
      <c r="BB263" s="24" t="inlineStr">
        <is>
          <t>poisson_dixon_coles</t>
        </is>
      </c>
      <c r="BC263" s="24" t="inlineStr">
        <is>
          <t>soccer-poisson-dc-v1</t>
        </is>
      </c>
      <c r="BD263" s="24" t="inlineStr">
        <is>
          <t>34d1568aad0ff11b5db35f118324684f93281e1c21fa7b80be7a4a4e2cb4bb03</t>
        </is>
      </c>
      <c r="BE263" s="24" t="inlineStr">
        <is>
          <t>soccer-poisson-dc-v1</t>
        </is>
      </c>
      <c r="BF263" s="24" t="inlineStr">
        <is>
          <t>1</t>
        </is>
      </c>
      <c r="BG263" s="24" t="inlineStr">
        <is>
          <t>34d1568aad0ff11b5db35f118324684f93281e1c21fa7b80be7a4a4e2cb4bb03</t>
        </is>
      </c>
      <c r="BH263" s="24" t="inlineStr">
        <is>
          <t>2026-08-02T15:46:38.357498Z</t>
        </is>
      </c>
      <c r="BI263" s="24" t="inlineStr">
        <is>
          <t>["same_event","same_team_same_day","same_league_same_day"]</t>
        </is>
      </c>
      <c r="BJ263" s="25" t="n"/>
      <c r="BK263" s="26" t="n">
        <v>-138</v>
      </c>
      <c r="BL263" s="27" t="n">
        <v>1.724638</v>
      </c>
      <c r="BM263" s="28" t="n">
        <v>0.579832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2026-08-02T15:52:40Z</dcterms:created>
  <dcterms:modified xsi:type="dcterms:W3CDTF">2026-08-02T15:52:41Z</dcterms:modified>
</cp:coreProperties>
</file>