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69" headerRowCount="1">
  <autoFilter ref="A1:CA6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COUNTA('Picks'!$A$2:$A$69)</f>
        <v/>
      </c>
      <c r="C4" s="6">
        <f>COUNTIF('Picks'!$U$2:$U$69,"open")</f>
        <v/>
      </c>
      <c r="E4" s="6">
        <f>COUNTIF('Picks'!$U$2:$U$69,"settled")</f>
        <v/>
      </c>
      <c r="G4" s="6">
        <f>IF(COUNTIFS('Picks'!$U$2:$U$69,"settled",'Picks'!$V$2:$V$69,"win")+COUNTIFS('Picks'!$U$2:$U$69,"settled",'Picks'!$V$2:$V$69,"loss")&gt;=$L$2,"Ready","Insufficient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COUNTIF('Picks'!$BX$2:$BX$69,"&gt;0")</f>
        <v/>
      </c>
      <c r="C7" s="6">
        <f>COUNTIFS('Picks'!$BX$2:$BX$69,"&gt;0",'Picks'!$V$2:$V$69,"win")&amp;"-"&amp;COUNTIFS('Picks'!$BX$2:$BX$69,"&gt;0",'Picks'!$V$2:$V$69,"loss")</f>
        <v/>
      </c>
      <c r="E7" s="32">
        <f>IFERROR(COUNTIFS('Picks'!$BX$2:$BX$69,"&gt;0",'Picks'!$V$2:$V$69,"win")/(COUNTIFS('Picks'!$BX$2:$BX$69,"&gt;0",'Picks'!$V$2:$V$69,"win")+COUNTIFS('Picks'!$BX$2:$BX$69,"&gt;0",'Picks'!$V$2:$V$69,"loss")),0)</f>
        <v/>
      </c>
      <c r="G7" s="32">
        <f>IFERROR(SUM('Picks'!$BY$2:$BY$69)/SUM('Picks'!$BX$2:$BX$69),0)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SUM('Picks'!$BY$2:$BY$69)</f>
        <v/>
      </c>
      <c r="C10" s="9">
        <f>IFERROR(AVERAGEIF('Picks'!$AB$2:$AB$69,"&lt;&gt;",'Picks'!$AB$2:$AB$69),0)</f>
        <v/>
      </c>
      <c r="E10" s="6">
        <f>COUNTIFS('Picks'!$AM$2:$AM$69,"QUALIFIED_SHADOW_CALL",'Picks'!$U$2:$U$69,"settled")</f>
        <v/>
      </c>
      <c r="G10" s="33">
        <f>SUMIFS('Picks'!$AC$2:$AC$69,'Picks'!$AM$2:$AM$69,"QUALIFIED_SHADOW_CALL")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COUNTIFS('Picks'!$H$2:$H$69,$A14,'Picks'!$U$2:$U$69,"settled")</f>
        <v/>
      </c>
      <c r="C14" s="13">
        <f>COUNTIFS('Picks'!$H$2:$H$69,$A14,'Picks'!$U$2:$U$69,"settled",'Picks'!$V$2:$V$69,"win")</f>
        <v/>
      </c>
      <c r="D14" s="13">
        <f>COUNTIFS('Picks'!$H$2:$H$69,$A14,'Picks'!$U$2:$U$69,"settled",'Picks'!$V$2:$V$69,"loss")</f>
        <v/>
      </c>
      <c r="E14" s="34">
        <f>IFERROR(C14/(C14+D14),0)</f>
        <v/>
      </c>
      <c r="F14" s="35">
        <f>SUMIFS('Picks'!$BY$2:$BY$69,'Picks'!$H$2:$H$69,$A14)</f>
        <v/>
      </c>
      <c r="G14" s="16">
        <f>IFERROR(AVERAGEIFS('Picks'!$AB$2:$AB$69,'Picks'!$H$2:$H$69,$A14,'Picks'!$U$2:$U$69,"settled"),0)</f>
        <v/>
      </c>
    </row>
    <row r="15">
      <c r="A15" s="17" t="inlineStr">
        <is>
          <t>spread</t>
        </is>
      </c>
      <c r="B15" s="18">
        <f>COUNTIFS('Picks'!$H$2:$H$69,$A15,'Picks'!$U$2:$U$69,"settled")</f>
        <v/>
      </c>
      <c r="C15" s="18">
        <f>COUNTIFS('Picks'!$H$2:$H$69,$A15,'Picks'!$U$2:$U$69,"settled",'Picks'!$V$2:$V$69,"win")</f>
        <v/>
      </c>
      <c r="D15" s="18">
        <f>COUNTIFS('Picks'!$H$2:$H$69,$A15,'Picks'!$U$2:$U$69,"settled",'Picks'!$V$2:$V$69,"loss")</f>
        <v/>
      </c>
      <c r="E15" s="36">
        <f>IFERROR(C15/(C15+D15),0)</f>
        <v/>
      </c>
      <c r="F15" s="37">
        <f>SUMIFS('Picks'!$BY$2:$BY$69,'Picks'!$H$2:$H$69,$A15)</f>
        <v/>
      </c>
      <c r="G15" s="21">
        <f>IFERROR(AVERAGEIFS('Picks'!$AB$2:$AB$69,'Picks'!$H$2:$H$69,$A15,'Picks'!$U$2:$U$69,"settled"),0)</f>
        <v/>
      </c>
    </row>
    <row r="16">
      <c r="A16" s="12" t="inlineStr">
        <is>
          <t>total</t>
        </is>
      </c>
      <c r="B16" s="13">
        <f>COUNTIFS('Picks'!$H$2:$H$69,$A16,'Picks'!$U$2:$U$69,"settled")</f>
        <v/>
      </c>
      <c r="C16" s="13">
        <f>COUNTIFS('Picks'!$H$2:$H$69,$A16,'Picks'!$U$2:$U$69,"settled",'Picks'!$V$2:$V$69,"win")</f>
        <v/>
      </c>
      <c r="D16" s="13">
        <f>COUNTIFS('Picks'!$H$2:$H$69,$A16,'Picks'!$U$2:$U$69,"settled",'Picks'!$V$2:$V$69,"loss")</f>
        <v/>
      </c>
      <c r="E16" s="34">
        <f>IFERROR(C16/(C16+D16),0)</f>
        <v/>
      </c>
      <c r="F16" s="35">
        <f>SUMIFS('Picks'!$BY$2:$BY$69,'Picks'!$H$2:$H$69,$A16)</f>
        <v/>
      </c>
      <c r="G16" s="16">
        <f>IFERROR(AVERAGEIFS('Picks'!$AB$2:$AB$69,'Picks'!$H$2:$H$69,$A16,'Picks'!$U$2:$U$69,"settled"),0)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f036fa1150dd4319</t>
        </is>
      </c>
      <c r="B2" s="24" t="inlineStr">
        <is>
          <t>2026-07-19T12:54:59.612626Z</t>
        </is>
      </c>
      <c r="C2" s="24" t="inlineStr">
        <is>
          <t>2026-07-19T16:15Z</t>
        </is>
      </c>
      <c r="D2" s="24" t="inlineStr">
        <is>
          <t>401816171</t>
        </is>
      </c>
      <c r="E2" s="24" t="inlineStr">
        <is>
          <t>MLB</t>
        </is>
      </c>
      <c r="F2" s="24" t="inlineStr">
        <is>
          <t>Chicago White Sox</t>
        </is>
      </c>
      <c r="G2" s="24" t="inlineStr">
        <is>
          <t>Toronto Blue Jays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104</v>
      </c>
      <c r="M2" s="39" t="n">
        <v>2.04</v>
      </c>
      <c r="N2" s="28" t="n">
        <v>0.490196</v>
      </c>
      <c r="O2" s="28" t="n">
        <v>0.552013</v>
      </c>
      <c r="P2" s="28" t="n"/>
      <c r="Q2" s="28" t="n">
        <v>0.061817</v>
      </c>
      <c r="R2" s="26" t="n">
        <v>81</v>
      </c>
      <c r="S2" s="29" t="n">
        <v>1</v>
      </c>
      <c r="T2" s="24" t="inlineStr">
        <is>
          <t>mlb-elo-trend-lr-v3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38" t="n"/>
      <c r="Z2" s="26" t="n"/>
      <c r="AA2" s="28" t="n"/>
      <c r="AB2" s="28" t="n"/>
      <c r="AC2" s="40" t="n">
        <v>-1</v>
      </c>
      <c r="AD2" s="24" t="inlineStr">
        <is>
          <t>2026-07-19T23:12:43.225807Z</t>
        </is>
      </c>
      <c r="AE2" s="31" t="inlineStr">
        <is>
          <t>Learned LR call at threshold 0.5150; executable ask 0.4900 (aec-mlb-cws-tor-2026-07-19).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mlb-cws</t>
        </is>
      </c>
      <c r="AQ2" s="24" t="inlineStr">
        <is>
          <t>Chicago White Sox</t>
        </is>
      </c>
      <c r="AR2" s="24" t="inlineStr">
        <is>
          <t>Chicago White Sox</t>
        </is>
      </c>
      <c r="AS2" s="24" t="inlineStr">
        <is>
          <t>mlb-tor</t>
        </is>
      </c>
      <c r="AT2" s="24" t="inlineStr">
        <is>
          <t>Toronto Blue Jays</t>
        </is>
      </c>
      <c r="AU2" s="24" t="inlineStr">
        <is>
          <t>Toronto Blue Jays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ebdb392c90fd9a9414a97c1b39024e1a4f2c894aee118b3b4598ecd7e5e96695</t>
        </is>
      </c>
      <c r="BB2" s="24" t="inlineStr">
        <is>
          <t>learned_lr</t>
        </is>
      </c>
      <c r="BC2" s="24" t="inlineStr">
        <is>
          <t>mlb-elo-trend-lr-v3</t>
        </is>
      </c>
      <c r="BD2" s="24" t="inlineStr">
        <is>
          <t>ebdb392c90fd9a9414a97c1b39024e1a4f2c894aee118b3b4598ecd7e5e96695</t>
        </is>
      </c>
      <c r="BE2" s="24" t="inlineStr">
        <is>
          <t>097339aadf4c669a</t>
        </is>
      </c>
      <c r="BF2" s="24" t="inlineStr">
        <is>
          <t>1</t>
        </is>
      </c>
      <c r="BG2" s="24" t="inlineStr">
        <is>
          <t>mlb-elo-trend-lr-v3</t>
        </is>
      </c>
      <c r="BH2" s="24" t="inlineStr">
        <is>
          <t>2026-07-19T12:20:33.531222Z</t>
        </is>
      </c>
      <c r="BI2" s="24" t="inlineStr">
        <is>
          <t>["same_event","same_team_same_day","same_league_same_day"]</t>
        </is>
      </c>
      <c r="BJ2" s="38" t="n"/>
      <c r="BK2" s="26" t="n">
        <v>104</v>
      </c>
      <c r="BL2" s="39" t="n">
        <v>2.04</v>
      </c>
      <c r="BM2" s="28" t="n">
        <v>0.490196</v>
      </c>
      <c r="BN2" s="28" t="n">
        <v>0.487562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/>
      <c r="BY2" s="39" t="n"/>
      <c r="BZ2" s="24" t="n"/>
      <c r="CA2" s="31" t="n"/>
    </row>
    <row r="3" ht="36" customHeight="1">
      <c r="A3" s="24" t="inlineStr">
        <is>
          <t>7b496571632f4a03</t>
        </is>
      </c>
      <c r="B3" s="24" t="inlineStr">
        <is>
          <t>2026-07-19T12:54:59.612626Z</t>
        </is>
      </c>
      <c r="C3" s="24" t="inlineStr">
        <is>
          <t>2026-07-19T17:35Z</t>
        </is>
      </c>
      <c r="D3" s="24" t="inlineStr">
        <is>
          <t>401816173</t>
        </is>
      </c>
      <c r="E3" s="24" t="inlineStr">
        <is>
          <t>MLB</t>
        </is>
      </c>
      <c r="F3" s="24" t="inlineStr">
        <is>
          <t>New York Mets</t>
        </is>
      </c>
      <c r="G3" s="24" t="inlineStr">
        <is>
          <t>Philadelphia Phillies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117</v>
      </c>
      <c r="M3" s="39" t="n">
        <v>2.17</v>
      </c>
      <c r="N3" s="28" t="n">
        <v>0.460829</v>
      </c>
      <c r="O3" s="28" t="n">
        <v>0.6153690000000001</v>
      </c>
      <c r="P3" s="28" t="n"/>
      <c r="Q3" s="28" t="n">
        <v>0.15454</v>
      </c>
      <c r="R3" s="26" t="n">
        <v>100</v>
      </c>
      <c r="S3" s="29" t="n">
        <v>1.75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loss</t>
        </is>
      </c>
      <c r="W3" s="26" t="n">
        <v>6</v>
      </c>
      <c r="X3" s="26" t="n">
        <v>1</v>
      </c>
      <c r="Y3" s="38" t="n"/>
      <c r="Z3" s="26" t="n"/>
      <c r="AA3" s="28" t="n"/>
      <c r="AB3" s="28" t="n"/>
      <c r="AC3" s="40" t="n">
        <v>-1.75</v>
      </c>
      <c r="AD3" s="24" t="inlineStr">
        <is>
          <t>2026-07-19T23:12:43.477592Z</t>
        </is>
      </c>
      <c r="AE3" s="31" t="inlineStr">
        <is>
          <t>Learned LR call at threshold 0.5150; executable ask 0.4600 (aec-mlb-nym-phi-2026-07-19).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mlb-nym</t>
        </is>
      </c>
      <c r="AQ3" s="24" t="inlineStr">
        <is>
          <t>New York Mets</t>
        </is>
      </c>
      <c r="AR3" s="24" t="inlineStr">
        <is>
          <t>New York Mets</t>
        </is>
      </c>
      <c r="AS3" s="24" t="inlineStr">
        <is>
          <t>mlb-phi</t>
        </is>
      </c>
      <c r="AT3" s="24" t="inlineStr">
        <is>
          <t>Philadelphia Phillies</t>
        </is>
      </c>
      <c r="AU3" s="24" t="inlineStr">
        <is>
          <t>Philadelphia Phillies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ebdb392c90fd9a9414a97c1b39024e1a4f2c894aee118b3b4598ecd7e5e96695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ebdb392c90fd9a9414a97c1b39024e1a4f2c894aee118b3b4598ecd7e5e96695</t>
        </is>
      </c>
      <c r="BE3" s="24" t="inlineStr">
        <is>
          <t>f5f93a0e01a0b4e1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2026-07-19T12:20:37.335421Z</t>
        </is>
      </c>
      <c r="BI3" s="24" t="inlineStr">
        <is>
          <t>["same_event","same_team_same_day","same_league_same_day"]</t>
        </is>
      </c>
      <c r="BJ3" s="38" t="n"/>
      <c r="BK3" s="26" t="n">
        <v>117</v>
      </c>
      <c r="BL3" s="39" t="n">
        <v>2.17</v>
      </c>
      <c r="BM3" s="28" t="n">
        <v>0.460829</v>
      </c>
      <c r="BN3" s="28" t="n">
        <v>0.457711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/>
      <c r="BY3" s="39" t="n"/>
      <c r="BZ3" s="24" t="n"/>
      <c r="CA3" s="31" t="n"/>
    </row>
    <row r="4" ht="36" customHeight="1">
      <c r="A4" s="24" t="inlineStr">
        <is>
          <t>661bb12e4b834336</t>
        </is>
      </c>
      <c r="B4" s="24" t="inlineStr">
        <is>
          <t>2026-07-19T12:54:59.612626Z</t>
        </is>
      </c>
      <c r="C4" s="24" t="inlineStr">
        <is>
          <t>2026-07-19T17:35Z</t>
        </is>
      </c>
      <c r="D4" s="24" t="inlineStr">
        <is>
          <t>401816175</t>
        </is>
      </c>
      <c r="E4" s="24" t="inlineStr">
        <is>
          <t>MLB</t>
        </is>
      </c>
      <c r="F4" s="24" t="inlineStr">
        <is>
          <t>Tampa Bay Rays</t>
        </is>
      </c>
      <c r="G4" s="24" t="inlineStr">
        <is>
          <t>Boston Red Sox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-117</v>
      </c>
      <c r="M4" s="39" t="n">
        <v>1.854701</v>
      </c>
      <c r="N4" s="28" t="n">
        <v>0.539171</v>
      </c>
      <c r="O4" s="28" t="n">
        <v>0.5530080000000001</v>
      </c>
      <c r="P4" s="28" t="n"/>
      <c r="Q4" s="28" t="n">
        <v>0.013837</v>
      </c>
      <c r="R4" s="26" t="n">
        <v>57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6</v>
      </c>
      <c r="Y4" s="38" t="n"/>
      <c r="Z4" s="26" t="n"/>
      <c r="AA4" s="28" t="n"/>
      <c r="AB4" s="28" t="n"/>
      <c r="AC4" s="40" t="n">
        <v>0.8547</v>
      </c>
      <c r="AD4" s="24" t="inlineStr">
        <is>
          <t>2026-07-19T23:12:43.720828Z</t>
        </is>
      </c>
      <c r="AE4" s="31" t="inlineStr">
        <is>
          <t>Learned LR call at threshold 0.5150; executable ask 0.5400 (aec-mlb-tb-bos-2026-07-19).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mlb-tb</t>
        </is>
      </c>
      <c r="AQ4" s="24" t="inlineStr">
        <is>
          <t>Tampa Bay Rays</t>
        </is>
      </c>
      <c r="AR4" s="24" t="inlineStr">
        <is>
          <t>Tampa Bay Rays</t>
        </is>
      </c>
      <c r="AS4" s="24" t="inlineStr">
        <is>
          <t>mlb-bos</t>
        </is>
      </c>
      <c r="AT4" s="24" t="inlineStr">
        <is>
          <t>Boston Red Sox</t>
        </is>
      </c>
      <c r="AU4" s="24" t="inlineStr">
        <is>
          <t>Boston Red Sox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ebdb392c90fd9a9414a97c1b39024e1a4f2c894aee118b3b4598ecd7e5e96695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ebdb392c90fd9a9414a97c1b39024e1a4f2c894aee118b3b4598ecd7e5e96695</t>
        </is>
      </c>
      <c r="BE4" s="24" t="inlineStr">
        <is>
          <t>d975b9b26847e04d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2026-07-19T12:20:38.787831Z</t>
        </is>
      </c>
      <c r="BI4" s="24" t="inlineStr">
        <is>
          <t>["same_event","same_team_same_day","same_league_same_day"]</t>
        </is>
      </c>
      <c r="BJ4" s="38" t="n"/>
      <c r="BK4" s="26" t="n">
        <v>-117</v>
      </c>
      <c r="BL4" s="39" t="n">
        <v>1.854701</v>
      </c>
      <c r="BM4" s="28" t="n">
        <v>0.539171</v>
      </c>
      <c r="BN4" s="28" t="n">
        <v>0.537313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/>
      <c r="BY4" s="39" t="n"/>
      <c r="BZ4" s="24" t="n"/>
      <c r="CA4" s="31" t="n"/>
    </row>
    <row r="5" ht="36" customHeight="1">
      <c r="A5" s="24" t="inlineStr">
        <is>
          <t>adbbe8982e7c4a22</t>
        </is>
      </c>
      <c r="B5" s="24" t="inlineStr">
        <is>
          <t>2026-07-19T12:54:59.612626Z</t>
        </is>
      </c>
      <c r="C5" s="24" t="inlineStr">
        <is>
          <t>2026-07-19T17:40Z</t>
        </is>
      </c>
      <c r="D5" s="24" t="inlineStr">
        <is>
          <t>401816174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117</v>
      </c>
      <c r="M5" s="39" t="n">
        <v>2.17</v>
      </c>
      <c r="N5" s="28" t="n">
        <v>0.460829</v>
      </c>
      <c r="O5" s="28" t="n">
        <v>0.560582</v>
      </c>
      <c r="P5" s="28" t="n"/>
      <c r="Q5" s="28" t="n">
        <v>0.09975299999999999</v>
      </c>
      <c r="R5" s="26" t="n">
        <v>100</v>
      </c>
      <c r="S5" s="29" t="n">
        <v>1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1</v>
      </c>
      <c r="Y5" s="38" t="n"/>
      <c r="Z5" s="26" t="n"/>
      <c r="AA5" s="28" t="n"/>
      <c r="AB5" s="28" t="n"/>
      <c r="AC5" s="40" t="n">
        <v>-1</v>
      </c>
      <c r="AD5" s="24" t="inlineStr">
        <is>
          <t>2026-07-19T23:12:43.966052Z</t>
        </is>
      </c>
      <c r="AE5" s="31" t="inlineStr">
        <is>
          <t>Learned LR call at threshold 0.5150; executable ask 0.4600 (aec-mlb-pit-cle-2026-07-19).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ebdb392c90fd9a9414a97c1b39024e1a4f2c894aee118b3b4598ecd7e5e96695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ebdb392c90fd9a9414a97c1b39024e1a4f2c894aee118b3b4598ecd7e5e96695</t>
        </is>
      </c>
      <c r="BE5" s="24" t="inlineStr">
        <is>
          <t>1ea7c40ec20aaa1c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2026-07-19T12:20:39.567439Z</t>
        </is>
      </c>
      <c r="BI5" s="24" t="inlineStr">
        <is>
          <t>["same_event","same_team_same_day","same_league_same_day"]</t>
        </is>
      </c>
      <c r="BJ5" s="38" t="n"/>
      <c r="BK5" s="26" t="n">
        <v>117</v>
      </c>
      <c r="BL5" s="39" t="n">
        <v>2.17</v>
      </c>
      <c r="BM5" s="28" t="n">
        <v>0.460829</v>
      </c>
      <c r="BN5" s="28" t="n">
        <v>0.457711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/>
      <c r="BY5" s="39" t="n"/>
      <c r="BZ5" s="24" t="n"/>
      <c r="CA5" s="31" t="n"/>
    </row>
    <row r="6" ht="36" customHeight="1">
      <c r="A6" s="24" t="inlineStr">
        <is>
          <t>244750b2034f4f13</t>
        </is>
      </c>
      <c r="B6" s="24" t="inlineStr">
        <is>
          <t>2026-07-19T12:54:59.612626Z</t>
        </is>
      </c>
      <c r="C6" s="24" t="inlineStr">
        <is>
          <t>2026-07-19T18:10Z</t>
        </is>
      </c>
      <c r="D6" s="24" t="inlineStr">
        <is>
          <t>401816177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Houston Astros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-106</v>
      </c>
      <c r="M6" s="39" t="n">
        <v>1.943396</v>
      </c>
      <c r="N6" s="28" t="n">
        <v>0.514563</v>
      </c>
      <c r="O6" s="28" t="n">
        <v>0.518824</v>
      </c>
      <c r="P6" s="28" t="n"/>
      <c r="Q6" s="28" t="n">
        <v>0.004261</v>
      </c>
      <c r="R6" s="26" t="n">
        <v>52</v>
      </c>
      <c r="S6" s="29" t="n">
        <v>0.75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loss</t>
        </is>
      </c>
      <c r="W6" s="26" t="n">
        <v>5</v>
      </c>
      <c r="X6" s="26" t="n">
        <v>2</v>
      </c>
      <c r="Y6" s="38" t="n"/>
      <c r="Z6" s="26" t="n"/>
      <c r="AA6" s="28" t="n"/>
      <c r="AB6" s="28" t="n"/>
      <c r="AC6" s="40" t="n">
        <v>-0.75</v>
      </c>
      <c r="AD6" s="24" t="inlineStr">
        <is>
          <t>2026-07-19T23:12:44.208798Z</t>
        </is>
      </c>
      <c r="AE6" s="31" t="inlineStr">
        <is>
          <t>Learned LR call at threshold 0.5150; executable ask 0.5150 (aec-mlb-bal-hou-2026-07-19).</t>
        </is>
      </c>
      <c r="AF6" s="31" t="inlineStr">
        <is>
          <t>Learned model; promotion gate not yet open; zero-unit research until review.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mlb-hou</t>
        </is>
      </c>
      <c r="AT6" s="24" t="inlineStr">
        <is>
          <t>Houston Astros</t>
        </is>
      </c>
      <c r="AU6" s="24" t="inlineStr">
        <is>
          <t>Houston Astros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ebdb392c90fd9a9414a97c1b39024e1a4f2c894aee118b3b4598ecd7e5e96695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ebdb392c90fd9a9414a97c1b39024e1a4f2c894aee118b3b4598ecd7e5e96695</t>
        </is>
      </c>
      <c r="BE6" s="24" t="inlineStr">
        <is>
          <t>fb65fbe93d283ddf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2026-07-19T12:20:40.690565Z</t>
        </is>
      </c>
      <c r="BI6" s="24" t="inlineStr">
        <is>
          <t>["same_event","same_team_same_day","same_league_same_day"]</t>
        </is>
      </c>
      <c r="BJ6" s="38" t="n"/>
      <c r="BK6" s="26" t="n">
        <v>-106</v>
      </c>
      <c r="BL6" s="39" t="n">
        <v>1.943396</v>
      </c>
      <c r="BM6" s="28" t="n">
        <v>0.514563</v>
      </c>
      <c r="BN6" s="28" t="n">
        <v>0.5124379999999999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/>
      <c r="BY6" s="39" t="n"/>
      <c r="BZ6" s="24" t="n"/>
      <c r="CA6" s="31" t="n"/>
    </row>
    <row r="7" ht="36" customHeight="1">
      <c r="A7" s="24" t="inlineStr">
        <is>
          <t>24dc5460b71f4e79</t>
        </is>
      </c>
      <c r="B7" s="24" t="inlineStr">
        <is>
          <t>2026-07-19T12:54:59.612626Z</t>
        </is>
      </c>
      <c r="C7" s="24" t="inlineStr">
        <is>
          <t>2026-07-19T18:10Z</t>
        </is>
      </c>
      <c r="D7" s="24" t="inlineStr">
        <is>
          <t>401816178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-122</v>
      </c>
      <c r="M7" s="39" t="n">
        <v>1.819672</v>
      </c>
      <c r="N7" s="28" t="n">
        <v>0.54955</v>
      </c>
      <c r="O7" s="28" t="n">
        <v>0.6307700000000001</v>
      </c>
      <c r="P7" s="28" t="n"/>
      <c r="Q7" s="28" t="n">
        <v>0.08122</v>
      </c>
      <c r="R7" s="26" t="n">
        <v>91</v>
      </c>
      <c r="S7" s="29" t="n">
        <v>1.75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3</v>
      </c>
      <c r="Y7" s="38" t="n"/>
      <c r="Z7" s="26" t="n"/>
      <c r="AA7" s="28" t="n"/>
      <c r="AB7" s="28" t="n"/>
      <c r="AC7" s="40" t="n">
        <v>1.4344</v>
      </c>
      <c r="AD7" s="24" t="inlineStr">
        <is>
          <t>2026-07-19T23:12:44.452287Z</t>
        </is>
      </c>
      <c r="AE7" s="31" t="inlineStr">
        <is>
          <t>Learned LR call at threshold 0.5150; executable ask 0.5500 (aec-mlb-mia-mil-2026-07-19).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ebdb392c90fd9a9414a97c1b39024e1a4f2c894aee118b3b4598ecd7e5e96695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ebdb392c90fd9a9414a97c1b39024e1a4f2c894aee118b3b4598ecd7e5e96695</t>
        </is>
      </c>
      <c r="BE7" s="24" t="inlineStr">
        <is>
          <t>8fb0cba25307b5b8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2026-07-19T12:20:42.218493Z</t>
        </is>
      </c>
      <c r="BI7" s="24" t="inlineStr">
        <is>
          <t>["same_event","same_team_same_day","same_league_same_day"]</t>
        </is>
      </c>
      <c r="BJ7" s="38" t="n"/>
      <c r="BK7" s="26" t="n">
        <v>-122</v>
      </c>
      <c r="BL7" s="39" t="n">
        <v>1.819672</v>
      </c>
      <c r="BM7" s="28" t="n">
        <v>0.54955</v>
      </c>
      <c r="BN7" s="28" t="n">
        <v>0.547264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/>
      <c r="BY7" s="39" t="n"/>
      <c r="BZ7" s="24" t="n"/>
      <c r="CA7" s="31" t="n"/>
    </row>
    <row r="8" ht="36" customHeight="1">
      <c r="A8" s="24" t="inlineStr">
        <is>
          <t>a41133c348d04e51</t>
        </is>
      </c>
      <c r="B8" s="24" t="inlineStr">
        <is>
          <t>2026-07-19T12:54:59.612626Z</t>
        </is>
      </c>
      <c r="C8" s="24" t="inlineStr">
        <is>
          <t>2026-07-19T18:10Z</t>
        </is>
      </c>
      <c r="D8" s="24" t="inlineStr">
        <is>
          <t>401816180</t>
        </is>
      </c>
      <c r="E8" s="24" t="inlineStr">
        <is>
          <t>MLB</t>
        </is>
      </c>
      <c r="F8" s="24" t="inlineStr">
        <is>
          <t>San Diego Padres</t>
        </is>
      </c>
      <c r="G8" s="24" t="inlineStr">
        <is>
          <t>Kansas City Royals</t>
        </is>
      </c>
      <c r="H8" s="24" t="inlineStr">
        <is>
          <t>moneyline</t>
        </is>
      </c>
      <c r="I8" s="24" t="inlineStr">
        <is>
          <t>away</t>
        </is>
      </c>
      <c r="J8" s="38" t="n"/>
      <c r="K8" s="24" t="inlineStr">
        <is>
          <t>polymarket_us</t>
        </is>
      </c>
      <c r="L8" s="26" t="n">
        <v>115</v>
      </c>
      <c r="M8" s="39" t="n">
        <v>2.15</v>
      </c>
      <c r="N8" s="28" t="n">
        <v>0.465116</v>
      </c>
      <c r="O8" s="28" t="n">
        <v>0.520718</v>
      </c>
      <c r="P8" s="28" t="n"/>
      <c r="Q8" s="28" t="n">
        <v>0.055602</v>
      </c>
      <c r="R8" s="26" t="n">
        <v>78</v>
      </c>
      <c r="S8" s="29" t="n">
        <v>0.75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win</t>
        </is>
      </c>
      <c r="W8" s="26" t="n">
        <v>19</v>
      </c>
      <c r="X8" s="26" t="n">
        <v>2</v>
      </c>
      <c r="Y8" s="38" t="n"/>
      <c r="Z8" s="26" t="n"/>
      <c r="AA8" s="28" t="n"/>
      <c r="AB8" s="28" t="n"/>
      <c r="AC8" s="40" t="n">
        <v>0.8625</v>
      </c>
      <c r="AD8" s="24" t="inlineStr">
        <is>
          <t>2026-07-19T23:12:44.698613Z</t>
        </is>
      </c>
      <c r="AE8" s="31" t="inlineStr">
        <is>
          <t>Learned LR call at threshold 0.5150; executable ask 0.4650 (aec-mlb-sd-kc-2026-07-19).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mlb-sd</t>
        </is>
      </c>
      <c r="AQ8" s="24" t="inlineStr">
        <is>
          <t>San Diego Padres</t>
        </is>
      </c>
      <c r="AR8" s="24" t="inlineStr">
        <is>
          <t>San Diego Padres</t>
        </is>
      </c>
      <c r="AS8" s="24" t="inlineStr">
        <is>
          <t>mlb-kc</t>
        </is>
      </c>
      <c r="AT8" s="24" t="inlineStr">
        <is>
          <t>Kansas City Royals</t>
        </is>
      </c>
      <c r="AU8" s="24" t="inlineStr">
        <is>
          <t>Kansas City Royals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ebdb392c90fd9a9414a97c1b39024e1a4f2c894aee118b3b4598ecd7e5e96695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ebdb392c90fd9a9414a97c1b39024e1a4f2c894aee118b3b4598ecd7e5e96695</t>
        </is>
      </c>
      <c r="BE8" s="24" t="inlineStr">
        <is>
          <t>fce46e57be25f762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2026-07-19T12:20:43.564485Z</t>
        </is>
      </c>
      <c r="BI8" s="24" t="inlineStr">
        <is>
          <t>["same_event","same_team_same_day","same_league_same_day"]</t>
        </is>
      </c>
      <c r="BJ8" s="38" t="n"/>
      <c r="BK8" s="26" t="n">
        <v>115</v>
      </c>
      <c r="BL8" s="39" t="n">
        <v>2.15</v>
      </c>
      <c r="BM8" s="28" t="n">
        <v>0.465116</v>
      </c>
      <c r="BN8" s="28" t="n">
        <v>0.462687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/>
      <c r="BY8" s="39" t="n"/>
      <c r="BZ8" s="24" t="n"/>
      <c r="CA8" s="31" t="n"/>
    </row>
    <row r="9" ht="36" customHeight="1">
      <c r="A9" s="24" t="inlineStr">
        <is>
          <t>381bf45d8dc64de8</t>
        </is>
      </c>
      <c r="B9" s="24" t="inlineStr">
        <is>
          <t>2026-07-19T12:54:59.612626Z</t>
        </is>
      </c>
      <c r="C9" s="24" t="inlineStr">
        <is>
          <t>2026-07-19T18:20Z</t>
        </is>
      </c>
      <c r="D9" s="24" t="inlineStr">
        <is>
          <t>401816179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-150</v>
      </c>
      <c r="M9" s="39" t="n">
        <v>1.666667</v>
      </c>
      <c r="N9" s="28" t="n">
        <v>0.6</v>
      </c>
      <c r="O9" s="28" t="n">
        <v>0.599047</v>
      </c>
      <c r="P9" s="28" t="n"/>
      <c r="Q9" s="28" t="n">
        <v>-0.000953</v>
      </c>
      <c r="R9" s="26" t="n">
        <v>50</v>
      </c>
      <c r="S9" s="29" t="n">
        <v>1.5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10</v>
      </c>
      <c r="Y9" s="38" t="n"/>
      <c r="Z9" s="26" t="n"/>
      <c r="AA9" s="28" t="n"/>
      <c r="AB9" s="28" t="n"/>
      <c r="AC9" s="40" t="n">
        <v>1</v>
      </c>
      <c r="AD9" s="24" t="inlineStr">
        <is>
          <t>2026-07-19T23:12:44.944082Z</t>
        </is>
      </c>
      <c r="AE9" s="31" t="inlineStr">
        <is>
          <t>Learned LR call at threshold 0.5150; executable ask 0.6000 (aec-mlb-min-chc-2026-07-19).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mlb-min</t>
        </is>
      </c>
      <c r="AQ9" s="24" t="inlineStr">
        <is>
          <t>Minnesota Twins</t>
        </is>
      </c>
      <c r="AR9" s="24" t="inlineStr">
        <is>
          <t>Minnesota Twins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ebdb392c90fd9a9414a97c1b39024e1a4f2c894aee118b3b4598ecd7e5e96695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ebdb392c90fd9a9414a97c1b39024e1a4f2c894aee118b3b4598ecd7e5e96695</t>
        </is>
      </c>
      <c r="BE9" s="24" t="inlineStr">
        <is>
          <t>a5e44fbf125c8b8d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2026-07-19T12:20:44.784549Z</t>
        </is>
      </c>
      <c r="BI9" s="24" t="inlineStr">
        <is>
          <t>["same_event","same_team_same_day","same_league_same_day"]</t>
        </is>
      </c>
      <c r="BJ9" s="38" t="n"/>
      <c r="BK9" s="26" t="n">
        <v>-150</v>
      </c>
      <c r="BL9" s="39" t="n">
        <v>1.666667</v>
      </c>
      <c r="BM9" s="28" t="n">
        <v>0.6</v>
      </c>
      <c r="BN9" s="28" t="n">
        <v>0.597015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/>
      <c r="BY9" s="39" t="n"/>
      <c r="BZ9" s="24" t="n"/>
      <c r="CA9" s="31" t="n"/>
    </row>
    <row r="10" ht="36" customHeight="1">
      <c r="A10" s="24" t="inlineStr">
        <is>
          <t>4efa6372827f49d2</t>
        </is>
      </c>
      <c r="B10" s="24" t="inlineStr">
        <is>
          <t>2026-07-19T12:54:59.612626Z</t>
        </is>
      </c>
      <c r="C10" s="24" t="inlineStr">
        <is>
          <t>2026-07-19T20:07Z</t>
        </is>
      </c>
      <c r="D10" s="24" t="inlineStr">
        <is>
          <t>401816182</t>
        </is>
      </c>
      <c r="E10" s="24" t="inlineStr">
        <is>
          <t>MLB</t>
        </is>
      </c>
      <c r="F10" s="24" t="inlineStr">
        <is>
          <t>Detroit Tigers</t>
        </is>
      </c>
      <c r="G10" s="24" t="inlineStr">
        <is>
          <t>Los Angeles Angels</t>
        </is>
      </c>
      <c r="H10" s="24" t="inlineStr">
        <is>
          <t>moneyline</t>
        </is>
      </c>
      <c r="I10" s="24" t="inlineStr">
        <is>
          <t>away</t>
        </is>
      </c>
      <c r="J10" s="38" t="n"/>
      <c r="K10" s="24" t="inlineStr">
        <is>
          <t>polymarket_us</t>
        </is>
      </c>
      <c r="L10" s="26" t="n">
        <v>-141</v>
      </c>
      <c r="M10" s="39" t="n">
        <v>1.70922</v>
      </c>
      <c r="N10" s="28" t="n">
        <v>0.585062</v>
      </c>
      <c r="O10" s="28" t="n">
        <v>0.526852</v>
      </c>
      <c r="P10" s="28" t="n"/>
      <c r="Q10" s="28" t="n">
        <v>-0.05821</v>
      </c>
      <c r="R10" s="26" t="n">
        <v>21</v>
      </c>
      <c r="S10" s="29" t="n">
        <v>0.75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3</v>
      </c>
      <c r="Y10" s="38" t="n"/>
      <c r="Z10" s="26" t="n"/>
      <c r="AA10" s="28" t="n"/>
      <c r="AB10" s="28" t="n"/>
      <c r="AC10" s="40" t="n">
        <v>-0.75</v>
      </c>
      <c r="AD10" s="24" t="inlineStr">
        <is>
          <t>2026-07-19T23:12:45.192018Z</t>
        </is>
      </c>
      <c r="AE10" s="31" t="inlineStr">
        <is>
          <t>Learned LR call at threshold 0.5150; executable ask 0.5850 (aec-mlb-det-laa-2026-07-19).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mlb-det</t>
        </is>
      </c>
      <c r="AQ10" s="24" t="inlineStr">
        <is>
          <t>Detroit Tigers</t>
        </is>
      </c>
      <c r="AR10" s="24" t="inlineStr">
        <is>
          <t>Detroit Tigers</t>
        </is>
      </c>
      <c r="AS10" s="24" t="inlineStr">
        <is>
          <t>mlb-laa</t>
        </is>
      </c>
      <c r="AT10" s="24" t="inlineStr">
        <is>
          <t>Los Angeles Angels</t>
        </is>
      </c>
      <c r="AU10" s="24" t="inlineStr">
        <is>
          <t>Los Angeles Angels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ebdb392c90fd9a9414a97c1b39024e1a4f2c894aee118b3b4598ecd7e5e96695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ebdb392c90fd9a9414a97c1b39024e1a4f2c894aee118b3b4598ecd7e5e96695</t>
        </is>
      </c>
      <c r="BE10" s="24" t="inlineStr">
        <is>
          <t>116e26539f29a0c8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2026-07-19T12:20:47.368573Z</t>
        </is>
      </c>
      <c r="BI10" s="24" t="inlineStr">
        <is>
          <t>["same_event","same_team_same_day","same_league_same_day"]</t>
        </is>
      </c>
      <c r="BJ10" s="38" t="n"/>
      <c r="BK10" s="26" t="n">
        <v>-141</v>
      </c>
      <c r="BL10" s="39" t="n">
        <v>1.70922</v>
      </c>
      <c r="BM10" s="28" t="n">
        <v>0.585062</v>
      </c>
      <c r="BN10" s="28" t="n">
        <v>0.58209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/>
      <c r="BY10" s="39" t="n"/>
      <c r="BZ10" s="24" t="n"/>
      <c r="CA10" s="31" t="n"/>
    </row>
    <row r="11" ht="36" customHeight="1">
      <c r="A11" s="24" t="inlineStr">
        <is>
          <t>8a8510fe3d5e43d4</t>
        </is>
      </c>
      <c r="B11" s="24" t="inlineStr">
        <is>
          <t>2026-07-19T12:54:59.612626Z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-163</v>
      </c>
      <c r="M11" s="39" t="n">
        <v>1.613497</v>
      </c>
      <c r="N11" s="28" t="n">
        <v>0.619772</v>
      </c>
      <c r="O11" s="28" t="n">
        <v>0.595469</v>
      </c>
      <c r="P11" s="28" t="n"/>
      <c r="Q11" s="28" t="n">
        <v>-0.024303</v>
      </c>
      <c r="R11" s="26" t="n">
        <v>38</v>
      </c>
      <c r="S11" s="29" t="n">
        <v>1.5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38" t="n"/>
      <c r="Z11" s="26" t="n"/>
      <c r="AA11" s="28" t="n"/>
      <c r="AB11" s="28" t="n"/>
      <c r="AC11" s="40" t="n">
        <v>0.9202</v>
      </c>
      <c r="AD11" s="24" t="inlineStr">
        <is>
          <t>2026-07-19T23:12:45.440735Z</t>
        </is>
      </c>
      <c r="AE11" s="31" t="inlineStr">
        <is>
          <t>Learned LR call at threshold 0.5150; executable ask 0.6200 (aec-mlb-sf-sea-2026-07-19).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ebdb392c90fd9a9414a97c1b39024e1a4f2c894aee118b3b4598ecd7e5e96695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ebdb392c90fd9a9414a97c1b39024e1a4f2c894aee118b3b4598ecd7e5e96695</t>
        </is>
      </c>
      <c r="BE11" s="24" t="inlineStr">
        <is>
          <t>56bcde9b031bb310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2026-07-19T12:20:48.978861Z</t>
        </is>
      </c>
      <c r="BI11" s="24" t="inlineStr">
        <is>
          <t>["same_event","same_team_same_day","same_league_same_day"]</t>
        </is>
      </c>
      <c r="BJ11" s="38" t="n"/>
      <c r="BK11" s="26" t="n">
        <v>-163</v>
      </c>
      <c r="BL11" s="39" t="n">
        <v>1.613497</v>
      </c>
      <c r="BM11" s="28" t="n">
        <v>0.619772</v>
      </c>
      <c r="BN11" s="28" t="n">
        <v>0.616915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/>
      <c r="BY11" s="39" t="n"/>
      <c r="BZ11" s="24" t="n"/>
      <c r="CA11" s="31" t="n"/>
    </row>
    <row r="12" ht="36" customHeight="1">
      <c r="A12" s="24" t="inlineStr">
        <is>
          <t>437e59320f8e4a43</t>
        </is>
      </c>
      <c r="B12" s="24" t="inlineStr">
        <is>
          <t>2026-07-19T12:54:59.612626Z</t>
        </is>
      </c>
      <c r="C12" s="24" t="inlineStr">
        <is>
          <t>2026-07-19T20:10Z</t>
        </is>
      </c>
      <c r="D12" s="24" t="inlineStr">
        <is>
          <t>401816184</t>
        </is>
      </c>
      <c r="E12" s="24" t="inlineStr">
        <is>
          <t>MLB</t>
        </is>
      </c>
      <c r="F12" s="24" t="inlineStr">
        <is>
          <t>St. Louis Cardinals</t>
        </is>
      </c>
      <c r="G12" s="24" t="inlineStr">
        <is>
          <t>Arizona Diamondbacks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-111</v>
      </c>
      <c r="M12" s="39" t="n">
        <v>1.900901</v>
      </c>
      <c r="N12" s="28" t="n">
        <v>0.526066</v>
      </c>
      <c r="O12" s="28" t="n">
        <v>0.518517</v>
      </c>
      <c r="P12" s="28" t="n"/>
      <c r="Q12" s="28" t="n">
        <v>-0.007549</v>
      </c>
      <c r="R12" s="26" t="n">
        <v>46</v>
      </c>
      <c r="S12" s="29" t="n">
        <v>0.75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38" t="n"/>
      <c r="Z12" s="26" t="n"/>
      <c r="AA12" s="28" t="n"/>
      <c r="AB12" s="28" t="n"/>
      <c r="AC12" s="40" t="n">
        <v>0.6757</v>
      </c>
      <c r="AD12" s="24" t="inlineStr">
        <is>
          <t>2026-07-19T23:51:12.968396Z</t>
        </is>
      </c>
      <c r="AE12" s="31" t="inlineStr">
        <is>
          <t>Learned LR call at threshold 0.5150; executable ask 0.5250 (aec-mlb-stl-az-2026-07-19).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mlb-stl</t>
        </is>
      </c>
      <c r="AQ12" s="24" t="inlineStr">
        <is>
          <t>St. Louis Cardinals</t>
        </is>
      </c>
      <c r="AR12" s="24" t="inlineStr">
        <is>
          <t>St. Louis Cardinals</t>
        </is>
      </c>
      <c r="AS12" s="24" t="inlineStr">
        <is>
          <t>mlb-ari</t>
        </is>
      </c>
      <c r="AT12" s="24" t="inlineStr">
        <is>
          <t>Arizona Diamondbacks</t>
        </is>
      </c>
      <c r="AU12" s="24" t="inlineStr">
        <is>
          <t>Arizona Diamondbacks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ebdb392c90fd9a9414a97c1b39024e1a4f2c894aee118b3b4598ecd7e5e96695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ebdb392c90fd9a9414a97c1b39024e1a4f2c894aee118b3b4598ecd7e5e96695</t>
        </is>
      </c>
      <c r="BE12" s="24" t="inlineStr">
        <is>
          <t>c892d911f3a93b8b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2026-07-19T12:20:49.926170Z</t>
        </is>
      </c>
      <c r="BI12" s="24" t="inlineStr">
        <is>
          <t>["same_event","same_team_same_day","same_league_same_day"]</t>
        </is>
      </c>
      <c r="BJ12" s="38" t="n"/>
      <c r="BK12" s="26" t="n">
        <v>-111</v>
      </c>
      <c r="BL12" s="39" t="n">
        <v>1.900901</v>
      </c>
      <c r="BM12" s="28" t="n">
        <v>0.526066</v>
      </c>
      <c r="BN12" s="28" t="n">
        <v>0.522388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/>
      <c r="BY12" s="39" t="n"/>
      <c r="BZ12" s="24" t="n"/>
      <c r="CA12" s="31" t="n"/>
    </row>
    <row r="13" ht="36" customHeight="1">
      <c r="A13" s="24" t="inlineStr">
        <is>
          <t>4c364c0842444748</t>
        </is>
      </c>
      <c r="B13" s="24" t="inlineStr">
        <is>
          <t>2026-07-19T12:54:59.612626Z</t>
        </is>
      </c>
      <c r="C13" s="24" t="inlineStr">
        <is>
          <t>2026-07-19T23:20Z</t>
        </is>
      </c>
      <c r="D13" s="24" t="inlineStr">
        <is>
          <t>401816172</t>
        </is>
      </c>
      <c r="E13" s="24" t="inlineStr">
        <is>
          <t>MLB</t>
        </is>
      </c>
      <c r="F13" s="24" t="inlineStr">
        <is>
          <t>Los Angeles Dodgers</t>
        </is>
      </c>
      <c r="G13" s="24" t="inlineStr">
        <is>
          <t>New York Yankees</t>
        </is>
      </c>
      <c r="H13" s="24" t="inlineStr">
        <is>
          <t>moneyline</t>
        </is>
      </c>
      <c r="I13" s="24" t="inlineStr">
        <is>
          <t>away</t>
        </is>
      </c>
      <c r="J13" s="38" t="n"/>
      <c r="K13" s="24" t="inlineStr">
        <is>
          <t>polymarket_us</t>
        </is>
      </c>
      <c r="L13" s="26" t="n">
        <v>-108</v>
      </c>
      <c r="M13" s="39" t="n">
        <v>1.925926</v>
      </c>
      <c r="N13" s="28" t="n">
        <v>0.519231</v>
      </c>
      <c r="O13" s="28" t="n">
        <v>0.518236</v>
      </c>
      <c r="P13" s="28" t="n"/>
      <c r="Q13" s="28" t="n">
        <v>-0.000995</v>
      </c>
      <c r="R13" s="26" t="n">
        <v>50</v>
      </c>
      <c r="S13" s="29" t="n">
        <v>0.75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2</v>
      </c>
      <c r="Y13" s="38" t="n"/>
      <c r="Z13" s="26" t="n"/>
      <c r="AA13" s="28" t="n"/>
      <c r="AB13" s="28" t="n"/>
      <c r="AC13" s="40" t="n">
        <v>-0.75</v>
      </c>
      <c r="AD13" s="24" t="inlineStr">
        <is>
          <t>2026-07-20T07:27:21.588181Z</t>
        </is>
      </c>
      <c r="AE13" s="31" t="inlineStr">
        <is>
          <t>Learned LR call at threshold 0.5150; executable ask 0.5200 (aec-mlb-lad-nyy-2026-07-19).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mlb-lad</t>
        </is>
      </c>
      <c r="AQ13" s="24" t="inlineStr">
        <is>
          <t>Los Angeles Dodgers</t>
        </is>
      </c>
      <c r="AR13" s="24" t="inlineStr">
        <is>
          <t>Los Angeles Dodgers</t>
        </is>
      </c>
      <c r="AS13" s="24" t="inlineStr">
        <is>
          <t>mlb-nyy</t>
        </is>
      </c>
      <c r="AT13" s="24" t="inlineStr">
        <is>
          <t>New York Yankees</t>
        </is>
      </c>
      <c r="AU13" s="24" t="inlineStr">
        <is>
          <t>New York Yankees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ebdb392c90fd9a9414a97c1b39024e1a4f2c894aee118b3b4598ecd7e5e96695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ebdb392c90fd9a9414a97c1b39024e1a4f2c894aee118b3b4598ecd7e5e96695</t>
        </is>
      </c>
      <c r="BE13" s="24" t="inlineStr">
        <is>
          <t>3d0e5a17bc5bf87f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2026-07-19T12:20:50.977544Z</t>
        </is>
      </c>
      <c r="BI13" s="24" t="inlineStr">
        <is>
          <t>["same_event","same_team_same_day","same_league_same_day"]</t>
        </is>
      </c>
      <c r="BJ13" s="38" t="n"/>
      <c r="BK13" s="26" t="n">
        <v>-108</v>
      </c>
      <c r="BL13" s="39" t="n">
        <v>1.925926</v>
      </c>
      <c r="BM13" s="28" t="n">
        <v>0.519231</v>
      </c>
      <c r="BN13" s="28" t="n">
        <v>0.517413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/>
      <c r="BY13" s="39" t="n"/>
      <c r="BZ13" s="24" t="n"/>
      <c r="CA13" s="31" t="n"/>
    </row>
    <row r="14" ht="36" customHeight="1">
      <c r="A14" s="24" t="inlineStr">
        <is>
          <t>660d896695654e99</t>
        </is>
      </c>
      <c r="B14" s="24" t="inlineStr">
        <is>
          <t>2026-07-19T12:55:04.872783Z</t>
        </is>
      </c>
      <c r="C14" s="24" t="inlineStr">
        <is>
          <t>2026-07-19T17:00Z</t>
        </is>
      </c>
      <c r="D14" s="24" t="inlineStr">
        <is>
          <t>401857080</t>
        </is>
      </c>
      <c r="E14" s="24" t="inlineStr">
        <is>
          <t>WNBA</t>
        </is>
      </c>
      <c r="F14" s="24" t="inlineStr">
        <is>
          <t>Los Angeles Sparks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38" t="n"/>
      <c r="K14" s="24" t="inlineStr">
        <is>
          <t>polymarket_us</t>
        </is>
      </c>
      <c r="L14" s="26" t="n">
        <v>-400</v>
      </c>
      <c r="M14" s="39" t="n">
        <v>1.25</v>
      </c>
      <c r="N14" s="28" t="n">
        <v>0.8</v>
      </c>
      <c r="O14" s="28" t="n">
        <v>0.7509749999999999</v>
      </c>
      <c r="P14" s="28" t="n"/>
      <c r="Q14" s="28" t="n">
        <v>-0.049025</v>
      </c>
      <c r="R14" s="26" t="n">
        <v>25</v>
      </c>
      <c r="S14" s="29" t="n">
        <v>2</v>
      </c>
      <c r="T14" s="24" t="inlineStr">
        <is>
          <t>wnba-elo-trend-lr-v3</t>
        </is>
      </c>
      <c r="U14" s="24" t="inlineStr">
        <is>
          <t>settled</t>
        </is>
      </c>
      <c r="V14" s="24" t="inlineStr">
        <is>
          <t>win</t>
        </is>
      </c>
      <c r="W14" s="26" t="n">
        <v>82</v>
      </c>
      <c r="X14" s="26" t="n">
        <v>90</v>
      </c>
      <c r="Y14" s="38" t="n"/>
      <c r="Z14" s="26" t="n"/>
      <c r="AA14" s="28" t="n"/>
      <c r="AB14" s="28" t="n"/>
      <c r="AC14" s="40" t="n">
        <v>0.5</v>
      </c>
      <c r="AD14" s="24" t="inlineStr">
        <is>
          <t>2026-07-19T23:12:45.958826Z</t>
        </is>
      </c>
      <c r="AE14" s="31" t="inlineStr">
        <is>
          <t>Learned LR call at threshold 0.5000; executable ask 0.8000 (aec-wnba-la-dal-2026-07-19).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wnba-las</t>
        </is>
      </c>
      <c r="AQ14" s="24" t="inlineStr">
        <is>
          <t>Los Angeles Sparks</t>
        </is>
      </c>
      <c r="AR14" s="24" t="inlineStr">
        <is>
          <t>Los Angeles Sparks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d339198b196cb3fcd02950ed5efbdd4cefbeb95b2cd63cd756e77f99dc483719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d339198b196cb3fcd02950ed5efbdd4cefbeb95b2cd63cd756e77f99dc483719</t>
        </is>
      </c>
      <c r="BE14" s="24" t="inlineStr">
        <is>
          <t>1105570c96caae80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2026-07-19T12:20:54.245538Z</t>
        </is>
      </c>
      <c r="BI14" s="24" t="inlineStr">
        <is>
          <t>["same_event","same_team_same_day","same_league_same_day"]</t>
        </is>
      </c>
      <c r="BJ14" s="38" t="n"/>
      <c r="BK14" s="26" t="n">
        <v>-400</v>
      </c>
      <c r="BL14" s="39" t="n">
        <v>1.25</v>
      </c>
      <c r="BM14" s="28" t="n">
        <v>0.8</v>
      </c>
      <c r="BN14" s="28" t="n">
        <v>0.792079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/>
      <c r="BY14" s="39" t="n"/>
      <c r="BZ14" s="24" t="n"/>
      <c r="CA14" s="31" t="n"/>
    </row>
    <row r="15" ht="36" customHeight="1">
      <c r="A15" s="24" t="inlineStr">
        <is>
          <t>9f52810e7f374e1c</t>
        </is>
      </c>
      <c r="B15" s="24" t="inlineStr">
        <is>
          <t>2026-07-19T12:55:04.872783Z</t>
        </is>
      </c>
      <c r="C15" s="24" t="inlineStr">
        <is>
          <t>2026-07-19T20:00Z</t>
        </is>
      </c>
      <c r="D15" s="24" t="inlineStr">
        <is>
          <t>401857081</t>
        </is>
      </c>
      <c r="E15" s="24" t="inlineStr">
        <is>
          <t>WNBA</t>
        </is>
      </c>
      <c r="F15" s="24" t="inlineStr">
        <is>
          <t>Chicago Sky</t>
        </is>
      </c>
      <c r="G15" s="24" t="inlineStr">
        <is>
          <t>Atlanta Dream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-426</v>
      </c>
      <c r="M15" s="39" t="n">
        <v>1.234742</v>
      </c>
      <c r="N15" s="28" t="n">
        <v>0.809886</v>
      </c>
      <c r="O15" s="28" t="n">
        <v>0.675714</v>
      </c>
      <c r="P15" s="28" t="n"/>
      <c r="Q15" s="28" t="n">
        <v>-0.134172</v>
      </c>
      <c r="R15" s="26" t="n">
        <v>0</v>
      </c>
      <c r="S15" s="29" t="n">
        <v>2</v>
      </c>
      <c r="T15" s="24" t="inlineStr">
        <is>
          <t>wnba-elo-trend-lr-v3</t>
        </is>
      </c>
      <c r="U15" s="24" t="inlineStr">
        <is>
          <t>settled</t>
        </is>
      </c>
      <c r="V15" s="24" t="inlineStr">
        <is>
          <t>win</t>
        </is>
      </c>
      <c r="W15" s="26" t="n">
        <v>91</v>
      </c>
      <c r="X15" s="26" t="n">
        <v>93</v>
      </c>
      <c r="Y15" s="38" t="n"/>
      <c r="Z15" s="26" t="n"/>
      <c r="AA15" s="28" t="n"/>
      <c r="AB15" s="28" t="n"/>
      <c r="AC15" s="40" t="n">
        <v>0.4695</v>
      </c>
      <c r="AD15" s="24" t="inlineStr">
        <is>
          <t>2026-07-19T23:12:46.205387Z</t>
        </is>
      </c>
      <c r="AE15" s="31" t="inlineStr">
        <is>
          <t>Learned LR call at threshold 0.5000; executable ask 0.8100 (aec-wnba-chi-atl-2026-07-19).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wnba-chi</t>
        </is>
      </c>
      <c r="AQ15" s="24" t="inlineStr">
        <is>
          <t>Chicago Sky</t>
        </is>
      </c>
      <c r="AR15" s="24" t="inlineStr">
        <is>
          <t>Chicago Sky</t>
        </is>
      </c>
      <c r="AS15" s="24" t="inlineStr">
        <is>
          <t>wnba-atl</t>
        </is>
      </c>
      <c r="AT15" s="24" t="inlineStr">
        <is>
          <t>Atlanta Dream</t>
        </is>
      </c>
      <c r="AU15" s="24" t="inlineStr">
        <is>
          <t>Atlanta Dream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d339198b196cb3fcd02950ed5efbdd4cefbeb95b2cd63cd756e77f99dc483719</t>
        </is>
      </c>
      <c r="BB15" s="24" t="inlineStr">
        <is>
          <t>learned_lr</t>
        </is>
      </c>
      <c r="BC15" s="24" t="inlineStr">
        <is>
          <t>wnba-elo-trend-lr-v3</t>
        </is>
      </c>
      <c r="BD15" s="24" t="inlineStr">
        <is>
          <t>d339198b196cb3fcd02950ed5efbdd4cefbeb95b2cd63cd756e77f99dc483719</t>
        </is>
      </c>
      <c r="BE15" s="24" t="inlineStr">
        <is>
          <t>6a68fc6e2a5a0b4a</t>
        </is>
      </c>
      <c r="BF15" s="24" t="inlineStr">
        <is>
          <t>1</t>
        </is>
      </c>
      <c r="BG15" s="24" t="inlineStr">
        <is>
          <t>wnba-elo-trend-lr-v3</t>
        </is>
      </c>
      <c r="BH15" s="24" t="inlineStr">
        <is>
          <t>2026-07-19T12:20:55.900740Z</t>
        </is>
      </c>
      <c r="BI15" s="24" t="inlineStr">
        <is>
          <t>["same_event","same_team_same_day","same_league_same_day"]</t>
        </is>
      </c>
      <c r="BJ15" s="38" t="n"/>
      <c r="BK15" s="26" t="n">
        <v>-426</v>
      </c>
      <c r="BL15" s="39" t="n">
        <v>1.234742</v>
      </c>
      <c r="BM15" s="28" t="n">
        <v>0.809886</v>
      </c>
      <c r="BN15" s="28" t="n">
        <v>0.80198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/>
      <c r="BY15" s="39" t="n"/>
      <c r="BZ15" s="24" t="n"/>
      <c r="CA15" s="31" t="n"/>
    </row>
    <row r="16" ht="36" customHeight="1">
      <c r="A16" s="24" t="inlineStr">
        <is>
          <t>44eda71121684cc1</t>
        </is>
      </c>
      <c r="B16" s="24" t="inlineStr">
        <is>
          <t>2026-07-19T12:55:04.872783Z</t>
        </is>
      </c>
      <c r="C16" s="24" t="inlineStr">
        <is>
          <t>2026-07-19T23:00Z</t>
        </is>
      </c>
      <c r="D16" s="24" t="inlineStr">
        <is>
          <t>401857082</t>
        </is>
      </c>
      <c r="E16" s="24" t="inlineStr">
        <is>
          <t>WNBA</t>
        </is>
      </c>
      <c r="F16" s="24" t="inlineStr">
        <is>
          <t>Connecticut Sun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-156</v>
      </c>
      <c r="M16" s="39" t="n">
        <v>1.641026</v>
      </c>
      <c r="N16" s="28" t="n">
        <v>0.609375</v>
      </c>
      <c r="O16" s="28" t="n">
        <v>0.565769</v>
      </c>
      <c r="P16" s="28" t="n"/>
      <c r="Q16" s="28" t="n">
        <v>-0.043606</v>
      </c>
      <c r="R16" s="26" t="n">
        <v>28</v>
      </c>
      <c r="S16" s="29" t="n">
        <v>1.25</v>
      </c>
      <c r="T16" s="24" t="inlineStr">
        <is>
          <t>wnba-elo-trend-lr-v3</t>
        </is>
      </c>
      <c r="U16" s="24" t="inlineStr">
        <is>
          <t>settled</t>
        </is>
      </c>
      <c r="V16" s="24" t="inlineStr">
        <is>
          <t>win</t>
        </is>
      </c>
      <c r="W16" s="26" t="n">
        <v>63</v>
      </c>
      <c r="X16" s="26" t="n">
        <v>72</v>
      </c>
      <c r="Y16" s="38" t="n"/>
      <c r="Z16" s="26" t="n"/>
      <c r="AA16" s="28" t="n"/>
      <c r="AB16" s="28" t="n"/>
      <c r="AC16" s="40" t="n">
        <v>0.8013</v>
      </c>
      <c r="AD16" s="24" t="inlineStr">
        <is>
          <t>2026-07-20T07:27:22.185310Z</t>
        </is>
      </c>
      <c r="AE16" s="31" t="inlineStr">
        <is>
          <t>Learned LR call at threshold 0.5000; executable ask 0.6100 (aec-wnba-conn-phx-2026-07-19).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wnba-con</t>
        </is>
      </c>
      <c r="AQ16" s="24" t="inlineStr">
        <is>
          <t>Connecticut Sun</t>
        </is>
      </c>
      <c r="AR16" s="24" t="inlineStr">
        <is>
          <t>Connecticut Sun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d339198b196cb3fcd02950ed5efbdd4cefbeb95b2cd63cd756e77f99dc483719</t>
        </is>
      </c>
      <c r="BB16" s="24" t="inlineStr">
        <is>
          <t>learned_lr</t>
        </is>
      </c>
      <c r="BC16" s="24" t="inlineStr">
        <is>
          <t>wnba-elo-trend-lr-v3</t>
        </is>
      </c>
      <c r="BD16" s="24" t="inlineStr">
        <is>
          <t>d339198b196cb3fcd02950ed5efbdd4cefbeb95b2cd63cd756e77f99dc483719</t>
        </is>
      </c>
      <c r="BE16" s="24" t="inlineStr">
        <is>
          <t>25b3f96c5c4591d1</t>
        </is>
      </c>
      <c r="BF16" s="24" t="inlineStr">
        <is>
          <t>1</t>
        </is>
      </c>
      <c r="BG16" s="24" t="inlineStr">
        <is>
          <t>wnba-elo-trend-lr-v3</t>
        </is>
      </c>
      <c r="BH16" s="24" t="inlineStr">
        <is>
          <t>2026-07-19T12:20:56.954791Z</t>
        </is>
      </c>
      <c r="BI16" s="24" t="inlineStr">
        <is>
          <t>["same_event","same_team_same_day","same_league_same_day"]</t>
        </is>
      </c>
      <c r="BJ16" s="38" t="n"/>
      <c r="BK16" s="26" t="n">
        <v>-156</v>
      </c>
      <c r="BL16" s="39" t="n">
        <v>1.641026</v>
      </c>
      <c r="BM16" s="28" t="n">
        <v>0.609375</v>
      </c>
      <c r="BN16" s="28" t="n">
        <v>0.6039600000000001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/>
      <c r="BY16" s="39" t="n"/>
      <c r="BZ16" s="24" t="n"/>
      <c r="CA16" s="31" t="n"/>
    </row>
    <row r="17" ht="18" customHeight="1">
      <c r="A17" s="24" t="inlineStr">
        <is>
          <t>607e61329ed3424c</t>
        </is>
      </c>
      <c r="B17" s="24" t="inlineStr">
        <is>
          <t>2026-07-17T14:02:17Z</t>
        </is>
      </c>
      <c r="C17" s="24" t="inlineStr">
        <is>
          <t>2026-07-18T19:30:00-0400</t>
        </is>
      </c>
      <c r="D17" s="24" t="inlineStr">
        <is>
          <t>401857073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Indiana Fever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-354</v>
      </c>
      <c r="M17" s="39" t="n">
        <v>1.282486</v>
      </c>
      <c r="N17" s="28" t="n">
        <v>0.779736</v>
      </c>
      <c r="O17" s="28" t="n">
        <v>0.6207</v>
      </c>
      <c r="P17" s="28" t="n"/>
      <c r="Q17" s="28" t="n">
        <v>-0.159036</v>
      </c>
      <c r="R17" s="26" t="n"/>
      <c r="S17" s="29" t="n">
        <v>1.75</v>
      </c>
      <c r="T17" s="24" t="inlineStr">
        <is>
          <t>wnba-elo-trend-lr-v3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107</v>
      </c>
      <c r="X17" s="26" t="n">
        <v>110</v>
      </c>
      <c r="Y17" s="38" t="n"/>
      <c r="Z17" s="26" t="n"/>
      <c r="AA17" s="28" t="n"/>
      <c r="AB17" s="28" t="n"/>
      <c r="AC17" s="40" t="n">
        <v>0.4944</v>
      </c>
      <c r="AD17" s="24" t="inlineStr">
        <is>
          <t>2026-07-18T14:36:00Z</t>
        </is>
      </c>
      <c r="AE17" s="31" t="n"/>
      <c r="AF17" s="31" t="n"/>
      <c r="AG17" s="24" t="n"/>
      <c r="AH17" s="24" t="n"/>
      <c r="AI17" s="31" t="n"/>
      <c r="AJ17" s="31" t="n"/>
      <c r="AK17" s="24" t="inlineStr">
        <is>
          <t>QUALIFIED_SHADOW_CALL</t>
        </is>
      </c>
      <c r="AL17" s="26" t="n">
        <v>1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CALL_LEARNED_CONFIDENCE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learned</t>
        </is>
      </c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38" t="n"/>
      <c r="BK17" s="26" t="n">
        <v>-354</v>
      </c>
      <c r="BL17" s="39" t="n">
        <v>1.282486</v>
      </c>
      <c r="BM17" s="28" t="n">
        <v>0.779736</v>
      </c>
      <c r="BN17" s="28" t="n">
        <v>0.779736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/>
      <c r="BY17" s="39" t="n"/>
      <c r="BZ17" s="24" t="n"/>
      <c r="CA17" s="31" t="n"/>
    </row>
    <row r="18" ht="36" customHeight="1">
      <c r="A18" s="24" t="inlineStr">
        <is>
          <t>ba6d8918b5e04b6c</t>
        </is>
      </c>
      <c r="B18" s="24" t="inlineStr">
        <is>
          <t>2026-07-19T10:49:38.448695+00:00</t>
        </is>
      </c>
      <c r="C18" s="24" t="inlineStr">
        <is>
          <t>2026-07-17T14:00:00-0400</t>
        </is>
      </c>
      <c r="D18" s="24" t="inlineStr">
        <is>
          <t>Texa-Atla-2026-07-17</t>
        </is>
      </c>
      <c r="E18" s="24" t="inlineStr">
        <is>
          <t>MLB</t>
        </is>
      </c>
      <c r="F18" s="24" t="inlineStr">
        <is>
          <t>Texas Rangers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</t>
        </is>
      </c>
      <c r="L18" s="26" t="n">
        <v>-194</v>
      </c>
      <c r="M18" s="39" t="n">
        <v>1.515464</v>
      </c>
      <c r="N18" s="28" t="n">
        <v>0.659864</v>
      </c>
      <c r="O18" s="28" t="n">
        <v>0.577396</v>
      </c>
      <c r="P18" s="28" t="n">
        <v>0.05</v>
      </c>
      <c r="Q18" s="28" t="n">
        <v>-0.082468</v>
      </c>
      <c r="R18" s="26" t="n"/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15</v>
      </c>
      <c r="Y18" s="38" t="n"/>
      <c r="Z18" s="26" t="n"/>
      <c r="AA18" s="28" t="n"/>
      <c r="AB18" s="28" t="n"/>
      <c r="AC18" s="40" t="n">
        <v>0.6443</v>
      </c>
      <c r="AD18" s="24" t="inlineStr">
        <is>
          <t>2026-07-19T12:18:56.424168+00:00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inlineStr">
        <is>
          <t>2026-07-17T16:26:07.030893Z</t>
        </is>
      </c>
      <c r="BI18" s="24" t="n"/>
      <c r="BJ18" s="38" t="n"/>
      <c r="BK18" s="26" t="n">
        <v>-194</v>
      </c>
      <c r="BL18" s="39" t="n">
        <v>1.515464</v>
      </c>
      <c r="BM18" s="28" t="n">
        <v>0.659864</v>
      </c>
      <c r="BN18" s="28" t="n">
        <v>0.656716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/>
      <c r="BY18" s="39" t="n"/>
      <c r="BZ18" s="24" t="n"/>
      <c r="CA18" s="31" t="n"/>
    </row>
    <row r="19" ht="36" customHeight="1">
      <c r="A19" s="24" t="inlineStr">
        <is>
          <t>713f57aaeede4418</t>
        </is>
      </c>
      <c r="B19" s="24" t="inlineStr">
        <is>
          <t>2026-07-19T10:49:38.448695+00:00</t>
        </is>
      </c>
      <c r="C19" s="24" t="inlineStr">
        <is>
          <t>2026-07-17T14:00:00-0400</t>
        </is>
      </c>
      <c r="D19" s="24" t="inlineStr">
        <is>
          <t>Chic-Toro-2026-07-17</t>
        </is>
      </c>
      <c r="E19" s="24" t="inlineStr">
        <is>
          <t>MLB</t>
        </is>
      </c>
      <c r="F19" s="24" t="inlineStr">
        <is>
          <t>Chicago White Sox</t>
        </is>
      </c>
      <c r="G19" s="24" t="inlineStr">
        <is>
          <t>Toronto Blue Jays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</t>
        </is>
      </c>
      <c r="L19" s="26" t="n">
        <v>-122</v>
      </c>
      <c r="M19" s="39" t="n">
        <v>1.819672</v>
      </c>
      <c r="N19" s="28" t="n">
        <v>0.54955</v>
      </c>
      <c r="O19" s="28" t="n">
        <v>0.551581</v>
      </c>
      <c r="P19" s="28" t="n">
        <v>0.05</v>
      </c>
      <c r="Q19" s="28" t="n">
        <v>0.002031</v>
      </c>
      <c r="R19" s="26" t="n"/>
      <c r="S19" s="29" t="n">
        <v>1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38" t="n"/>
      <c r="Z19" s="26" t="n"/>
      <c r="AA19" s="28" t="n"/>
      <c r="AB19" s="28" t="n"/>
      <c r="AC19" s="40" t="n">
        <v>-1</v>
      </c>
      <c r="AD19" s="24" t="inlineStr">
        <is>
          <t>2026-07-19T12:18:56.424376+00:00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inlineStr">
        <is>
          <t>2026-07-17T16:26:05.906965Z</t>
        </is>
      </c>
      <c r="BI19" s="24" t="n"/>
      <c r="BJ19" s="38" t="n"/>
      <c r="BK19" s="26" t="n">
        <v>-122</v>
      </c>
      <c r="BL19" s="39" t="n">
        <v>1.819672</v>
      </c>
      <c r="BM19" s="28" t="n">
        <v>0.54955</v>
      </c>
      <c r="BN19" s="28" t="n">
        <v>0.547264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/>
      <c r="BY19" s="39" t="n"/>
      <c r="BZ19" s="24" t="n"/>
      <c r="CA19" s="31" t="n"/>
    </row>
    <row r="20" ht="36" customHeight="1">
      <c r="A20" s="24" t="inlineStr">
        <is>
          <t>4224d3689d5b44ed</t>
        </is>
      </c>
      <c r="B20" s="24" t="inlineStr">
        <is>
          <t>2026-07-19T10:49:38.448695+00:00</t>
        </is>
      </c>
      <c r="C20" s="24" t="inlineStr">
        <is>
          <t>2026-07-17T14:00:00-0400</t>
        </is>
      </c>
      <c r="D20" s="24" t="inlineStr">
        <is>
          <t>SanD-Kans-2026-07-17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</t>
        </is>
      </c>
      <c r="L20" s="26" t="n">
        <v>-113</v>
      </c>
      <c r="M20" s="39" t="n">
        <v>1.884956</v>
      </c>
      <c r="N20" s="28" t="n">
        <v>0.530516</v>
      </c>
      <c r="O20" s="28" t="n">
        <v>0.521172</v>
      </c>
      <c r="P20" s="28" t="n">
        <v>0.05</v>
      </c>
      <c r="Q20" s="28" t="n">
        <v>-0.009344</v>
      </c>
      <c r="R20" s="26" t="n"/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7</v>
      </c>
      <c r="Y20" s="38" t="n"/>
      <c r="Z20" s="26" t="n"/>
      <c r="AA20" s="28" t="n"/>
      <c r="AB20" s="28" t="n"/>
      <c r="AC20" s="40" t="n">
        <v>-0.75</v>
      </c>
      <c r="AD20" s="24" t="inlineStr">
        <is>
          <t>2026-07-19T12:18:56.424980+00:00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inlineStr">
        <is>
          <t>2026-07-17T16:26:09.836107Z</t>
        </is>
      </c>
      <c r="BI20" s="24" t="n"/>
      <c r="BJ20" s="38" t="n"/>
      <c r="BK20" s="26" t="n">
        <v>-113</v>
      </c>
      <c r="BL20" s="39" t="n">
        <v>1.884956</v>
      </c>
      <c r="BM20" s="28" t="n">
        <v>0.530516</v>
      </c>
      <c r="BN20" s="28" t="n">
        <v>0.527363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/>
      <c r="BY20" s="39" t="n"/>
      <c r="BZ20" s="24" t="n"/>
      <c r="CA20" s="31" t="n"/>
    </row>
    <row r="21" ht="36" customHeight="1">
      <c r="A21" s="24" t="inlineStr">
        <is>
          <t>caa582b839304286</t>
        </is>
      </c>
      <c r="B21" s="24" t="inlineStr">
        <is>
          <t>2026-07-19T10:49:38.448695+00:00</t>
        </is>
      </c>
      <c r="C21" s="24" t="inlineStr">
        <is>
          <t>2026-07-17T14:00:00-0400</t>
        </is>
      </c>
      <c r="D21" s="24" t="inlineStr">
        <is>
          <t>Balt-Hous-2026-07-17</t>
        </is>
      </c>
      <c r="E21" s="24" t="inlineStr">
        <is>
          <t>MLB</t>
        </is>
      </c>
      <c r="F21" s="24" t="inlineStr">
        <is>
          <t>Baltimore Orioles</t>
        </is>
      </c>
      <c r="G21" s="24" t="inlineStr">
        <is>
          <t>Houston Astros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0.524624</v>
      </c>
      <c r="P21" s="28" t="n">
        <v>0.05</v>
      </c>
      <c r="Q21" s="28" t="n">
        <v>0.010061</v>
      </c>
      <c r="R21" s="26" t="n"/>
      <c r="S21" s="29" t="n">
        <v>0.75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2</v>
      </c>
      <c r="Y21" s="38" t="n"/>
      <c r="Z21" s="26" t="n"/>
      <c r="AA21" s="28" t="n"/>
      <c r="AB21" s="28" t="n"/>
      <c r="AC21" s="40" t="n">
        <v>-0.75</v>
      </c>
      <c r="AD21" s="24" t="inlineStr">
        <is>
          <t>2026-07-19T12:18:56.425183+00:00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2026-07-17T16:26:10.857493Z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cebdc679239c4a7e</t>
        </is>
      </c>
      <c r="B22" s="24" t="inlineStr">
        <is>
          <t>2026-07-19T10:49:38.448695+00:00</t>
        </is>
      </c>
      <c r="C22" s="24" t="inlineStr">
        <is>
          <t>2026-07-17T14:00:00-0400</t>
        </is>
      </c>
      <c r="D22" s="24" t="inlineStr">
        <is>
          <t>SanF-Seat-2026-07-17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Seattle Mariners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-174</v>
      </c>
      <c r="M22" s="39" t="n">
        <v>1.574713</v>
      </c>
      <c r="N22" s="28" t="n">
        <v>0.635036</v>
      </c>
      <c r="O22" s="28" t="n">
        <v>0.597575</v>
      </c>
      <c r="P22" s="28" t="n">
        <v>0.05</v>
      </c>
      <c r="Q22" s="28" t="n">
        <v>-0.037461</v>
      </c>
      <c r="R22" s="26" t="n"/>
      <c r="S22" s="29" t="n">
        <v>1.5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loss</t>
        </is>
      </c>
      <c r="W22" s="26" t="n">
        <v>7</v>
      </c>
      <c r="X22" s="26" t="n">
        <v>0</v>
      </c>
      <c r="Y22" s="38" t="n"/>
      <c r="Z22" s="26" t="n"/>
      <c r="AA22" s="28" t="n"/>
      <c r="AB22" s="28" t="n"/>
      <c r="AC22" s="40" t="n">
        <v>-1.5</v>
      </c>
      <c r="AD22" s="24" t="inlineStr">
        <is>
          <t>2026-07-19T12:18:56.426191+00:00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2026-07-17T16:26:16.071100Z</t>
        </is>
      </c>
      <c r="BI22" s="24" t="n"/>
      <c r="BJ22" s="38" t="n"/>
      <c r="BK22" s="26" t="n">
        <v>-174</v>
      </c>
      <c r="BL22" s="39" t="n">
        <v>1.574713</v>
      </c>
      <c r="BM22" s="28" t="n">
        <v>0.635036</v>
      </c>
      <c r="BN22" s="28" t="n">
        <v>0.631841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deb68aa7d25042de</t>
        </is>
      </c>
      <c r="B23" s="24" t="inlineStr">
        <is>
          <t>2026-07-19T10:49:38.448695+00:00</t>
        </is>
      </c>
      <c r="C23" s="24" t="inlineStr">
        <is>
          <t>2026-07-17T14:00:00-0400</t>
        </is>
      </c>
      <c r="D23" s="24" t="inlineStr">
        <is>
          <t>Atla-Toro-2026-07-17</t>
        </is>
      </c>
      <c r="E23" s="24" t="inlineStr">
        <is>
          <t>WNBA</t>
        </is>
      </c>
      <c r="F23" s="24" t="inlineStr">
        <is>
          <t>Atlanta Dream</t>
        </is>
      </c>
      <c r="G23" s="24" t="inlineStr">
        <is>
          <t>Toronto Tempo</t>
        </is>
      </c>
      <c r="H23" s="24" t="inlineStr">
        <is>
          <t>moneyline</t>
        </is>
      </c>
      <c r="I23" s="24" t="inlineStr">
        <is>
          <t>away</t>
        </is>
      </c>
      <c r="J23" s="38" t="n"/>
      <c r="K23" s="24" t="inlineStr">
        <is>
          <t>polymarket</t>
        </is>
      </c>
      <c r="L23" s="26" t="n">
        <v>-376</v>
      </c>
      <c r="M23" s="39" t="n">
        <v>1.265957</v>
      </c>
      <c r="N23" s="28" t="n">
        <v>0.789916</v>
      </c>
      <c r="O23" s="28" t="n">
        <v>0.534506</v>
      </c>
      <c r="P23" s="28" t="n">
        <v>0.05</v>
      </c>
      <c r="Q23" s="28" t="n">
        <v>-0.25541</v>
      </c>
      <c r="R23" s="26" t="n"/>
      <c r="S23" s="29" t="n">
        <v>0.75</v>
      </c>
      <c r="T23" s="24" t="inlineStr">
        <is>
          <t>wnba-elo-trend-lr-v3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111</v>
      </c>
      <c r="X23" s="26" t="n">
        <v>92</v>
      </c>
      <c r="Y23" s="38" t="n"/>
      <c r="Z23" s="26" t="n"/>
      <c r="AA23" s="28" t="n"/>
      <c r="AB23" s="28" t="n"/>
      <c r="AC23" s="40" t="n">
        <v>0.1995</v>
      </c>
      <c r="AD23" s="24" t="inlineStr">
        <is>
          <t>2026-07-19T12:18:56.426270+00:00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2026-07-17T16:26:18.670439Z</t>
        </is>
      </c>
      <c r="BI23" s="24" t="n"/>
      <c r="BJ23" s="38" t="n"/>
      <c r="BK23" s="26" t="n">
        <v>-376</v>
      </c>
      <c r="BL23" s="39" t="n">
        <v>1.265957</v>
      </c>
      <c r="BM23" s="28" t="n">
        <v>0.789916</v>
      </c>
      <c r="BN23" s="28" t="n">
        <v>0.782178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9d42b77cda3d44a7</t>
        </is>
      </c>
      <c r="B24" s="24" t="inlineStr">
        <is>
          <t>2026-07-19T10:49:38.448695+00:00</t>
        </is>
      </c>
      <c r="C24" s="24" t="inlineStr">
        <is>
          <t>2026-07-17T14:00:00-0400</t>
        </is>
      </c>
      <c r="D24" s="24" t="inlineStr">
        <is>
          <t>LosA-Chic-2026-07-17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Chicago Sky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-113</v>
      </c>
      <c r="M24" s="39" t="n">
        <v>1.884956</v>
      </c>
      <c r="N24" s="28" t="n">
        <v>0.530516</v>
      </c>
      <c r="O24" s="28" t="n">
        <v>0.505358</v>
      </c>
      <c r="P24" s="28" t="n">
        <v>0.05</v>
      </c>
      <c r="Q24" s="28" t="n">
        <v>-0.025158</v>
      </c>
      <c r="R24" s="26" t="n"/>
      <c r="S24" s="29" t="n">
        <v>0.5</v>
      </c>
      <c r="T24" s="24" t="inlineStr">
        <is>
          <t>wnba-elo-trend-lr-v3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96</v>
      </c>
      <c r="Y24" s="38" t="n"/>
      <c r="Z24" s="26" t="n"/>
      <c r="AA24" s="28" t="n"/>
      <c r="AB24" s="28" t="n"/>
      <c r="AC24" s="40" t="n">
        <v>0.4425</v>
      </c>
      <c r="AD24" s="24" t="inlineStr">
        <is>
          <t>2026-07-19T12:18:56.426343+00:00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2026-07-17T17:12:46.881853Z</t>
        </is>
      </c>
      <c r="BI24" s="24" t="n"/>
      <c r="BJ24" s="38" t="n"/>
      <c r="BK24" s="26" t="n">
        <v>-113</v>
      </c>
      <c r="BL24" s="39" t="n">
        <v>1.884956</v>
      </c>
      <c r="BM24" s="28" t="n">
        <v>0.530516</v>
      </c>
      <c r="BN24" s="28" t="n">
        <v>0.524752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33934bb67697420b</t>
        </is>
      </c>
      <c r="B25" s="24" t="inlineStr">
        <is>
          <t>2026-07-19T10:49:38.448695+00:00</t>
        </is>
      </c>
      <c r="C25" s="24" t="inlineStr">
        <is>
          <t>2026-07-17T14:00:00-0400</t>
        </is>
      </c>
      <c r="D25" s="24" t="inlineStr">
        <is>
          <t>Conn-Phoe-2026-07-17</t>
        </is>
      </c>
      <c r="E25" s="24" t="inlineStr">
        <is>
          <t>WNBA</t>
        </is>
      </c>
      <c r="F25" s="24" t="inlineStr">
        <is>
          <t>Connecticut Sun</t>
        </is>
      </c>
      <c r="G25" s="24" t="inlineStr">
        <is>
          <t>Phoenix Mercury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</t>
        </is>
      </c>
      <c r="L25" s="26" t="n">
        <v>-178</v>
      </c>
      <c r="M25" s="39" t="n">
        <v>1.561798</v>
      </c>
      <c r="N25" s="28" t="n">
        <v>0.640288</v>
      </c>
      <c r="O25" s="28" t="n">
        <v>0.637935</v>
      </c>
      <c r="P25" s="28" t="n">
        <v>0.05</v>
      </c>
      <c r="Q25" s="28" t="n">
        <v>-0.002353</v>
      </c>
      <c r="R25" s="26" t="n"/>
      <c r="S25" s="29" t="n">
        <v>2</v>
      </c>
      <c r="T25" s="24" t="inlineStr">
        <is>
          <t>wnba-elo-trend-lr-v3</t>
        </is>
      </c>
      <c r="U25" s="24" t="inlineStr">
        <is>
          <t>settled</t>
        </is>
      </c>
      <c r="V25" s="24" t="inlineStr">
        <is>
          <t>loss</t>
        </is>
      </c>
      <c r="W25" s="26" t="n">
        <v>96</v>
      </c>
      <c r="X25" s="26" t="n">
        <v>83</v>
      </c>
      <c r="Y25" s="38" t="n"/>
      <c r="Z25" s="26" t="n"/>
      <c r="AA25" s="28" t="n"/>
      <c r="AB25" s="28" t="n"/>
      <c r="AC25" s="40" t="n">
        <v>-2</v>
      </c>
      <c r="AD25" s="24" t="inlineStr">
        <is>
          <t>2026-07-19T12:18:56.426414+00:00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2026-07-17T17:12:46.282679Z</t>
        </is>
      </c>
      <c r="BI25" s="24" t="n"/>
      <c r="BJ25" s="38" t="n"/>
      <c r="BK25" s="26" t="n">
        <v>-178</v>
      </c>
      <c r="BL25" s="39" t="n">
        <v>1.561798</v>
      </c>
      <c r="BM25" s="28" t="n">
        <v>0.640288</v>
      </c>
      <c r="BN25" s="28" t="n">
        <v>0.633663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9e5a3c9d33b2497b</t>
        </is>
      </c>
      <c r="B26" s="24" t="inlineStr">
        <is>
          <t>2026-07-19T10:49:38.448695+00:00</t>
        </is>
      </c>
      <c r="C26" s="24" t="inlineStr">
        <is>
          <t>2026-07-18T14:00:00-0400</t>
        </is>
      </c>
      <c r="D26" s="24" t="inlineStr">
        <is>
          <t>NewY-Phil-2026-07-18</t>
        </is>
      </c>
      <c r="E26" s="24" t="inlineStr">
        <is>
          <t>MLB</t>
        </is>
      </c>
      <c r="F26" s="24" t="inlineStr">
        <is>
          <t>New York Mets</t>
        </is>
      </c>
      <c r="G26" s="24" t="inlineStr">
        <is>
          <t>Philadelphia Phillies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</t>
        </is>
      </c>
      <c r="L26" s="26" t="n">
        <v>-163</v>
      </c>
      <c r="M26" s="39" t="n">
        <v>1.613497</v>
      </c>
      <c r="N26" s="28" t="n">
        <v>0.619772</v>
      </c>
      <c r="O26" s="28" t="n">
        <v>0.611768</v>
      </c>
      <c r="P26" s="28" t="n">
        <v>0.05</v>
      </c>
      <c r="Q26" s="28" t="n">
        <v>-0.008004000000000001</v>
      </c>
      <c r="R26" s="26" t="n"/>
      <c r="S26" s="29" t="n">
        <v>1.5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38" t="n"/>
      <c r="Z26" s="26" t="n"/>
      <c r="AA26" s="28" t="n"/>
      <c r="AB26" s="28" t="n"/>
      <c r="AC26" s="40" t="n">
        <v>0.9202</v>
      </c>
      <c r="AD26" s="24" t="inlineStr">
        <is>
          <t>2026-07-19T12:18:56.426817+00:00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2026-07-18T17:33:12.199724Z</t>
        </is>
      </c>
      <c r="BI26" s="24" t="n"/>
      <c r="BJ26" s="38" t="n"/>
      <c r="BK26" s="26" t="n">
        <v>-163</v>
      </c>
      <c r="BL26" s="39" t="n">
        <v>1.613497</v>
      </c>
      <c r="BM26" s="28" t="n">
        <v>0.619772</v>
      </c>
      <c r="BN26" s="28" t="n">
        <v>0.616915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f8293c8d16d748f5</t>
        </is>
      </c>
      <c r="B27" s="24" t="inlineStr">
        <is>
          <t>2026-07-19T10:49:38.448695+00:00</t>
        </is>
      </c>
      <c r="C27" s="24" t="inlineStr">
        <is>
          <t>2026-07-18T14:00:00-0400</t>
        </is>
      </c>
      <c r="D27" s="24" t="inlineStr">
        <is>
          <t>St.L-Ariz-2026-07-18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-111</v>
      </c>
      <c r="M27" s="39" t="n">
        <v>1.900901</v>
      </c>
      <c r="N27" s="28" t="n">
        <v>0.526066</v>
      </c>
      <c r="O27" s="28" t="n">
        <v>0.525388</v>
      </c>
      <c r="P27" s="28" t="n">
        <v>0.05</v>
      </c>
      <c r="Q27" s="28" t="n">
        <v>-0.000678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38" t="n"/>
      <c r="Z27" s="26" t="n"/>
      <c r="AA27" s="28" t="n"/>
      <c r="AB27" s="28" t="n"/>
      <c r="AC27" s="40" t="n">
        <v>0.6757</v>
      </c>
      <c r="AD27" s="24" t="inlineStr">
        <is>
          <t>2026-07-19T12:18:56.427204+00:00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2026-07-18T17:33:15.460034Z</t>
        </is>
      </c>
      <c r="BI27" s="24" t="n"/>
      <c r="BJ27" s="38" t="n"/>
      <c r="BK27" s="26" t="n">
        <v>-111</v>
      </c>
      <c r="BL27" s="39" t="n">
        <v>1.900901</v>
      </c>
      <c r="BM27" s="28" t="n">
        <v>0.526066</v>
      </c>
      <c r="BN27" s="28" t="n">
        <v>0.522388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f1019aa0671049ee</t>
        </is>
      </c>
      <c r="B28" s="24" t="inlineStr">
        <is>
          <t>2026-07-19T10:49:38.448695+00:00</t>
        </is>
      </c>
      <c r="C28" s="24" t="inlineStr">
        <is>
          <t>2026-07-18T14:00:00-0400</t>
        </is>
      </c>
      <c r="D28" s="24" t="inlineStr">
        <is>
          <t>SanF-Seat-2026-07-18</t>
        </is>
      </c>
      <c r="E28" s="24" t="inlineStr">
        <is>
          <t>MLB</t>
        </is>
      </c>
      <c r="F28" s="24" t="inlineStr">
        <is>
          <t>San Francisco Giants</t>
        </is>
      </c>
      <c r="G28" s="24" t="inlineStr">
        <is>
          <t>Seattle Mariners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-138</v>
      </c>
      <c r="M28" s="39" t="n">
        <v>1.724638</v>
      </c>
      <c r="N28" s="28" t="n">
        <v>0.579832</v>
      </c>
      <c r="O28" s="28" t="n">
        <v>0.597575</v>
      </c>
      <c r="P28" s="28" t="n">
        <v>0.05</v>
      </c>
      <c r="Q28" s="28" t="n">
        <v>0.017743</v>
      </c>
      <c r="R28" s="26" t="n"/>
      <c r="S28" s="29" t="n">
        <v>1.5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38" t="n"/>
      <c r="Z28" s="26" t="n"/>
      <c r="AA28" s="28" t="n"/>
      <c r="AB28" s="28" t="n"/>
      <c r="AC28" s="40" t="n">
        <v>1.087</v>
      </c>
      <c r="AD28" s="24" t="inlineStr">
        <is>
          <t>2026-07-19T12:18:56.427590+00:00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2026-07-18T17:35:05.699206Z</t>
        </is>
      </c>
      <c r="BI28" s="24" t="n"/>
      <c r="BJ28" s="38" t="n"/>
      <c r="BK28" s="26" t="n">
        <v>-138</v>
      </c>
      <c r="BL28" s="39" t="n">
        <v>1.724638</v>
      </c>
      <c r="BM28" s="28" t="n">
        <v>0.579832</v>
      </c>
      <c r="BN28" s="28" t="n">
        <v>0.577114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7e8754f391d2475e</t>
        </is>
      </c>
      <c r="B29" s="24" t="inlineStr">
        <is>
          <t>2026-07-19T10:49:38.448695+00:00</t>
        </is>
      </c>
      <c r="C29" s="24" t="inlineStr">
        <is>
          <t>2026-07-18T14:00:00-0400</t>
        </is>
      </c>
      <c r="D29" s="24" t="inlineStr">
        <is>
          <t>Detr-LosA-2026-07-18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away</t>
        </is>
      </c>
      <c r="J29" s="38" t="n"/>
      <c r="K29" s="24" t="inlineStr">
        <is>
          <t>polymarket</t>
        </is>
      </c>
      <c r="L29" s="26" t="n">
        <v>-178</v>
      </c>
      <c r="M29" s="39" t="n">
        <v>1.561798</v>
      </c>
      <c r="N29" s="28" t="n">
        <v>0.640288</v>
      </c>
      <c r="O29" s="28" t="n">
        <v>0.550233</v>
      </c>
      <c r="P29" s="28" t="n">
        <v>0.05</v>
      </c>
      <c r="Q29" s="28" t="n">
        <v>-0.090055</v>
      </c>
      <c r="R29" s="26" t="n"/>
      <c r="S29" s="29" t="n">
        <v>1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7</v>
      </c>
      <c r="X29" s="26" t="n">
        <v>0</v>
      </c>
      <c r="Y29" s="38" t="n"/>
      <c r="Z29" s="26" t="n"/>
      <c r="AA29" s="28" t="n"/>
      <c r="AB29" s="28" t="n"/>
      <c r="AC29" s="40" t="n">
        <v>0.5618</v>
      </c>
      <c r="AD29" s="24" t="inlineStr">
        <is>
          <t>2026-07-19T12:18:56.428327+00:00</t>
        </is>
      </c>
      <c r="AE29" s="31" t="inlineStr">
        <is>
          <t>backtest</t>
        </is>
      </c>
      <c r="AF29" s="31" t="n"/>
      <c r="AG29" s="24" t="n"/>
      <c r="AH29" s="24" t="n"/>
      <c r="AI29" s="31" t="n"/>
      <c r="AJ29" s="31" t="n"/>
      <c r="AK29" s="24" t="n"/>
      <c r="AL29" s="26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inlineStr">
        <is>
          <t>2026-07-18T17:33:26.013189Z</t>
        </is>
      </c>
      <c r="BI29" s="24" t="n"/>
      <c r="BJ29" s="38" t="n"/>
      <c r="BK29" s="26" t="n">
        <v>-178</v>
      </c>
      <c r="BL29" s="39" t="n">
        <v>1.561798</v>
      </c>
      <c r="BM29" s="28" t="n">
        <v>0.640288</v>
      </c>
      <c r="BN29" s="28" t="n">
        <v>0.636816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/>
      <c r="BY29" s="39" t="n"/>
      <c r="BZ29" s="24" t="n"/>
      <c r="CA29" s="31" t="n"/>
    </row>
    <row r="30" ht="36" customHeight="1">
      <c r="A30" s="24" t="inlineStr">
        <is>
          <t>5c32fca0897f4465</t>
        </is>
      </c>
      <c r="B30" s="24" t="inlineStr">
        <is>
          <t>2026-07-19T10:49:38.448695+00:00</t>
        </is>
      </c>
      <c r="C30" s="24" t="inlineStr">
        <is>
          <t>2026-07-18T14:00:00-0400</t>
        </is>
      </c>
      <c r="D30" s="24" t="inlineStr">
        <is>
          <t>Port-Minn-2026-07-18</t>
        </is>
      </c>
      <c r="E30" s="24" t="inlineStr">
        <is>
          <t>WNBA</t>
        </is>
      </c>
      <c r="F30" s="24" t="inlineStr">
        <is>
          <t>Portland Fire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</t>
        </is>
      </c>
      <c r="L30" s="26" t="n">
        <v>-669</v>
      </c>
      <c r="M30" s="39" t="n">
        <v>1.149477</v>
      </c>
      <c r="N30" s="28" t="n">
        <v>0.869961</v>
      </c>
      <c r="O30" s="28" t="n">
        <v>0.741703</v>
      </c>
      <c r="P30" s="28" t="n">
        <v>0.05</v>
      </c>
      <c r="Q30" s="28" t="n">
        <v>-0.128258</v>
      </c>
      <c r="R30" s="26" t="n"/>
      <c r="S30" s="29" t="n">
        <v>2</v>
      </c>
      <c r="T30" s="24" t="inlineStr">
        <is>
          <t>wnba-elo-trend-lr-v3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93</v>
      </c>
      <c r="X30" s="26" t="n">
        <v>101</v>
      </c>
      <c r="Y30" s="38" t="n"/>
      <c r="Z30" s="26" t="n"/>
      <c r="AA30" s="28" t="n"/>
      <c r="AB30" s="28" t="n"/>
      <c r="AC30" s="40" t="n">
        <v>0.299</v>
      </c>
      <c r="AD30" s="24" t="inlineStr">
        <is>
          <t>2026-07-19T12:18:56.428398+00:00</t>
        </is>
      </c>
      <c r="AE30" s="31" t="inlineStr">
        <is>
          <t>backtest</t>
        </is>
      </c>
      <c r="AF30" s="31" t="n"/>
      <c r="AG30" s="24" t="n"/>
      <c r="AH30" s="24" t="n"/>
      <c r="AI30" s="31" t="n"/>
      <c r="AJ30" s="31" t="n"/>
      <c r="AK30" s="24" t="n"/>
      <c r="AL30" s="26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inlineStr">
        <is>
          <t>2026-07-18T17:33:30.250960Z</t>
        </is>
      </c>
      <c r="BI30" s="24" t="n"/>
      <c r="BJ30" s="38" t="n"/>
      <c r="BK30" s="26" t="n">
        <v>-669</v>
      </c>
      <c r="BL30" s="39" t="n">
        <v>1.149477</v>
      </c>
      <c r="BM30" s="28" t="n">
        <v>0.869961</v>
      </c>
      <c r="BN30" s="28" t="n">
        <v>0.861386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/>
      <c r="BY30" s="39" t="n"/>
      <c r="BZ30" s="24" t="n"/>
      <c r="CA30" s="31" t="n"/>
    </row>
    <row r="31" ht="36" customHeight="1">
      <c r="A31" s="24" t="inlineStr">
        <is>
          <t>413a2bc86aab48de</t>
        </is>
      </c>
      <c r="B31" s="24" t="inlineStr">
        <is>
          <t>2026-07-19T10:49:38.448695+00:00</t>
        </is>
      </c>
      <c r="C31" s="24" t="inlineStr">
        <is>
          <t>2026-07-18T14:00:00-0400</t>
        </is>
      </c>
      <c r="D31" s="24" t="inlineStr">
        <is>
          <t>Wash-Gold-2026-07-18</t>
        </is>
      </c>
      <c r="E31" s="24" t="inlineStr">
        <is>
          <t>WNBA</t>
        </is>
      </c>
      <c r="F31" s="24" t="inlineStr">
        <is>
          <t>Washington Mystics</t>
        </is>
      </c>
      <c r="G31" s="24" t="inlineStr">
        <is>
          <t>Golden State Valkyries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</t>
        </is>
      </c>
      <c r="L31" s="26" t="n">
        <v>-355</v>
      </c>
      <c r="M31" s="39" t="n">
        <v>1.28169</v>
      </c>
      <c r="N31" s="28" t="n">
        <v>0.78022</v>
      </c>
      <c r="O31" s="28" t="n">
        <v>0.743891</v>
      </c>
      <c r="P31" s="28" t="n">
        <v>0.05</v>
      </c>
      <c r="Q31" s="28" t="n">
        <v>-0.036329</v>
      </c>
      <c r="R31" s="26" t="n"/>
      <c r="S31" s="29" t="n">
        <v>2</v>
      </c>
      <c r="T31" s="24" t="inlineStr">
        <is>
          <t>wnba-elo-trend-lr-v3</t>
        </is>
      </c>
      <c r="U31" s="24" t="inlineStr">
        <is>
          <t>settled</t>
        </is>
      </c>
      <c r="V31" s="24" t="inlineStr">
        <is>
          <t>win</t>
        </is>
      </c>
      <c r="W31" s="26" t="n">
        <v>69</v>
      </c>
      <c r="X31" s="26" t="n">
        <v>74</v>
      </c>
      <c r="Y31" s="38" t="n"/>
      <c r="Z31" s="26" t="n"/>
      <c r="AA31" s="28" t="n"/>
      <c r="AB31" s="28" t="n"/>
      <c r="AC31" s="40" t="n">
        <v>0.5634</v>
      </c>
      <c r="AD31" s="24" t="inlineStr">
        <is>
          <t>2026-07-19T12:18:56.428540+00:00</t>
        </is>
      </c>
      <c r="AE31" s="31" t="inlineStr">
        <is>
          <t>backtest</t>
        </is>
      </c>
      <c r="AF31" s="31" t="n"/>
      <c r="AG31" s="24" t="n"/>
      <c r="AH31" s="24" t="n"/>
      <c r="AI31" s="31" t="n"/>
      <c r="AJ31" s="31" t="n"/>
      <c r="AK31" s="24" t="n"/>
      <c r="AL31" s="26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inlineStr">
        <is>
          <t>2026-07-18T17:33:31.640957Z</t>
        </is>
      </c>
      <c r="BI31" s="24" t="n"/>
      <c r="BJ31" s="38" t="n"/>
      <c r="BK31" s="26" t="n">
        <v>-355</v>
      </c>
      <c r="BL31" s="39" t="n">
        <v>1.28169</v>
      </c>
      <c r="BM31" s="28" t="n">
        <v>0.78022</v>
      </c>
      <c r="BN31" s="28" t="n">
        <v>0.772277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/>
      <c r="BY31" s="39" t="n"/>
      <c r="BZ31" s="24" t="n"/>
      <c r="CA31" s="31" t="n"/>
    </row>
    <row r="32" ht="36" customHeight="1">
      <c r="A32" s="24" t="inlineStr">
        <is>
          <t>ef7830f025d54963</t>
        </is>
      </c>
      <c r="B32" s="24" t="inlineStr">
        <is>
          <t>2026-07-18T07:12:56.298602Z</t>
        </is>
      </c>
      <c r="C32" s="24" t="inlineStr">
        <is>
          <t>2026-07-18T20:00:00-0400</t>
        </is>
      </c>
      <c r="D32" s="24" t="inlineStr">
        <is>
          <t>401857077</t>
        </is>
      </c>
      <c r="E32" s="24" t="inlineStr">
        <is>
          <t>WNBA</t>
        </is>
      </c>
      <c r="F32" s="24" t="inlineStr">
        <is>
          <t>New York Liberty</t>
        </is>
      </c>
      <c r="G32" s="24" t="inlineStr">
        <is>
          <t>Indiana Fever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117</v>
      </c>
      <c r="M32" s="39" t="n">
        <v>2.17</v>
      </c>
      <c r="N32" s="28" t="n">
        <v>0.460829</v>
      </c>
      <c r="O32" s="28" t="n">
        <v>0.593309</v>
      </c>
      <c r="P32" s="28" t="n"/>
      <c r="Q32" s="28" t="n">
        <v>0.13248</v>
      </c>
      <c r="R32" s="26" t="n">
        <v>100</v>
      </c>
      <c r="S32" s="29" t="n">
        <v>1.5</v>
      </c>
      <c r="T32" s="24" t="inlineStr">
        <is>
          <t>wnba-elo-trend-lr-v3</t>
        </is>
      </c>
      <c r="U32" s="24" t="inlineStr">
        <is>
          <t>settled</t>
        </is>
      </c>
      <c r="V32" s="24" t="inlineStr">
        <is>
          <t>win</t>
        </is>
      </c>
      <c r="W32" s="26" t="n">
        <v>88</v>
      </c>
      <c r="X32" s="26" t="n">
        <v>108</v>
      </c>
      <c r="Y32" s="38" t="n"/>
      <c r="Z32" s="26" t="n"/>
      <c r="AA32" s="28" t="n"/>
      <c r="AB32" s="28" t="n"/>
      <c r="AC32" s="40" t="n">
        <v>1.755</v>
      </c>
      <c r="AD32" s="24" t="inlineStr">
        <is>
          <t>2026-07-19T03:07:19.656208Z</t>
        </is>
      </c>
      <c r="AE32" s="31" t="inlineStr">
        <is>
          <t>Learned LR call at threshold 0.5413; executable ask 0.4600 (aec-wnba-ny-ind-2026-07-18).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wnba-nyl</t>
        </is>
      </c>
      <c r="AQ32" s="24" t="inlineStr">
        <is>
          <t>New York Liberty</t>
        </is>
      </c>
      <c r="AR32" s="24" t="inlineStr">
        <is>
          <t>New York Liberty</t>
        </is>
      </c>
      <c r="AS32" s="24" t="inlineStr">
        <is>
          <t>wnba-ind</t>
        </is>
      </c>
      <c r="AT32" s="24" t="inlineStr">
        <is>
          <t>Indiana Fever</t>
        </is>
      </c>
      <c r="AU32" s="24" t="inlineStr">
        <is>
          <t>Indiana Fever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6b38a269117f4c6c1ae1e324273c2f9b9d11b2c15d99242f39aa89882d15db32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6b38a269117f4c6c1ae1e324273c2f9b9d11b2c15d99242f39aa89882d15db32</t>
        </is>
      </c>
      <c r="BE32" s="24" t="inlineStr">
        <is>
          <t>3a7dae2b4e6e8f88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2026-07-18T07:12:40.468242Z</t>
        </is>
      </c>
      <c r="BI32" s="24" t="inlineStr">
        <is>
          <t>["same_event","same_team_same_day","same_league_same_day"]</t>
        </is>
      </c>
      <c r="BJ32" s="38" t="n"/>
      <c r="BK32" s="26" t="n">
        <v>117</v>
      </c>
      <c r="BL32" s="39" t="n">
        <v>2.17</v>
      </c>
      <c r="BM32" s="28" t="n">
        <v>0.460829</v>
      </c>
      <c r="BN32" s="28" t="n">
        <v>0.455446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>
        <v>1</v>
      </c>
      <c r="BY32" s="39" t="n">
        <v>1.17</v>
      </c>
      <c r="BZ32" s="24" t="inlineStr">
        <is>
          <t>2026-07-19T03:07:19.656208Z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931feaf381a247bc</t>
        </is>
      </c>
      <c r="B33" s="24" t="inlineStr">
        <is>
          <t>2026-07-18T16:16:11.093520Z</t>
        </is>
      </c>
      <c r="C33" s="24" t="inlineStr">
        <is>
          <t>2026-07-18T16:10:00-0400</t>
        </is>
      </c>
      <c r="D33" s="24" t="inlineStr">
        <is>
          <t>401816163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-133</v>
      </c>
      <c r="M33" s="39" t="n">
        <v>1.75188</v>
      </c>
      <c r="N33" s="28" t="n">
        <v>0.570815</v>
      </c>
      <c r="O33" s="28" t="n">
        <v>0.608753</v>
      </c>
      <c r="P33" s="28" t="n"/>
      <c r="Q33" s="28" t="n">
        <v>0.037938</v>
      </c>
      <c r="R33" s="26" t="n">
        <v>69</v>
      </c>
      <c r="S33" s="29" t="n">
        <v>1.5</v>
      </c>
      <c r="T33" s="24" t="inlineStr">
        <is>
          <t>mlb-elo-trend-lr-v3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8</v>
      </c>
      <c r="Y33" s="38" t="n"/>
      <c r="Z33" s="26" t="n"/>
      <c r="AA33" s="28" t="n"/>
      <c r="AB33" s="28" t="n"/>
      <c r="AC33" s="40" t="n">
        <v>1.1278</v>
      </c>
      <c r="AD33" s="24" t="inlineStr">
        <is>
          <t>2026-07-18T23:59:20.431552Z</t>
        </is>
      </c>
      <c r="AE33" s="31" t="inlineStr">
        <is>
          <t>Learned LR call at threshold 0.6000; executable ask 0.5700 (aec-mlb-mia-mil-2026-07-18).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117c03794b1d1031deec3bd4cce88c9158bebd0622c621defd0aab3eb37c0a6e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117c03794b1d1031deec3bd4cce88c9158bebd0622c621defd0aab3eb37c0a6e</t>
        </is>
      </c>
      <c r="BE33" s="24" t="inlineStr">
        <is>
          <t>0f54459b91a18ff1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2026-07-18T16:15:15.200995Z</t>
        </is>
      </c>
      <c r="BI33" s="24" t="inlineStr">
        <is>
          <t>["same_event","same_team_same_day","same_league_same_day"]</t>
        </is>
      </c>
      <c r="BJ33" s="38" t="n"/>
      <c r="BK33" s="26" t="n">
        <v>-133</v>
      </c>
      <c r="BL33" s="39" t="n">
        <v>1.75188</v>
      </c>
      <c r="BM33" s="28" t="n">
        <v>0.570815</v>
      </c>
      <c r="BN33" s="28" t="n">
        <v>0.567164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>
        <v>1</v>
      </c>
      <c r="BY33" s="39" t="n">
        <v>0.75188</v>
      </c>
      <c r="BZ33" s="24" t="inlineStr">
        <is>
          <t>2026-07-18T23:59:20.431552Z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8789a71883f94701</t>
        </is>
      </c>
      <c r="B34" s="24" t="inlineStr">
        <is>
          <t>2026-07-18T16:44:20.099051Z</t>
        </is>
      </c>
      <c r="C34" s="24" t="inlineStr">
        <is>
          <t>2026-07-18T13:10:00-0400</t>
        </is>
      </c>
      <c r="D34" s="24" t="inlineStr">
        <is>
          <t>401896568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Cleveland Guardians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-102</v>
      </c>
      <c r="M34" s="39" t="n">
        <v>1.980392</v>
      </c>
      <c r="N34" s="28" t="n">
        <v>0.50495</v>
      </c>
      <c r="O34" s="28" t="n">
        <v>0.554084</v>
      </c>
      <c r="P34" s="28" t="n"/>
      <c r="Q34" s="28" t="n">
        <v>0.049134</v>
      </c>
      <c r="R34" s="26" t="n">
        <v>75</v>
      </c>
      <c r="S34" s="29" t="n">
        <v>1</v>
      </c>
      <c r="T34" s="24" t="inlineStr">
        <is>
          <t>mlb-elo-trend-lr-v3</t>
        </is>
      </c>
      <c r="U34" s="24" t="inlineStr">
        <is>
          <t>settled</t>
        </is>
      </c>
      <c r="V34" s="24" t="inlineStr">
        <is>
          <t>loss</t>
        </is>
      </c>
      <c r="W34" s="26" t="n">
        <v>7</v>
      </c>
      <c r="X34" s="26" t="n">
        <v>1</v>
      </c>
      <c r="Y34" s="38" t="n"/>
      <c r="Z34" s="26" t="n"/>
      <c r="AA34" s="28" t="n"/>
      <c r="AB34" s="28" t="n"/>
      <c r="AC34" s="40" t="n">
        <v>-1</v>
      </c>
      <c r="AD34" s="24" t="inlineStr">
        <is>
          <t>2026-07-18T21:05:56.909771Z</t>
        </is>
      </c>
      <c r="AE34" s="31" t="inlineStr">
        <is>
          <t>Learned LR call at threshold 0.5500; executable ask 0.5050 (aec-mlb-pit-cle-2026-07-18).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c97732889cfca1912f8d78791ff63f04ee3fe987951aced9e4fab541932597cd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c97732889cfca1912f8d78791ff63f04ee3fe987951aced9e4fab541932597cd</t>
        </is>
      </c>
      <c r="BE34" s="24" t="inlineStr">
        <is>
          <t>6df496ff8b2da9c6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2026-07-18T16:42:59.880808Z</t>
        </is>
      </c>
      <c r="BI34" s="24" t="inlineStr">
        <is>
          <t>["same_event","same_team_same_day","same_league_same_day"]</t>
        </is>
      </c>
      <c r="BJ34" s="38" t="n"/>
      <c r="BK34" s="26" t="n">
        <v>-102</v>
      </c>
      <c r="BL34" s="39" t="n">
        <v>1.980392</v>
      </c>
      <c r="BM34" s="28" t="n">
        <v>0.50495</v>
      </c>
      <c r="BN34" s="28" t="n">
        <v>0.502488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>
        <v>1</v>
      </c>
      <c r="BY34" s="39" t="n">
        <v>-1</v>
      </c>
      <c r="BZ34" s="24" t="inlineStr">
        <is>
          <t>2026-07-18T21:05:56.909771Z</t>
        </is>
      </c>
      <c r="CA34" s="31" t="inlineStr">
        <is>
          <t>fixed one-unit hypothetical scoring; no real exposure or execution</t>
        </is>
      </c>
    </row>
    <row r="35" ht="36" customHeight="1">
      <c r="A35" s="24" t="inlineStr">
        <is>
          <t>512e4ebfdf1a456e</t>
        </is>
      </c>
      <c r="B35" s="24" t="inlineStr">
        <is>
          <t>2026-07-18T16:44:20.099051Z</t>
        </is>
      </c>
      <c r="C35" s="24" t="inlineStr">
        <is>
          <t>2026-07-18T14:20:00-0400</t>
        </is>
      </c>
      <c r="D35" s="24" t="inlineStr">
        <is>
          <t>401816164</t>
        </is>
      </c>
      <c r="E35" s="24" t="inlineStr">
        <is>
          <t>MLB</t>
        </is>
      </c>
      <c r="F35" s="24" t="inlineStr">
        <is>
          <t>Minnesota Twins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-133</v>
      </c>
      <c r="M35" s="39" t="n">
        <v>1.75188</v>
      </c>
      <c r="N35" s="28" t="n">
        <v>0.570815</v>
      </c>
      <c r="O35" s="28" t="n">
        <v>0.608363</v>
      </c>
      <c r="P35" s="28" t="n"/>
      <c r="Q35" s="28" t="n">
        <v>0.037548</v>
      </c>
      <c r="R35" s="26" t="n">
        <v>69</v>
      </c>
      <c r="S35" s="29" t="n">
        <v>1.5</v>
      </c>
      <c r="T35" s="24" t="inlineStr">
        <is>
          <t>mlb-elo-trend-lr-v3</t>
        </is>
      </c>
      <c r="U35" s="24" t="inlineStr">
        <is>
          <t>settled</t>
        </is>
      </c>
      <c r="V35" s="24" t="inlineStr">
        <is>
          <t>win</t>
        </is>
      </c>
      <c r="W35" s="26" t="n">
        <v>2</v>
      </c>
      <c r="X35" s="26" t="n">
        <v>6</v>
      </c>
      <c r="Y35" s="38" t="n"/>
      <c r="Z35" s="26" t="n"/>
      <c r="AA35" s="28" t="n"/>
      <c r="AB35" s="28" t="n"/>
      <c r="AC35" s="40" t="n">
        <v>1.1278</v>
      </c>
      <c r="AD35" s="24" t="inlineStr">
        <is>
          <t>2026-07-18T21:05:56.984438Z</t>
        </is>
      </c>
      <c r="AE35" s="31" t="inlineStr">
        <is>
          <t>Learned LR call at threshold 0.5500; executable ask 0.5700 (aec-mlb-min-chc-2026-07-18).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mlb-min</t>
        </is>
      </c>
      <c r="AQ35" s="24" t="inlineStr">
        <is>
          <t>Minnesota Twins</t>
        </is>
      </c>
      <c r="AR35" s="24" t="inlineStr">
        <is>
          <t>Minnesota Twins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c97732889cfca1912f8d78791ff63f04ee3fe987951aced9e4fab541932597cd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c97732889cfca1912f8d78791ff63f04ee3fe987951aced9e4fab541932597cd</t>
        </is>
      </c>
      <c r="BE35" s="24" t="inlineStr">
        <is>
          <t>7166685f6e68e237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2026-07-18T16:42:49.506840Z</t>
        </is>
      </c>
      <c r="BI35" s="24" t="inlineStr">
        <is>
          <t>["same_event","same_team_same_day","same_league_same_day"]</t>
        </is>
      </c>
      <c r="BJ35" s="38" t="n"/>
      <c r="BK35" s="26" t="n">
        <v>-133</v>
      </c>
      <c r="BL35" s="39" t="n">
        <v>1.75188</v>
      </c>
      <c r="BM35" s="28" t="n">
        <v>0.570815</v>
      </c>
      <c r="BN35" s="28" t="n">
        <v>0.567164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>
        <v>1</v>
      </c>
      <c r="BY35" s="39" t="n">
        <v>0.75188</v>
      </c>
      <c r="BZ35" s="24" t="inlineStr">
        <is>
          <t>2026-07-18T21:05:56.984438Z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80b7c78aaffb4905</t>
        </is>
      </c>
      <c r="B36" s="24" t="inlineStr">
        <is>
          <t>2026-07-18T16:44:20.099051Z</t>
        </is>
      </c>
      <c r="C36" s="24" t="inlineStr">
        <is>
          <t>2026-07-18T15:07:00-0400</t>
        </is>
      </c>
      <c r="D36" s="24" t="inlineStr">
        <is>
          <t>401816156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-104</v>
      </c>
      <c r="M36" s="39" t="n">
        <v>1.961538</v>
      </c>
      <c r="N36" s="28" t="n">
        <v>0.509804</v>
      </c>
      <c r="O36" s="28" t="n">
        <v>0.5767679999999999</v>
      </c>
      <c r="P36" s="28" t="n"/>
      <c r="Q36" s="28" t="n">
        <v>0.066964</v>
      </c>
      <c r="R36" s="26" t="n">
        <v>83</v>
      </c>
      <c r="S36" s="29" t="n">
        <v>1.25</v>
      </c>
      <c r="T36" s="24" t="inlineStr">
        <is>
          <t>mlb-elo-trend-lr-v3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38" t="n"/>
      <c r="Z36" s="26" t="n"/>
      <c r="AA36" s="28" t="n"/>
      <c r="AB36" s="28" t="n"/>
      <c r="AC36" s="40" t="n">
        <v>1.2019</v>
      </c>
      <c r="AD36" s="24" t="inlineStr">
        <is>
          <t>2026-07-18T23:59:20.512474Z</t>
        </is>
      </c>
      <c r="AE36" s="31" t="inlineStr">
        <is>
          <t>Learned LR call at threshold 0.5500; executable ask 0.5100 (aec-mlb-cws-tor-2026-07-18).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c97732889cfca1912f8d78791ff63f04ee3fe987951aced9e4fab541932597cd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c97732889cfca1912f8d78791ff63f04ee3fe987951aced9e4fab541932597cd</t>
        </is>
      </c>
      <c r="BE36" s="24" t="inlineStr">
        <is>
          <t>990421d336b67011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2026-07-18T16:42:50.404282Z</t>
        </is>
      </c>
      <c r="BI36" s="24" t="inlineStr">
        <is>
          <t>["same_event","same_team_same_day","same_league_same_day"]</t>
        </is>
      </c>
      <c r="BJ36" s="38" t="n"/>
      <c r="BK36" s="26" t="n">
        <v>-104</v>
      </c>
      <c r="BL36" s="39" t="n">
        <v>1.961538</v>
      </c>
      <c r="BM36" s="28" t="n">
        <v>0.509804</v>
      </c>
      <c r="BN36" s="28" t="n">
        <v>0.507463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>
        <v>1</v>
      </c>
      <c r="BY36" s="39" t="n">
        <v>0.961538</v>
      </c>
      <c r="BZ36" s="24" t="inlineStr">
        <is>
          <t>2026-07-18T23:59:20.512474Z</t>
        </is>
      </c>
      <c r="CA36" s="31" t="inlineStr">
        <is>
          <t>fixed one-unit hypothetical scoring; no real exposure or execution</t>
        </is>
      </c>
    </row>
    <row r="37" ht="36" customHeight="1">
      <c r="A37" s="24" t="inlineStr">
        <is>
          <t>c7e4de168a8f4e3d</t>
        </is>
      </c>
      <c r="B37" s="24" t="inlineStr">
        <is>
          <t>2026-07-18T16:44:20.099051Z</t>
        </is>
      </c>
      <c r="C37" s="24" t="inlineStr">
        <is>
          <t>2026-07-18T15:10:00-0400</t>
        </is>
      </c>
      <c r="D37" s="24" t="inlineStr">
        <is>
          <t>401816166</t>
        </is>
      </c>
      <c r="E37" s="24" t="inlineStr">
        <is>
          <t>MLB</t>
        </is>
      </c>
      <c r="F37" s="24" t="inlineStr">
        <is>
          <t>Cincinnati Reds</t>
        </is>
      </c>
      <c r="G37" s="24" t="inlineStr">
        <is>
          <t>Colorado Rockies</t>
        </is>
      </c>
      <c r="H37" s="24" t="inlineStr">
        <is>
          <t>moneyline</t>
        </is>
      </c>
      <c r="I37" s="24" t="inlineStr">
        <is>
          <t>away</t>
        </is>
      </c>
      <c r="J37" s="38" t="n"/>
      <c r="K37" s="24" t="inlineStr">
        <is>
          <t>polymarket_us</t>
        </is>
      </c>
      <c r="L37" s="26" t="n">
        <v>-104</v>
      </c>
      <c r="M37" s="39" t="n">
        <v>1.961538</v>
      </c>
      <c r="N37" s="28" t="n">
        <v>0.509804</v>
      </c>
      <c r="O37" s="28" t="n">
        <v>0.582367</v>
      </c>
      <c r="P37" s="28" t="n"/>
      <c r="Q37" s="28" t="n">
        <v>0.072563</v>
      </c>
      <c r="R37" s="26" t="n">
        <v>86</v>
      </c>
      <c r="S37" s="29" t="n">
        <v>1.25</v>
      </c>
      <c r="T37" s="24" t="inlineStr">
        <is>
          <t>mlb-elo-trend-lr-v3</t>
        </is>
      </c>
      <c r="U37" s="24" t="inlineStr">
        <is>
          <t>settled</t>
        </is>
      </c>
      <c r="V37" s="24" t="inlineStr">
        <is>
          <t>loss</t>
        </is>
      </c>
      <c r="W37" s="26" t="n">
        <v>3</v>
      </c>
      <c r="X37" s="26" t="n">
        <v>10</v>
      </c>
      <c r="Y37" s="38" t="n"/>
      <c r="Z37" s="26" t="n"/>
      <c r="AA37" s="28" t="n"/>
      <c r="AB37" s="28" t="n"/>
      <c r="AC37" s="40" t="n">
        <v>-1.25</v>
      </c>
      <c r="AD37" s="24" t="inlineStr">
        <is>
          <t>2026-07-18T23:59:20.572146Z</t>
        </is>
      </c>
      <c r="AE37" s="31" t="inlineStr">
        <is>
          <t>Learned LR call at threshold 0.5500; executable ask 0.5100 (aec-mlb-cin-col-2026-07-18).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mlb-cin</t>
        </is>
      </c>
      <c r="AQ37" s="24" t="inlineStr">
        <is>
          <t>Cincinnati Reds</t>
        </is>
      </c>
      <c r="AR37" s="24" t="inlineStr">
        <is>
          <t>Cincinnati Reds</t>
        </is>
      </c>
      <c r="AS37" s="24" t="inlineStr">
        <is>
          <t>mlb-col</t>
        </is>
      </c>
      <c r="AT37" s="24" t="inlineStr">
        <is>
          <t>Colorado Rockies</t>
        </is>
      </c>
      <c r="AU37" s="24" t="inlineStr">
        <is>
          <t>Colorado Rockies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c97732889cfca1912f8d78791ff63f04ee3fe987951aced9e4fab541932597cd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c97732889cfca1912f8d78791ff63f04ee3fe987951aced9e4fab541932597cd</t>
        </is>
      </c>
      <c r="BE37" s="24" t="inlineStr">
        <is>
          <t>4215d10b9bfb4b91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2026-07-18T16:42:52.313468Z</t>
        </is>
      </c>
      <c r="BI37" s="24" t="inlineStr">
        <is>
          <t>["same_event","same_team_same_day","same_league_same_day"]</t>
        </is>
      </c>
      <c r="BJ37" s="38" t="n"/>
      <c r="BK37" s="26" t="n">
        <v>-104</v>
      </c>
      <c r="BL37" s="39" t="n">
        <v>1.961538</v>
      </c>
      <c r="BM37" s="28" t="n">
        <v>0.509804</v>
      </c>
      <c r="BN37" s="28" t="n">
        <v>0.507463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>
        <v>1</v>
      </c>
      <c r="BY37" s="39" t="n">
        <v>-1</v>
      </c>
      <c r="BZ37" s="24" t="inlineStr">
        <is>
          <t>2026-07-18T23:59:20.572146Z</t>
        </is>
      </c>
      <c r="CA37" s="31" t="inlineStr">
        <is>
          <t>fixed one-unit hypothetical scoring; no real exposure or execution</t>
        </is>
      </c>
    </row>
    <row r="38" ht="36" customHeight="1">
      <c r="A38" s="24" t="inlineStr">
        <is>
          <t>2ec6744dbfd84ecf</t>
        </is>
      </c>
      <c r="B38" s="24" t="inlineStr">
        <is>
          <t>2026-07-18T16:44:20.099051Z</t>
        </is>
      </c>
      <c r="C38" s="24" t="inlineStr">
        <is>
          <t>2026-07-18T16:10:00-0400</t>
        </is>
      </c>
      <c r="D38" s="24" t="inlineStr">
        <is>
          <t>401816161</t>
        </is>
      </c>
      <c r="E38" s="24" t="inlineStr">
        <is>
          <t>MLB</t>
        </is>
      </c>
      <c r="F38" s="24" t="inlineStr">
        <is>
          <t>Texas Rangers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-106</v>
      </c>
      <c r="M38" s="39" t="n">
        <v>1.943396</v>
      </c>
      <c r="N38" s="28" t="n">
        <v>0.514563</v>
      </c>
      <c r="O38" s="28" t="n">
        <v>0.550297</v>
      </c>
      <c r="P38" s="28" t="n"/>
      <c r="Q38" s="28" t="n">
        <v>0.035734</v>
      </c>
      <c r="R38" s="26" t="n">
        <v>68</v>
      </c>
      <c r="S38" s="29" t="n">
        <v>1</v>
      </c>
      <c r="T38" s="24" t="inlineStr">
        <is>
          <t>mlb-elo-trend-lr-v3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6</v>
      </c>
      <c r="Y38" s="38" t="n"/>
      <c r="Z38" s="26" t="n"/>
      <c r="AA38" s="28" t="n"/>
      <c r="AB38" s="28" t="n"/>
      <c r="AC38" s="40" t="n">
        <v>-1</v>
      </c>
      <c r="AD38" s="24" t="inlineStr">
        <is>
          <t>2026-07-18T23:59:20.634092Z</t>
        </is>
      </c>
      <c r="AE38" s="31" t="inlineStr">
        <is>
          <t>Learned LR call at threshold 0.5500; executable ask 0.5150 (aec-mlb-tex-atl-2026-07-18).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mlb-tex</t>
        </is>
      </c>
      <c r="AQ38" s="24" t="inlineStr">
        <is>
          <t>Texas Rangers</t>
        </is>
      </c>
      <c r="AR38" s="24" t="inlineStr">
        <is>
          <t>Texas Rangers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c97732889cfca1912f8d78791ff63f04ee3fe987951aced9e4fab541932597cd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c97732889cfca1912f8d78791ff63f04ee3fe987951aced9e4fab541932597cd</t>
        </is>
      </c>
      <c r="BE38" s="24" t="inlineStr">
        <is>
          <t>a999da31a6f5af28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2026-07-18T16:42:57.199270Z</t>
        </is>
      </c>
      <c r="BI38" s="24" t="inlineStr">
        <is>
          <t>["same_event","same_team_same_day","same_league_same_day"]</t>
        </is>
      </c>
      <c r="BJ38" s="38" t="n"/>
      <c r="BK38" s="26" t="n">
        <v>-106</v>
      </c>
      <c r="BL38" s="39" t="n">
        <v>1.943396</v>
      </c>
      <c r="BM38" s="28" t="n">
        <v>0.514563</v>
      </c>
      <c r="BN38" s="28" t="n">
        <v>0.5124379999999999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>
        <v>1</v>
      </c>
      <c r="BY38" s="39" t="n">
        <v>-1</v>
      </c>
      <c r="BZ38" s="24" t="inlineStr">
        <is>
          <t>2026-07-18T23:59:20.634092Z</t>
        </is>
      </c>
      <c r="CA38" s="31" t="inlineStr">
        <is>
          <t>fixed one-unit hypothetical scoring; no real exposure or execution</t>
        </is>
      </c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102</v>
      </c>
      <c r="M39" s="39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87</v>
      </c>
      <c r="S39" s="29" t="n">
        <v>1.25</v>
      </c>
      <c r="T39" s="24" t="inlineStr">
        <is>
          <t>mlb-elo-trend-lr-v3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38" t="n"/>
      <c r="Z39" s="26" t="n"/>
      <c r="AA39" s="28" t="n"/>
      <c r="AB39" s="28" t="n"/>
      <c r="AC39" s="4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c97732889cfca1912f8d78791ff63f04ee3fe987951aced9e4fab541932597cd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c97732889cfca1912f8d78791ff63f04ee3fe987951aced9e4fab541932597cd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38" t="n"/>
      <c r="BK39" s="26" t="n">
        <v>102</v>
      </c>
      <c r="BL39" s="39" t="n">
        <v>2.02</v>
      </c>
      <c r="BM39" s="28" t="n">
        <v>0.49505</v>
      </c>
      <c r="BN39" s="28" t="n">
        <v>0.492537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>
        <v>1</v>
      </c>
      <c r="BY39" s="39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</row>
    <row r="40" ht="36" customHeight="1">
      <c r="A40" s="24" t="inlineStr">
        <is>
          <t>5ab4cdd6444d4f9b</t>
        </is>
      </c>
      <c r="B40" s="24" t="inlineStr">
        <is>
          <t>2026-07-18T16:50:38.270483Z</t>
        </is>
      </c>
      <c r="C40" s="24" t="inlineStr">
        <is>
          <t>2026-07-18T16:10:00-0400</t>
        </is>
      </c>
      <c r="D40" s="24" t="inlineStr">
        <is>
          <t>401816162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Houston Astros</t>
        </is>
      </c>
      <c r="H40" s="24" t="inlineStr">
        <is>
          <t>moneyline</t>
        </is>
      </c>
      <c r="I40" s="24" t="inlineStr">
        <is>
          <t>home</t>
        </is>
      </c>
      <c r="J40" s="38" t="n"/>
      <c r="K40" s="24" t="inlineStr">
        <is>
          <t>polymarket_us</t>
        </is>
      </c>
      <c r="L40" s="26" t="n">
        <v>-102</v>
      </c>
      <c r="M40" s="39" t="n">
        <v>1.980392</v>
      </c>
      <c r="N40" s="28" t="n">
        <v>0.50495</v>
      </c>
      <c r="O40" s="28" t="n">
        <v>0.545167</v>
      </c>
      <c r="P40" s="28" t="n"/>
      <c r="Q40" s="28" t="n">
        <v>0.040217</v>
      </c>
      <c r="R40" s="26" t="n">
        <v>70</v>
      </c>
      <c r="S40" s="29" t="n">
        <v>1</v>
      </c>
      <c r="T40" s="24" t="inlineStr">
        <is>
          <t>mlb-elo-trend-lr-v3</t>
        </is>
      </c>
      <c r="U40" s="24" t="inlineStr">
        <is>
          <t>settled</t>
        </is>
      </c>
      <c r="V40" s="24" t="inlineStr">
        <is>
          <t>loss</t>
        </is>
      </c>
      <c r="W40" s="26" t="n">
        <v>4</v>
      </c>
      <c r="X40" s="26" t="n">
        <v>2</v>
      </c>
      <c r="Y40" s="38" t="n"/>
      <c r="Z40" s="26" t="n"/>
      <c r="AA40" s="28" t="n"/>
      <c r="AB40" s="28" t="n"/>
      <c r="AC40" s="40" t="n">
        <v>-1</v>
      </c>
      <c r="AD40" s="24" t="inlineStr">
        <is>
          <t>2026-07-18T23:59:20.760772Z</t>
        </is>
      </c>
      <c r="AE40" s="31" t="inlineStr">
        <is>
          <t>Learned LR call at threshold 0.5100; executable ask 0.5050 (aec-mlb-bal-hou-2026-07-18).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mlb-hou</t>
        </is>
      </c>
      <c r="AT40" s="24" t="inlineStr">
        <is>
          <t>Houston Astros</t>
        </is>
      </c>
      <c r="AU40" s="24" t="inlineStr">
        <is>
          <t>Houston Astros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40e5d70a6fae1347ad85569354088d9df4f2d6970f7d7c2f9d4924d65efd0c19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40e5d70a6fae1347ad85569354088d9df4f2d6970f7d7c2f9d4924d65efd0c19</t>
        </is>
      </c>
      <c r="BE40" s="24" t="inlineStr">
        <is>
          <t>f6cae9c590f4ed48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2026-07-18T16:49:31.642864Z</t>
        </is>
      </c>
      <c r="BI40" s="24" t="inlineStr">
        <is>
          <t>["same_event","same_team_same_day","same_league_same_day"]</t>
        </is>
      </c>
      <c r="BJ40" s="38" t="n"/>
      <c r="BK40" s="26" t="n">
        <v>-102</v>
      </c>
      <c r="BL40" s="39" t="n">
        <v>1.980392</v>
      </c>
      <c r="BM40" s="28" t="n">
        <v>0.50495</v>
      </c>
      <c r="BN40" s="28" t="n">
        <v>0.502488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>
        <v>1</v>
      </c>
      <c r="BY40" s="39" t="n">
        <v>-1</v>
      </c>
      <c r="BZ40" s="24" t="inlineStr">
        <is>
          <t>2026-07-18T23:59:20.760772Z</t>
        </is>
      </c>
      <c r="CA40" s="31" t="inlineStr">
        <is>
          <t>fixed one-unit hypothetical scoring; no real exposure or execution</t>
        </is>
      </c>
    </row>
    <row r="41" ht="36" customHeight="1">
      <c r="A41" s="24" t="inlineStr">
        <is>
          <t>6768ed78d65e4f03</t>
        </is>
      </c>
      <c r="B41" s="24" t="inlineStr">
        <is>
          <t>2026-07-18T17:28:36.828868Z</t>
        </is>
      </c>
      <c r="C41" s="24" t="inlineStr">
        <is>
          <t>2026-07-18T16:10:00-0400</t>
        </is>
      </c>
      <c r="D41" s="24" t="inlineStr">
        <is>
          <t>401816160</t>
        </is>
      </c>
      <c r="E41" s="24" t="inlineStr">
        <is>
          <t>MLB</t>
        </is>
      </c>
      <c r="F41" s="24" t="inlineStr">
        <is>
          <t>Tampa Bay Rays</t>
        </is>
      </c>
      <c r="G41" s="24" t="inlineStr">
        <is>
          <t>Boston Red Sox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-102</v>
      </c>
      <c r="M41" s="39" t="n">
        <v>1.980392</v>
      </c>
      <c r="N41" s="28" t="n">
        <v>0.50495</v>
      </c>
      <c r="O41" s="28" t="n">
        <v>0.5727179999999999</v>
      </c>
      <c r="P41" s="28" t="n"/>
      <c r="Q41" s="28" t="n">
        <v>0.06776799999999999</v>
      </c>
      <c r="R41" s="26" t="n">
        <v>84</v>
      </c>
      <c r="S41" s="29" t="n">
        <v>1.25</v>
      </c>
      <c r="T41" s="24" t="inlineStr">
        <is>
          <t>mlb-elo-trend-lr-v3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6</v>
      </c>
      <c r="X41" s="26" t="n">
        <v>7</v>
      </c>
      <c r="Y41" s="38" t="n"/>
      <c r="Z41" s="26" t="n"/>
      <c r="AA41" s="28" t="n"/>
      <c r="AB41" s="28" t="n"/>
      <c r="AC41" s="40" t="n">
        <v>1.2255</v>
      </c>
      <c r="AD41" s="24" t="inlineStr">
        <is>
          <t>2026-07-18T23:59:20.822768Z</t>
        </is>
      </c>
      <c r="AE41" s="31" t="inlineStr">
        <is>
          <t>Learned LR call at threshold 0.5100; executable ask 0.5050 (aec-mlb-tb-bos-2026-07-18).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mlb-tb</t>
        </is>
      </c>
      <c r="AQ41" s="24" t="inlineStr">
        <is>
          <t>Tampa Bay Rays</t>
        </is>
      </c>
      <c r="AR41" s="24" t="inlineStr">
        <is>
          <t>Tampa Bay Rays</t>
        </is>
      </c>
      <c r="AS41" s="24" t="inlineStr">
        <is>
          <t>mlb-bos</t>
        </is>
      </c>
      <c r="AT41" s="24" t="inlineStr">
        <is>
          <t>Boston Red Sox</t>
        </is>
      </c>
      <c r="AU41" s="24" t="inlineStr">
        <is>
          <t>Boston Red Sox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21de40f664c548e677d8ffc04521004b3df55963718b1d039537d56f08b84fb1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21de40f664c548e677d8ffc04521004b3df55963718b1d039537d56f08b84fb1</t>
        </is>
      </c>
      <c r="BE41" s="24" t="inlineStr">
        <is>
          <t>db0a002aa4e19b4b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2026-07-18T17:27:47.084596Z</t>
        </is>
      </c>
      <c r="BI41" s="24" t="inlineStr">
        <is>
          <t>["same_event","same_team_same_day","same_league_same_day"]</t>
        </is>
      </c>
      <c r="BJ41" s="38" t="n"/>
      <c r="BK41" s="26" t="n">
        <v>-102</v>
      </c>
      <c r="BL41" s="39" t="n">
        <v>1.980392</v>
      </c>
      <c r="BM41" s="28" t="n">
        <v>0.50495</v>
      </c>
      <c r="BN41" s="28" t="n">
        <v>0.502488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>
        <v>1</v>
      </c>
      <c r="BY41" s="39" t="n">
        <v>0.980392</v>
      </c>
      <c r="BZ41" s="24" t="inlineStr">
        <is>
          <t>2026-07-18T23:59:20.822768Z</t>
        </is>
      </c>
      <c r="CA41" s="31" t="inlineStr">
        <is>
          <t>fixed one-unit hypothetical scoring; no real exposure or execution</t>
        </is>
      </c>
    </row>
    <row r="42" ht="36" customHeight="1">
      <c r="A42" s="24" t="inlineStr">
        <is>
          <t>924907abbb534b0a</t>
        </is>
      </c>
      <c r="B42" s="24" t="inlineStr">
        <is>
          <t>2026-07-18T17:28:36.828868Z</t>
        </is>
      </c>
      <c r="C42" s="24" t="inlineStr">
        <is>
          <t>2026-07-18T16:10:00-0400</t>
        </is>
      </c>
      <c r="D42" s="24" t="inlineStr">
        <is>
          <t>401816165</t>
        </is>
      </c>
      <c r="E42" s="24" t="inlineStr">
        <is>
          <t>MLB</t>
        </is>
      </c>
      <c r="F42" s="24" t="inlineStr">
        <is>
          <t>San Diego Padres</t>
        </is>
      </c>
      <c r="G42" s="24" t="inlineStr">
        <is>
          <t>Kansas City Royals</t>
        </is>
      </c>
      <c r="H42" s="24" t="inlineStr">
        <is>
          <t>moneyline</t>
        </is>
      </c>
      <c r="I42" s="24" t="inlineStr">
        <is>
          <t>away</t>
        </is>
      </c>
      <c r="J42" s="38" t="n"/>
      <c r="K42" s="24" t="inlineStr">
        <is>
          <t>polymarket_us</t>
        </is>
      </c>
      <c r="L42" s="26" t="n">
        <v>-104</v>
      </c>
      <c r="M42" s="39" t="n">
        <v>1.961538</v>
      </c>
      <c r="N42" s="28" t="n">
        <v>0.509804</v>
      </c>
      <c r="O42" s="28" t="n">
        <v>0.5306149999999999</v>
      </c>
      <c r="P42" s="28" t="n"/>
      <c r="Q42" s="28" t="n">
        <v>0.020811</v>
      </c>
      <c r="R42" s="26" t="n">
        <v>60</v>
      </c>
      <c r="S42" s="29" t="n">
        <v>0.75</v>
      </c>
      <c r="T42" s="24" t="inlineStr">
        <is>
          <t>mlb-elo-trend-lr-v3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6</v>
      </c>
      <c r="Y42" s="38" t="n"/>
      <c r="Z42" s="26" t="n"/>
      <c r="AA42" s="28" t="n"/>
      <c r="AB42" s="28" t="n"/>
      <c r="AC42" s="40" t="n">
        <v>-0.75</v>
      </c>
      <c r="AD42" s="24" t="inlineStr">
        <is>
          <t>2026-07-18T23:59:20.891397Z</t>
        </is>
      </c>
      <c r="AE42" s="31" t="inlineStr">
        <is>
          <t>Learned LR call at threshold 0.5100; executable ask 0.5100 (aec-mlb-sd-kc-2026-07-18).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mlb-sd</t>
        </is>
      </c>
      <c r="AQ42" s="24" t="inlineStr">
        <is>
          <t>San Diego Padres</t>
        </is>
      </c>
      <c r="AR42" s="24" t="inlineStr">
        <is>
          <t>San Diego Padres</t>
        </is>
      </c>
      <c r="AS42" s="24" t="inlineStr">
        <is>
          <t>mlb-kc</t>
        </is>
      </c>
      <c r="AT42" s="24" t="inlineStr">
        <is>
          <t>Kansas City Royals</t>
        </is>
      </c>
      <c r="AU42" s="24" t="inlineStr">
        <is>
          <t>Kansas City Royals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21de40f664c548e677d8ffc04521004b3df55963718b1d039537d56f08b84fb1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21de40f664c548e677d8ffc04521004b3df55963718b1d039537d56f08b84fb1</t>
        </is>
      </c>
      <c r="BE42" s="24" t="inlineStr">
        <is>
          <t>ed4675d45b8d4ffe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2026-07-18T17:27:46.135351Z</t>
        </is>
      </c>
      <c r="BI42" s="24" t="inlineStr">
        <is>
          <t>["same_event","same_team_same_day","same_league_same_day"]</t>
        </is>
      </c>
      <c r="BJ42" s="38" t="n"/>
      <c r="BK42" s="26" t="n">
        <v>-104</v>
      </c>
      <c r="BL42" s="39" t="n">
        <v>1.961538</v>
      </c>
      <c r="BM42" s="28" t="n">
        <v>0.509804</v>
      </c>
      <c r="BN42" s="28" t="n">
        <v>0.507463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>
        <v>1</v>
      </c>
      <c r="BY42" s="39" t="n">
        <v>-1</v>
      </c>
      <c r="BZ42" s="24" t="inlineStr">
        <is>
          <t>2026-07-18T23:59:20.891397Z</t>
        </is>
      </c>
      <c r="CA42" s="31" t="inlineStr">
        <is>
          <t>fixed one-unit hypothetical scoring; no real exposure or execution</t>
        </is>
      </c>
    </row>
    <row r="43" ht="36" customHeight="1">
      <c r="A43" s="24" t="inlineStr">
        <is>
          <t>2fe604a809ed46d5</t>
        </is>
      </c>
      <c r="B43" s="24" t="inlineStr">
        <is>
          <t>2026-07-19T10:49:38.448695+00:00</t>
        </is>
      </c>
      <c r="C43" s="24" t="inlineStr">
        <is>
          <t>2026-07-17T13:35:00-0400</t>
        </is>
      </c>
      <c r="D43" s="24" t="inlineStr">
        <is>
          <t>Tamp-Bost-2026-07-17-G1</t>
        </is>
      </c>
      <c r="E43" s="24" t="inlineStr">
        <is>
          <t>MLB</t>
        </is>
      </c>
      <c r="F43" s="24" t="inlineStr">
        <is>
          <t>Tampa Bay Rays</t>
        </is>
      </c>
      <c r="G43" s="24" t="inlineStr">
        <is>
          <t>Boston Red Sox</t>
        </is>
      </c>
      <c r="H43" s="24" t="inlineStr">
        <is>
          <t>moneyline</t>
        </is>
      </c>
      <c r="I43" s="24" t="inlineStr">
        <is>
          <t>home</t>
        </is>
      </c>
      <c r="J43" s="38" t="n"/>
      <c r="K43" s="24" t="inlineStr">
        <is>
          <t>polymarket</t>
        </is>
      </c>
      <c r="L43" s="26" t="n">
        <v>-106</v>
      </c>
      <c r="M43" s="39" t="n">
        <v>1.943396</v>
      </c>
      <c r="N43" s="28" t="n">
        <v>0.514563</v>
      </c>
      <c r="O43" s="28" t="n">
        <v>0.550333</v>
      </c>
      <c r="P43" s="28" t="n">
        <v>0.05</v>
      </c>
      <c r="Q43" s="28" t="n">
        <v>0.03577</v>
      </c>
      <c r="R43" s="26" t="n"/>
      <c r="S43" s="29" t="n">
        <v>1</v>
      </c>
      <c r="T43" s="24" t="inlineStr">
        <is>
          <t>mlb-elo-trend-lr-v3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10</v>
      </c>
      <c r="Y43" s="38" t="n"/>
      <c r="Z43" s="26" t="n"/>
      <c r="AA43" s="28" t="n"/>
      <c r="AB43" s="28" t="n"/>
      <c r="AC43" s="40" t="n">
        <v>0.9434</v>
      </c>
      <c r="AD43" s="24" t="inlineStr">
        <is>
          <t>2026-07-19T12:18:56.423740+00:00</t>
        </is>
      </c>
      <c r="AE43" s="31" t="inlineStr">
        <is>
          <t>backtest</t>
        </is>
      </c>
      <c r="AF43" s="31" t="n"/>
      <c r="AG43" s="24" t="n"/>
      <c r="AH43" s="24" t="n"/>
      <c r="AI43" s="31" t="n"/>
      <c r="AJ43" s="31" t="n"/>
      <c r="AK43" s="24" t="n"/>
      <c r="AL43" s="26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inlineStr">
        <is>
          <t>2026-07-17T16:26:03.970000Z</t>
        </is>
      </c>
      <c r="BI43" s="24" t="n"/>
      <c r="BJ43" s="38" t="n"/>
      <c r="BK43" s="26" t="n">
        <v>-106</v>
      </c>
      <c r="BL43" s="39" t="n">
        <v>1.943396</v>
      </c>
      <c r="BM43" s="28" t="n">
        <v>0.514563</v>
      </c>
      <c r="BN43" s="28" t="n">
        <v>0.5124379999999999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baee116aa2834b53</t>
        </is>
      </c>
      <c r="B44" s="24" t="inlineStr">
        <is>
          <t>2026-07-19T10:49:38.448695+00:00</t>
        </is>
      </c>
      <c r="C44" s="24" t="inlineStr">
        <is>
          <t>2026-07-17T19:40:00-0400</t>
        </is>
      </c>
      <c r="D44" s="24" t="inlineStr">
        <is>
          <t>Miam-Milw-2026-07-17</t>
        </is>
      </c>
      <c r="E44" s="24" t="inlineStr">
        <is>
          <t>MLB</t>
        </is>
      </c>
      <c r="F44" s="24" t="inlineStr">
        <is>
          <t>Miami Marlins</t>
        </is>
      </c>
      <c r="G44" s="24" t="inlineStr">
        <is>
          <t>Milwaukee Brewers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</t>
        </is>
      </c>
      <c r="L44" s="26" t="n">
        <v>-141</v>
      </c>
      <c r="M44" s="39" t="n">
        <v>1.70922</v>
      </c>
      <c r="N44" s="28" t="n">
        <v>0.585062</v>
      </c>
      <c r="O44" s="28" t="n">
        <v>0.616198</v>
      </c>
      <c r="P44" s="28" t="n">
        <v>0.05</v>
      </c>
      <c r="Q44" s="28" t="n">
        <v>0.031136</v>
      </c>
      <c r="R44" s="26" t="n"/>
      <c r="S44" s="29" t="n">
        <v>1.75</v>
      </c>
      <c r="T44" s="24" t="inlineStr">
        <is>
          <t>mlb-elo-trend-lr-v3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38" t="n"/>
      <c r="Z44" s="26" t="n"/>
      <c r="AA44" s="28" t="n"/>
      <c r="AB44" s="28" t="n"/>
      <c r="AC44" s="40" t="n">
        <v>1.2411</v>
      </c>
      <c r="AD44" s="24" t="inlineStr">
        <is>
          <t>2026-07-19T12:18:56.424573+00:00</t>
        </is>
      </c>
      <c r="AE44" s="31" t="inlineStr">
        <is>
          <t>backtest</t>
        </is>
      </c>
      <c r="AF44" s="31" t="n"/>
      <c r="AG44" s="24" t="n"/>
      <c r="AH44" s="24" t="n"/>
      <c r="AI44" s="31" t="n"/>
      <c r="AJ44" s="31" t="n"/>
      <c r="AK44" s="24" t="n"/>
      <c r="AL44" s="26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inlineStr">
        <is>
          <t>2026-07-17T17:12:44.293402Z</t>
        </is>
      </c>
      <c r="BI44" s="24" t="n"/>
      <c r="BJ44" s="38" t="n"/>
      <c r="BK44" s="26" t="n">
        <v>-141</v>
      </c>
      <c r="BL44" s="39" t="n">
        <v>1.70922</v>
      </c>
      <c r="BM44" s="28" t="n">
        <v>0.585062</v>
      </c>
      <c r="BN44" s="28" t="n">
        <v>0.58209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509252032f1947b8</t>
        </is>
      </c>
      <c r="B45" s="24" t="inlineStr">
        <is>
          <t>2026-07-19T10:49:38.448695+00:00</t>
        </is>
      </c>
      <c r="C45" s="24" t="inlineStr">
        <is>
          <t>2026-07-17T20:05:00-0400</t>
        </is>
      </c>
      <c r="D45" s="24" t="inlineStr">
        <is>
          <t>Minn-Chic-2026-07-17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</t>
        </is>
      </c>
      <c r="L45" s="26" t="n">
        <v>-133</v>
      </c>
      <c r="M45" s="39" t="n">
        <v>1.75188</v>
      </c>
      <c r="N45" s="28" t="n">
        <v>0.570815</v>
      </c>
      <c r="O45" s="28" t="n">
        <v>0.60271</v>
      </c>
      <c r="P45" s="28" t="n">
        <v>0.05</v>
      </c>
      <c r="Q45" s="28" t="n">
        <v>0.031895</v>
      </c>
      <c r="R45" s="26" t="n"/>
      <c r="S45" s="29" t="n">
        <v>1.5</v>
      </c>
      <c r="T45" s="24" t="inlineStr">
        <is>
          <t>mlb-elo-trend-lr-v3</t>
        </is>
      </c>
      <c r="U45" s="24" t="inlineStr">
        <is>
          <t>settled</t>
        </is>
      </c>
      <c r="V45" s="24" t="inlineStr">
        <is>
          <t>loss</t>
        </is>
      </c>
      <c r="W45" s="26" t="n">
        <v>5</v>
      </c>
      <c r="X45" s="26" t="n">
        <v>2</v>
      </c>
      <c r="Y45" s="38" t="n"/>
      <c r="Z45" s="26" t="n"/>
      <c r="AA45" s="28" t="n"/>
      <c r="AB45" s="28" t="n"/>
      <c r="AC45" s="40" t="n">
        <v>-1.5</v>
      </c>
      <c r="AD45" s="24" t="inlineStr">
        <is>
          <t>2026-07-19T12:18:56.424770+00:00</t>
        </is>
      </c>
      <c r="AE45" s="31" t="inlineStr">
        <is>
          <t>backtest</t>
        </is>
      </c>
      <c r="AF45" s="31" t="n"/>
      <c r="AG45" s="24" t="n"/>
      <c r="AH45" s="24" t="n"/>
      <c r="AI45" s="31" t="n"/>
      <c r="AJ45" s="31" t="n"/>
      <c r="AK45" s="24" t="n"/>
      <c r="AL45" s="26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inlineStr">
        <is>
          <t>2026-07-17T17:12:44.967723Z</t>
        </is>
      </c>
      <c r="BI45" s="24" t="n"/>
      <c r="BJ45" s="38" t="n"/>
      <c r="BK45" s="26" t="n">
        <v>-133</v>
      </c>
      <c r="BL45" s="39" t="n">
        <v>1.75188</v>
      </c>
      <c r="BM45" s="28" t="n">
        <v>0.570815</v>
      </c>
      <c r="BN45" s="28" t="n">
        <v>0.567164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19647b771ec94081</t>
        </is>
      </c>
      <c r="B46" s="24" t="inlineStr">
        <is>
          <t>2026-07-19T10:49:38.448695+00:00</t>
        </is>
      </c>
      <c r="C46" s="24" t="inlineStr">
        <is>
          <t>2026-07-17T20:40:00-0400</t>
        </is>
      </c>
      <c r="D46" s="24" t="inlineStr">
        <is>
          <t>Cinc-Colo-2026-07-17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Colorado Rockies</t>
        </is>
      </c>
      <c r="H46" s="24" t="inlineStr">
        <is>
          <t>moneyline</t>
        </is>
      </c>
      <c r="I46" s="24" t="inlineStr">
        <is>
          <t>away</t>
        </is>
      </c>
      <c r="J46" s="38" t="n"/>
      <c r="K46" s="24" t="inlineStr">
        <is>
          <t>polymarket</t>
        </is>
      </c>
      <c r="L46" s="26" t="n">
        <v>104</v>
      </c>
      <c r="M46" s="39" t="n">
        <v>2.04</v>
      </c>
      <c r="N46" s="28" t="n">
        <v>0.490196</v>
      </c>
      <c r="O46" s="28" t="n">
        <v>0.582862</v>
      </c>
      <c r="P46" s="28" t="n">
        <v>0.05</v>
      </c>
      <c r="Q46" s="28" t="n">
        <v>0.092666</v>
      </c>
      <c r="R46" s="26" t="n"/>
      <c r="S46" s="29" t="n">
        <v>1.25</v>
      </c>
      <c r="T46" s="24" t="inlineStr">
        <is>
          <t>mlb-elo-trend-lr-v3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7</v>
      </c>
      <c r="X46" s="26" t="n">
        <v>2</v>
      </c>
      <c r="Y46" s="38" t="n"/>
      <c r="Z46" s="26" t="n"/>
      <c r="AA46" s="28" t="n"/>
      <c r="AB46" s="28" t="n"/>
      <c r="AC46" s="40" t="n">
        <v>1.3</v>
      </c>
      <c r="AD46" s="24" t="inlineStr">
        <is>
          <t>2026-07-19T12:18:56.425382+00:00</t>
        </is>
      </c>
      <c r="AE46" s="31" t="inlineStr">
        <is>
          <t>backtest</t>
        </is>
      </c>
      <c r="AF46" s="31" t="n"/>
      <c r="AG46" s="24" t="n"/>
      <c r="AH46" s="24" t="n"/>
      <c r="AI46" s="31" t="n"/>
      <c r="AJ46" s="31" t="n"/>
      <c r="AK46" s="24" t="n"/>
      <c r="AL46" s="26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inlineStr">
        <is>
          <t>2026-07-17T16:26:11.935150Z</t>
        </is>
      </c>
      <c r="BI46" s="24" t="n"/>
      <c r="BJ46" s="38" t="n"/>
      <c r="BK46" s="26" t="n">
        <v>104</v>
      </c>
      <c r="BL46" s="39" t="n">
        <v>2.04</v>
      </c>
      <c r="BM46" s="28" t="n">
        <v>0.490196</v>
      </c>
      <c r="BN46" s="28" t="n">
        <v>0.487562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36" customHeight="1">
      <c r="A47" s="24" t="inlineStr">
        <is>
          <t>632575e6d24b409b</t>
        </is>
      </c>
      <c r="B47" s="24" t="inlineStr">
        <is>
          <t>2026-07-19T10:49:38.448695+00:00</t>
        </is>
      </c>
      <c r="C47" s="24" t="inlineStr">
        <is>
          <t>2026-07-17T21:38:00-0400</t>
        </is>
      </c>
      <c r="D47" s="24" t="inlineStr">
        <is>
          <t>Detr-LosA-2026-07-17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Los Angeles Angels</t>
        </is>
      </c>
      <c r="H47" s="24" t="inlineStr">
        <is>
          <t>moneyline</t>
        </is>
      </c>
      <c r="I47" s="24" t="inlineStr">
        <is>
          <t>away</t>
        </is>
      </c>
      <c r="J47" s="38" t="n"/>
      <c r="K47" s="24" t="inlineStr">
        <is>
          <t>polymarket</t>
        </is>
      </c>
      <c r="L47" s="26" t="n">
        <v>-104</v>
      </c>
      <c r="M47" s="39" t="n">
        <v>1.961538</v>
      </c>
      <c r="N47" s="28" t="n">
        <v>0.509804</v>
      </c>
      <c r="O47" s="28" t="n">
        <v>0.550233</v>
      </c>
      <c r="P47" s="28" t="n">
        <v>0.05</v>
      </c>
      <c r="Q47" s="28" t="n">
        <v>0.040429</v>
      </c>
      <c r="R47" s="26" t="n"/>
      <c r="S47" s="29" t="n">
        <v>1</v>
      </c>
      <c r="T47" s="24" t="inlineStr">
        <is>
          <t>mlb-elo-trend-lr-v3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2</v>
      </c>
      <c r="X47" s="26" t="n">
        <v>1</v>
      </c>
      <c r="Y47" s="38" t="n"/>
      <c r="Z47" s="26" t="n"/>
      <c r="AA47" s="28" t="n"/>
      <c r="AB47" s="28" t="n"/>
      <c r="AC47" s="40" t="n">
        <v>0.9615</v>
      </c>
      <c r="AD47" s="24" t="inlineStr">
        <is>
          <t>2026-07-19T12:18:56.425591+00:00</t>
        </is>
      </c>
      <c r="AE47" s="31" t="inlineStr">
        <is>
          <t>backtest</t>
        </is>
      </c>
      <c r="AF47" s="31" t="n"/>
      <c r="AG47" s="24" t="n"/>
      <c r="AH47" s="24" t="n"/>
      <c r="AI47" s="31" t="n"/>
      <c r="AJ47" s="31" t="n"/>
      <c r="AK47" s="24" t="n"/>
      <c r="AL47" s="26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inlineStr">
        <is>
          <t>2026-07-17T16:26:12.761758Z</t>
        </is>
      </c>
      <c r="BI47" s="24" t="n"/>
      <c r="BJ47" s="38" t="n"/>
      <c r="BK47" s="26" t="n">
        <v>-104</v>
      </c>
      <c r="BL47" s="39" t="n">
        <v>1.961538</v>
      </c>
      <c r="BM47" s="28" t="n">
        <v>0.509804</v>
      </c>
      <c r="BN47" s="28" t="n">
        <v>0.507463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673ea47c54654f7f</t>
        </is>
      </c>
      <c r="B48" s="24" t="inlineStr">
        <is>
          <t>2026-07-19T10:49:38.448695+00:00</t>
        </is>
      </c>
      <c r="C48" s="24" t="inlineStr">
        <is>
          <t>2026-07-17T21:40:00-0400</t>
        </is>
      </c>
      <c r="D48" s="24" t="inlineStr">
        <is>
          <t>Wash-Athl-2026-07-17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120</v>
      </c>
      <c r="M48" s="39" t="n">
        <v>2.2</v>
      </c>
      <c r="N48" s="28" t="n">
        <v>0.454545</v>
      </c>
      <c r="O48" s="28" t="n">
        <v>0.530299</v>
      </c>
      <c r="P48" s="28" t="n">
        <v>0.05</v>
      </c>
      <c r="Q48" s="28" t="n">
        <v>0.075754</v>
      </c>
      <c r="R48" s="26" t="n"/>
      <c r="S48" s="29" t="n">
        <v>0.75</v>
      </c>
      <c r="T48" s="24" t="inlineStr">
        <is>
          <t>mlb-elo-trend-lr-v3</t>
        </is>
      </c>
      <c r="U48" s="24" t="inlineStr">
        <is>
          <t>settled</t>
        </is>
      </c>
      <c r="V48" s="24" t="inlineStr">
        <is>
          <t>loss</t>
        </is>
      </c>
      <c r="W48" s="26" t="n">
        <v>23</v>
      </c>
      <c r="X48" s="26" t="n">
        <v>4</v>
      </c>
      <c r="Y48" s="38" t="n"/>
      <c r="Z48" s="26" t="n"/>
      <c r="AA48" s="28" t="n"/>
      <c r="AB48" s="28" t="n"/>
      <c r="AC48" s="40" t="n">
        <v>-0.75</v>
      </c>
      <c r="AD48" s="24" t="inlineStr">
        <is>
          <t>2026-07-19T12:18:56.425781+00:00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2026-07-17T16:26:14.658660Z</t>
        </is>
      </c>
      <c r="BI48" s="24" t="n"/>
      <c r="BJ48" s="38" t="n"/>
      <c r="BK48" s="26" t="n">
        <v>120</v>
      </c>
      <c r="BL48" s="39" t="n">
        <v>2.2</v>
      </c>
      <c r="BM48" s="28" t="n">
        <v>0.454545</v>
      </c>
      <c r="BN48" s="28" t="n">
        <v>0.452736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f7bfb70dfae84f8f</t>
        </is>
      </c>
      <c r="B49" s="24" t="inlineStr">
        <is>
          <t>2026-07-19T10:49:38.448695+00:00</t>
        </is>
      </c>
      <c r="C49" s="24" t="inlineStr">
        <is>
          <t>2026-07-17T21:40:00-0400</t>
        </is>
      </c>
      <c r="D49" s="24" t="inlineStr">
        <is>
          <t>St.L-Ariz-2026-07-17</t>
        </is>
      </c>
      <c r="E49" s="24" t="inlineStr">
        <is>
          <t>MLB</t>
        </is>
      </c>
      <c r="F49" s="24" t="inlineStr">
        <is>
          <t>St. Louis Cardinals</t>
        </is>
      </c>
      <c r="G49" s="24" t="inlineStr">
        <is>
          <t>Arizona Diamondbacks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100</v>
      </c>
      <c r="M49" s="39" t="n">
        <v>2</v>
      </c>
      <c r="N49" s="28" t="n">
        <v>0.5</v>
      </c>
      <c r="O49" s="28" t="n">
        <v>0.525388</v>
      </c>
      <c r="P49" s="28" t="n">
        <v>0.05</v>
      </c>
      <c r="Q49" s="28" t="n">
        <v>0.025388</v>
      </c>
      <c r="R49" s="26" t="n"/>
      <c r="S49" s="29" t="n">
        <v>0.75</v>
      </c>
      <c r="T49" s="24" t="inlineStr">
        <is>
          <t>mlb-elo-trend-lr-v3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5</v>
      </c>
      <c r="X49" s="26" t="n">
        <v>4</v>
      </c>
      <c r="Y49" s="38" t="n"/>
      <c r="Z49" s="26" t="n"/>
      <c r="AA49" s="28" t="n"/>
      <c r="AB49" s="28" t="n"/>
      <c r="AC49" s="40" t="n">
        <v>-0.75</v>
      </c>
      <c r="AD49" s="24" t="inlineStr">
        <is>
          <t>2026-07-19T12:18:56.425985+00:00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2026-07-17T16:26:13.837104Z</t>
        </is>
      </c>
      <c r="BI49" s="24" t="n"/>
      <c r="BJ49" s="38" t="n"/>
      <c r="BK49" s="26" t="n">
        <v>100</v>
      </c>
      <c r="BL49" s="39" t="n">
        <v>2</v>
      </c>
      <c r="BM49" s="28" t="n">
        <v>0.5</v>
      </c>
      <c r="BN49" s="28" t="n">
        <v>0.497512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121539248eb44830</t>
        </is>
      </c>
      <c r="B50" s="24" t="inlineStr">
        <is>
          <t>2026-07-19T13:23:06.843442Z</t>
        </is>
      </c>
      <c r="C50" s="24" t="inlineStr">
        <is>
          <t>2026-07-19T17:35Z</t>
        </is>
      </c>
      <c r="D50" s="24" t="inlineStr">
        <is>
          <t>401816176</t>
        </is>
      </c>
      <c r="E50" s="24" t="inlineStr">
        <is>
          <t>MLB</t>
        </is>
      </c>
      <c r="F50" s="24" t="inlineStr">
        <is>
          <t>Texas Rangers</t>
        </is>
      </c>
      <c r="G50" s="24" t="inlineStr">
        <is>
          <t>Atlanta Braves</t>
        </is>
      </c>
      <c r="H50" s="24" t="inlineStr">
        <is>
          <t>moneyline</t>
        </is>
      </c>
      <c r="I50" s="24" t="inlineStr">
        <is>
          <t>home</t>
        </is>
      </c>
      <c r="J50" s="38" t="n"/>
      <c r="K50" s="24" t="inlineStr">
        <is>
          <t>polymarket_us</t>
        </is>
      </c>
      <c r="L50" s="26" t="n">
        <v>108</v>
      </c>
      <c r="M50" s="39" t="n">
        <v>2.08</v>
      </c>
      <c r="N50" s="28" t="n">
        <v>0.480769</v>
      </c>
      <c r="O50" s="28" t="n">
        <v>0.566738</v>
      </c>
      <c r="P50" s="28" t="n"/>
      <c r="Q50" s="28" t="n">
        <v>0.085969</v>
      </c>
      <c r="R50" s="26" t="n">
        <v>93</v>
      </c>
      <c r="S50" s="29" t="n">
        <v>1.25</v>
      </c>
      <c r="T50" s="24" t="inlineStr">
        <is>
          <t>mlb-elo-trend-lr-v3</t>
        </is>
      </c>
      <c r="U50" s="24" t="inlineStr">
        <is>
          <t>settled</t>
        </is>
      </c>
      <c r="V50" s="24" t="inlineStr">
        <is>
          <t>win</t>
        </is>
      </c>
      <c r="W50" s="26" t="n">
        <v>5</v>
      </c>
      <c r="X50" s="26" t="n">
        <v>8</v>
      </c>
      <c r="Y50" s="38" t="n"/>
      <c r="Z50" s="26" t="n"/>
      <c r="AA50" s="28" t="n"/>
      <c r="AB50" s="28" t="n"/>
      <c r="AC50" s="40" t="n">
        <v>1.35</v>
      </c>
      <c r="AD50" s="24" t="inlineStr">
        <is>
          <t>2026-07-19T23:12:46.455580Z</t>
        </is>
      </c>
      <c r="AE50" s="31" t="inlineStr">
        <is>
          <t>Learned LR call at threshold 0.5150; executable ask 0.4800 (aec-mlb-tex-atl-2026-07-19).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mlb-tex</t>
        </is>
      </c>
      <c r="AQ50" s="24" t="inlineStr">
        <is>
          <t>Texas Rangers</t>
        </is>
      </c>
      <c r="AR50" s="24" t="inlineStr">
        <is>
          <t>Texas Rangers</t>
        </is>
      </c>
      <c r="AS50" s="24" t="inlineStr">
        <is>
          <t>mlb-atl</t>
        </is>
      </c>
      <c r="AT50" s="24" t="inlineStr">
        <is>
          <t>Atlanta Braves</t>
        </is>
      </c>
      <c r="AU50" s="24" t="inlineStr">
        <is>
          <t>Atlanta Braves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ebdb392c90fd9a9414a97c1b39024e1a4f2c894aee118b3b4598ecd7e5e96695</t>
        </is>
      </c>
      <c r="BB50" s="24" t="inlineStr">
        <is>
          <t>learned_lr</t>
        </is>
      </c>
      <c r="BC50" s="24" t="inlineStr">
        <is>
          <t>mlb-elo-trend-lr-v3</t>
        </is>
      </c>
      <c r="BD50" s="24" t="inlineStr">
        <is>
          <t>ebdb392c90fd9a9414a97c1b39024e1a4f2c894aee118b3b4598ecd7e5e96695</t>
        </is>
      </c>
      <c r="BE50" s="24" t="inlineStr">
        <is>
          <t>94b28766e76410c6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2026-07-19T13:22:02.614593Z</t>
        </is>
      </c>
      <c r="BI50" s="24" t="inlineStr">
        <is>
          <t>["same_event","same_team_same_day","same_league_same_day"]</t>
        </is>
      </c>
      <c r="BJ50" s="38" t="n"/>
      <c r="BK50" s="26" t="n">
        <v>108</v>
      </c>
      <c r="BL50" s="39" t="n">
        <v>2.08</v>
      </c>
      <c r="BM50" s="28" t="n">
        <v>0.480769</v>
      </c>
      <c r="BN50" s="28" t="n">
        <v>0.477612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4ee0f5bbef6b4559</t>
        </is>
      </c>
      <c r="B51" s="24" t="inlineStr">
        <is>
          <t>2026-07-19T13:23:06.843442Z</t>
        </is>
      </c>
      <c r="C51" s="24" t="inlineStr">
        <is>
          <t>2026-07-19T19:10Z</t>
        </is>
      </c>
      <c r="D51" s="24" t="inlineStr">
        <is>
          <t>401816181</t>
        </is>
      </c>
      <c r="E51" s="24" t="inlineStr">
        <is>
          <t>MLB</t>
        </is>
      </c>
      <c r="F51" s="24" t="inlineStr">
        <is>
          <t>Cincinnati Reds</t>
        </is>
      </c>
      <c r="G51" s="24" t="inlineStr">
        <is>
          <t>Colorado Rockies</t>
        </is>
      </c>
      <c r="H51" s="24" t="inlineStr">
        <is>
          <t>moneyline</t>
        </is>
      </c>
      <c r="I51" s="24" t="inlineStr">
        <is>
          <t>away</t>
        </is>
      </c>
      <c r="J51" s="38" t="n"/>
      <c r="K51" s="24" t="inlineStr">
        <is>
          <t>polymarket_us</t>
        </is>
      </c>
      <c r="L51" s="26" t="n">
        <v>-133</v>
      </c>
      <c r="M51" s="39" t="n">
        <v>1.75188</v>
      </c>
      <c r="N51" s="28" t="n">
        <v>0.570815</v>
      </c>
      <c r="O51" s="28" t="n">
        <v>0.600425</v>
      </c>
      <c r="P51" s="28" t="n"/>
      <c r="Q51" s="28" t="n">
        <v>0.02961</v>
      </c>
      <c r="R51" s="26" t="n">
        <v>65</v>
      </c>
      <c r="S51" s="29" t="n">
        <v>1.5</v>
      </c>
      <c r="T51" s="24" t="inlineStr">
        <is>
          <t>mlb-elo-trend-lr-v3</t>
        </is>
      </c>
      <c r="U51" s="24" t="inlineStr">
        <is>
          <t>settled</t>
        </is>
      </c>
      <c r="V51" s="24" t="inlineStr">
        <is>
          <t>win</t>
        </is>
      </c>
      <c r="W51" s="26" t="n">
        <v>9</v>
      </c>
      <c r="X51" s="26" t="n">
        <v>6</v>
      </c>
      <c r="Y51" s="38" t="n"/>
      <c r="Z51" s="26" t="n"/>
      <c r="AA51" s="28" t="n"/>
      <c r="AB51" s="28" t="n"/>
      <c r="AC51" s="40" t="n">
        <v>1.1278</v>
      </c>
      <c r="AD51" s="24" t="inlineStr">
        <is>
          <t>2026-07-19T23:12:46.701705Z</t>
        </is>
      </c>
      <c r="AE51" s="31" t="inlineStr">
        <is>
          <t>Learned LR call at threshold 0.5150; executable ask 0.5700 (aec-mlb-cin-col-2026-07-19).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mlb-cin</t>
        </is>
      </c>
      <c r="AQ51" s="24" t="inlineStr">
        <is>
          <t>Cincinnati Reds</t>
        </is>
      </c>
      <c r="AR51" s="24" t="inlineStr">
        <is>
          <t>Cincinnati Reds</t>
        </is>
      </c>
      <c r="AS51" s="24" t="inlineStr">
        <is>
          <t>mlb-col</t>
        </is>
      </c>
      <c r="AT51" s="24" t="inlineStr">
        <is>
          <t>Colorado Rockies</t>
        </is>
      </c>
      <c r="AU51" s="24" t="inlineStr">
        <is>
          <t>Colorado Rockies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ebdb392c90fd9a9414a97c1b39024e1a4f2c894aee118b3b4598ecd7e5e96695</t>
        </is>
      </c>
      <c r="BB51" s="24" t="inlineStr">
        <is>
          <t>learned_lr</t>
        </is>
      </c>
      <c r="BC51" s="24" t="inlineStr">
        <is>
          <t>mlb-elo-trend-lr-v3</t>
        </is>
      </c>
      <c r="BD51" s="24" t="inlineStr">
        <is>
          <t>ebdb392c90fd9a9414a97c1b39024e1a4f2c894aee118b3b4598ecd7e5e96695</t>
        </is>
      </c>
      <c r="BE51" s="24" t="inlineStr">
        <is>
          <t>b8bf91edb90bdfcb</t>
        </is>
      </c>
      <c r="BF51" s="24" t="inlineStr">
        <is>
          <t>1</t>
        </is>
      </c>
      <c r="BG51" s="24" t="inlineStr">
        <is>
          <t>mlb-elo-trend-lr-v3</t>
        </is>
      </c>
      <c r="BH51" s="24" t="inlineStr">
        <is>
          <t>2026-07-19T13:22:13.486376Z</t>
        </is>
      </c>
      <c r="BI51" s="24" t="inlineStr">
        <is>
          <t>["same_event","same_team_same_day","same_league_same_day"]</t>
        </is>
      </c>
      <c r="BJ51" s="38" t="n"/>
      <c r="BK51" s="26" t="n">
        <v>-133</v>
      </c>
      <c r="BL51" s="39" t="n">
        <v>1.75188</v>
      </c>
      <c r="BM51" s="28" t="n">
        <v>0.570815</v>
      </c>
      <c r="BN51" s="28" t="n">
        <v>0.567164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35cfaddd8fa54724</t>
        </is>
      </c>
      <c r="B52" s="24" t="inlineStr">
        <is>
          <t>2026-07-19T13:23:06.843442Z</t>
        </is>
      </c>
      <c r="C52" s="24" t="inlineStr">
        <is>
          <t>2026-07-19T20:05Z</t>
        </is>
      </c>
      <c r="D52" s="24" t="inlineStr">
        <is>
          <t>401816185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Athletics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polymarket_us</t>
        </is>
      </c>
      <c r="L52" s="26" t="n">
        <v>130</v>
      </c>
      <c r="M52" s="39" t="n">
        <v>2.3</v>
      </c>
      <c r="N52" s="28" t="n">
        <v>0.434783</v>
      </c>
      <c r="O52" s="28" t="n">
        <v>0.556646</v>
      </c>
      <c r="P52" s="28" t="n"/>
      <c r="Q52" s="28" t="n">
        <v>0.121863</v>
      </c>
      <c r="R52" s="26" t="n">
        <v>100</v>
      </c>
      <c r="S52" s="29" t="n">
        <v>1</v>
      </c>
      <c r="T52" s="24" t="inlineStr">
        <is>
          <t>mlb-elo-trend-lr-v3</t>
        </is>
      </c>
      <c r="U52" s="24" t="inlineStr">
        <is>
          <t>settled</t>
        </is>
      </c>
      <c r="V52" s="24" t="inlineStr">
        <is>
          <t>loss</t>
        </is>
      </c>
      <c r="W52" s="26" t="n">
        <v>5</v>
      </c>
      <c r="X52" s="26" t="n">
        <v>2</v>
      </c>
      <c r="Y52" s="38" t="n"/>
      <c r="Z52" s="26" t="n"/>
      <c r="AA52" s="28" t="n"/>
      <c r="AB52" s="28" t="n"/>
      <c r="AC52" s="40" t="n">
        <v>-1</v>
      </c>
      <c r="AD52" s="24" t="inlineStr">
        <is>
          <t>2026-07-19T23:12:46.998281Z</t>
        </is>
      </c>
      <c r="AE52" s="31" t="inlineStr">
        <is>
          <t>Learned LR call at threshold 0.5150; executable ask 0.4350 (aec-mlb-wsh-ath-2026-07-19).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ebdb392c90fd9a9414a97c1b39024e1a4f2c894aee118b3b4598ecd7e5e96695</t>
        </is>
      </c>
      <c r="BB52" s="24" t="inlineStr">
        <is>
          <t>learned_lr</t>
        </is>
      </c>
      <c r="BC52" s="24" t="inlineStr">
        <is>
          <t>mlb-elo-trend-lr-v3</t>
        </is>
      </c>
      <c r="BD52" s="24" t="inlineStr">
        <is>
          <t>ebdb392c90fd9a9414a97c1b39024e1a4f2c894aee118b3b4598ecd7e5e96695</t>
        </is>
      </c>
      <c r="BE52" s="24" t="inlineStr">
        <is>
          <t>47154d07c5727d94</t>
        </is>
      </c>
      <c r="BF52" s="24" t="inlineStr">
        <is>
          <t>1</t>
        </is>
      </c>
      <c r="BG52" s="24" t="inlineStr">
        <is>
          <t>mlb-elo-trend-lr-v3</t>
        </is>
      </c>
      <c r="BH52" s="24" t="inlineStr">
        <is>
          <t>2026-07-19T13:22:14.970065Z</t>
        </is>
      </c>
      <c r="BI52" s="24" t="inlineStr">
        <is>
          <t>["same_event","same_team_same_day","same_league_same_day"]</t>
        </is>
      </c>
      <c r="BJ52" s="38" t="n"/>
      <c r="BK52" s="26" t="n">
        <v>130</v>
      </c>
      <c r="BL52" s="39" t="n">
        <v>2.3</v>
      </c>
      <c r="BM52" s="28" t="n">
        <v>0.434783</v>
      </c>
      <c r="BN52" s="28" t="n">
        <v>0.432836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39f07dbdee044f92</t>
        </is>
      </c>
      <c r="B53" s="24" t="inlineStr">
        <is>
          <t>2026-07-20T07:27:09.837629Z</t>
        </is>
      </c>
      <c r="C53" s="24" t="inlineStr">
        <is>
          <t>2026-07-20T18:40:00-0400</t>
        </is>
      </c>
      <c r="D53" s="24" t="inlineStr">
        <is>
          <t>401816188</t>
        </is>
      </c>
      <c r="E53" s="24" t="inlineStr">
        <is>
          <t>MLB</t>
        </is>
      </c>
      <c r="F53" s="24" t="inlineStr">
        <is>
          <t>Minnesota Twins</t>
        </is>
      </c>
      <c r="G53" s="24" t="inlineStr">
        <is>
          <t>Cleveland Guardians</t>
        </is>
      </c>
      <c r="H53" s="24" t="inlineStr">
        <is>
          <t>moneyline</t>
        </is>
      </c>
      <c r="I53" s="24" t="inlineStr">
        <is>
          <t>home</t>
        </is>
      </c>
      <c r="J53" s="38" t="n"/>
      <c r="K53" s="24" t="inlineStr">
        <is>
          <t>polymarket_us</t>
        </is>
      </c>
      <c r="L53" s="26" t="n">
        <v>108</v>
      </c>
      <c r="M53" s="39" t="n">
        <v>2.08</v>
      </c>
      <c r="N53" s="28" t="n">
        <v>0.480769</v>
      </c>
      <c r="O53" s="28" t="n">
        <v>0.585152</v>
      </c>
      <c r="P53" s="28" t="n"/>
      <c r="Q53" s="28" t="n">
        <v>0.104383</v>
      </c>
      <c r="R53" s="26" t="n">
        <v>100</v>
      </c>
      <c r="S53" s="29" t="n">
        <v>1.25</v>
      </c>
      <c r="T53" s="24" t="inlineStr">
        <is>
          <t>mlb-elo-trend-lr-v3</t>
        </is>
      </c>
      <c r="U53" s="24" t="inlineStr">
        <is>
          <t>open</t>
        </is>
      </c>
      <c r="V53" s="24" t="n"/>
      <c r="W53" s="26" t="n"/>
      <c r="X53" s="26" t="n"/>
      <c r="Y53" s="38" t="n"/>
      <c r="Z53" s="26" t="n"/>
      <c r="AA53" s="28" t="n"/>
      <c r="AB53" s="28" t="n"/>
      <c r="AC53" s="40" t="n"/>
      <c r="AD53" s="24" t="n"/>
      <c r="AE53" s="31" t="inlineStr">
        <is>
          <t>Learned LR call at threshold 0.5150; executable ask 0.4800 (aec-mlb-min-cle-2026-07-20).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mlb-min</t>
        </is>
      </c>
      <c r="AQ53" s="24" t="inlineStr">
        <is>
          <t>Minnesota Twins</t>
        </is>
      </c>
      <c r="AR53" s="24" t="inlineStr">
        <is>
          <t>Minnesota Twins</t>
        </is>
      </c>
      <c r="AS53" s="24" t="inlineStr">
        <is>
          <t>mlb-cle</t>
        </is>
      </c>
      <c r="AT53" s="24" t="inlineStr">
        <is>
          <t>Cleveland Guardians</t>
        </is>
      </c>
      <c r="AU53" s="24" t="inlineStr">
        <is>
          <t>Cleveland Guardians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ebdb392c90fd9a9414a97c1b39024e1a4f2c894aee118b3b4598ecd7e5e96695</t>
        </is>
      </c>
      <c r="BB53" s="24" t="inlineStr">
        <is>
          <t>learned_lr</t>
        </is>
      </c>
      <c r="BC53" s="24" t="inlineStr">
        <is>
          <t>mlb-elo-trend-lr-v3</t>
        </is>
      </c>
      <c r="BD53" s="24" t="inlineStr">
        <is>
          <t>ebdb392c90fd9a9414a97c1b39024e1a4f2c894aee118b3b4598ecd7e5e96695</t>
        </is>
      </c>
      <c r="BE53" s="24" t="inlineStr">
        <is>
          <t>bcb6462455cdfab4</t>
        </is>
      </c>
      <c r="BF53" s="24" t="inlineStr">
        <is>
          <t>1</t>
        </is>
      </c>
      <c r="BG53" s="24" t="inlineStr">
        <is>
          <t>mlb-elo-trend-lr-v3</t>
        </is>
      </c>
      <c r="BH53" s="24" t="inlineStr">
        <is>
          <t>2026-07-20T07:25:43.922504Z</t>
        </is>
      </c>
      <c r="BI53" s="24" t="inlineStr">
        <is>
          <t>["same_event","same_team_same_day","same_league_same_day"]</t>
        </is>
      </c>
      <c r="BJ53" s="38" t="n"/>
      <c r="BK53" s="26" t="n">
        <v>108</v>
      </c>
      <c r="BL53" s="39" t="n">
        <v>2.08</v>
      </c>
      <c r="BM53" s="28" t="n">
        <v>0.480769</v>
      </c>
      <c r="BN53" s="28" t="n">
        <v>0.477612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25fe08e3be954adb</t>
        </is>
      </c>
      <c r="B54" s="24" t="inlineStr">
        <is>
          <t>2026-07-20T07:27:09.837629Z</t>
        </is>
      </c>
      <c r="C54" s="24" t="inlineStr">
        <is>
          <t>2026-07-20T19:00:00-0400</t>
        </is>
      </c>
      <c r="D54" s="24" t="inlineStr">
        <is>
          <t>401816187</t>
        </is>
      </c>
      <c r="E54" s="24" t="inlineStr">
        <is>
          <t>MLB</t>
        </is>
      </c>
      <c r="F54" s="24" t="inlineStr">
        <is>
          <t>Los Angeles Dodgers</t>
        </is>
      </c>
      <c r="G54" s="24" t="inlineStr">
        <is>
          <t>Philadelphia Phillies</t>
        </is>
      </c>
      <c r="H54" s="24" t="inlineStr">
        <is>
          <t>moneyline</t>
        </is>
      </c>
      <c r="I54" s="24" t="inlineStr">
        <is>
          <t>away</t>
        </is>
      </c>
      <c r="J54" s="38" t="n"/>
      <c r="K54" s="24" t="inlineStr">
        <is>
          <t>polymarket_us</t>
        </is>
      </c>
      <c r="L54" s="26" t="n">
        <v>125</v>
      </c>
      <c r="M54" s="39" t="n">
        <v>2.25</v>
      </c>
      <c r="N54" s="28" t="n">
        <v>0.444444</v>
      </c>
      <c r="O54" s="28" t="n">
        <v>0.534274</v>
      </c>
      <c r="P54" s="28" t="n"/>
      <c r="Q54" s="28" t="n">
        <v>0.08982999999999999</v>
      </c>
      <c r="R54" s="26" t="n">
        <v>65</v>
      </c>
      <c r="S54" s="29" t="n">
        <v>0.75</v>
      </c>
      <c r="T54" s="24" t="inlineStr">
        <is>
          <t>mlb-elo-trend-lr-v3</t>
        </is>
      </c>
      <c r="U54" s="24" t="inlineStr">
        <is>
          <t>open</t>
        </is>
      </c>
      <c r="V54" s="24" t="n"/>
      <c r="W54" s="26" t="n"/>
      <c r="X54" s="26" t="n"/>
      <c r="Y54" s="38" t="n"/>
      <c r="Z54" s="26" t="n"/>
      <c r="AA54" s="28" t="n"/>
      <c r="AB54" s="28" t="n"/>
      <c r="AC54" s="40" t="n"/>
      <c r="AD54" s="24" t="n"/>
      <c r="AE54" s="31" t="inlineStr">
        <is>
          <t>Learned LR call at threshold 0.5150; executable ask 0.4450 (aec-mlb-lad-phi-2026-07-20).</t>
        </is>
      </c>
      <c r="AF54" s="31" t="inlineStr">
        <is>
          <t>Learned model; promotion gate not yet open; zero-unit research until review.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mlb-lad</t>
        </is>
      </c>
      <c r="AQ54" s="24" t="inlineStr">
        <is>
          <t>Los Angeles Dodgers</t>
        </is>
      </c>
      <c r="AR54" s="24" t="inlineStr">
        <is>
          <t>Los Angeles Dodgers</t>
        </is>
      </c>
      <c r="AS54" s="24" t="inlineStr">
        <is>
          <t>mlb-phi</t>
        </is>
      </c>
      <c r="AT54" s="24" t="inlineStr">
        <is>
          <t>Philadelphia Phillies</t>
        </is>
      </c>
      <c r="AU54" s="24" t="inlineStr">
        <is>
          <t>Philadelphia Phillies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ebdb392c90fd9a9414a97c1b39024e1a4f2c894aee118b3b4598ecd7e5e96695</t>
        </is>
      </c>
      <c r="BB54" s="24" t="inlineStr">
        <is>
          <t>learned_lr</t>
        </is>
      </c>
      <c r="BC54" s="24" t="inlineStr">
        <is>
          <t>mlb-elo-trend-lr-v3</t>
        </is>
      </c>
      <c r="BD54" s="24" t="inlineStr">
        <is>
          <t>ebdb392c90fd9a9414a97c1b39024e1a4f2c894aee118b3b4598ecd7e5e96695</t>
        </is>
      </c>
      <c r="BE54" s="24" t="inlineStr">
        <is>
          <t>f54ac71be1a765d8</t>
        </is>
      </c>
      <c r="BF54" s="24" t="inlineStr">
        <is>
          <t>1</t>
        </is>
      </c>
      <c r="BG54" s="24" t="inlineStr">
        <is>
          <t>mlb-elo-trend-lr-v3</t>
        </is>
      </c>
      <c r="BH54" s="24" t="inlineStr">
        <is>
          <t>2026-07-20T07:25:49.234179Z</t>
        </is>
      </c>
      <c r="BI54" s="24" t="inlineStr">
        <is>
          <t>["same_event","same_team_same_day","same_league_same_day"]</t>
        </is>
      </c>
      <c r="BJ54" s="38" t="n"/>
      <c r="BK54" s="26" t="n">
        <v>125</v>
      </c>
      <c r="BL54" s="39" t="n">
        <v>2.25</v>
      </c>
      <c r="BM54" s="28" t="n">
        <v>0.444444</v>
      </c>
      <c r="BN54" s="28" t="n">
        <v>0.442786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043f9b9799c44ad4</t>
        </is>
      </c>
      <c r="B55" s="24" t="inlineStr">
        <is>
          <t>2026-07-20T07:27:09.837629Z</t>
        </is>
      </c>
      <c r="C55" s="24" t="inlineStr">
        <is>
          <t>2026-07-20T19:05:00-0400</t>
        </is>
      </c>
      <c r="D55" s="24" t="inlineStr">
        <is>
          <t>401816189</t>
        </is>
      </c>
      <c r="E55" s="24" t="inlineStr">
        <is>
          <t>MLB</t>
        </is>
      </c>
      <c r="F55" s="24" t="inlineStr">
        <is>
          <t>Pittsburgh Pirates</t>
        </is>
      </c>
      <c r="G55" s="24" t="inlineStr">
        <is>
          <t>New York Yankees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polymarket_us</t>
        </is>
      </c>
      <c r="L55" s="26" t="n">
        <v>-111</v>
      </c>
      <c r="M55" s="39" t="n">
        <v>1.900901</v>
      </c>
      <c r="N55" s="28" t="n">
        <v>0.526066</v>
      </c>
      <c r="O55" s="28" t="n">
        <v>0.588959</v>
      </c>
      <c r="P55" s="28" t="n"/>
      <c r="Q55" s="28" t="n">
        <v>0.062893</v>
      </c>
      <c r="R55" s="26" t="n">
        <v>51</v>
      </c>
      <c r="S55" s="29" t="n">
        <v>1.5</v>
      </c>
      <c r="T55" s="24" t="inlineStr">
        <is>
          <t>mlb-elo-trend-lr-v3</t>
        </is>
      </c>
      <c r="U55" s="24" t="inlineStr">
        <is>
          <t>open</t>
        </is>
      </c>
      <c r="V55" s="24" t="n"/>
      <c r="W55" s="26" t="n"/>
      <c r="X55" s="26" t="n"/>
      <c r="Y55" s="38" t="n"/>
      <c r="Z55" s="26" t="n"/>
      <c r="AA55" s="28" t="n"/>
      <c r="AB55" s="28" t="n"/>
      <c r="AC55" s="40" t="n"/>
      <c r="AD55" s="24" t="n"/>
      <c r="AE55" s="31" t="inlineStr">
        <is>
          <t>Learned LR call at threshold 0.5150; executable ask 0.5250 (aec-mlb-pit-nyy-2026-07-20).</t>
        </is>
      </c>
      <c r="AF55" s="31" t="inlineStr">
        <is>
          <t>Learned model; promotion gate not yet open; zero-unit research until review.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mlb-pit</t>
        </is>
      </c>
      <c r="AQ55" s="24" t="inlineStr">
        <is>
          <t>Pittsburgh Pirates</t>
        </is>
      </c>
      <c r="AR55" s="24" t="inlineStr">
        <is>
          <t>Pittsburgh Pirates</t>
        </is>
      </c>
      <c r="AS55" s="24" t="inlineStr">
        <is>
          <t>mlb-nyy</t>
        </is>
      </c>
      <c r="AT55" s="24" t="inlineStr">
        <is>
          <t>New York Yankees</t>
        </is>
      </c>
      <c r="AU55" s="24" t="inlineStr">
        <is>
          <t>New York Yankees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ebdb392c90fd9a9414a97c1b39024e1a4f2c894aee118b3b4598ecd7e5e96695</t>
        </is>
      </c>
      <c r="BB55" s="24" t="inlineStr">
        <is>
          <t>learned_lr</t>
        </is>
      </c>
      <c r="BC55" s="24" t="inlineStr">
        <is>
          <t>mlb-elo-trend-lr-v3</t>
        </is>
      </c>
      <c r="BD55" s="24" t="inlineStr">
        <is>
          <t>ebdb392c90fd9a9414a97c1b39024e1a4f2c894aee118b3b4598ecd7e5e96695</t>
        </is>
      </c>
      <c r="BE55" s="24" t="inlineStr">
        <is>
          <t>847c7c728fdb87de</t>
        </is>
      </c>
      <c r="BF55" s="24" t="inlineStr">
        <is>
          <t>1</t>
        </is>
      </c>
      <c r="BG55" s="24" t="inlineStr">
        <is>
          <t>mlb-elo-trend-lr-v3</t>
        </is>
      </c>
      <c r="BH55" s="24" t="inlineStr">
        <is>
          <t>2026-07-20T07:25:45.280685Z</t>
        </is>
      </c>
      <c r="BI55" s="24" t="inlineStr">
        <is>
          <t>["same_event","same_team_same_day","same_league_same_day"]</t>
        </is>
      </c>
      <c r="BJ55" s="38" t="n"/>
      <c r="BK55" s="26" t="n">
        <v>-111</v>
      </c>
      <c r="BL55" s="39" t="n">
        <v>1.900901</v>
      </c>
      <c r="BM55" s="28" t="n">
        <v>0.526066</v>
      </c>
      <c r="BN55" s="28" t="n">
        <v>0.522388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75cf9949602a4c17</t>
        </is>
      </c>
      <c r="B56" s="24" t="inlineStr">
        <is>
          <t>2026-07-20T07:27:09.837629Z</t>
        </is>
      </c>
      <c r="C56" s="24" t="inlineStr">
        <is>
          <t>2026-07-20T19:07:00-0400</t>
        </is>
      </c>
      <c r="D56" s="24" t="inlineStr">
        <is>
          <t>401816191</t>
        </is>
      </c>
      <c r="E56" s="24" t="inlineStr">
        <is>
          <t>MLB</t>
        </is>
      </c>
      <c r="F56" s="24" t="inlineStr">
        <is>
          <t>Tampa Bay Rays</t>
        </is>
      </c>
      <c r="G56" s="24" t="inlineStr">
        <is>
          <t>Toronto Blue Jays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polymarket_us</t>
        </is>
      </c>
      <c r="L56" s="26" t="n">
        <v>-138</v>
      </c>
      <c r="M56" s="39" t="n">
        <v>1.724638</v>
      </c>
      <c r="N56" s="28" t="n">
        <v>0.579832</v>
      </c>
      <c r="O56" s="28" t="n">
        <v>0.528636</v>
      </c>
      <c r="P56" s="28" t="n"/>
      <c r="Q56" s="28" t="n">
        <v>-0.051196</v>
      </c>
      <c r="R56" s="26" t="n">
        <v>0</v>
      </c>
      <c r="S56" s="29" t="n">
        <v>0.75</v>
      </c>
      <c r="T56" s="24" t="inlineStr">
        <is>
          <t>mlb-elo-trend-lr-v3</t>
        </is>
      </c>
      <c r="U56" s="24" t="inlineStr">
        <is>
          <t>open</t>
        </is>
      </c>
      <c r="V56" s="24" t="n"/>
      <c r="W56" s="26" t="n"/>
      <c r="X56" s="26" t="n"/>
      <c r="Y56" s="38" t="n"/>
      <c r="Z56" s="26" t="n"/>
      <c r="AA56" s="28" t="n"/>
      <c r="AB56" s="28" t="n"/>
      <c r="AC56" s="40" t="n"/>
      <c r="AD56" s="24" t="n"/>
      <c r="AE56" s="31" t="inlineStr">
        <is>
          <t>Learned LR call at threshold 0.5150; executable ask 0.5800 (aec-mlb-tb-tor-2026-07-20).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mlb-tb</t>
        </is>
      </c>
      <c r="AQ56" s="24" t="inlineStr">
        <is>
          <t>Tampa Bay Rays</t>
        </is>
      </c>
      <c r="AR56" s="24" t="inlineStr">
        <is>
          <t>Tampa Bay Rays</t>
        </is>
      </c>
      <c r="AS56" s="24" t="inlineStr">
        <is>
          <t>mlb-tor</t>
        </is>
      </c>
      <c r="AT56" s="24" t="inlineStr">
        <is>
          <t>Toronto Blue Jays</t>
        </is>
      </c>
      <c r="AU56" s="24" t="inlineStr">
        <is>
          <t>Toronto Blue Jays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ebdb392c90fd9a9414a97c1b39024e1a4f2c894aee118b3b4598ecd7e5e96695</t>
        </is>
      </c>
      <c r="BB56" s="24" t="inlineStr">
        <is>
          <t>learned_lr</t>
        </is>
      </c>
      <c r="BC56" s="24" t="inlineStr">
        <is>
          <t>mlb-elo-trend-lr-v3</t>
        </is>
      </c>
      <c r="BD56" s="24" t="inlineStr">
        <is>
          <t>ebdb392c90fd9a9414a97c1b39024e1a4f2c894aee118b3b4598ecd7e5e96695</t>
        </is>
      </c>
      <c r="BE56" s="24" t="inlineStr">
        <is>
          <t>83a50acec79889d1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2026-07-20T07:25:46.631829Z</t>
        </is>
      </c>
      <c r="BI56" s="24" t="inlineStr">
        <is>
          <t>["same_event","same_team_same_day","same_league_same_day"]</t>
        </is>
      </c>
      <c r="BJ56" s="38" t="n"/>
      <c r="BK56" s="26" t="n">
        <v>-138</v>
      </c>
      <c r="BL56" s="39" t="n">
        <v>1.724638</v>
      </c>
      <c r="BM56" s="28" t="n">
        <v>0.579832</v>
      </c>
      <c r="BN56" s="28" t="n">
        <v>0.577114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bd769f5d72db48bb</t>
        </is>
      </c>
      <c r="B57" s="24" t="inlineStr">
        <is>
          <t>2026-07-20T07:27:09.837629Z</t>
        </is>
      </c>
      <c r="C57" s="24" t="inlineStr">
        <is>
          <t>2026-07-20T19:10:00-0400</t>
        </is>
      </c>
      <c r="D57" s="24" t="inlineStr">
        <is>
          <t>401816186</t>
        </is>
      </c>
      <c r="E57" s="24" t="inlineStr">
        <is>
          <t>MLB</t>
        </is>
      </c>
      <c r="F57" s="24" t="inlineStr">
        <is>
          <t>Baltimore Orioles</t>
        </is>
      </c>
      <c r="G57" s="24" t="inlineStr">
        <is>
          <t>Boston Red Sox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polymarket_us</t>
        </is>
      </c>
      <c r="L57" s="26" t="n">
        <v>-135</v>
      </c>
      <c r="M57" s="39" t="n">
        <v>1.740741</v>
      </c>
      <c r="N57" s="28" t="n">
        <v>0.574468</v>
      </c>
      <c r="O57" s="28" t="n">
        <v>0.565634</v>
      </c>
      <c r="P57" s="28" t="n"/>
      <c r="Q57" s="28" t="n">
        <v>-0.008834</v>
      </c>
      <c r="R57" s="26" t="n">
        <v>16</v>
      </c>
      <c r="S57" s="29" t="n">
        <v>1.25</v>
      </c>
      <c r="T57" s="24" t="inlineStr">
        <is>
          <t>mlb-elo-trend-lr-v3</t>
        </is>
      </c>
      <c r="U57" s="24" t="inlineStr">
        <is>
          <t>open</t>
        </is>
      </c>
      <c r="V57" s="24" t="n"/>
      <c r="W57" s="26" t="n"/>
      <c r="X57" s="26" t="n"/>
      <c r="Y57" s="38" t="n"/>
      <c r="Z57" s="26" t="n"/>
      <c r="AA57" s="28" t="n"/>
      <c r="AB57" s="28" t="n"/>
      <c r="AC57" s="40" t="n"/>
      <c r="AD57" s="24" t="n"/>
      <c r="AE57" s="31" t="inlineStr">
        <is>
          <t>Learned LR call at threshold 0.5150; executable ask 0.5750 (aec-mlb-bal-bos-2026-07-20).</t>
        </is>
      </c>
      <c r="AF57" s="31" t="inlineStr">
        <is>
          <t>Learned model; promotion gate not yet open; zero-unit research until review.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mlb-bal</t>
        </is>
      </c>
      <c r="AQ57" s="24" t="inlineStr">
        <is>
          <t>Baltimore Orioles</t>
        </is>
      </c>
      <c r="AR57" s="24" t="inlineStr">
        <is>
          <t>Baltimore Orioles</t>
        </is>
      </c>
      <c r="AS57" s="24" t="inlineStr">
        <is>
          <t>mlb-bos</t>
        </is>
      </c>
      <c r="AT57" s="24" t="inlineStr">
        <is>
          <t>Boston Red Sox</t>
        </is>
      </c>
      <c r="AU57" s="24" t="inlineStr">
        <is>
          <t>Boston Red Sox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ebdb392c90fd9a9414a97c1b39024e1a4f2c894aee118b3b4598ecd7e5e96695</t>
        </is>
      </c>
      <c r="BB57" s="24" t="inlineStr">
        <is>
          <t>learned_lr</t>
        </is>
      </c>
      <c r="BC57" s="24" t="inlineStr">
        <is>
          <t>mlb-elo-trend-lr-v3</t>
        </is>
      </c>
      <c r="BD57" s="24" t="inlineStr">
        <is>
          <t>ebdb392c90fd9a9414a97c1b39024e1a4f2c894aee118b3b4598ecd7e5e96695</t>
        </is>
      </c>
      <c r="BE57" s="24" t="inlineStr">
        <is>
          <t>f90d77bcf90af7a6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2026-07-20T07:25:48.021174Z</t>
        </is>
      </c>
      <c r="BI57" s="24" t="inlineStr">
        <is>
          <t>["same_event","same_team_same_day","same_league_same_day"]</t>
        </is>
      </c>
      <c r="BJ57" s="38" t="n"/>
      <c r="BK57" s="26" t="n">
        <v>-135</v>
      </c>
      <c r="BL57" s="39" t="n">
        <v>1.740741</v>
      </c>
      <c r="BM57" s="28" t="n">
        <v>0.574468</v>
      </c>
      <c r="BN57" s="28" t="n">
        <v>0.572139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6f908cfbb4fb4660</t>
        </is>
      </c>
      <c r="B58" s="24" t="inlineStr">
        <is>
          <t>2026-07-20T07:27:09.837629Z</t>
        </is>
      </c>
      <c r="C58" s="24" t="inlineStr">
        <is>
          <t>2026-07-20T19:15:00-0400</t>
        </is>
      </c>
      <c r="D58" s="24" t="inlineStr">
        <is>
          <t>401816190</t>
        </is>
      </c>
      <c r="E58" s="24" t="inlineStr">
        <is>
          <t>MLB</t>
        </is>
      </c>
      <c r="F58" s="24" t="inlineStr">
        <is>
          <t>San Diego Padres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polymarket_us</t>
        </is>
      </c>
      <c r="L58" s="26" t="n">
        <v>-135</v>
      </c>
      <c r="M58" s="39" t="n">
        <v>1.740741</v>
      </c>
      <c r="N58" s="28" t="n">
        <v>0.574468</v>
      </c>
      <c r="O58" s="28" t="n">
        <v>0.5478730000000001</v>
      </c>
      <c r="P58" s="28" t="n"/>
      <c r="Q58" s="28" t="n">
        <v>-0.026595</v>
      </c>
      <c r="R58" s="26" t="n">
        <v>7</v>
      </c>
      <c r="S58" s="29" t="n">
        <v>1</v>
      </c>
      <c r="T58" s="24" t="inlineStr">
        <is>
          <t>mlb-elo-trend-lr-v3</t>
        </is>
      </c>
      <c r="U58" s="24" t="inlineStr">
        <is>
          <t>open</t>
        </is>
      </c>
      <c r="V58" s="24" t="n"/>
      <c r="W58" s="26" t="n"/>
      <c r="X58" s="26" t="n"/>
      <c r="Y58" s="38" t="n"/>
      <c r="Z58" s="26" t="n"/>
      <c r="AA58" s="28" t="n"/>
      <c r="AB58" s="28" t="n"/>
      <c r="AC58" s="40" t="n"/>
      <c r="AD58" s="24" t="n"/>
      <c r="AE58" s="31" t="inlineStr">
        <is>
          <t>Learned LR call at threshold 0.5150; executable ask 0.5750 (aec-mlb-sd-atl-2026-07-20).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mlb-sd</t>
        </is>
      </c>
      <c r="AQ58" s="24" t="inlineStr">
        <is>
          <t>San Diego Padres</t>
        </is>
      </c>
      <c r="AR58" s="24" t="inlineStr">
        <is>
          <t>San Diego Padres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ebdb392c90fd9a9414a97c1b39024e1a4f2c894aee118b3b4598ecd7e5e96695</t>
        </is>
      </c>
      <c r="BB58" s="24" t="inlineStr">
        <is>
          <t>learned_lr</t>
        </is>
      </c>
      <c r="BC58" s="24" t="inlineStr">
        <is>
          <t>mlb-elo-trend-lr-v3</t>
        </is>
      </c>
      <c r="BD58" s="24" t="inlineStr">
        <is>
          <t>ebdb392c90fd9a9414a97c1b39024e1a4f2c894aee118b3b4598ecd7e5e96695</t>
        </is>
      </c>
      <c r="BE58" s="24" t="inlineStr">
        <is>
          <t>dcaf75f7da769912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2026-07-20T07:25:50.370060Z</t>
        </is>
      </c>
      <c r="BI58" s="24" t="inlineStr">
        <is>
          <t>["same_event","same_team_same_day","same_league_same_day"]</t>
        </is>
      </c>
      <c r="BJ58" s="38" t="n"/>
      <c r="BK58" s="26" t="n">
        <v>-135</v>
      </c>
      <c r="BL58" s="39" t="n">
        <v>1.740741</v>
      </c>
      <c r="BM58" s="28" t="n">
        <v>0.574468</v>
      </c>
      <c r="BN58" s="28" t="n">
        <v>0.572139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b3d04af2bb2445ec</t>
        </is>
      </c>
      <c r="B59" s="24" t="inlineStr">
        <is>
          <t>2026-07-20T07:27:09.837629Z</t>
        </is>
      </c>
      <c r="C59" s="24" t="inlineStr">
        <is>
          <t>2026-07-20T19:40:00-0400</t>
        </is>
      </c>
      <c r="D59" s="24" t="inlineStr">
        <is>
          <t>401816195</t>
        </is>
      </c>
      <c r="E59" s="24" t="inlineStr">
        <is>
          <t>MLB</t>
        </is>
      </c>
      <c r="F59" s="24" t="inlineStr">
        <is>
          <t>New York Mets</t>
        </is>
      </c>
      <c r="G59" s="24" t="inlineStr">
        <is>
          <t>Milwaukee Brewers</t>
        </is>
      </c>
      <c r="H59" s="24" t="inlineStr">
        <is>
          <t>moneyline</t>
        </is>
      </c>
      <c r="I59" s="24" t="inlineStr">
        <is>
          <t>home</t>
        </is>
      </c>
      <c r="J59" s="38" t="n"/>
      <c r="K59" s="24" t="inlineStr">
        <is>
          <t>polymarket_us</t>
        </is>
      </c>
      <c r="L59" s="26" t="n">
        <v>-190</v>
      </c>
      <c r="M59" s="39" t="n">
        <v>1.526316</v>
      </c>
      <c r="N59" s="28" t="n">
        <v>0.655172</v>
      </c>
      <c r="O59" s="28" t="n">
        <v>0.6384</v>
      </c>
      <c r="P59" s="28" t="n"/>
      <c r="Q59" s="28" t="n">
        <v>-0.016772</v>
      </c>
      <c r="R59" s="26" t="n">
        <v>12</v>
      </c>
      <c r="S59" s="29" t="n">
        <v>2</v>
      </c>
      <c r="T59" s="24" t="inlineStr">
        <is>
          <t>mlb-elo-trend-lr-v3</t>
        </is>
      </c>
      <c r="U59" s="24" t="inlineStr">
        <is>
          <t>open</t>
        </is>
      </c>
      <c r="V59" s="24" t="n"/>
      <c r="W59" s="26" t="n"/>
      <c r="X59" s="26" t="n"/>
      <c r="Y59" s="38" t="n"/>
      <c r="Z59" s="26" t="n"/>
      <c r="AA59" s="28" t="n"/>
      <c r="AB59" s="28" t="n"/>
      <c r="AC59" s="40" t="n"/>
      <c r="AD59" s="24" t="n"/>
      <c r="AE59" s="31" t="inlineStr">
        <is>
          <t>Learned LR call at threshold 0.5150; executable ask 0.6550 (aec-mlb-nym-mil-2026-07-20).</t>
        </is>
      </c>
      <c r="AF59" s="31" t="inlineStr">
        <is>
          <t>Learned model; promotion gate not yet open; zero-unit research until review.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mlb-nym</t>
        </is>
      </c>
      <c r="AQ59" s="24" t="inlineStr">
        <is>
          <t>New York Mets</t>
        </is>
      </c>
      <c r="AR59" s="24" t="inlineStr">
        <is>
          <t>New York Mets</t>
        </is>
      </c>
      <c r="AS59" s="24" t="inlineStr">
        <is>
          <t>mlb-mil</t>
        </is>
      </c>
      <c r="AT59" s="24" t="inlineStr">
        <is>
          <t>Milwaukee Brewers</t>
        </is>
      </c>
      <c r="AU59" s="24" t="inlineStr">
        <is>
          <t>Milwaukee Brewers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ebdb392c90fd9a9414a97c1b39024e1a4f2c894aee118b3b4598ecd7e5e96695</t>
        </is>
      </c>
      <c r="BB59" s="24" t="inlineStr">
        <is>
          <t>learned_lr</t>
        </is>
      </c>
      <c r="BC59" s="24" t="inlineStr">
        <is>
          <t>mlb-elo-trend-lr-v3</t>
        </is>
      </c>
      <c r="BD59" s="24" t="inlineStr">
        <is>
          <t>ebdb392c90fd9a9414a97c1b39024e1a4f2c894aee118b3b4598ecd7e5e96695</t>
        </is>
      </c>
      <c r="BE59" s="24" t="inlineStr">
        <is>
          <t>08844b1e52756e6a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2026-07-20T07:25:51.762171Z</t>
        </is>
      </c>
      <c r="BI59" s="24" t="inlineStr">
        <is>
          <t>["same_event","same_team_same_day","same_league_same_day"]</t>
        </is>
      </c>
      <c r="BJ59" s="38" t="n"/>
      <c r="BK59" s="26" t="n">
        <v>-190</v>
      </c>
      <c r="BL59" s="39" t="n">
        <v>1.526316</v>
      </c>
      <c r="BM59" s="28" t="n">
        <v>0.655172</v>
      </c>
      <c r="BN59" s="28" t="n">
        <v>0.651741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07c094e50e3443bc</t>
        </is>
      </c>
      <c r="B60" s="24" t="inlineStr">
        <is>
          <t>2026-07-20T07:27:09.837629Z</t>
        </is>
      </c>
      <c r="C60" s="24" t="inlineStr">
        <is>
          <t>2026-07-20T20:05:00-0400</t>
        </is>
      </c>
      <c r="D60" s="24" t="inlineStr">
        <is>
          <t>401816192</t>
        </is>
      </c>
      <c r="E60" s="24" t="inlineStr">
        <is>
          <t>MLB</t>
        </is>
      </c>
      <c r="F60" s="24" t="inlineStr">
        <is>
          <t>Chicago White Sox</t>
        </is>
      </c>
      <c r="G60" s="24" t="inlineStr">
        <is>
          <t>Texas Rangers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polymarket_us</t>
        </is>
      </c>
      <c r="L60" s="26" t="n">
        <v>-156</v>
      </c>
      <c r="M60" s="39" t="n">
        <v>1.641026</v>
      </c>
      <c r="N60" s="28" t="n">
        <v>0.609375</v>
      </c>
      <c r="O60" s="28" t="n">
        <v>0.518942</v>
      </c>
      <c r="P60" s="28" t="n"/>
      <c r="Q60" s="28" t="n">
        <v>-0.090433</v>
      </c>
      <c r="R60" s="26" t="n">
        <v>0</v>
      </c>
      <c r="S60" s="29" t="n">
        <v>0.75</v>
      </c>
      <c r="T60" s="24" t="inlineStr">
        <is>
          <t>mlb-elo-trend-lr-v3</t>
        </is>
      </c>
      <c r="U60" s="24" t="inlineStr">
        <is>
          <t>open</t>
        </is>
      </c>
      <c r="V60" s="24" t="n"/>
      <c r="W60" s="26" t="n"/>
      <c r="X60" s="26" t="n"/>
      <c r="Y60" s="38" t="n"/>
      <c r="Z60" s="26" t="n"/>
      <c r="AA60" s="28" t="n"/>
      <c r="AB60" s="28" t="n"/>
      <c r="AC60" s="40" t="n"/>
      <c r="AD60" s="24" t="n"/>
      <c r="AE60" s="31" t="inlineStr">
        <is>
          <t>Learned LR call at threshold 0.5150; executable ask 0.6100 (aec-mlb-cws-tex-2026-07-20).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mlb-cws</t>
        </is>
      </c>
      <c r="AQ60" s="24" t="inlineStr">
        <is>
          <t>Chicago White Sox</t>
        </is>
      </c>
      <c r="AR60" s="24" t="inlineStr">
        <is>
          <t>Chicago White Sox</t>
        </is>
      </c>
      <c r="AS60" s="24" t="inlineStr">
        <is>
          <t>mlb-tex</t>
        </is>
      </c>
      <c r="AT60" s="24" t="inlineStr">
        <is>
          <t>Texas Rangers</t>
        </is>
      </c>
      <c r="AU60" s="24" t="inlineStr">
        <is>
          <t>Texas Rangers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ebdb392c90fd9a9414a97c1b39024e1a4f2c894aee118b3b4598ecd7e5e96695</t>
        </is>
      </c>
      <c r="BB60" s="24" t="inlineStr">
        <is>
          <t>learned_lr</t>
        </is>
      </c>
      <c r="BC60" s="24" t="inlineStr">
        <is>
          <t>mlb-elo-trend-lr-v3</t>
        </is>
      </c>
      <c r="BD60" s="24" t="inlineStr">
        <is>
          <t>ebdb392c90fd9a9414a97c1b39024e1a4f2c894aee118b3b4598ecd7e5e96695</t>
        </is>
      </c>
      <c r="BE60" s="24" t="inlineStr">
        <is>
          <t>99c414db5594aff2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2026-07-20T07:25:54.352994Z</t>
        </is>
      </c>
      <c r="BI60" s="24" t="inlineStr">
        <is>
          <t>["same_event","same_team_same_day","same_league_same_day"]</t>
        </is>
      </c>
      <c r="BJ60" s="38" t="n"/>
      <c r="BK60" s="26" t="n">
        <v>-156</v>
      </c>
      <c r="BL60" s="39" t="n">
        <v>1.641026</v>
      </c>
      <c r="BM60" s="28" t="n">
        <v>0.609375</v>
      </c>
      <c r="BN60" s="28" t="n">
        <v>0.606965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fe1acb3bd59e41b3</t>
        </is>
      </c>
      <c r="B61" s="24" t="inlineStr">
        <is>
          <t>2026-07-20T07:27:09.837629Z</t>
        </is>
      </c>
      <c r="C61" s="24" t="inlineStr">
        <is>
          <t>2026-07-20T20:05:00-0400</t>
        </is>
      </c>
      <c r="D61" s="24" t="inlineStr">
        <is>
          <t>401816193</t>
        </is>
      </c>
      <c r="E61" s="24" t="inlineStr">
        <is>
          <t>MLB</t>
        </is>
      </c>
      <c r="F61" s="24" t="inlineStr">
        <is>
          <t>Detroit Tigers</t>
        </is>
      </c>
      <c r="G61" s="24" t="inlineStr">
        <is>
          <t>Chicago Cubs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polymarket_us</t>
        </is>
      </c>
      <c r="L61" s="26" t="n">
        <v>-108</v>
      </c>
      <c r="M61" s="39" t="n">
        <v>1.925926</v>
      </c>
      <c r="N61" s="28" t="n">
        <v>0.519231</v>
      </c>
      <c r="O61" s="28" t="n">
        <v>0.576624</v>
      </c>
      <c r="P61" s="28" t="n"/>
      <c r="Q61" s="28" t="n">
        <v>0.057393</v>
      </c>
      <c r="R61" s="26" t="n">
        <v>49</v>
      </c>
      <c r="S61" s="29" t="n">
        <v>1.25</v>
      </c>
      <c r="T61" s="24" t="inlineStr">
        <is>
          <t>mlb-elo-trend-lr-v3</t>
        </is>
      </c>
      <c r="U61" s="24" t="inlineStr">
        <is>
          <t>open</t>
        </is>
      </c>
      <c r="V61" s="24" t="n"/>
      <c r="W61" s="26" t="n"/>
      <c r="X61" s="26" t="n"/>
      <c r="Y61" s="38" t="n"/>
      <c r="Z61" s="26" t="n"/>
      <c r="AA61" s="28" t="n"/>
      <c r="AB61" s="28" t="n"/>
      <c r="AC61" s="40" t="n"/>
      <c r="AD61" s="24" t="n"/>
      <c r="AE61" s="31" t="inlineStr">
        <is>
          <t>Learned LR call at threshold 0.5150; executable ask 0.5200 (aec-mlb-det-chc-2026-07-20).</t>
        </is>
      </c>
      <c r="AF61" s="31" t="inlineStr">
        <is>
          <t>Learned model; promotion gate not yet open; zero-unit research until review.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mlb-det</t>
        </is>
      </c>
      <c r="AQ61" s="24" t="inlineStr">
        <is>
          <t>Detroit Tigers</t>
        </is>
      </c>
      <c r="AR61" s="24" t="inlineStr">
        <is>
          <t>Detroit Tigers</t>
        </is>
      </c>
      <c r="AS61" s="24" t="inlineStr">
        <is>
          <t>mlb-chc</t>
        </is>
      </c>
      <c r="AT61" s="24" t="inlineStr">
        <is>
          <t>Chicago Cubs</t>
        </is>
      </c>
      <c r="AU61" s="24" t="inlineStr">
        <is>
          <t>Chicago Cubs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ebdb392c90fd9a9414a97c1b39024e1a4f2c894aee118b3b4598ecd7e5e96695</t>
        </is>
      </c>
      <c r="BB61" s="24" t="inlineStr">
        <is>
          <t>learned_lr</t>
        </is>
      </c>
      <c r="BC61" s="24" t="inlineStr">
        <is>
          <t>mlb-elo-trend-lr-v3</t>
        </is>
      </c>
      <c r="BD61" s="24" t="inlineStr">
        <is>
          <t>ebdb392c90fd9a9414a97c1b39024e1a4f2c894aee118b3b4598ecd7e5e96695</t>
        </is>
      </c>
      <c r="BE61" s="24" t="inlineStr">
        <is>
          <t>cc155e3ebbdaf924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2026-07-20T07:25:55.980853Z</t>
        </is>
      </c>
      <c r="BI61" s="24" t="inlineStr">
        <is>
          <t>["same_event","same_team_same_day","same_league_same_day"]</t>
        </is>
      </c>
      <c r="BJ61" s="38" t="n"/>
      <c r="BK61" s="26" t="n">
        <v>-108</v>
      </c>
      <c r="BL61" s="39" t="n">
        <v>1.925926</v>
      </c>
      <c r="BM61" s="28" t="n">
        <v>0.519231</v>
      </c>
      <c r="BN61" s="28" t="n">
        <v>0.517413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41914e723f8545e3</t>
        </is>
      </c>
      <c r="B62" s="24" t="inlineStr">
        <is>
          <t>2026-07-20T07:27:09.837629Z</t>
        </is>
      </c>
      <c r="C62" s="24" t="inlineStr">
        <is>
          <t>2026-07-20T20:40:00-0400</t>
        </is>
      </c>
      <c r="D62" s="24" t="inlineStr">
        <is>
          <t>401816197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Colorado Rockies</t>
        </is>
      </c>
      <c r="H62" s="24" t="inlineStr">
        <is>
          <t>moneyline</t>
        </is>
      </c>
      <c r="I62" s="24" t="inlineStr">
        <is>
          <t>away</t>
        </is>
      </c>
      <c r="J62" s="38" t="n"/>
      <c r="K62" s="24" t="inlineStr">
        <is>
          <t>polymarket_us</t>
        </is>
      </c>
      <c r="L62" s="26" t="n">
        <v>-115</v>
      </c>
      <c r="M62" s="39" t="n">
        <v>1.869565</v>
      </c>
      <c r="N62" s="28" t="n">
        <v>0.534884</v>
      </c>
      <c r="O62" s="28" t="n">
        <v>0.547691</v>
      </c>
      <c r="P62" s="28" t="n"/>
      <c r="Q62" s="28" t="n">
        <v>0.012807</v>
      </c>
      <c r="R62" s="26" t="n">
        <v>26</v>
      </c>
      <c r="S62" s="29" t="n">
        <v>1</v>
      </c>
      <c r="T62" s="24" t="inlineStr">
        <is>
          <t>mlb-elo-trend-lr-v3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0.5150; executable ask 0.5350 (aec-mlb-wsh-col-2026-07-20).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ebdb392c90fd9a9414a97c1b39024e1a4f2c894aee118b3b4598ecd7e5e96695</t>
        </is>
      </c>
      <c r="BB62" s="24" t="inlineStr">
        <is>
          <t>learned_lr</t>
        </is>
      </c>
      <c r="BC62" s="24" t="inlineStr">
        <is>
          <t>mlb-elo-trend-lr-v3</t>
        </is>
      </c>
      <c r="BD62" s="24" t="inlineStr">
        <is>
          <t>ebdb392c90fd9a9414a97c1b39024e1a4f2c894aee118b3b4598ecd7e5e96695</t>
        </is>
      </c>
      <c r="BE62" s="24" t="inlineStr">
        <is>
          <t>c4e9d6e5adabb27c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2026-07-20T07:25:57.709954Z</t>
        </is>
      </c>
      <c r="BI62" s="24" t="inlineStr">
        <is>
          <t>["same_event","same_team_same_day","same_league_same_day"]</t>
        </is>
      </c>
      <c r="BJ62" s="38" t="n"/>
      <c r="BK62" s="26" t="n">
        <v>-115</v>
      </c>
      <c r="BL62" s="39" t="n">
        <v>1.869565</v>
      </c>
      <c r="BM62" s="28" t="n">
        <v>0.534884</v>
      </c>
      <c r="BN62" s="28" t="n">
        <v>0.532338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226f56cb020a4d72</t>
        </is>
      </c>
      <c r="B63" s="24" t="inlineStr">
        <is>
          <t>2026-07-20T07:27:09.837629Z</t>
        </is>
      </c>
      <c r="C63" s="24" t="inlineStr">
        <is>
          <t>2026-07-20T21:40:00-0400</t>
        </is>
      </c>
      <c r="D63" s="24" t="inlineStr">
        <is>
          <t>401816198</t>
        </is>
      </c>
      <c r="E63" s="24" t="inlineStr">
        <is>
          <t>MLB</t>
        </is>
      </c>
      <c r="F63" s="24" t="inlineStr">
        <is>
          <t>Athletics</t>
        </is>
      </c>
      <c r="G63" s="24" t="inlineStr">
        <is>
          <t>Arizona Diamondbacks</t>
        </is>
      </c>
      <c r="H63" s="24" t="inlineStr">
        <is>
          <t>moneyline</t>
        </is>
      </c>
      <c r="I63" s="24" t="inlineStr">
        <is>
          <t>home</t>
        </is>
      </c>
      <c r="J63" s="38" t="n"/>
      <c r="K63" s="24" t="inlineStr">
        <is>
          <t>polymarket_us</t>
        </is>
      </c>
      <c r="L63" s="26" t="n">
        <v>-147</v>
      </c>
      <c r="M63" s="39" t="n">
        <v>1.680272</v>
      </c>
      <c r="N63" s="28" t="n">
        <v>0.5951419999999999</v>
      </c>
      <c r="O63" s="28" t="n">
        <v>0.589249</v>
      </c>
      <c r="P63" s="28" t="n"/>
      <c r="Q63" s="28" t="n">
        <v>-0.005893</v>
      </c>
      <c r="R63" s="26" t="n">
        <v>17</v>
      </c>
      <c r="S63" s="29" t="n">
        <v>1.5</v>
      </c>
      <c r="T63" s="24" t="inlineStr">
        <is>
          <t>mlb-elo-trend-lr-v3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0.5150; executable ask 0.5950 (aec-mlb-ath-az-2026-07-20).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mlb-ath</t>
        </is>
      </c>
      <c r="AQ63" s="24" t="inlineStr">
        <is>
          <t>Athletics</t>
        </is>
      </c>
      <c r="AR63" s="24" t="inlineStr">
        <is>
          <t>Athletics</t>
        </is>
      </c>
      <c r="AS63" s="24" t="inlineStr">
        <is>
          <t>mlb-ari</t>
        </is>
      </c>
      <c r="AT63" s="24" t="inlineStr">
        <is>
          <t>Arizona Diamondbacks</t>
        </is>
      </c>
      <c r="AU63" s="24" t="inlineStr">
        <is>
          <t>Arizona Diamondbacks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ebdb392c90fd9a9414a97c1b39024e1a4f2c894aee118b3b4598ecd7e5e96695</t>
        </is>
      </c>
      <c r="BB63" s="24" t="inlineStr">
        <is>
          <t>learned_lr</t>
        </is>
      </c>
      <c r="BC63" s="24" t="inlineStr">
        <is>
          <t>mlb-elo-trend-lr-v3</t>
        </is>
      </c>
      <c r="BD63" s="24" t="inlineStr">
        <is>
          <t>ebdb392c90fd9a9414a97c1b39024e1a4f2c894aee118b3b4598ecd7e5e96695</t>
        </is>
      </c>
      <c r="BE63" s="24" t="inlineStr">
        <is>
          <t>202c6fbc367f9e59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2026-07-20T07:25:58.909244Z</t>
        </is>
      </c>
      <c r="BI63" s="24" t="inlineStr">
        <is>
          <t>["same_event","same_team_same_day","same_league_same_day"]</t>
        </is>
      </c>
      <c r="BJ63" s="38" t="n"/>
      <c r="BK63" s="26" t="n">
        <v>-147</v>
      </c>
      <c r="BL63" s="39" t="n">
        <v>1.680272</v>
      </c>
      <c r="BM63" s="28" t="n">
        <v>0.5951419999999999</v>
      </c>
      <c r="BN63" s="28" t="n">
        <v>0.59204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a9cd87c83dca4e08</t>
        </is>
      </c>
      <c r="B64" s="24" t="inlineStr">
        <is>
          <t>2026-07-20T07:27:09.837629Z</t>
        </is>
      </c>
      <c r="C64" s="24" t="inlineStr">
        <is>
          <t>2026-07-20T21:40:00-0400</t>
        </is>
      </c>
      <c r="D64" s="24" t="inlineStr">
        <is>
          <t>401816199</t>
        </is>
      </c>
      <c r="E64" s="24" t="inlineStr">
        <is>
          <t>MLB</t>
        </is>
      </c>
      <c r="F64" s="24" t="inlineStr">
        <is>
          <t>Cincinnati Reds</t>
        </is>
      </c>
      <c r="G64" s="24" t="inlineStr">
        <is>
          <t>Seattle Mariners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-144</v>
      </c>
      <c r="M64" s="39" t="n">
        <v>1.694444</v>
      </c>
      <c r="N64" s="28" t="n">
        <v>0.590164</v>
      </c>
      <c r="O64" s="28" t="n">
        <v>0.597509</v>
      </c>
      <c r="P64" s="28" t="n"/>
      <c r="Q64" s="28" t="n">
        <v>0.007345</v>
      </c>
      <c r="R64" s="26" t="n">
        <v>24</v>
      </c>
      <c r="S64" s="29" t="n">
        <v>1.5</v>
      </c>
      <c r="T64" s="24" t="inlineStr">
        <is>
          <t>mlb-elo-trend-lr-v3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0.5150; executable ask 0.5900 (aec-mlb-cin-sea-2026-07-20).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mlb-cin</t>
        </is>
      </c>
      <c r="AQ64" s="24" t="inlineStr">
        <is>
          <t>Cincinnati Reds</t>
        </is>
      </c>
      <c r="AR64" s="24" t="inlineStr">
        <is>
          <t>Cincinnati Reds</t>
        </is>
      </c>
      <c r="AS64" s="24" t="inlineStr">
        <is>
          <t>mlb-sea</t>
        </is>
      </c>
      <c r="AT64" s="24" t="inlineStr">
        <is>
          <t>Seattle Mariners</t>
        </is>
      </c>
      <c r="AU64" s="24" t="inlineStr">
        <is>
          <t>Seattle Mariners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ebdb392c90fd9a9414a97c1b39024e1a4f2c894aee118b3b4598ecd7e5e96695</t>
        </is>
      </c>
      <c r="BB64" s="24" t="inlineStr">
        <is>
          <t>learned_lr</t>
        </is>
      </c>
      <c r="BC64" s="24" t="inlineStr">
        <is>
          <t>mlb-elo-trend-lr-v3</t>
        </is>
      </c>
      <c r="BD64" s="24" t="inlineStr">
        <is>
          <t>ebdb392c90fd9a9414a97c1b39024e1a4f2c894aee118b3b4598ecd7e5e96695</t>
        </is>
      </c>
      <c r="BE64" s="24" t="inlineStr">
        <is>
          <t>982d73638d70c45b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2026-07-20T07:26:01.154096Z</t>
        </is>
      </c>
      <c r="BI64" s="24" t="inlineStr">
        <is>
          <t>["same_event","same_team_same_day","same_league_same_day"]</t>
        </is>
      </c>
      <c r="BJ64" s="38" t="n"/>
      <c r="BK64" s="26" t="n">
        <v>-144</v>
      </c>
      <c r="BL64" s="39" t="n">
        <v>1.694444</v>
      </c>
      <c r="BM64" s="28" t="n">
        <v>0.590164</v>
      </c>
      <c r="BN64" s="28" t="n">
        <v>0.5870649999999999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8e420714a95e4d9c</t>
        </is>
      </c>
      <c r="B65" s="24" t="inlineStr">
        <is>
          <t>2026-07-20T07:27:09.837629Z</t>
        </is>
      </c>
      <c r="C65" s="24" t="inlineStr">
        <is>
          <t>2026-07-20T22:00:00-0400</t>
        </is>
      </c>
      <c r="D65" s="24" t="inlineStr">
        <is>
          <t>401816200</t>
        </is>
      </c>
      <c r="E65" s="24" t="inlineStr">
        <is>
          <t>MLB</t>
        </is>
      </c>
      <c r="F65" s="24" t="inlineStr">
        <is>
          <t>St. Louis Cardinals</t>
        </is>
      </c>
      <c r="G65" s="24" t="inlineStr">
        <is>
          <t>Los Angeles Angels</t>
        </is>
      </c>
      <c r="H65" s="24" t="inlineStr">
        <is>
          <t>moneyline</t>
        </is>
      </c>
      <c r="I65" s="24" t="inlineStr">
        <is>
          <t>away</t>
        </is>
      </c>
      <c r="J65" s="38" t="n"/>
      <c r="K65" s="24" t="inlineStr">
        <is>
          <t>polymarket_us</t>
        </is>
      </c>
      <c r="L65" s="26" t="n">
        <v>104</v>
      </c>
      <c r="M65" s="39" t="n">
        <v>2.04</v>
      </c>
      <c r="N65" s="28" t="n">
        <v>0.490196</v>
      </c>
      <c r="O65" s="28" t="n">
        <v>0.5411280000000001</v>
      </c>
      <c r="P65" s="28" t="n"/>
      <c r="Q65" s="28" t="n">
        <v>0.050932</v>
      </c>
      <c r="R65" s="26" t="n">
        <v>45</v>
      </c>
      <c r="S65" s="29" t="n">
        <v>1</v>
      </c>
      <c r="T65" s="24" t="inlineStr">
        <is>
          <t>mlb-elo-trend-lr-v3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0.5150; executable ask 0.4900 (aec-mlb-stl-laa-2026-07-20).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mlb-stl</t>
        </is>
      </c>
      <c r="AQ65" s="24" t="inlineStr">
        <is>
          <t>St. Louis Cardinals</t>
        </is>
      </c>
      <c r="AR65" s="24" t="inlineStr">
        <is>
          <t>St. Louis Cardinals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ebdb392c90fd9a9414a97c1b39024e1a4f2c894aee118b3b4598ecd7e5e96695</t>
        </is>
      </c>
      <c r="BB65" s="24" t="inlineStr">
        <is>
          <t>learned_lr</t>
        </is>
      </c>
      <c r="BC65" s="24" t="inlineStr">
        <is>
          <t>mlb-elo-trend-lr-v3</t>
        </is>
      </c>
      <c r="BD65" s="24" t="inlineStr">
        <is>
          <t>ebdb392c90fd9a9414a97c1b39024e1a4f2c894aee118b3b4598ecd7e5e96695</t>
        </is>
      </c>
      <c r="BE65" s="24" t="inlineStr">
        <is>
          <t>84a60e91d728d400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2026-07-20T07:26:01.325929Z</t>
        </is>
      </c>
      <c r="BI65" s="24" t="inlineStr">
        <is>
          <t>["same_event","same_team_same_day","same_league_same_day"]</t>
        </is>
      </c>
      <c r="BJ65" s="38" t="n"/>
      <c r="BK65" s="26" t="n">
        <v>104</v>
      </c>
      <c r="BL65" s="39" t="n">
        <v>2.04</v>
      </c>
      <c r="BM65" s="28" t="n">
        <v>0.490196</v>
      </c>
      <c r="BN65" s="28" t="n">
        <v>0.487562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e35a217d64aa4265</t>
        </is>
      </c>
      <c r="B66" s="24" t="inlineStr">
        <is>
          <t>2026-07-20T07:27:15.488547Z</t>
        </is>
      </c>
      <c r="C66" s="24" t="inlineStr">
        <is>
          <t>2026-07-20T20:00:00-0400</t>
        </is>
      </c>
      <c r="D66" s="24" t="inlineStr">
        <is>
          <t>401857083</t>
        </is>
      </c>
      <c r="E66" s="24" t="inlineStr">
        <is>
          <t>WNBA</t>
        </is>
      </c>
      <c r="F66" s="24" t="inlineStr">
        <is>
          <t>Las Vegas Aces</t>
        </is>
      </c>
      <c r="G66" s="24" t="inlineStr">
        <is>
          <t>Toronto Tempo</t>
        </is>
      </c>
      <c r="H66" s="24" t="inlineStr">
        <is>
          <t>moneyline</t>
        </is>
      </c>
      <c r="I66" s="24" t="inlineStr">
        <is>
          <t>away</t>
        </is>
      </c>
      <c r="J66" s="38" t="n"/>
      <c r="K66" s="24" t="inlineStr">
        <is>
          <t>polymarket_us</t>
        </is>
      </c>
      <c r="L66" s="26" t="n">
        <v>-488</v>
      </c>
      <c r="M66" s="39" t="n">
        <v>1.204918</v>
      </c>
      <c r="N66" s="28" t="n">
        <v>0.829932</v>
      </c>
      <c r="O66" s="28" t="n">
        <v>0.657294</v>
      </c>
      <c r="P66" s="28" t="n"/>
      <c r="Q66" s="28" t="n">
        <v>-0.172638</v>
      </c>
      <c r="R66" s="26" t="n">
        <v>0</v>
      </c>
      <c r="S66" s="29" t="n">
        <v>2</v>
      </c>
      <c r="T66" s="24" t="inlineStr">
        <is>
          <t>wnba-elo-trend-lr-v3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0.5000; executable ask 0.8300 (aec-wnba-lv-tor-2026-07-20).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wnba-lva</t>
        </is>
      </c>
      <c r="AQ66" s="24" t="inlineStr">
        <is>
          <t>Las Vegas Aces</t>
        </is>
      </c>
      <c r="AR66" s="24" t="inlineStr">
        <is>
          <t>Las Vegas Aces</t>
        </is>
      </c>
      <c r="AS66" s="24" t="inlineStr">
        <is>
          <t>wnba-tor</t>
        </is>
      </c>
      <c r="AT66" s="24" t="inlineStr">
        <is>
          <t>Toronto Tempo</t>
        </is>
      </c>
      <c r="AU66" s="24" t="inlineStr">
        <is>
          <t>Toronto Tempo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d339198b196cb3fcd02950ed5efbdd4cefbeb95b2cd63cd756e77f99dc483719</t>
        </is>
      </c>
      <c r="BB66" s="24" t="inlineStr">
        <is>
          <t>learned_lr</t>
        </is>
      </c>
      <c r="BC66" s="24" t="inlineStr">
        <is>
          <t>wnba-elo-trend-lr-v3</t>
        </is>
      </c>
      <c r="BD66" s="24" t="inlineStr">
        <is>
          <t>d339198b196cb3fcd02950ed5efbdd4cefbeb95b2cd63cd756e77f99dc483719</t>
        </is>
      </c>
      <c r="BE66" s="24" t="inlineStr">
        <is>
          <t>b239d28861d5b74d</t>
        </is>
      </c>
      <c r="BF66" s="24" t="inlineStr">
        <is>
          <t>1</t>
        </is>
      </c>
      <c r="BG66" s="24" t="inlineStr">
        <is>
          <t>wnba-elo-trend-lr-v3</t>
        </is>
      </c>
      <c r="BH66" s="24" t="inlineStr">
        <is>
          <t>2026-07-20T07:26:02.605954Z</t>
        </is>
      </c>
      <c r="BI66" s="24" t="inlineStr">
        <is>
          <t>["same_event","same_team_same_day","same_league_same_day"]</t>
        </is>
      </c>
      <c r="BJ66" s="38" t="n"/>
      <c r="BK66" s="26" t="n">
        <v>-488</v>
      </c>
      <c r="BL66" s="39" t="n">
        <v>1.204918</v>
      </c>
      <c r="BM66" s="28" t="n">
        <v>0.829932</v>
      </c>
      <c r="BN66" s="28" t="n">
        <v>0.821782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6c42d2d2436849c1</t>
        </is>
      </c>
      <c r="B67" s="24" t="inlineStr">
        <is>
          <t>2026-07-20T07:27:15.488547Z</t>
        </is>
      </c>
      <c r="C67" s="24" t="inlineStr">
        <is>
          <t>2026-07-20T20:00:00-0400</t>
        </is>
      </c>
      <c r="D67" s="24" t="inlineStr">
        <is>
          <t>401892393</t>
        </is>
      </c>
      <c r="E67" s="24" t="inlineStr">
        <is>
          <t>WNBA</t>
        </is>
      </c>
      <c r="F67" s="24" t="inlineStr">
        <is>
          <t>New York Liberty</t>
        </is>
      </c>
      <c r="G67" s="24" t="inlineStr">
        <is>
          <t>Dallas Wings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150</v>
      </c>
      <c r="M67" s="39" t="n">
        <v>2.5</v>
      </c>
      <c r="N67" s="28" t="n">
        <v>0.4</v>
      </c>
      <c r="O67" s="28" t="n">
        <v>0.6787840000000001</v>
      </c>
      <c r="P67" s="28" t="n"/>
      <c r="Q67" s="28" t="n">
        <v>0.278784</v>
      </c>
      <c r="R67" s="26" t="n">
        <v>100</v>
      </c>
      <c r="S67" s="29" t="n">
        <v>2</v>
      </c>
      <c r="T67" s="24" t="inlineStr">
        <is>
          <t>wnba-elo-trend-lr-v3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0.5000; executable ask 0.4000 (aec-wnba-ny-dal-2026-07-20).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wnba-nyl</t>
        </is>
      </c>
      <c r="AQ67" s="24" t="inlineStr">
        <is>
          <t>New York Liberty</t>
        </is>
      </c>
      <c r="AR67" s="24" t="inlineStr">
        <is>
          <t>New York Liberty</t>
        </is>
      </c>
      <c r="AS67" s="24" t="inlineStr">
        <is>
          <t>wnba-dal</t>
        </is>
      </c>
      <c r="AT67" s="24" t="inlineStr">
        <is>
          <t>Dallas Wings</t>
        </is>
      </c>
      <c r="AU67" s="24" t="inlineStr">
        <is>
          <t>Dallas Wings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d339198b196cb3fcd02950ed5efbdd4cefbeb95b2cd63cd756e77f99dc483719</t>
        </is>
      </c>
      <c r="BB67" s="24" t="inlineStr">
        <is>
          <t>learned_lr</t>
        </is>
      </c>
      <c r="BC67" s="24" t="inlineStr">
        <is>
          <t>wnba-elo-trend-lr-v3</t>
        </is>
      </c>
      <c r="BD67" s="24" t="inlineStr">
        <is>
          <t>d339198b196cb3fcd02950ed5efbdd4cefbeb95b2cd63cd756e77f99dc483719</t>
        </is>
      </c>
      <c r="BE67" s="24" t="inlineStr">
        <is>
          <t>1c6f45e72b2d1f80</t>
        </is>
      </c>
      <c r="BF67" s="24" t="inlineStr">
        <is>
          <t>1</t>
        </is>
      </c>
      <c r="BG67" s="24" t="inlineStr">
        <is>
          <t>wnba-elo-trend-lr-v3</t>
        </is>
      </c>
      <c r="BH67" s="24" t="inlineStr">
        <is>
          <t>2026-07-20T07:26:04.731909Z</t>
        </is>
      </c>
      <c r="BI67" s="24" t="inlineStr">
        <is>
          <t>["same_event","same_team_same_day","same_league_same_day"]</t>
        </is>
      </c>
      <c r="BJ67" s="38" t="n"/>
      <c r="BK67" s="26" t="n">
        <v>150</v>
      </c>
      <c r="BL67" s="39" t="n">
        <v>2.5</v>
      </c>
      <c r="BM67" s="28" t="n">
        <v>0.4</v>
      </c>
      <c r="BN67" s="28" t="n">
        <v>0.39604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0da50dc88c9649b8</t>
        </is>
      </c>
      <c r="B68" s="24" t="inlineStr">
        <is>
          <t>2026-07-20T07:27:15.488547Z</t>
        </is>
      </c>
      <c r="C68" s="24" t="inlineStr">
        <is>
          <t>2026-07-20T22:00:00-0400</t>
        </is>
      </c>
      <c r="D68" s="24" t="inlineStr">
        <is>
          <t>401857084</t>
        </is>
      </c>
      <c r="E68" s="24" t="inlineStr">
        <is>
          <t>WNBA</t>
        </is>
      </c>
      <c r="F68" s="24" t="inlineStr">
        <is>
          <t>Washington Mystics</t>
        </is>
      </c>
      <c r="G68" s="24" t="inlineStr">
        <is>
          <t>Golden State Valkyries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-317</v>
      </c>
      <c r="M68" s="39" t="n">
        <v>1.315457</v>
      </c>
      <c r="N68" s="28" t="n">
        <v>0.760192</v>
      </c>
      <c r="O68" s="28" t="n">
        <v>0.750444</v>
      </c>
      <c r="P68" s="28" t="n"/>
      <c r="Q68" s="28" t="n">
        <v>-0.009748</v>
      </c>
      <c r="R68" s="26" t="n">
        <v>15</v>
      </c>
      <c r="S68" s="29" t="n">
        <v>2</v>
      </c>
      <c r="T68" s="24" t="inlineStr">
        <is>
          <t>wnba-elo-trend-lr-v3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0.5000; executable ask 0.7600 (aec-wnba-wsh-gsv-2026-07-20).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wnba-was</t>
        </is>
      </c>
      <c r="AQ68" s="24" t="inlineStr">
        <is>
          <t>Washington Mystics</t>
        </is>
      </c>
      <c r="AR68" s="24" t="inlineStr">
        <is>
          <t>Washington Mystics</t>
        </is>
      </c>
      <c r="AS68" s="24" t="inlineStr">
        <is>
          <t>wnba-gsv</t>
        </is>
      </c>
      <c r="AT68" s="24" t="inlineStr">
        <is>
          <t>Golden State Valkyries</t>
        </is>
      </c>
      <c r="AU68" s="24" t="inlineStr">
        <is>
          <t>Golden State Valkyries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d339198b196cb3fcd02950ed5efbdd4cefbeb95b2cd63cd756e77f99dc483719</t>
        </is>
      </c>
      <c r="BB68" s="24" t="inlineStr">
        <is>
          <t>learned_lr</t>
        </is>
      </c>
      <c r="BC68" s="24" t="inlineStr">
        <is>
          <t>wnba-elo-trend-lr-v3</t>
        </is>
      </c>
      <c r="BD68" s="24" t="inlineStr">
        <is>
          <t>d339198b196cb3fcd02950ed5efbdd4cefbeb95b2cd63cd756e77f99dc483719</t>
        </is>
      </c>
      <c r="BE68" s="24" t="inlineStr">
        <is>
          <t>46de7d71a35c9491</t>
        </is>
      </c>
      <c r="BF68" s="24" t="inlineStr">
        <is>
          <t>1</t>
        </is>
      </c>
      <c r="BG68" s="24" t="inlineStr">
        <is>
          <t>wnba-elo-trend-lr-v3</t>
        </is>
      </c>
      <c r="BH68" s="24" t="inlineStr">
        <is>
          <t>2026-07-20T07:26:06.455979Z</t>
        </is>
      </c>
      <c r="BI68" s="24" t="inlineStr">
        <is>
          <t>["same_event","same_team_same_day","same_league_same_day"]</t>
        </is>
      </c>
      <c r="BJ68" s="38" t="n"/>
      <c r="BK68" s="26" t="n">
        <v>-317</v>
      </c>
      <c r="BL68" s="39" t="n">
        <v>1.315457</v>
      </c>
      <c r="BM68" s="28" t="n">
        <v>0.760192</v>
      </c>
      <c r="BN68" s="28" t="n">
        <v>0.752475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2d184773492d4263</t>
        </is>
      </c>
      <c r="B69" s="24" t="inlineStr">
        <is>
          <t>2026-07-20T07:27:15.488547Z</t>
        </is>
      </c>
      <c r="C69" s="24" t="inlineStr">
        <is>
          <t>2026-07-20T22:00:00-0400</t>
        </is>
      </c>
      <c r="D69" s="24" t="inlineStr">
        <is>
          <t>401857085</t>
        </is>
      </c>
      <c r="E69" s="24" t="inlineStr">
        <is>
          <t>WNBA</t>
        </is>
      </c>
      <c r="F69" s="24" t="inlineStr">
        <is>
          <t>Minnesota Lynx</t>
        </is>
      </c>
      <c r="G69" s="24" t="inlineStr">
        <is>
          <t>Seattle Storm</t>
        </is>
      </c>
      <c r="H69" s="24" t="inlineStr">
        <is>
          <t>moneyline</t>
        </is>
      </c>
      <c r="I69" s="24" t="inlineStr">
        <is>
          <t>away</t>
        </is>
      </c>
      <c r="J69" s="38" t="n"/>
      <c r="K69" s="24" t="inlineStr">
        <is>
          <t>polymarket_us</t>
        </is>
      </c>
      <c r="L69" s="26" t="n">
        <v>-488</v>
      </c>
      <c r="M69" s="39" t="n">
        <v>1.204918</v>
      </c>
      <c r="N69" s="28" t="n">
        <v>0.829932</v>
      </c>
      <c r="O69" s="28" t="n">
        <v>0.739042</v>
      </c>
      <c r="P69" s="28" t="n"/>
      <c r="Q69" s="28" t="n">
        <v>-0.09089</v>
      </c>
      <c r="R69" s="26" t="n">
        <v>0</v>
      </c>
      <c r="S69" s="29" t="n">
        <v>2</v>
      </c>
      <c r="T69" s="24" t="inlineStr">
        <is>
          <t>wnba-elo-trend-lr-v3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0.5000; executable ask 0.8300 (aec-wnba-min-sea-2026-07-20).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wnba-min</t>
        </is>
      </c>
      <c r="AQ69" s="24" t="inlineStr">
        <is>
          <t>Minnesota Lynx</t>
        </is>
      </c>
      <c r="AR69" s="24" t="inlineStr">
        <is>
          <t>Minnesota Lynx</t>
        </is>
      </c>
      <c r="AS69" s="24" t="inlineStr">
        <is>
          <t>wnba-sea</t>
        </is>
      </c>
      <c r="AT69" s="24" t="inlineStr">
        <is>
          <t>Seattle Storm</t>
        </is>
      </c>
      <c r="AU69" s="24" t="inlineStr">
        <is>
          <t>Seattle Storm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d339198b196cb3fcd02950ed5efbdd4cefbeb95b2cd63cd756e77f99dc483719</t>
        </is>
      </c>
      <c r="BB69" s="24" t="inlineStr">
        <is>
          <t>learned_lr</t>
        </is>
      </c>
      <c r="BC69" s="24" t="inlineStr">
        <is>
          <t>wnba-elo-trend-lr-v3</t>
        </is>
      </c>
      <c r="BD69" s="24" t="inlineStr">
        <is>
          <t>d339198b196cb3fcd02950ed5efbdd4cefbeb95b2cd63cd756e77f99dc483719</t>
        </is>
      </c>
      <c r="BE69" s="24" t="inlineStr">
        <is>
          <t>9e3cecf68c87303d</t>
        </is>
      </c>
      <c r="BF69" s="24" t="inlineStr">
        <is>
          <t>1</t>
        </is>
      </c>
      <c r="BG69" s="24" t="inlineStr">
        <is>
          <t>wnba-elo-trend-lr-v3</t>
        </is>
      </c>
      <c r="BH69" s="24" t="inlineStr">
        <is>
          <t>2026-07-20T07:26:06.846002Z</t>
        </is>
      </c>
      <c r="BI69" s="24" t="inlineStr">
        <is>
          <t>["same_event","same_team_same_day","same_league_same_day"]</t>
        </is>
      </c>
      <c r="BJ69" s="38" t="n"/>
      <c r="BK69" s="26" t="n">
        <v>-488</v>
      </c>
      <c r="BL69" s="39" t="n">
        <v>1.204918</v>
      </c>
      <c r="BM69" s="28" t="n">
        <v>0.829932</v>
      </c>
      <c r="BN69" s="28" t="n">
        <v>0.821782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2026-07-20T07:27:22Z</dcterms:created>
  <dcterms:modified xsi:type="dcterms:W3CDTF">2026-07-20T10:28:37Z</dcterms:modified>
</cp:coreProperties>
</file>