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6" headerRowCount="1">
  <autoFilter ref="A1:CA86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COUNTA('Picks'!$A$2:$A$86)</f>
        <v/>
      </c>
      <c r="C4" s="6">
        <f>COUNTIF('Picks'!$U$2:$U$86,"open")</f>
        <v/>
      </c>
      <c r="E4" s="6">
        <f>COUNTIF('Picks'!$U$2:$U$86,"settled")</f>
        <v/>
      </c>
      <c r="G4" s="6">
        <f>IF(COUNTIFS('Picks'!$U$2:$U$86,"settled",'Picks'!$V$2:$V$86,"win")+COUNTIFS('Picks'!$U$2:$U$86,"settled",'Picks'!$V$2:$V$86,"loss")&gt;=$L$2,"Ready","Insufficient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COUNTIF('Picks'!$BX$2:$BX$86,"&gt;0")</f>
        <v/>
      </c>
      <c r="C7" s="6">
        <f>COUNTIFS('Picks'!$BX$2:$BX$86,"&gt;0",'Picks'!$V$2:$V$86,"win")&amp;"-"&amp;COUNTIFS('Picks'!$BX$2:$BX$86,"&gt;0",'Picks'!$V$2:$V$86,"loss")</f>
        <v/>
      </c>
      <c r="E7" s="7">
        <f>IFERROR(COUNTIFS('Picks'!$BX$2:$BX$86,"&gt;0",'Picks'!$V$2:$V$86,"win")/(COUNTIFS('Picks'!$BX$2:$BX$86,"&gt;0",'Picks'!$V$2:$V$86,"win")+COUNTIFS('Picks'!$BX$2:$BX$86,"&gt;0",'Picks'!$V$2:$V$86,"loss")),0)</f>
        <v/>
      </c>
      <c r="G7" s="7">
        <f>IFERROR(SUM('Picks'!$BY$2:$BY$86)/SUM('Picks'!$BX$2:$BX$86),0)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SUM('Picks'!$BY$2:$BY$86)</f>
        <v/>
      </c>
      <c r="C10" s="9">
        <f>IFERROR(AVERAGEIF('Picks'!$AB$2:$AB$86,"&lt;&gt;",'Picks'!$AB$2:$AB$86),0)</f>
        <v/>
      </c>
      <c r="E10" s="6">
        <f>COUNTIFS('Picks'!$AM$2:$AM$86,"QUALIFIED_SHADOW_CALL",'Picks'!$U$2:$U$86,"settled")</f>
        <v/>
      </c>
      <c r="G10" s="8">
        <f>SUMIFS('Picks'!$AC$2:$AC$86,'Picks'!$AM$2:$AM$86,"QUALIFIED_SHADOW_CALL")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COUNTIFS('Picks'!$H$2:$H$86,$A14,'Picks'!$U$2:$U$86,"settled")</f>
        <v/>
      </c>
      <c r="C14" s="13">
        <f>COUNTIFS('Picks'!$H$2:$H$86,$A14,'Picks'!$U$2:$U$86,"settled",'Picks'!$V$2:$V$86,"win")</f>
        <v/>
      </c>
      <c r="D14" s="13">
        <f>COUNTIFS('Picks'!$H$2:$H$86,$A14,'Picks'!$U$2:$U$86,"settled",'Picks'!$V$2:$V$86,"loss")</f>
        <v/>
      </c>
      <c r="E14" s="14">
        <f>IFERROR(C14/(C14+D14),0)</f>
        <v/>
      </c>
      <c r="F14" s="15">
        <f>SUMIFS('Picks'!$BY$2:$BY$86,'Picks'!$H$2:$H$86,$A14)</f>
        <v/>
      </c>
      <c r="G14" s="16">
        <f>IFERROR(AVERAGEIFS('Picks'!$AB$2:$AB$86,'Picks'!$H$2:$H$86,$A14,'Picks'!$U$2:$U$86,"settled"),0)</f>
        <v/>
      </c>
    </row>
    <row r="15">
      <c r="A15" s="17" t="inlineStr">
        <is>
          <t>spread</t>
        </is>
      </c>
      <c r="B15" s="18">
        <f>COUNTIFS('Picks'!$H$2:$H$86,$A15,'Picks'!$U$2:$U$86,"settled")</f>
        <v/>
      </c>
      <c r="C15" s="18">
        <f>COUNTIFS('Picks'!$H$2:$H$86,$A15,'Picks'!$U$2:$U$86,"settled",'Picks'!$V$2:$V$86,"win")</f>
        <v/>
      </c>
      <c r="D15" s="18">
        <f>COUNTIFS('Picks'!$H$2:$H$86,$A15,'Picks'!$U$2:$U$86,"settled",'Picks'!$V$2:$V$86,"loss")</f>
        <v/>
      </c>
      <c r="E15" s="19">
        <f>IFERROR(C15/(C15+D15),0)</f>
        <v/>
      </c>
      <c r="F15" s="20">
        <f>SUMIFS('Picks'!$BY$2:$BY$86,'Picks'!$H$2:$H$86,$A15)</f>
        <v/>
      </c>
      <c r="G15" s="21">
        <f>IFERROR(AVERAGEIFS('Picks'!$AB$2:$AB$86,'Picks'!$H$2:$H$86,$A15,'Picks'!$U$2:$U$86,"settled"),0)</f>
        <v/>
      </c>
    </row>
    <row r="16">
      <c r="A16" s="12" t="inlineStr">
        <is>
          <t>total</t>
        </is>
      </c>
      <c r="B16" s="13">
        <f>COUNTIFS('Picks'!$H$2:$H$86,$A16,'Picks'!$U$2:$U$86,"settled")</f>
        <v/>
      </c>
      <c r="C16" s="13">
        <f>COUNTIFS('Picks'!$H$2:$H$86,$A16,'Picks'!$U$2:$U$86,"settled",'Picks'!$V$2:$V$86,"win")</f>
        <v/>
      </c>
      <c r="D16" s="13">
        <f>COUNTIFS('Picks'!$H$2:$H$86,$A16,'Picks'!$U$2:$U$86,"settled",'Picks'!$V$2:$V$86,"loss")</f>
        <v/>
      </c>
      <c r="E16" s="14">
        <f>IFERROR(C16/(C16+D16),0)</f>
        <v/>
      </c>
      <c r="F16" s="15">
        <f>SUMIFS('Picks'!$BY$2:$BY$86,'Picks'!$H$2:$H$86,$A16)</f>
        <v/>
      </c>
      <c r="G16" s="16">
        <f>IFERROR(AVERAGEIFS('Picks'!$AB$2:$AB$86,'Picks'!$H$2:$H$86,$A16,'Picks'!$U$2:$U$86,"settled"),0)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f036fa1150dd4319</t>
        </is>
      </c>
      <c r="B2" s="24" t="inlineStr">
        <is>
          <t>2026-07-19T12:54:59.612626Z</t>
        </is>
      </c>
      <c r="C2" s="24" t="inlineStr">
        <is>
          <t>2026-07-19T16:15Z</t>
        </is>
      </c>
      <c r="D2" s="24" t="inlineStr">
        <is>
          <t>401816171</t>
        </is>
      </c>
      <c r="E2" s="24" t="inlineStr">
        <is>
          <t>MLB</t>
        </is>
      </c>
      <c r="F2" s="24" t="inlineStr">
        <is>
          <t>Chicago White Sox</t>
        </is>
      </c>
      <c r="G2" s="24" t="inlineStr">
        <is>
          <t>Toronto Blue Jays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0.552013</v>
      </c>
      <c r="P2" s="28" t="n"/>
      <c r="Q2" s="28" t="n">
        <v>0.061817</v>
      </c>
      <c r="R2" s="26" t="n">
        <v>81</v>
      </c>
      <c r="S2" s="29" t="n">
        <v>1</v>
      </c>
      <c r="T2" s="24" t="inlineStr">
        <is>
          <t>mlb-elo-trend-lr-v3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2026-07-19T23:12:43.225807Z</t>
        </is>
      </c>
      <c r="AE2" s="31" t="inlineStr">
        <is>
          <t>Learned LR call at threshold 0.5150; executable ask 0.4900 (aec-mlb-cws-tor-2026-07-19).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mlb-cws</t>
        </is>
      </c>
      <c r="AQ2" s="24" t="inlineStr">
        <is>
          <t>Chicago White Sox</t>
        </is>
      </c>
      <c r="AR2" s="24" t="inlineStr">
        <is>
          <t>Chicago White Sox</t>
        </is>
      </c>
      <c r="AS2" s="24" t="inlineStr">
        <is>
          <t>mlb-tor</t>
        </is>
      </c>
      <c r="AT2" s="24" t="inlineStr">
        <is>
          <t>Toronto Blue Jays</t>
        </is>
      </c>
      <c r="AU2" s="24" t="inlineStr">
        <is>
          <t>Toronto Blue Jays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ebdb392c90fd9a9414a97c1b39024e1a4f2c894aee118b3b4598ecd7e5e96695</t>
        </is>
      </c>
      <c r="BB2" s="24" t="inlineStr">
        <is>
          <t>learned_lr</t>
        </is>
      </c>
      <c r="BC2" s="24" t="inlineStr">
        <is>
          <t>mlb-elo-trend-lr-v3</t>
        </is>
      </c>
      <c r="BD2" s="24" t="inlineStr">
        <is>
          <t>ebdb392c90fd9a9414a97c1b39024e1a4f2c894aee118b3b4598ecd7e5e96695</t>
        </is>
      </c>
      <c r="BE2" s="24" t="inlineStr">
        <is>
          <t>097339aadf4c669a</t>
        </is>
      </c>
      <c r="BF2" s="24" t="inlineStr">
        <is>
          <t>1</t>
        </is>
      </c>
      <c r="BG2" s="24" t="inlineStr">
        <is>
          <t>mlb-elo-trend-lr-v3</t>
        </is>
      </c>
      <c r="BH2" s="24" t="inlineStr">
        <is>
          <t>2026-07-19T12:20:33.531222Z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>
        <v>0.487562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7b496571632f4a03</t>
        </is>
      </c>
      <c r="B3" s="24" t="inlineStr">
        <is>
          <t>2026-07-19T12:54:59.612626Z</t>
        </is>
      </c>
      <c r="C3" s="24" t="inlineStr">
        <is>
          <t>2026-07-19T17:35Z</t>
        </is>
      </c>
      <c r="D3" s="24" t="inlineStr">
        <is>
          <t>401816173</t>
        </is>
      </c>
      <c r="E3" s="24" t="inlineStr">
        <is>
          <t>MLB</t>
        </is>
      </c>
      <c r="F3" s="24" t="inlineStr">
        <is>
          <t>New York Mets</t>
        </is>
      </c>
      <c r="G3" s="24" t="inlineStr">
        <is>
          <t>Philadelphia Phillies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0.6153690000000001</v>
      </c>
      <c r="P3" s="28" t="n"/>
      <c r="Q3" s="28" t="n">
        <v>0.15454</v>
      </c>
      <c r="R3" s="26" t="n">
        <v>100</v>
      </c>
      <c r="S3" s="29" t="n">
        <v>1.75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loss</t>
        </is>
      </c>
      <c r="W3" s="26" t="n">
        <v>6</v>
      </c>
      <c r="X3" s="26" t="n">
        <v>1</v>
      </c>
      <c r="Y3" s="25" t="n"/>
      <c r="Z3" s="26" t="n"/>
      <c r="AA3" s="28" t="n"/>
      <c r="AB3" s="28" t="n"/>
      <c r="AC3" s="30" t="n">
        <v>-1.75</v>
      </c>
      <c r="AD3" s="24" t="inlineStr">
        <is>
          <t>2026-07-19T23:12:43.477592Z</t>
        </is>
      </c>
      <c r="AE3" s="31" t="inlineStr">
        <is>
          <t>Learned LR call at threshold 0.5150; executable ask 0.4600 (aec-mlb-nym-phi-2026-07-19).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mlb-nym</t>
        </is>
      </c>
      <c r="AQ3" s="24" t="inlineStr">
        <is>
          <t>New York Mets</t>
        </is>
      </c>
      <c r="AR3" s="24" t="inlineStr">
        <is>
          <t>New York Mets</t>
        </is>
      </c>
      <c r="AS3" s="24" t="inlineStr">
        <is>
          <t>mlb-phi</t>
        </is>
      </c>
      <c r="AT3" s="24" t="inlineStr">
        <is>
          <t>Philadelphia Phillies</t>
        </is>
      </c>
      <c r="AU3" s="24" t="inlineStr">
        <is>
          <t>Philadelphia Phillies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ebdb392c90fd9a9414a97c1b39024e1a4f2c894aee118b3b4598ecd7e5e96695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ebdb392c90fd9a9414a97c1b39024e1a4f2c894aee118b3b4598ecd7e5e96695</t>
        </is>
      </c>
      <c r="BE3" s="24" t="inlineStr">
        <is>
          <t>f5f93a0e01a0b4e1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2026-07-19T12:20:37.335421Z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>
        <v>0.457711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661bb12e4b834336</t>
        </is>
      </c>
      <c r="B4" s="24" t="inlineStr">
        <is>
          <t>2026-07-19T12:54:59.612626Z</t>
        </is>
      </c>
      <c r="C4" s="24" t="inlineStr">
        <is>
          <t>2026-07-19T17:35Z</t>
        </is>
      </c>
      <c r="D4" s="24" t="inlineStr">
        <is>
          <t>401816175</t>
        </is>
      </c>
      <c r="E4" s="24" t="inlineStr">
        <is>
          <t>MLB</t>
        </is>
      </c>
      <c r="F4" s="24" t="inlineStr">
        <is>
          <t>Tampa Bay Rays</t>
        </is>
      </c>
      <c r="G4" s="24" t="inlineStr">
        <is>
          <t>Boston Red Sox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-117</v>
      </c>
      <c r="M4" s="27" t="n">
        <v>1.854701</v>
      </c>
      <c r="N4" s="28" t="n">
        <v>0.539171</v>
      </c>
      <c r="O4" s="28" t="n">
        <v>0.5530080000000001</v>
      </c>
      <c r="P4" s="28" t="n"/>
      <c r="Q4" s="28" t="n">
        <v>0.013837</v>
      </c>
      <c r="R4" s="26" t="n">
        <v>57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6</v>
      </c>
      <c r="Y4" s="25" t="n"/>
      <c r="Z4" s="26" t="n"/>
      <c r="AA4" s="28" t="n"/>
      <c r="AB4" s="28" t="n"/>
      <c r="AC4" s="30" t="n">
        <v>0.8547</v>
      </c>
      <c r="AD4" s="24" t="inlineStr">
        <is>
          <t>2026-07-19T23:12:43.720828Z</t>
        </is>
      </c>
      <c r="AE4" s="31" t="inlineStr">
        <is>
          <t>Learned LR call at threshold 0.5150; executable ask 0.5400 (aec-mlb-tb-bos-2026-07-19).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mlb-tb</t>
        </is>
      </c>
      <c r="AQ4" s="24" t="inlineStr">
        <is>
          <t>Tampa Bay Rays</t>
        </is>
      </c>
      <c r="AR4" s="24" t="inlineStr">
        <is>
          <t>Tampa Bay Rays</t>
        </is>
      </c>
      <c r="AS4" s="24" t="inlineStr">
        <is>
          <t>mlb-bos</t>
        </is>
      </c>
      <c r="AT4" s="24" t="inlineStr">
        <is>
          <t>Boston Red Sox</t>
        </is>
      </c>
      <c r="AU4" s="24" t="inlineStr">
        <is>
          <t>Boston Red Sox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ebdb392c90fd9a9414a97c1b39024e1a4f2c894aee118b3b4598ecd7e5e96695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ebdb392c90fd9a9414a97c1b39024e1a4f2c894aee118b3b4598ecd7e5e96695</t>
        </is>
      </c>
      <c r="BE4" s="24" t="inlineStr">
        <is>
          <t>d975b9b26847e04d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2026-07-19T12:20:38.787831Z</t>
        </is>
      </c>
      <c r="BI4" s="24" t="inlineStr">
        <is>
          <t>["same_event","same_team_same_day","same_league_same_day"]</t>
        </is>
      </c>
      <c r="BJ4" s="25" t="n"/>
      <c r="BK4" s="26" t="n">
        <v>-117</v>
      </c>
      <c r="BL4" s="27" t="n">
        <v>1.854701</v>
      </c>
      <c r="BM4" s="28" t="n">
        <v>0.539171</v>
      </c>
      <c r="BN4" s="28" t="n">
        <v>0.537313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adbbe8982e7c4a22</t>
        </is>
      </c>
      <c r="B5" s="24" t="inlineStr">
        <is>
          <t>2026-07-19T12:54:59.612626Z</t>
        </is>
      </c>
      <c r="C5" s="24" t="inlineStr">
        <is>
          <t>2026-07-19T17:40Z</t>
        </is>
      </c>
      <c r="D5" s="24" t="inlineStr">
        <is>
          <t>401816174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117</v>
      </c>
      <c r="M5" s="27" t="n">
        <v>2.17</v>
      </c>
      <c r="N5" s="28" t="n">
        <v>0.460829</v>
      </c>
      <c r="O5" s="28" t="n">
        <v>0.560582</v>
      </c>
      <c r="P5" s="28" t="n"/>
      <c r="Q5" s="28" t="n">
        <v>0.09975299999999999</v>
      </c>
      <c r="R5" s="26" t="n">
        <v>100</v>
      </c>
      <c r="S5" s="29" t="n">
        <v>1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2026-07-19T23:12:43.966052Z</t>
        </is>
      </c>
      <c r="AE5" s="31" t="inlineStr">
        <is>
          <t>Learned LR call at threshold 0.5150; executable ask 0.4600 (aec-mlb-pit-cle-2026-07-19).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ebdb392c90fd9a9414a97c1b39024e1a4f2c894aee118b3b4598ecd7e5e96695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ebdb392c90fd9a9414a97c1b39024e1a4f2c894aee118b3b4598ecd7e5e96695</t>
        </is>
      </c>
      <c r="BE5" s="24" t="inlineStr">
        <is>
          <t>1ea7c40ec20aaa1c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2026-07-19T12:20:39.567439Z</t>
        </is>
      </c>
      <c r="BI5" s="24" t="inlineStr">
        <is>
          <t>["same_event","same_team_same_day","same_league_same_day"]</t>
        </is>
      </c>
      <c r="BJ5" s="25" t="n"/>
      <c r="BK5" s="26" t="n">
        <v>117</v>
      </c>
      <c r="BL5" s="27" t="n">
        <v>2.17</v>
      </c>
      <c r="BM5" s="28" t="n">
        <v>0.460829</v>
      </c>
      <c r="BN5" s="28" t="n">
        <v>0.457711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244750b2034f4f13</t>
        </is>
      </c>
      <c r="B6" s="24" t="inlineStr">
        <is>
          <t>2026-07-19T12:54:59.612626Z</t>
        </is>
      </c>
      <c r="C6" s="24" t="inlineStr">
        <is>
          <t>2026-07-19T18:10Z</t>
        </is>
      </c>
      <c r="D6" s="24" t="inlineStr">
        <is>
          <t>401816177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Houston Astros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-106</v>
      </c>
      <c r="M6" s="27" t="n">
        <v>1.943396</v>
      </c>
      <c r="N6" s="28" t="n">
        <v>0.514563</v>
      </c>
      <c r="O6" s="28" t="n">
        <v>0.518824</v>
      </c>
      <c r="P6" s="28" t="n"/>
      <c r="Q6" s="28" t="n">
        <v>0.004261</v>
      </c>
      <c r="R6" s="26" t="n">
        <v>52</v>
      </c>
      <c r="S6" s="29" t="n">
        <v>0.75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loss</t>
        </is>
      </c>
      <c r="W6" s="26" t="n">
        <v>5</v>
      </c>
      <c r="X6" s="26" t="n">
        <v>2</v>
      </c>
      <c r="Y6" s="25" t="n"/>
      <c r="Z6" s="26" t="n"/>
      <c r="AA6" s="28" t="n"/>
      <c r="AB6" s="28" t="n"/>
      <c r="AC6" s="30" t="n">
        <v>-0.75</v>
      </c>
      <c r="AD6" s="24" t="inlineStr">
        <is>
          <t>2026-07-19T23:12:44.208798Z</t>
        </is>
      </c>
      <c r="AE6" s="31" t="inlineStr">
        <is>
          <t>Learned LR call at threshold 0.5150; executable ask 0.5150 (aec-mlb-bal-hou-2026-07-19).</t>
        </is>
      </c>
      <c r="AF6" s="31" t="inlineStr">
        <is>
          <t>Learned model; promotion gate not yet open; zero-unit research until review.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mlb-hou</t>
        </is>
      </c>
      <c r="AT6" s="24" t="inlineStr">
        <is>
          <t>Houston Astros</t>
        </is>
      </c>
      <c r="AU6" s="24" t="inlineStr">
        <is>
          <t>Houston Astros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ebdb392c90fd9a9414a97c1b39024e1a4f2c894aee118b3b4598ecd7e5e96695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ebdb392c90fd9a9414a97c1b39024e1a4f2c894aee118b3b4598ecd7e5e96695</t>
        </is>
      </c>
      <c r="BE6" s="24" t="inlineStr">
        <is>
          <t>fb65fbe93d283ddf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2026-07-19T12:20:40.690565Z</t>
        </is>
      </c>
      <c r="BI6" s="24" t="inlineStr">
        <is>
          <t>["same_event","same_team_same_day","same_league_same_day"]</t>
        </is>
      </c>
      <c r="BJ6" s="25" t="n"/>
      <c r="BK6" s="26" t="n">
        <v>-106</v>
      </c>
      <c r="BL6" s="27" t="n">
        <v>1.943396</v>
      </c>
      <c r="BM6" s="28" t="n">
        <v>0.514563</v>
      </c>
      <c r="BN6" s="28" t="n">
        <v>0.5124379999999999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24dc5460b71f4e79</t>
        </is>
      </c>
      <c r="B7" s="24" t="inlineStr">
        <is>
          <t>2026-07-19T12:54:59.612626Z</t>
        </is>
      </c>
      <c r="C7" s="24" t="inlineStr">
        <is>
          <t>2026-07-19T18:10Z</t>
        </is>
      </c>
      <c r="D7" s="24" t="inlineStr">
        <is>
          <t>401816178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0.6307700000000001</v>
      </c>
      <c r="P7" s="28" t="n"/>
      <c r="Q7" s="28" t="n">
        <v>0.08122</v>
      </c>
      <c r="R7" s="26" t="n">
        <v>91</v>
      </c>
      <c r="S7" s="29" t="n">
        <v>1.75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3</v>
      </c>
      <c r="Y7" s="25" t="n"/>
      <c r="Z7" s="26" t="n"/>
      <c r="AA7" s="28" t="n"/>
      <c r="AB7" s="28" t="n"/>
      <c r="AC7" s="30" t="n">
        <v>1.4344</v>
      </c>
      <c r="AD7" s="24" t="inlineStr">
        <is>
          <t>2026-07-19T23:12:44.452287Z</t>
        </is>
      </c>
      <c r="AE7" s="31" t="inlineStr">
        <is>
          <t>Learned LR call at threshold 0.5150; executable ask 0.5500 (aec-mlb-mia-mil-2026-07-19).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ebdb392c90fd9a9414a97c1b39024e1a4f2c894aee118b3b4598ecd7e5e96695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ebdb392c90fd9a9414a97c1b39024e1a4f2c894aee118b3b4598ecd7e5e96695</t>
        </is>
      </c>
      <c r="BE7" s="24" t="inlineStr">
        <is>
          <t>8fb0cba25307b5b8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2026-07-19T12:20:42.218493Z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>
        <v>0.547264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a41133c348d04e51</t>
        </is>
      </c>
      <c r="B8" s="24" t="inlineStr">
        <is>
          <t>2026-07-19T12:54:59.612626Z</t>
        </is>
      </c>
      <c r="C8" s="24" t="inlineStr">
        <is>
          <t>2026-07-19T18:10Z</t>
        </is>
      </c>
      <c r="D8" s="24" t="inlineStr">
        <is>
          <t>401816180</t>
        </is>
      </c>
      <c r="E8" s="24" t="inlineStr">
        <is>
          <t>MLB</t>
        </is>
      </c>
      <c r="F8" s="24" t="inlineStr">
        <is>
          <t>San Diego Padres</t>
        </is>
      </c>
      <c r="G8" s="24" t="inlineStr">
        <is>
          <t>Kansas City Royals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0.520718</v>
      </c>
      <c r="P8" s="28" t="n"/>
      <c r="Q8" s="28" t="n">
        <v>0.055602</v>
      </c>
      <c r="R8" s="26" t="n">
        <v>78</v>
      </c>
      <c r="S8" s="29" t="n">
        <v>0.75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win</t>
        </is>
      </c>
      <c r="W8" s="26" t="n">
        <v>19</v>
      </c>
      <c r="X8" s="26" t="n">
        <v>2</v>
      </c>
      <c r="Y8" s="25" t="n"/>
      <c r="Z8" s="26" t="n"/>
      <c r="AA8" s="28" t="n"/>
      <c r="AB8" s="28" t="n"/>
      <c r="AC8" s="30" t="n">
        <v>0.8625</v>
      </c>
      <c r="AD8" s="24" t="inlineStr">
        <is>
          <t>2026-07-19T23:12:44.698613Z</t>
        </is>
      </c>
      <c r="AE8" s="31" t="inlineStr">
        <is>
          <t>Learned LR call at threshold 0.5150; executable ask 0.4650 (aec-mlb-sd-kc-2026-07-19).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mlb-sd</t>
        </is>
      </c>
      <c r="AQ8" s="24" t="inlineStr">
        <is>
          <t>San Diego Padres</t>
        </is>
      </c>
      <c r="AR8" s="24" t="inlineStr">
        <is>
          <t>San Diego Padres</t>
        </is>
      </c>
      <c r="AS8" s="24" t="inlineStr">
        <is>
          <t>mlb-kc</t>
        </is>
      </c>
      <c r="AT8" s="24" t="inlineStr">
        <is>
          <t>Kansas City Royals</t>
        </is>
      </c>
      <c r="AU8" s="24" t="inlineStr">
        <is>
          <t>Kansas City Royals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ebdb392c90fd9a9414a97c1b39024e1a4f2c894aee118b3b4598ecd7e5e96695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ebdb392c90fd9a9414a97c1b39024e1a4f2c894aee118b3b4598ecd7e5e96695</t>
        </is>
      </c>
      <c r="BE8" s="24" t="inlineStr">
        <is>
          <t>fce46e57be25f762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2026-07-19T12:20:43.564485Z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381bf45d8dc64de8</t>
        </is>
      </c>
      <c r="B9" s="24" t="inlineStr">
        <is>
          <t>2026-07-19T12:54:59.612626Z</t>
        </is>
      </c>
      <c r="C9" s="24" t="inlineStr">
        <is>
          <t>2026-07-19T18:20Z</t>
        </is>
      </c>
      <c r="D9" s="24" t="inlineStr">
        <is>
          <t>401816179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0.599047</v>
      </c>
      <c r="P9" s="28" t="n"/>
      <c r="Q9" s="28" t="n">
        <v>-0.000953</v>
      </c>
      <c r="R9" s="26" t="n">
        <v>50</v>
      </c>
      <c r="S9" s="29" t="n">
        <v>1.5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10</v>
      </c>
      <c r="Y9" s="25" t="n"/>
      <c r="Z9" s="26" t="n"/>
      <c r="AA9" s="28" t="n"/>
      <c r="AB9" s="28" t="n"/>
      <c r="AC9" s="30" t="n">
        <v>1</v>
      </c>
      <c r="AD9" s="24" t="inlineStr">
        <is>
          <t>2026-07-19T23:12:44.944082Z</t>
        </is>
      </c>
      <c r="AE9" s="31" t="inlineStr">
        <is>
          <t>Learned LR call at threshold 0.5150; executable ask 0.6000 (aec-mlb-min-chc-2026-07-19).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mlb-min</t>
        </is>
      </c>
      <c r="AQ9" s="24" t="inlineStr">
        <is>
          <t>Minnesota Twins</t>
        </is>
      </c>
      <c r="AR9" s="24" t="inlineStr">
        <is>
          <t>Minnesota Twins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ebdb392c90fd9a9414a97c1b39024e1a4f2c894aee118b3b4598ecd7e5e96695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ebdb392c90fd9a9414a97c1b39024e1a4f2c894aee118b3b4598ecd7e5e96695</t>
        </is>
      </c>
      <c r="BE9" s="24" t="inlineStr">
        <is>
          <t>a5e44fbf125c8b8d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2026-07-19T12:20:44.784549Z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>
        <v>0.597015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4efa6372827f49d2</t>
        </is>
      </c>
      <c r="B10" s="24" t="inlineStr">
        <is>
          <t>2026-07-19T12:54:59.612626Z</t>
        </is>
      </c>
      <c r="C10" s="24" t="inlineStr">
        <is>
          <t>2026-07-19T20:07Z</t>
        </is>
      </c>
      <c r="D10" s="24" t="inlineStr">
        <is>
          <t>401816182</t>
        </is>
      </c>
      <c r="E10" s="24" t="inlineStr">
        <is>
          <t>MLB</t>
        </is>
      </c>
      <c r="F10" s="24" t="inlineStr">
        <is>
          <t>Detroit Tigers</t>
        </is>
      </c>
      <c r="G10" s="24" t="inlineStr">
        <is>
          <t>Los Angeles Angels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-141</v>
      </c>
      <c r="M10" s="27" t="n">
        <v>1.70922</v>
      </c>
      <c r="N10" s="28" t="n">
        <v>0.585062</v>
      </c>
      <c r="O10" s="28" t="n">
        <v>0.526852</v>
      </c>
      <c r="P10" s="28" t="n"/>
      <c r="Q10" s="28" t="n">
        <v>-0.05821</v>
      </c>
      <c r="R10" s="26" t="n">
        <v>21</v>
      </c>
      <c r="S10" s="29" t="n">
        <v>0.75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3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2026-07-19T23:12:45.192018Z</t>
        </is>
      </c>
      <c r="AE10" s="31" t="inlineStr">
        <is>
          <t>Learned LR call at threshold 0.5150; executable ask 0.5850 (aec-mlb-det-laa-2026-07-19).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mlb-det</t>
        </is>
      </c>
      <c r="AQ10" s="24" t="inlineStr">
        <is>
          <t>Detroit Tigers</t>
        </is>
      </c>
      <c r="AR10" s="24" t="inlineStr">
        <is>
          <t>Detroit Tigers</t>
        </is>
      </c>
      <c r="AS10" s="24" t="inlineStr">
        <is>
          <t>mlb-laa</t>
        </is>
      </c>
      <c r="AT10" s="24" t="inlineStr">
        <is>
          <t>Los Angeles Angels</t>
        </is>
      </c>
      <c r="AU10" s="24" t="inlineStr">
        <is>
          <t>Los Angeles Angels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ebdb392c90fd9a9414a97c1b39024e1a4f2c894aee118b3b4598ecd7e5e96695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ebdb392c90fd9a9414a97c1b39024e1a4f2c894aee118b3b4598ecd7e5e96695</t>
        </is>
      </c>
      <c r="BE10" s="24" t="inlineStr">
        <is>
          <t>116e26539f29a0c8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2026-07-19T12:20:47.368573Z</t>
        </is>
      </c>
      <c r="BI10" s="24" t="inlineStr">
        <is>
          <t>["same_event","same_team_same_day","same_league_same_day"]</t>
        </is>
      </c>
      <c r="BJ10" s="25" t="n"/>
      <c r="BK10" s="26" t="n">
        <v>-141</v>
      </c>
      <c r="BL10" s="27" t="n">
        <v>1.70922</v>
      </c>
      <c r="BM10" s="28" t="n">
        <v>0.585062</v>
      </c>
      <c r="BN10" s="28" t="n">
        <v>0.58209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  <row r="11" ht="36" customHeight="1">
      <c r="A11" s="24" t="inlineStr">
        <is>
          <t>8a8510fe3d5e43d4</t>
        </is>
      </c>
      <c r="B11" s="24" t="inlineStr">
        <is>
          <t>2026-07-19T12:54:59.612626Z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0.595469</v>
      </c>
      <c r="P11" s="28" t="n"/>
      <c r="Q11" s="28" t="n">
        <v>-0.024303</v>
      </c>
      <c r="R11" s="26" t="n">
        <v>38</v>
      </c>
      <c r="S11" s="29" t="n">
        <v>1.5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25" t="n"/>
      <c r="Z11" s="26" t="n"/>
      <c r="AA11" s="28" t="n"/>
      <c r="AB11" s="28" t="n"/>
      <c r="AC11" s="30" t="n">
        <v>0.9202</v>
      </c>
      <c r="AD11" s="24" t="inlineStr">
        <is>
          <t>2026-07-19T23:12:45.440735Z</t>
        </is>
      </c>
      <c r="AE11" s="31" t="inlineStr">
        <is>
          <t>Learned LR call at threshold 0.5150; executable ask 0.6200 (aec-mlb-sf-sea-2026-07-19).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ebdb392c90fd9a9414a97c1b39024e1a4f2c894aee118b3b4598ecd7e5e96695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ebdb392c90fd9a9414a97c1b39024e1a4f2c894aee118b3b4598ecd7e5e96695</t>
        </is>
      </c>
      <c r="BE11" s="24" t="inlineStr">
        <is>
          <t>56bcde9b031bb310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2026-07-19T12:20:48.978861Z</t>
        </is>
      </c>
      <c r="BI11" s="24" t="inlineStr">
        <is>
          <t>["same_event","same_team_same_day","same_league_same_day"]</t>
        </is>
      </c>
      <c r="BJ11" s="25" t="n"/>
      <c r="BK11" s="26" t="n">
        <v>-163</v>
      </c>
      <c r="BL11" s="27" t="n">
        <v>1.613497</v>
      </c>
      <c r="BM11" s="28" t="n">
        <v>0.619772</v>
      </c>
      <c r="BN11" s="28" t="n">
        <v>0.616915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437e59320f8e4a43</t>
        </is>
      </c>
      <c r="B12" s="24" t="inlineStr">
        <is>
          <t>2026-07-19T12:54:59.612626Z</t>
        </is>
      </c>
      <c r="C12" s="24" t="inlineStr">
        <is>
          <t>2026-07-19T20:10Z</t>
        </is>
      </c>
      <c r="D12" s="24" t="inlineStr">
        <is>
          <t>401816184</t>
        </is>
      </c>
      <c r="E12" s="24" t="inlineStr">
        <is>
          <t>MLB</t>
        </is>
      </c>
      <c r="F12" s="24" t="inlineStr">
        <is>
          <t>St. Louis Cardinals</t>
        </is>
      </c>
      <c r="G12" s="24" t="inlineStr">
        <is>
          <t>Arizona Diamondbacks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0.518517</v>
      </c>
      <c r="P12" s="28" t="n"/>
      <c r="Q12" s="28" t="n">
        <v>-0.007549</v>
      </c>
      <c r="R12" s="26" t="n">
        <v>46</v>
      </c>
      <c r="S12" s="29" t="n">
        <v>0.75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0.6757</v>
      </c>
      <c r="AD12" s="24" t="inlineStr">
        <is>
          <t>2026-07-19T23:51:12.968396Z</t>
        </is>
      </c>
      <c r="AE12" s="31" t="inlineStr">
        <is>
          <t>Learned LR call at threshold 0.5150; executable ask 0.5250 (aec-mlb-stl-az-2026-07-19).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mlb-stl</t>
        </is>
      </c>
      <c r="AQ12" s="24" t="inlineStr">
        <is>
          <t>St. Louis Cardinals</t>
        </is>
      </c>
      <c r="AR12" s="24" t="inlineStr">
        <is>
          <t>St. Louis Cardinals</t>
        </is>
      </c>
      <c r="AS12" s="24" t="inlineStr">
        <is>
          <t>mlb-ari</t>
        </is>
      </c>
      <c r="AT12" s="24" t="inlineStr">
        <is>
          <t>Arizona Diamondbacks</t>
        </is>
      </c>
      <c r="AU12" s="24" t="inlineStr">
        <is>
          <t>Arizona Diamondbacks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ebdb392c90fd9a9414a97c1b39024e1a4f2c894aee118b3b4598ecd7e5e96695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ebdb392c90fd9a9414a97c1b39024e1a4f2c894aee118b3b4598ecd7e5e96695</t>
        </is>
      </c>
      <c r="BE12" s="24" t="inlineStr">
        <is>
          <t>c892d911f3a93b8b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2026-07-19T12:20:49.926170Z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  <row r="13" ht="36" customHeight="1">
      <c r="A13" s="24" t="inlineStr">
        <is>
          <t>4c364c0842444748</t>
        </is>
      </c>
      <c r="B13" s="24" t="inlineStr">
        <is>
          <t>2026-07-19T12:54:59.612626Z</t>
        </is>
      </c>
      <c r="C13" s="24" t="inlineStr">
        <is>
          <t>2026-07-19T23:20Z</t>
        </is>
      </c>
      <c r="D13" s="24" t="inlineStr">
        <is>
          <t>401816172</t>
        </is>
      </c>
      <c r="E13" s="24" t="inlineStr">
        <is>
          <t>MLB</t>
        </is>
      </c>
      <c r="F13" s="24" t="inlineStr">
        <is>
          <t>Los Angeles Dodgers</t>
        </is>
      </c>
      <c r="G13" s="24" t="inlineStr">
        <is>
          <t>New York Yankees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0.518236</v>
      </c>
      <c r="P13" s="28" t="n"/>
      <c r="Q13" s="28" t="n">
        <v>-0.000995</v>
      </c>
      <c r="R13" s="26" t="n">
        <v>50</v>
      </c>
      <c r="S13" s="29" t="n">
        <v>0.75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2</v>
      </c>
      <c r="Y13" s="25" t="n"/>
      <c r="Z13" s="26" t="n"/>
      <c r="AA13" s="28" t="n"/>
      <c r="AB13" s="28" t="n"/>
      <c r="AC13" s="30" t="n">
        <v>-0.75</v>
      </c>
      <c r="AD13" s="24" t="inlineStr">
        <is>
          <t>2026-07-20T07:27:21.588181Z</t>
        </is>
      </c>
      <c r="AE13" s="31" t="inlineStr">
        <is>
          <t>Learned LR call at threshold 0.5150; executable ask 0.5200 (aec-mlb-lad-nyy-2026-07-19).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mlb-lad</t>
        </is>
      </c>
      <c r="AQ13" s="24" t="inlineStr">
        <is>
          <t>Los Angeles Dodgers</t>
        </is>
      </c>
      <c r="AR13" s="24" t="inlineStr">
        <is>
          <t>Los Angeles Dodgers</t>
        </is>
      </c>
      <c r="AS13" s="24" t="inlineStr">
        <is>
          <t>mlb-nyy</t>
        </is>
      </c>
      <c r="AT13" s="24" t="inlineStr">
        <is>
          <t>New York Yankees</t>
        </is>
      </c>
      <c r="AU13" s="24" t="inlineStr">
        <is>
          <t>New York Yankees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ebdb392c90fd9a9414a97c1b39024e1a4f2c894aee118b3b4598ecd7e5e96695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ebdb392c90fd9a9414a97c1b39024e1a4f2c894aee118b3b4598ecd7e5e96695</t>
        </is>
      </c>
      <c r="BE13" s="24" t="inlineStr">
        <is>
          <t>3d0e5a17bc5bf87f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2026-07-19T12:20:50.977544Z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</row>
    <row r="14" ht="36" customHeight="1">
      <c r="A14" s="24" t="inlineStr">
        <is>
          <t>660d896695654e99</t>
        </is>
      </c>
      <c r="B14" s="24" t="inlineStr">
        <is>
          <t>2026-07-19T12:55:04.872783Z</t>
        </is>
      </c>
      <c r="C14" s="24" t="inlineStr">
        <is>
          <t>2026-07-19T17:00Z</t>
        </is>
      </c>
      <c r="D14" s="24" t="inlineStr">
        <is>
          <t>401857080</t>
        </is>
      </c>
      <c r="E14" s="24" t="inlineStr">
        <is>
          <t>WNBA</t>
        </is>
      </c>
      <c r="F14" s="24" t="inlineStr">
        <is>
          <t>Los Angeles Sparks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-400</v>
      </c>
      <c r="M14" s="27" t="n">
        <v>1.25</v>
      </c>
      <c r="N14" s="28" t="n">
        <v>0.8</v>
      </c>
      <c r="O14" s="28" t="n">
        <v>0.7509749999999999</v>
      </c>
      <c r="P14" s="28" t="n"/>
      <c r="Q14" s="28" t="n">
        <v>-0.049025</v>
      </c>
      <c r="R14" s="26" t="n">
        <v>25</v>
      </c>
      <c r="S14" s="29" t="n">
        <v>2</v>
      </c>
      <c r="T14" s="24" t="inlineStr">
        <is>
          <t>wnba-elo-trend-lr-v3</t>
        </is>
      </c>
      <c r="U14" s="24" t="inlineStr">
        <is>
          <t>settled</t>
        </is>
      </c>
      <c r="V14" s="24" t="inlineStr">
        <is>
          <t>win</t>
        </is>
      </c>
      <c r="W14" s="26" t="n">
        <v>82</v>
      </c>
      <c r="X14" s="26" t="n">
        <v>90</v>
      </c>
      <c r="Y14" s="25" t="n"/>
      <c r="Z14" s="26" t="n"/>
      <c r="AA14" s="28" t="n"/>
      <c r="AB14" s="28" t="n"/>
      <c r="AC14" s="30" t="n">
        <v>0.5</v>
      </c>
      <c r="AD14" s="24" t="inlineStr">
        <is>
          <t>2026-07-19T23:12:45.958826Z</t>
        </is>
      </c>
      <c r="AE14" s="31" t="inlineStr">
        <is>
          <t>Learned LR call at threshold 0.5000; executable ask 0.8000 (aec-wnba-la-dal-2026-07-19).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wnba-las</t>
        </is>
      </c>
      <c r="AQ14" s="24" t="inlineStr">
        <is>
          <t>Los Angeles Sparks</t>
        </is>
      </c>
      <c r="AR14" s="24" t="inlineStr">
        <is>
          <t>Los Angeles Sparks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d339198b196cb3fcd02950ed5efbdd4cefbeb95b2cd63cd756e77f99dc483719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d339198b196cb3fcd02950ed5efbdd4cefbeb95b2cd63cd756e77f99dc483719</t>
        </is>
      </c>
      <c r="BE14" s="24" t="inlineStr">
        <is>
          <t>1105570c96caae80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2026-07-19T12:20:54.245538Z</t>
        </is>
      </c>
      <c r="BI14" s="24" t="inlineStr">
        <is>
          <t>["same_event","same_team_same_day","same_league_same_day"]</t>
        </is>
      </c>
      <c r="BJ14" s="25" t="n"/>
      <c r="BK14" s="26" t="n">
        <v>-400</v>
      </c>
      <c r="BL14" s="27" t="n">
        <v>1.25</v>
      </c>
      <c r="BM14" s="28" t="n">
        <v>0.8</v>
      </c>
      <c r="BN14" s="28" t="n">
        <v>0.792079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</row>
    <row r="15" ht="36" customHeight="1">
      <c r="A15" s="24" t="inlineStr">
        <is>
          <t>9f52810e7f374e1c</t>
        </is>
      </c>
      <c r="B15" s="24" t="inlineStr">
        <is>
          <t>2026-07-19T12:55:04.872783Z</t>
        </is>
      </c>
      <c r="C15" s="24" t="inlineStr">
        <is>
          <t>2026-07-19T20:00Z</t>
        </is>
      </c>
      <c r="D15" s="24" t="inlineStr">
        <is>
          <t>401857081</t>
        </is>
      </c>
      <c r="E15" s="24" t="inlineStr">
        <is>
          <t>WNBA</t>
        </is>
      </c>
      <c r="F15" s="24" t="inlineStr">
        <is>
          <t>Chicago Sky</t>
        </is>
      </c>
      <c r="G15" s="24" t="inlineStr">
        <is>
          <t>Atlanta Dream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-426</v>
      </c>
      <c r="M15" s="27" t="n">
        <v>1.234742</v>
      </c>
      <c r="N15" s="28" t="n">
        <v>0.809886</v>
      </c>
      <c r="O15" s="28" t="n">
        <v>0.675714</v>
      </c>
      <c r="P15" s="28" t="n"/>
      <c r="Q15" s="28" t="n">
        <v>-0.134172</v>
      </c>
      <c r="R15" s="26" t="n">
        <v>0</v>
      </c>
      <c r="S15" s="29" t="n">
        <v>2</v>
      </c>
      <c r="T15" s="24" t="inlineStr">
        <is>
          <t>wnba-elo-trend-lr-v3</t>
        </is>
      </c>
      <c r="U15" s="24" t="inlineStr">
        <is>
          <t>settled</t>
        </is>
      </c>
      <c r="V15" s="24" t="inlineStr">
        <is>
          <t>win</t>
        </is>
      </c>
      <c r="W15" s="26" t="n">
        <v>91</v>
      </c>
      <c r="X15" s="26" t="n">
        <v>93</v>
      </c>
      <c r="Y15" s="25" t="n"/>
      <c r="Z15" s="26" t="n"/>
      <c r="AA15" s="28" t="n"/>
      <c r="AB15" s="28" t="n"/>
      <c r="AC15" s="30" t="n">
        <v>0.4695</v>
      </c>
      <c r="AD15" s="24" t="inlineStr">
        <is>
          <t>2026-07-19T23:12:46.205387Z</t>
        </is>
      </c>
      <c r="AE15" s="31" t="inlineStr">
        <is>
          <t>Learned LR call at threshold 0.5000; executable ask 0.8100 (aec-wnba-chi-atl-2026-07-19).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wnba-chi</t>
        </is>
      </c>
      <c r="AQ15" s="24" t="inlineStr">
        <is>
          <t>Chicago Sky</t>
        </is>
      </c>
      <c r="AR15" s="24" t="inlineStr">
        <is>
          <t>Chicago Sky</t>
        </is>
      </c>
      <c r="AS15" s="24" t="inlineStr">
        <is>
          <t>wnba-atl</t>
        </is>
      </c>
      <c r="AT15" s="24" t="inlineStr">
        <is>
          <t>Atlanta Dream</t>
        </is>
      </c>
      <c r="AU15" s="24" t="inlineStr">
        <is>
          <t>Atlanta Dream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d339198b196cb3fcd02950ed5efbdd4cefbeb95b2cd63cd756e77f99dc483719</t>
        </is>
      </c>
      <c r="BB15" s="24" t="inlineStr">
        <is>
          <t>learned_lr</t>
        </is>
      </c>
      <c r="BC15" s="24" t="inlineStr">
        <is>
          <t>wnba-elo-trend-lr-v3</t>
        </is>
      </c>
      <c r="BD15" s="24" t="inlineStr">
        <is>
          <t>d339198b196cb3fcd02950ed5efbdd4cefbeb95b2cd63cd756e77f99dc483719</t>
        </is>
      </c>
      <c r="BE15" s="24" t="inlineStr">
        <is>
          <t>6a68fc6e2a5a0b4a</t>
        </is>
      </c>
      <c r="BF15" s="24" t="inlineStr">
        <is>
          <t>1</t>
        </is>
      </c>
      <c r="BG15" s="24" t="inlineStr">
        <is>
          <t>wnba-elo-trend-lr-v3</t>
        </is>
      </c>
      <c r="BH15" s="24" t="inlineStr">
        <is>
          <t>2026-07-19T12:20:55.900740Z</t>
        </is>
      </c>
      <c r="BI15" s="24" t="inlineStr">
        <is>
          <t>["same_event","same_team_same_day","same_league_same_day"]</t>
        </is>
      </c>
      <c r="BJ15" s="25" t="n"/>
      <c r="BK15" s="26" t="n">
        <v>-426</v>
      </c>
      <c r="BL15" s="27" t="n">
        <v>1.234742</v>
      </c>
      <c r="BM15" s="28" t="n">
        <v>0.809886</v>
      </c>
      <c r="BN15" s="28" t="n">
        <v>0.80198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</row>
    <row r="16" ht="36" customHeight="1">
      <c r="A16" s="24" t="inlineStr">
        <is>
          <t>44eda71121684cc1</t>
        </is>
      </c>
      <c r="B16" s="24" t="inlineStr">
        <is>
          <t>2026-07-19T12:55:04.872783Z</t>
        </is>
      </c>
      <c r="C16" s="24" t="inlineStr">
        <is>
          <t>2026-07-19T23:00Z</t>
        </is>
      </c>
      <c r="D16" s="24" t="inlineStr">
        <is>
          <t>401857082</t>
        </is>
      </c>
      <c r="E16" s="24" t="inlineStr">
        <is>
          <t>WNBA</t>
        </is>
      </c>
      <c r="F16" s="24" t="inlineStr">
        <is>
          <t>Connecticut Sun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0.565769</v>
      </c>
      <c r="P16" s="28" t="n"/>
      <c r="Q16" s="28" t="n">
        <v>-0.043606</v>
      </c>
      <c r="R16" s="26" t="n">
        <v>28</v>
      </c>
      <c r="S16" s="29" t="n">
        <v>1.25</v>
      </c>
      <c r="T16" s="24" t="inlineStr">
        <is>
          <t>wnba-elo-trend-lr-v3</t>
        </is>
      </c>
      <c r="U16" s="24" t="inlineStr">
        <is>
          <t>settled</t>
        </is>
      </c>
      <c r="V16" s="24" t="inlineStr">
        <is>
          <t>win</t>
        </is>
      </c>
      <c r="W16" s="26" t="n">
        <v>63</v>
      </c>
      <c r="X16" s="26" t="n">
        <v>72</v>
      </c>
      <c r="Y16" s="25" t="n"/>
      <c r="Z16" s="26" t="n"/>
      <c r="AA16" s="28" t="n"/>
      <c r="AB16" s="28" t="n"/>
      <c r="AC16" s="30" t="n">
        <v>0.8013</v>
      </c>
      <c r="AD16" s="24" t="inlineStr">
        <is>
          <t>2026-07-20T07:27:22.185310Z</t>
        </is>
      </c>
      <c r="AE16" s="31" t="inlineStr">
        <is>
          <t>Learned LR call at threshold 0.5000; executable ask 0.6100 (aec-wnba-conn-phx-2026-07-19).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wnba-con</t>
        </is>
      </c>
      <c r="AQ16" s="24" t="inlineStr">
        <is>
          <t>Connecticut Sun</t>
        </is>
      </c>
      <c r="AR16" s="24" t="inlineStr">
        <is>
          <t>Connecticut Sun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d339198b196cb3fcd02950ed5efbdd4cefbeb95b2cd63cd756e77f99dc483719</t>
        </is>
      </c>
      <c r="BB16" s="24" t="inlineStr">
        <is>
          <t>learned_lr</t>
        </is>
      </c>
      <c r="BC16" s="24" t="inlineStr">
        <is>
          <t>wnba-elo-trend-lr-v3</t>
        </is>
      </c>
      <c r="BD16" s="24" t="inlineStr">
        <is>
          <t>d339198b196cb3fcd02950ed5efbdd4cefbeb95b2cd63cd756e77f99dc483719</t>
        </is>
      </c>
      <c r="BE16" s="24" t="inlineStr">
        <is>
          <t>25b3f96c5c4591d1</t>
        </is>
      </c>
      <c r="BF16" s="24" t="inlineStr">
        <is>
          <t>1</t>
        </is>
      </c>
      <c r="BG16" s="24" t="inlineStr">
        <is>
          <t>wnba-elo-trend-lr-v3</t>
        </is>
      </c>
      <c r="BH16" s="24" t="inlineStr">
        <is>
          <t>2026-07-19T12:20:56.954791Z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>
        <v>0.6039600000000001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</row>
    <row r="17" ht="18" customHeight="1">
      <c r="A17" s="24" t="inlineStr">
        <is>
          <t>607e61329ed3424c</t>
        </is>
      </c>
      <c r="B17" s="24" t="inlineStr">
        <is>
          <t>2026-07-17T14:02:17Z</t>
        </is>
      </c>
      <c r="C17" s="24" t="inlineStr">
        <is>
          <t>2026-07-18T19:30:00-0400</t>
        </is>
      </c>
      <c r="D17" s="24" t="inlineStr">
        <is>
          <t>401857073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Indiana Fever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-354</v>
      </c>
      <c r="M17" s="27" t="n">
        <v>1.282486</v>
      </c>
      <c r="N17" s="28" t="n">
        <v>0.779736</v>
      </c>
      <c r="O17" s="28" t="n">
        <v>0.6207</v>
      </c>
      <c r="P17" s="28" t="n"/>
      <c r="Q17" s="28" t="n">
        <v>-0.159036</v>
      </c>
      <c r="R17" s="26" t="n"/>
      <c r="S17" s="29" t="n">
        <v>1.75</v>
      </c>
      <c r="T17" s="24" t="inlineStr">
        <is>
          <t>wnba-elo-trend-lr-v3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107</v>
      </c>
      <c r="X17" s="26" t="n">
        <v>110</v>
      </c>
      <c r="Y17" s="25" t="n"/>
      <c r="Z17" s="26" t="n"/>
      <c r="AA17" s="28" t="n"/>
      <c r="AB17" s="28" t="n"/>
      <c r="AC17" s="30" t="n">
        <v>0.4944</v>
      </c>
      <c r="AD17" s="24" t="inlineStr">
        <is>
          <t>2026-07-18T14:36:00Z</t>
        </is>
      </c>
      <c r="AE17" s="31" t="n"/>
      <c r="AF17" s="31" t="n"/>
      <c r="AG17" s="24" t="n"/>
      <c r="AH17" s="24" t="n"/>
      <c r="AI17" s="31" t="n"/>
      <c r="AJ17" s="31" t="n"/>
      <c r="AK17" s="24" t="inlineStr">
        <is>
          <t>QUALIFIED_SHADOW_CALL</t>
        </is>
      </c>
      <c r="AL17" s="26" t="n">
        <v>1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CALL_LEARNED_CONFIDENCE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learned</t>
        </is>
      </c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>
        <v>-354</v>
      </c>
      <c r="BL17" s="27" t="n">
        <v>1.282486</v>
      </c>
      <c r="BM17" s="28" t="n">
        <v>0.779736</v>
      </c>
      <c r="BN17" s="28" t="n">
        <v>0.779736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</row>
    <row r="18" ht="36" customHeight="1">
      <c r="A18" s="24" t="inlineStr">
        <is>
          <t>ba6d8918b5e04b6c</t>
        </is>
      </c>
      <c r="B18" s="24" t="inlineStr">
        <is>
          <t>2026-07-19T10:49:38.448695+00:00</t>
        </is>
      </c>
      <c r="C18" s="24" t="inlineStr">
        <is>
          <t>2026-07-17T14:00:00-0400</t>
        </is>
      </c>
      <c r="D18" s="24" t="inlineStr">
        <is>
          <t>Texa-Atla-2026-07-17</t>
        </is>
      </c>
      <c r="E18" s="24" t="inlineStr">
        <is>
          <t>MLB</t>
        </is>
      </c>
      <c r="F18" s="24" t="inlineStr">
        <is>
          <t>Texas Rangers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</t>
        </is>
      </c>
      <c r="L18" s="26" t="n">
        <v>-194</v>
      </c>
      <c r="M18" s="27" t="n">
        <v>1.515464</v>
      </c>
      <c r="N18" s="28" t="n">
        <v>0.659864</v>
      </c>
      <c r="O18" s="28" t="n">
        <v>0.577396</v>
      </c>
      <c r="P18" s="28" t="n">
        <v>0.05</v>
      </c>
      <c r="Q18" s="28" t="n">
        <v>-0.082468</v>
      </c>
      <c r="R18" s="26" t="n"/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15</v>
      </c>
      <c r="Y18" s="25" t="n"/>
      <c r="Z18" s="26" t="n"/>
      <c r="AA18" s="28" t="n"/>
      <c r="AB18" s="28" t="n"/>
      <c r="AC18" s="30" t="n">
        <v>0.6443</v>
      </c>
      <c r="AD18" s="24" t="inlineStr">
        <is>
          <t>2026-07-19T12:18:56.424168+00:00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inlineStr">
        <is>
          <t>2026-07-17T16:26:07.030893Z</t>
        </is>
      </c>
      <c r="BI18" s="24" t="n"/>
      <c r="BJ18" s="25" t="n"/>
      <c r="BK18" s="26" t="n">
        <v>-194</v>
      </c>
      <c r="BL18" s="27" t="n">
        <v>1.515464</v>
      </c>
      <c r="BM18" s="28" t="n">
        <v>0.659864</v>
      </c>
      <c r="BN18" s="28" t="n">
        <v>0.656716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</row>
    <row r="19" ht="36" customHeight="1">
      <c r="A19" s="24" t="inlineStr">
        <is>
          <t>713f57aaeede4418</t>
        </is>
      </c>
      <c r="B19" s="24" t="inlineStr">
        <is>
          <t>2026-07-19T10:49:38.448695+00:00</t>
        </is>
      </c>
      <c r="C19" s="24" t="inlineStr">
        <is>
          <t>2026-07-17T14:00:00-0400</t>
        </is>
      </c>
      <c r="D19" s="24" t="inlineStr">
        <is>
          <t>Chic-Toro-2026-07-17</t>
        </is>
      </c>
      <c r="E19" s="24" t="inlineStr">
        <is>
          <t>MLB</t>
        </is>
      </c>
      <c r="F19" s="24" t="inlineStr">
        <is>
          <t>Chicago White Sox</t>
        </is>
      </c>
      <c r="G19" s="24" t="inlineStr">
        <is>
          <t>Toronto Blue Jays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</t>
        </is>
      </c>
      <c r="L19" s="26" t="n">
        <v>-122</v>
      </c>
      <c r="M19" s="27" t="n">
        <v>1.819672</v>
      </c>
      <c r="N19" s="28" t="n">
        <v>0.54955</v>
      </c>
      <c r="O19" s="28" t="n">
        <v>0.551581</v>
      </c>
      <c r="P19" s="28" t="n">
        <v>0.05</v>
      </c>
      <c r="Q19" s="28" t="n">
        <v>0.002031</v>
      </c>
      <c r="R19" s="26" t="n"/>
      <c r="S19" s="29" t="n">
        <v>1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2026-07-19T12:18:56.424376+00:00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inlineStr">
        <is>
          <t>2026-07-17T16:26:05.906965Z</t>
        </is>
      </c>
      <c r="BI19" s="24" t="n"/>
      <c r="BJ19" s="25" t="n"/>
      <c r="BK19" s="26" t="n">
        <v>-122</v>
      </c>
      <c r="BL19" s="27" t="n">
        <v>1.819672</v>
      </c>
      <c r="BM19" s="28" t="n">
        <v>0.54955</v>
      </c>
      <c r="BN19" s="28" t="n">
        <v>0.547264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</row>
    <row r="20" ht="36" customHeight="1">
      <c r="A20" s="24" t="inlineStr">
        <is>
          <t>4224d3689d5b44ed</t>
        </is>
      </c>
      <c r="B20" s="24" t="inlineStr">
        <is>
          <t>2026-07-19T10:49:38.448695+00:00</t>
        </is>
      </c>
      <c r="C20" s="24" t="inlineStr">
        <is>
          <t>2026-07-17T14:00:00-0400</t>
        </is>
      </c>
      <c r="D20" s="24" t="inlineStr">
        <is>
          <t>SanD-Kans-2026-07-17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</t>
        </is>
      </c>
      <c r="L20" s="26" t="n">
        <v>-113</v>
      </c>
      <c r="M20" s="27" t="n">
        <v>1.884956</v>
      </c>
      <c r="N20" s="28" t="n">
        <v>0.530516</v>
      </c>
      <c r="O20" s="28" t="n">
        <v>0.521172</v>
      </c>
      <c r="P20" s="28" t="n">
        <v>0.05</v>
      </c>
      <c r="Q20" s="28" t="n">
        <v>-0.009344</v>
      </c>
      <c r="R20" s="26" t="n"/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7</v>
      </c>
      <c r="Y20" s="25" t="n"/>
      <c r="Z20" s="26" t="n"/>
      <c r="AA20" s="28" t="n"/>
      <c r="AB20" s="28" t="n"/>
      <c r="AC20" s="30" t="n">
        <v>-0.75</v>
      </c>
      <c r="AD20" s="24" t="inlineStr">
        <is>
          <t>2026-07-19T12:18:56.424980+00:00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inlineStr">
        <is>
          <t>2026-07-17T16:26:09.836107Z</t>
        </is>
      </c>
      <c r="BI20" s="24" t="n"/>
      <c r="BJ20" s="25" t="n"/>
      <c r="BK20" s="26" t="n">
        <v>-113</v>
      </c>
      <c r="BL20" s="27" t="n">
        <v>1.884956</v>
      </c>
      <c r="BM20" s="28" t="n">
        <v>0.530516</v>
      </c>
      <c r="BN20" s="28" t="n">
        <v>0.527363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</row>
    <row r="21" ht="36" customHeight="1">
      <c r="A21" s="24" t="inlineStr">
        <is>
          <t>caa582b839304286</t>
        </is>
      </c>
      <c r="B21" s="24" t="inlineStr">
        <is>
          <t>2026-07-19T10:49:38.448695+00:00</t>
        </is>
      </c>
      <c r="C21" s="24" t="inlineStr">
        <is>
          <t>2026-07-17T14:00:00-0400</t>
        </is>
      </c>
      <c r="D21" s="24" t="inlineStr">
        <is>
          <t>Balt-Hous-2026-07-17</t>
        </is>
      </c>
      <c r="E21" s="24" t="inlineStr">
        <is>
          <t>MLB</t>
        </is>
      </c>
      <c r="F21" s="24" t="inlineStr">
        <is>
          <t>Baltimore Orioles</t>
        </is>
      </c>
      <c r="G21" s="24" t="inlineStr">
        <is>
          <t>Houston Astros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0.524624</v>
      </c>
      <c r="P21" s="28" t="n">
        <v>0.05</v>
      </c>
      <c r="Q21" s="28" t="n">
        <v>0.010061</v>
      </c>
      <c r="R21" s="26" t="n"/>
      <c r="S21" s="29" t="n">
        <v>0.75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2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2026-07-19T12:18:56.425183+00:00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2026-07-17T16:26:10.857493Z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cebdc679239c4a7e</t>
        </is>
      </c>
      <c r="B22" s="24" t="inlineStr">
        <is>
          <t>2026-07-19T10:49:38.448695+00:00</t>
        </is>
      </c>
      <c r="C22" s="24" t="inlineStr">
        <is>
          <t>2026-07-17T14:00:00-0400</t>
        </is>
      </c>
      <c r="D22" s="24" t="inlineStr">
        <is>
          <t>SanF-Seat-2026-07-17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Seattle Mariners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-174</v>
      </c>
      <c r="M22" s="27" t="n">
        <v>1.574713</v>
      </c>
      <c r="N22" s="28" t="n">
        <v>0.635036</v>
      </c>
      <c r="O22" s="28" t="n">
        <v>0.597575</v>
      </c>
      <c r="P22" s="28" t="n">
        <v>0.05</v>
      </c>
      <c r="Q22" s="28" t="n">
        <v>-0.037461</v>
      </c>
      <c r="R22" s="26" t="n"/>
      <c r="S22" s="29" t="n">
        <v>1.5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loss</t>
        </is>
      </c>
      <c r="W22" s="26" t="n">
        <v>7</v>
      </c>
      <c r="X22" s="26" t="n">
        <v>0</v>
      </c>
      <c r="Y22" s="25" t="n"/>
      <c r="Z22" s="26" t="n"/>
      <c r="AA22" s="28" t="n"/>
      <c r="AB22" s="28" t="n"/>
      <c r="AC22" s="30" t="n">
        <v>-1.5</v>
      </c>
      <c r="AD22" s="24" t="inlineStr">
        <is>
          <t>2026-07-19T12:18:56.426191+00:00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2026-07-17T16:26:16.071100Z</t>
        </is>
      </c>
      <c r="BI22" s="24" t="n"/>
      <c r="BJ22" s="25" t="n"/>
      <c r="BK22" s="26" t="n">
        <v>-174</v>
      </c>
      <c r="BL22" s="27" t="n">
        <v>1.574713</v>
      </c>
      <c r="BM22" s="28" t="n">
        <v>0.635036</v>
      </c>
      <c r="BN22" s="28" t="n">
        <v>0.631841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deb68aa7d25042de</t>
        </is>
      </c>
      <c r="B23" s="24" t="inlineStr">
        <is>
          <t>2026-07-19T10:49:38.448695+00:00</t>
        </is>
      </c>
      <c r="C23" s="24" t="inlineStr">
        <is>
          <t>2026-07-17T14:00:00-0400</t>
        </is>
      </c>
      <c r="D23" s="24" t="inlineStr">
        <is>
          <t>Atla-Toro-2026-07-17</t>
        </is>
      </c>
      <c r="E23" s="24" t="inlineStr">
        <is>
          <t>WNBA</t>
        </is>
      </c>
      <c r="F23" s="24" t="inlineStr">
        <is>
          <t>Atlanta Dream</t>
        </is>
      </c>
      <c r="G23" s="24" t="inlineStr">
        <is>
          <t>Toronto Tempo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-376</v>
      </c>
      <c r="M23" s="27" t="n">
        <v>1.265957</v>
      </c>
      <c r="N23" s="28" t="n">
        <v>0.789916</v>
      </c>
      <c r="O23" s="28" t="n">
        <v>0.534506</v>
      </c>
      <c r="P23" s="28" t="n">
        <v>0.05</v>
      </c>
      <c r="Q23" s="28" t="n">
        <v>-0.25541</v>
      </c>
      <c r="R23" s="26" t="n"/>
      <c r="S23" s="29" t="n">
        <v>0.75</v>
      </c>
      <c r="T23" s="24" t="inlineStr">
        <is>
          <t>wnba-elo-trend-lr-v3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111</v>
      </c>
      <c r="X23" s="26" t="n">
        <v>92</v>
      </c>
      <c r="Y23" s="25" t="n"/>
      <c r="Z23" s="26" t="n"/>
      <c r="AA23" s="28" t="n"/>
      <c r="AB23" s="28" t="n"/>
      <c r="AC23" s="30" t="n">
        <v>0.1995</v>
      </c>
      <c r="AD23" s="24" t="inlineStr">
        <is>
          <t>2026-07-19T12:18:56.426270+00:00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2026-07-17T16:26:18.670439Z</t>
        </is>
      </c>
      <c r="BI23" s="24" t="n"/>
      <c r="BJ23" s="25" t="n"/>
      <c r="BK23" s="26" t="n">
        <v>-376</v>
      </c>
      <c r="BL23" s="27" t="n">
        <v>1.265957</v>
      </c>
      <c r="BM23" s="28" t="n">
        <v>0.789916</v>
      </c>
      <c r="BN23" s="28" t="n">
        <v>0.782178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9d42b77cda3d44a7</t>
        </is>
      </c>
      <c r="B24" s="24" t="inlineStr">
        <is>
          <t>2026-07-19T10:49:38.448695+00:00</t>
        </is>
      </c>
      <c r="C24" s="24" t="inlineStr">
        <is>
          <t>2026-07-17T14:00:00-0400</t>
        </is>
      </c>
      <c r="D24" s="24" t="inlineStr">
        <is>
          <t>LosA-Chic-2026-07-17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Chicago Sky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-113</v>
      </c>
      <c r="M24" s="27" t="n">
        <v>1.884956</v>
      </c>
      <c r="N24" s="28" t="n">
        <v>0.530516</v>
      </c>
      <c r="O24" s="28" t="n">
        <v>0.505358</v>
      </c>
      <c r="P24" s="28" t="n">
        <v>0.05</v>
      </c>
      <c r="Q24" s="28" t="n">
        <v>-0.025158</v>
      </c>
      <c r="R24" s="26" t="n"/>
      <c r="S24" s="29" t="n">
        <v>0.5</v>
      </c>
      <c r="T24" s="24" t="inlineStr">
        <is>
          <t>wnba-elo-trend-lr-v3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96</v>
      </c>
      <c r="Y24" s="25" t="n"/>
      <c r="Z24" s="26" t="n"/>
      <c r="AA24" s="28" t="n"/>
      <c r="AB24" s="28" t="n"/>
      <c r="AC24" s="30" t="n">
        <v>0.4425</v>
      </c>
      <c r="AD24" s="24" t="inlineStr">
        <is>
          <t>2026-07-19T12:18:56.426343+00:00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2026-07-17T17:12:46.881853Z</t>
        </is>
      </c>
      <c r="BI24" s="24" t="n"/>
      <c r="BJ24" s="25" t="n"/>
      <c r="BK24" s="26" t="n">
        <v>-113</v>
      </c>
      <c r="BL24" s="27" t="n">
        <v>1.884956</v>
      </c>
      <c r="BM24" s="28" t="n">
        <v>0.530516</v>
      </c>
      <c r="BN24" s="28" t="n">
        <v>0.524752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33934bb67697420b</t>
        </is>
      </c>
      <c r="B25" s="24" t="inlineStr">
        <is>
          <t>2026-07-19T10:49:38.448695+00:00</t>
        </is>
      </c>
      <c r="C25" s="24" t="inlineStr">
        <is>
          <t>2026-07-17T14:00:00-0400</t>
        </is>
      </c>
      <c r="D25" s="24" t="inlineStr">
        <is>
          <t>Conn-Phoe-2026-07-17</t>
        </is>
      </c>
      <c r="E25" s="24" t="inlineStr">
        <is>
          <t>WNBA</t>
        </is>
      </c>
      <c r="F25" s="24" t="inlineStr">
        <is>
          <t>Connecticut Sun</t>
        </is>
      </c>
      <c r="G25" s="24" t="inlineStr">
        <is>
          <t>Phoenix Mercury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-178</v>
      </c>
      <c r="M25" s="27" t="n">
        <v>1.561798</v>
      </c>
      <c r="N25" s="28" t="n">
        <v>0.640288</v>
      </c>
      <c r="O25" s="28" t="n">
        <v>0.637935</v>
      </c>
      <c r="P25" s="28" t="n">
        <v>0.05</v>
      </c>
      <c r="Q25" s="28" t="n">
        <v>-0.002353</v>
      </c>
      <c r="R25" s="26" t="n"/>
      <c r="S25" s="29" t="n">
        <v>2</v>
      </c>
      <c r="T25" s="24" t="inlineStr">
        <is>
          <t>wnba-elo-trend-lr-v3</t>
        </is>
      </c>
      <c r="U25" s="24" t="inlineStr">
        <is>
          <t>settled</t>
        </is>
      </c>
      <c r="V25" s="24" t="inlineStr">
        <is>
          <t>loss</t>
        </is>
      </c>
      <c r="W25" s="26" t="n">
        <v>96</v>
      </c>
      <c r="X25" s="26" t="n">
        <v>83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2026-07-19T12:18:56.426414+00:00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2026-07-17T17:12:46.282679Z</t>
        </is>
      </c>
      <c r="BI25" s="24" t="n"/>
      <c r="BJ25" s="25" t="n"/>
      <c r="BK25" s="26" t="n">
        <v>-178</v>
      </c>
      <c r="BL25" s="27" t="n">
        <v>1.561798</v>
      </c>
      <c r="BM25" s="28" t="n">
        <v>0.640288</v>
      </c>
      <c r="BN25" s="28" t="n">
        <v>0.633663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9e5a3c9d33b2497b</t>
        </is>
      </c>
      <c r="B26" s="24" t="inlineStr">
        <is>
          <t>2026-07-19T10:49:38.448695+00:00</t>
        </is>
      </c>
      <c r="C26" s="24" t="inlineStr">
        <is>
          <t>2026-07-18T14:00:00-0400</t>
        </is>
      </c>
      <c r="D26" s="24" t="inlineStr">
        <is>
          <t>NewY-Phil-2026-07-18</t>
        </is>
      </c>
      <c r="E26" s="24" t="inlineStr">
        <is>
          <t>MLB</t>
        </is>
      </c>
      <c r="F26" s="24" t="inlineStr">
        <is>
          <t>New York Mets</t>
        </is>
      </c>
      <c r="G26" s="24" t="inlineStr">
        <is>
          <t>Philadelphia Phillies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-163</v>
      </c>
      <c r="M26" s="27" t="n">
        <v>1.613497</v>
      </c>
      <c r="N26" s="28" t="n">
        <v>0.619772</v>
      </c>
      <c r="O26" s="28" t="n">
        <v>0.611768</v>
      </c>
      <c r="P26" s="28" t="n">
        <v>0.05</v>
      </c>
      <c r="Q26" s="28" t="n">
        <v>-0.008004000000000001</v>
      </c>
      <c r="R26" s="26" t="n"/>
      <c r="S26" s="29" t="n">
        <v>1.5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25" t="n"/>
      <c r="Z26" s="26" t="n"/>
      <c r="AA26" s="28" t="n"/>
      <c r="AB26" s="28" t="n"/>
      <c r="AC26" s="30" t="n">
        <v>0.9202</v>
      </c>
      <c r="AD26" s="24" t="inlineStr">
        <is>
          <t>2026-07-19T12:18:56.426817+00:00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2026-07-18T17:33:12.199724Z</t>
        </is>
      </c>
      <c r="BI26" s="24" t="n"/>
      <c r="BJ26" s="25" t="n"/>
      <c r="BK26" s="26" t="n">
        <v>-163</v>
      </c>
      <c r="BL26" s="27" t="n">
        <v>1.613497</v>
      </c>
      <c r="BM26" s="28" t="n">
        <v>0.619772</v>
      </c>
      <c r="BN26" s="28" t="n">
        <v>0.616915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f8293c8d16d748f5</t>
        </is>
      </c>
      <c r="B27" s="24" t="inlineStr">
        <is>
          <t>2026-07-19T10:49:38.448695+00:00</t>
        </is>
      </c>
      <c r="C27" s="24" t="inlineStr">
        <is>
          <t>2026-07-18T14:00:00-0400</t>
        </is>
      </c>
      <c r="D27" s="24" t="inlineStr">
        <is>
          <t>St.L-Ariz-2026-07-18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-111</v>
      </c>
      <c r="M27" s="27" t="n">
        <v>1.900901</v>
      </c>
      <c r="N27" s="28" t="n">
        <v>0.526066</v>
      </c>
      <c r="O27" s="28" t="n">
        <v>0.525388</v>
      </c>
      <c r="P27" s="28" t="n">
        <v>0.05</v>
      </c>
      <c r="Q27" s="28" t="n">
        <v>-0.000678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/>
      <c r="AA27" s="28" t="n"/>
      <c r="AB27" s="28" t="n"/>
      <c r="AC27" s="30" t="n">
        <v>0.6757</v>
      </c>
      <c r="AD27" s="24" t="inlineStr">
        <is>
          <t>2026-07-19T12:18:56.427204+00:00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2026-07-18T17:33:15.460034Z</t>
        </is>
      </c>
      <c r="BI27" s="24" t="n"/>
      <c r="BJ27" s="25" t="n"/>
      <c r="BK27" s="26" t="n">
        <v>-111</v>
      </c>
      <c r="BL27" s="27" t="n">
        <v>1.900901</v>
      </c>
      <c r="BM27" s="28" t="n">
        <v>0.526066</v>
      </c>
      <c r="BN27" s="28" t="n">
        <v>0.522388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f1019aa0671049ee</t>
        </is>
      </c>
      <c r="B28" s="24" t="inlineStr">
        <is>
          <t>2026-07-19T10:49:38.448695+00:00</t>
        </is>
      </c>
      <c r="C28" s="24" t="inlineStr">
        <is>
          <t>2026-07-18T14:00:00-0400</t>
        </is>
      </c>
      <c r="D28" s="24" t="inlineStr">
        <is>
          <t>SanF-Seat-2026-07-18</t>
        </is>
      </c>
      <c r="E28" s="24" t="inlineStr">
        <is>
          <t>MLB</t>
        </is>
      </c>
      <c r="F28" s="24" t="inlineStr">
        <is>
          <t>San Francisco Giants</t>
        </is>
      </c>
      <c r="G28" s="24" t="inlineStr">
        <is>
          <t>Seattle Mariners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-138</v>
      </c>
      <c r="M28" s="27" t="n">
        <v>1.724638</v>
      </c>
      <c r="N28" s="28" t="n">
        <v>0.579832</v>
      </c>
      <c r="O28" s="28" t="n">
        <v>0.597575</v>
      </c>
      <c r="P28" s="28" t="n">
        <v>0.05</v>
      </c>
      <c r="Q28" s="28" t="n">
        <v>0.017743</v>
      </c>
      <c r="R28" s="26" t="n"/>
      <c r="S28" s="29" t="n">
        <v>1.5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1.087</v>
      </c>
      <c r="AD28" s="24" t="inlineStr">
        <is>
          <t>2026-07-19T12:18:56.427590+00:00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2026-07-18T17:35:05.699206Z</t>
        </is>
      </c>
      <c r="BI28" s="24" t="n"/>
      <c r="BJ28" s="25" t="n"/>
      <c r="BK28" s="26" t="n">
        <v>-138</v>
      </c>
      <c r="BL28" s="27" t="n">
        <v>1.724638</v>
      </c>
      <c r="BM28" s="28" t="n">
        <v>0.579832</v>
      </c>
      <c r="BN28" s="28" t="n">
        <v>0.577114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7e8754f391d2475e</t>
        </is>
      </c>
      <c r="B29" s="24" t="inlineStr">
        <is>
          <t>2026-07-19T10:49:38.448695+00:00</t>
        </is>
      </c>
      <c r="C29" s="24" t="inlineStr">
        <is>
          <t>2026-07-18T14:00:00-0400</t>
        </is>
      </c>
      <c r="D29" s="24" t="inlineStr">
        <is>
          <t>Detr-LosA-2026-07-18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</t>
        </is>
      </c>
      <c r="L29" s="26" t="n">
        <v>-178</v>
      </c>
      <c r="M29" s="27" t="n">
        <v>1.561798</v>
      </c>
      <c r="N29" s="28" t="n">
        <v>0.640288</v>
      </c>
      <c r="O29" s="28" t="n">
        <v>0.550233</v>
      </c>
      <c r="P29" s="28" t="n">
        <v>0.05</v>
      </c>
      <c r="Q29" s="28" t="n">
        <v>-0.090055</v>
      </c>
      <c r="R29" s="26" t="n"/>
      <c r="S29" s="29" t="n">
        <v>1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7</v>
      </c>
      <c r="X29" s="26" t="n">
        <v>0</v>
      </c>
      <c r="Y29" s="25" t="n"/>
      <c r="Z29" s="26" t="n"/>
      <c r="AA29" s="28" t="n"/>
      <c r="AB29" s="28" t="n"/>
      <c r="AC29" s="30" t="n">
        <v>0.5618</v>
      </c>
      <c r="AD29" s="24" t="inlineStr">
        <is>
          <t>2026-07-19T12:18:56.428327+00:00</t>
        </is>
      </c>
      <c r="AE29" s="31" t="inlineStr">
        <is>
          <t>backtest</t>
        </is>
      </c>
      <c r="AF29" s="31" t="n"/>
      <c r="AG29" s="24" t="n"/>
      <c r="AH29" s="24" t="n"/>
      <c r="AI29" s="31" t="n"/>
      <c r="AJ29" s="31" t="n"/>
      <c r="AK29" s="24" t="n"/>
      <c r="AL29" s="26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inlineStr">
        <is>
          <t>2026-07-18T17:33:26.013189Z</t>
        </is>
      </c>
      <c r="BI29" s="24" t="n"/>
      <c r="BJ29" s="25" t="n"/>
      <c r="BK29" s="26" t="n">
        <v>-178</v>
      </c>
      <c r="BL29" s="27" t="n">
        <v>1.561798</v>
      </c>
      <c r="BM29" s="28" t="n">
        <v>0.640288</v>
      </c>
      <c r="BN29" s="28" t="n">
        <v>0.636816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</row>
    <row r="30" ht="36" customHeight="1">
      <c r="A30" s="24" t="inlineStr">
        <is>
          <t>5c32fca0897f4465</t>
        </is>
      </c>
      <c r="B30" s="24" t="inlineStr">
        <is>
          <t>2026-07-19T10:49:38.448695+00:00</t>
        </is>
      </c>
      <c r="C30" s="24" t="inlineStr">
        <is>
          <t>2026-07-18T14:00:00-0400</t>
        </is>
      </c>
      <c r="D30" s="24" t="inlineStr">
        <is>
          <t>Port-Minn-2026-07-18</t>
        </is>
      </c>
      <c r="E30" s="24" t="inlineStr">
        <is>
          <t>WNBA</t>
        </is>
      </c>
      <c r="F30" s="24" t="inlineStr">
        <is>
          <t>Portland Fire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</t>
        </is>
      </c>
      <c r="L30" s="26" t="n">
        <v>-669</v>
      </c>
      <c r="M30" s="27" t="n">
        <v>1.149477</v>
      </c>
      <c r="N30" s="28" t="n">
        <v>0.869961</v>
      </c>
      <c r="O30" s="28" t="n">
        <v>0.741703</v>
      </c>
      <c r="P30" s="28" t="n">
        <v>0.05</v>
      </c>
      <c r="Q30" s="28" t="n">
        <v>-0.128258</v>
      </c>
      <c r="R30" s="26" t="n"/>
      <c r="S30" s="29" t="n">
        <v>2</v>
      </c>
      <c r="T30" s="24" t="inlineStr">
        <is>
          <t>wnba-elo-trend-lr-v3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93</v>
      </c>
      <c r="X30" s="26" t="n">
        <v>101</v>
      </c>
      <c r="Y30" s="25" t="n"/>
      <c r="Z30" s="26" t="n"/>
      <c r="AA30" s="28" t="n"/>
      <c r="AB30" s="28" t="n"/>
      <c r="AC30" s="30" t="n">
        <v>0.299</v>
      </c>
      <c r="AD30" s="24" t="inlineStr">
        <is>
          <t>2026-07-19T12:18:56.428398+00:00</t>
        </is>
      </c>
      <c r="AE30" s="31" t="inlineStr">
        <is>
          <t>backtest</t>
        </is>
      </c>
      <c r="AF30" s="31" t="n"/>
      <c r="AG30" s="24" t="n"/>
      <c r="AH30" s="24" t="n"/>
      <c r="AI30" s="31" t="n"/>
      <c r="AJ30" s="31" t="n"/>
      <c r="AK30" s="24" t="n"/>
      <c r="AL30" s="26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inlineStr">
        <is>
          <t>2026-07-18T17:33:30.250960Z</t>
        </is>
      </c>
      <c r="BI30" s="24" t="n"/>
      <c r="BJ30" s="25" t="n"/>
      <c r="BK30" s="26" t="n">
        <v>-669</v>
      </c>
      <c r="BL30" s="27" t="n">
        <v>1.149477</v>
      </c>
      <c r="BM30" s="28" t="n">
        <v>0.869961</v>
      </c>
      <c r="BN30" s="28" t="n">
        <v>0.861386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</row>
    <row r="31" ht="36" customHeight="1">
      <c r="A31" s="24" t="inlineStr">
        <is>
          <t>413a2bc86aab48de</t>
        </is>
      </c>
      <c r="B31" s="24" t="inlineStr">
        <is>
          <t>2026-07-19T10:49:38.448695+00:00</t>
        </is>
      </c>
      <c r="C31" s="24" t="inlineStr">
        <is>
          <t>2026-07-18T14:00:00-0400</t>
        </is>
      </c>
      <c r="D31" s="24" t="inlineStr">
        <is>
          <t>Wash-Gold-2026-07-18</t>
        </is>
      </c>
      <c r="E31" s="24" t="inlineStr">
        <is>
          <t>WNBA</t>
        </is>
      </c>
      <c r="F31" s="24" t="inlineStr">
        <is>
          <t>Washington Mystics</t>
        </is>
      </c>
      <c r="G31" s="24" t="inlineStr">
        <is>
          <t>Golden State Valkyries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</t>
        </is>
      </c>
      <c r="L31" s="26" t="n">
        <v>-355</v>
      </c>
      <c r="M31" s="27" t="n">
        <v>1.28169</v>
      </c>
      <c r="N31" s="28" t="n">
        <v>0.78022</v>
      </c>
      <c r="O31" s="28" t="n">
        <v>0.743891</v>
      </c>
      <c r="P31" s="28" t="n">
        <v>0.05</v>
      </c>
      <c r="Q31" s="28" t="n">
        <v>-0.036329</v>
      </c>
      <c r="R31" s="26" t="n"/>
      <c r="S31" s="29" t="n">
        <v>2</v>
      </c>
      <c r="T31" s="24" t="inlineStr">
        <is>
          <t>wnba-elo-trend-lr-v3</t>
        </is>
      </c>
      <c r="U31" s="24" t="inlineStr">
        <is>
          <t>settled</t>
        </is>
      </c>
      <c r="V31" s="24" t="inlineStr">
        <is>
          <t>win</t>
        </is>
      </c>
      <c r="W31" s="26" t="n">
        <v>69</v>
      </c>
      <c r="X31" s="26" t="n">
        <v>74</v>
      </c>
      <c r="Y31" s="25" t="n"/>
      <c r="Z31" s="26" t="n"/>
      <c r="AA31" s="28" t="n"/>
      <c r="AB31" s="28" t="n"/>
      <c r="AC31" s="30" t="n">
        <v>0.5634</v>
      </c>
      <c r="AD31" s="24" t="inlineStr">
        <is>
          <t>2026-07-19T12:18:56.428540+00:00</t>
        </is>
      </c>
      <c r="AE31" s="31" t="inlineStr">
        <is>
          <t>backtest</t>
        </is>
      </c>
      <c r="AF31" s="31" t="n"/>
      <c r="AG31" s="24" t="n"/>
      <c r="AH31" s="24" t="n"/>
      <c r="AI31" s="31" t="n"/>
      <c r="AJ31" s="31" t="n"/>
      <c r="AK31" s="24" t="n"/>
      <c r="AL31" s="26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inlineStr">
        <is>
          <t>2026-07-18T17:33:31.640957Z</t>
        </is>
      </c>
      <c r="BI31" s="24" t="n"/>
      <c r="BJ31" s="25" t="n"/>
      <c r="BK31" s="26" t="n">
        <v>-355</v>
      </c>
      <c r="BL31" s="27" t="n">
        <v>1.28169</v>
      </c>
      <c r="BM31" s="28" t="n">
        <v>0.78022</v>
      </c>
      <c r="BN31" s="28" t="n">
        <v>0.772277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</row>
    <row r="32" ht="36" customHeight="1">
      <c r="A32" s="24" t="inlineStr">
        <is>
          <t>39f07dbdee044f92</t>
        </is>
      </c>
      <c r="B32" s="24" t="inlineStr">
        <is>
          <t>2026-07-20T07:27:09.837629Z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0.585152</v>
      </c>
      <c r="P32" s="28" t="n"/>
      <c r="Q32" s="28" t="n">
        <v>0.104383</v>
      </c>
      <c r="R32" s="26" t="n">
        <v>100</v>
      </c>
      <c r="S32" s="29" t="n">
        <v>1.25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0.5150; executable ask 0.4800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bcb6462455cdfab4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2026-07-20T07:25:43.922504Z</t>
        </is>
      </c>
      <c r="BI32" s="24" t="inlineStr">
        <is>
          <t>["same_event","same_team_same_day","same_league_same_day"]</t>
        </is>
      </c>
      <c r="BJ32" s="25" t="n"/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25fe08e3be954adb</t>
        </is>
      </c>
      <c r="B33" s="24" t="inlineStr">
        <is>
          <t>2026-07-20T07:27:09.837629Z</t>
        </is>
      </c>
      <c r="C33" s="24" t="inlineStr">
        <is>
          <t>2026-07-20T19:00:00-0400</t>
        </is>
      </c>
      <c r="D33" s="24" t="inlineStr">
        <is>
          <t>401816187</t>
        </is>
      </c>
      <c r="E33" s="24" t="inlineStr">
        <is>
          <t>MLB</t>
        </is>
      </c>
      <c r="F33" s="24" t="inlineStr">
        <is>
          <t>Los Angeles Dodgers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125</v>
      </c>
      <c r="M33" s="27" t="n">
        <v>2.25</v>
      </c>
      <c r="N33" s="28" t="n">
        <v>0.444444</v>
      </c>
      <c r="O33" s="28" t="n">
        <v>0.534274</v>
      </c>
      <c r="P33" s="28" t="n"/>
      <c r="Q33" s="28" t="n">
        <v>0.08982999999999999</v>
      </c>
      <c r="R33" s="26" t="n">
        <v>65</v>
      </c>
      <c r="S33" s="29" t="n">
        <v>0.75</v>
      </c>
      <c r="T33" s="24" t="inlineStr">
        <is>
          <t>mlb-elo-trend-lr-v3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0.5150; executable ask 0.4450 (aec-mlb-lad-phi-2026-07-20).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mlb-lad</t>
        </is>
      </c>
      <c r="AQ33" s="24" t="inlineStr">
        <is>
          <t>Los Angeles Dodgers</t>
        </is>
      </c>
      <c r="AR33" s="24" t="inlineStr">
        <is>
          <t>Los Angeles Dodgers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f54ac71be1a765d8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2026-07-20T07:25:49.234179Z</t>
        </is>
      </c>
      <c r="BI33" s="24" t="inlineStr">
        <is>
          <t>["same_event","same_team_same_day","same_league_same_day"]</t>
        </is>
      </c>
      <c r="BJ33" s="25" t="n"/>
      <c r="BK33" s="26" t="n">
        <v>125</v>
      </c>
      <c r="BL33" s="27" t="n">
        <v>2.25</v>
      </c>
      <c r="BM33" s="28" t="n">
        <v>0.444444</v>
      </c>
      <c r="BN33" s="28" t="n">
        <v>0.442786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043f9b9799c44ad4</t>
        </is>
      </c>
      <c r="B34" s="24" t="inlineStr">
        <is>
          <t>2026-07-20T07:27:09.837629Z</t>
        </is>
      </c>
      <c r="C34" s="24" t="inlineStr">
        <is>
          <t>2026-07-20T19:05:00-0400</t>
        </is>
      </c>
      <c r="D34" s="24" t="inlineStr">
        <is>
          <t>401816189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-111</v>
      </c>
      <c r="M34" s="27" t="n">
        <v>1.900901</v>
      </c>
      <c r="N34" s="28" t="n">
        <v>0.526066</v>
      </c>
      <c r="O34" s="28" t="n">
        <v>0.588959</v>
      </c>
      <c r="P34" s="28" t="n"/>
      <c r="Q34" s="28" t="n">
        <v>0.062893</v>
      </c>
      <c r="R34" s="26" t="n">
        <v>51</v>
      </c>
      <c r="S34" s="29" t="n">
        <v>1.5</v>
      </c>
      <c r="T34" s="24" t="inlineStr">
        <is>
          <t>mlb-elo-trend-lr-v3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0.5150; executable ask 0.5250 (aec-mlb-pit-nyy-2026-07-20).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mlb-nyy</t>
        </is>
      </c>
      <c r="AT34" s="24" t="inlineStr">
        <is>
          <t>New York Yankees</t>
        </is>
      </c>
      <c r="AU34" s="24" t="inlineStr">
        <is>
          <t>New York Yankees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847c7c728fdb87de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2026-07-20T07:25:45.280685Z</t>
        </is>
      </c>
      <c r="BI34" s="24" t="inlineStr">
        <is>
          <t>["same_event","same_team_same_day","same_league_same_day"]</t>
        </is>
      </c>
      <c r="BJ34" s="25" t="n"/>
      <c r="BK34" s="26" t="n">
        <v>-111</v>
      </c>
      <c r="BL34" s="27" t="n">
        <v>1.900901</v>
      </c>
      <c r="BM34" s="28" t="n">
        <v>0.526066</v>
      </c>
      <c r="BN34" s="28" t="n">
        <v>0.522388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75cf9949602a4c17</t>
        </is>
      </c>
      <c r="B35" s="24" t="inlineStr">
        <is>
          <t>2026-07-20T07:27:09.837629Z</t>
        </is>
      </c>
      <c r="C35" s="24" t="inlineStr">
        <is>
          <t>2026-07-20T19:07:00-0400</t>
        </is>
      </c>
      <c r="D35" s="24" t="inlineStr">
        <is>
          <t>401816191</t>
        </is>
      </c>
      <c r="E35" s="24" t="inlineStr">
        <is>
          <t>MLB</t>
        </is>
      </c>
      <c r="F35" s="24" t="inlineStr">
        <is>
          <t>Tampa Bay Rays</t>
        </is>
      </c>
      <c r="G35" s="24" t="inlineStr">
        <is>
          <t>Toronto Blue Jays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0.528636</v>
      </c>
      <c r="P35" s="28" t="n"/>
      <c r="Q35" s="28" t="n">
        <v>-0.051196</v>
      </c>
      <c r="R35" s="26" t="n">
        <v>0</v>
      </c>
      <c r="S35" s="29" t="n">
        <v>0.75</v>
      </c>
      <c r="T35" s="24" t="inlineStr">
        <is>
          <t>mlb-elo-trend-lr-v3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0.5150; executable ask 0.5800 (aec-mlb-tb-tor-2026-07-20).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mlb-tb</t>
        </is>
      </c>
      <c r="AQ35" s="24" t="inlineStr">
        <is>
          <t>Tampa Bay Rays</t>
        </is>
      </c>
      <c r="AR35" s="24" t="inlineStr">
        <is>
          <t>Tampa Bay Rays</t>
        </is>
      </c>
      <c r="AS35" s="24" t="inlineStr">
        <is>
          <t>mlb-tor</t>
        </is>
      </c>
      <c r="AT35" s="24" t="inlineStr">
        <is>
          <t>Toronto Blue Jays</t>
        </is>
      </c>
      <c r="AU35" s="24" t="inlineStr">
        <is>
          <t>Toronto Blue Jays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83a50acec79889d1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2026-07-20T07:25:46.631829Z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>
        <v>0.577114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bd769f5d72db48bb</t>
        </is>
      </c>
      <c r="B36" s="24" t="inlineStr">
        <is>
          <t>2026-07-20T07:27:09.837629Z</t>
        </is>
      </c>
      <c r="C36" s="24" t="inlineStr">
        <is>
          <t>2026-07-20T19:10:00-0400</t>
        </is>
      </c>
      <c r="D36" s="24" t="inlineStr">
        <is>
          <t>401816186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-135</v>
      </c>
      <c r="M36" s="27" t="n">
        <v>1.740741</v>
      </c>
      <c r="N36" s="28" t="n">
        <v>0.574468</v>
      </c>
      <c r="O36" s="28" t="n">
        <v>0.565634</v>
      </c>
      <c r="P36" s="28" t="n"/>
      <c r="Q36" s="28" t="n">
        <v>-0.008834</v>
      </c>
      <c r="R36" s="26" t="n">
        <v>16</v>
      </c>
      <c r="S36" s="29" t="n">
        <v>1.25</v>
      </c>
      <c r="T36" s="24" t="inlineStr">
        <is>
          <t>mlb-elo-trend-lr-v3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0.5150; executable ask 0.5750 (aec-mlb-bal-bos-2026-07-20).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f90d77bcf90af7a6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2026-07-20T07:25:48.021174Z</t>
        </is>
      </c>
      <c r="BI36" s="24" t="inlineStr">
        <is>
          <t>["same_event","same_team_same_day","same_league_same_day"]</t>
        </is>
      </c>
      <c r="BJ36" s="25" t="n"/>
      <c r="BK36" s="26" t="n">
        <v>-135</v>
      </c>
      <c r="BL36" s="27" t="n">
        <v>1.740741</v>
      </c>
      <c r="BM36" s="28" t="n">
        <v>0.574468</v>
      </c>
      <c r="BN36" s="28" t="n">
        <v>0.572139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6f908cfbb4fb4660</t>
        </is>
      </c>
      <c r="B37" s="24" t="inlineStr">
        <is>
          <t>2026-07-20T07:27:09.837629Z</t>
        </is>
      </c>
      <c r="C37" s="24" t="inlineStr">
        <is>
          <t>2026-07-20T19:15:00-0400</t>
        </is>
      </c>
      <c r="D37" s="24" t="inlineStr">
        <is>
          <t>401816190</t>
        </is>
      </c>
      <c r="E37" s="24" t="inlineStr">
        <is>
          <t>MLB</t>
        </is>
      </c>
      <c r="F37" s="24" t="inlineStr">
        <is>
          <t>San Diego Padres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-135</v>
      </c>
      <c r="M37" s="27" t="n">
        <v>1.740741</v>
      </c>
      <c r="N37" s="28" t="n">
        <v>0.574468</v>
      </c>
      <c r="O37" s="28" t="n">
        <v>0.5478730000000001</v>
      </c>
      <c r="P37" s="28" t="n"/>
      <c r="Q37" s="28" t="n">
        <v>-0.026595</v>
      </c>
      <c r="R37" s="26" t="n">
        <v>7</v>
      </c>
      <c r="S37" s="29" t="n">
        <v>1</v>
      </c>
      <c r="T37" s="24" t="inlineStr">
        <is>
          <t>mlb-elo-trend-lr-v3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0.5150; executable ask 0.5750 (aec-mlb-sd-atl-2026-07-20).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mlb-sd</t>
        </is>
      </c>
      <c r="AQ37" s="24" t="inlineStr">
        <is>
          <t>San Diego Padres</t>
        </is>
      </c>
      <c r="AR37" s="24" t="inlineStr">
        <is>
          <t>San Diego Padres</t>
        </is>
      </c>
      <c r="AS37" s="24" t="inlineStr">
        <is>
          <t>mlb-atl</t>
        </is>
      </c>
      <c r="AT37" s="24" t="inlineStr">
        <is>
          <t>Atlanta Braves</t>
        </is>
      </c>
      <c r="AU37" s="24" t="inlineStr">
        <is>
          <t>Atlanta Braves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dcaf75f7da769912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2026-07-20T07:25:50.370060Z</t>
        </is>
      </c>
      <c r="BI37" s="24" t="inlineStr">
        <is>
          <t>["same_event","same_team_same_day","same_league_same_day"]</t>
        </is>
      </c>
      <c r="BJ37" s="25" t="n"/>
      <c r="BK37" s="26" t="n">
        <v>-135</v>
      </c>
      <c r="BL37" s="27" t="n">
        <v>1.740741</v>
      </c>
      <c r="BM37" s="28" t="n">
        <v>0.574468</v>
      </c>
      <c r="BN37" s="28" t="n">
        <v>0.572139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b3d04af2bb2445ec</t>
        </is>
      </c>
      <c r="B38" s="24" t="inlineStr">
        <is>
          <t>2026-07-20T07:27:09.837629Z</t>
        </is>
      </c>
      <c r="C38" s="24" t="inlineStr">
        <is>
          <t>2026-07-20T19:40:00-0400</t>
        </is>
      </c>
      <c r="D38" s="24" t="inlineStr">
        <is>
          <t>401816195</t>
        </is>
      </c>
      <c r="E38" s="24" t="inlineStr">
        <is>
          <t>MLB</t>
        </is>
      </c>
      <c r="F38" s="24" t="inlineStr">
        <is>
          <t>New York Mets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-190</v>
      </c>
      <c r="M38" s="27" t="n">
        <v>1.526316</v>
      </c>
      <c r="N38" s="28" t="n">
        <v>0.655172</v>
      </c>
      <c r="O38" s="28" t="n">
        <v>0.6384</v>
      </c>
      <c r="P38" s="28" t="n"/>
      <c r="Q38" s="28" t="n">
        <v>-0.016772</v>
      </c>
      <c r="R38" s="26" t="n">
        <v>12</v>
      </c>
      <c r="S38" s="29" t="n">
        <v>2</v>
      </c>
      <c r="T38" s="24" t="inlineStr">
        <is>
          <t>mlb-elo-trend-lr-v3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0.5150; executable ask 0.6550 (aec-mlb-nym-mil-2026-07-20).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mlb-nym</t>
        </is>
      </c>
      <c r="AQ38" s="24" t="inlineStr">
        <is>
          <t>New York Mets</t>
        </is>
      </c>
      <c r="AR38" s="24" t="inlineStr">
        <is>
          <t>New York Mets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ebdb392c90fd9a9414a97c1b39024e1a4f2c894aee118b3b4598ecd7e5e96695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ebdb392c90fd9a9414a97c1b39024e1a4f2c894aee118b3b4598ecd7e5e96695</t>
        </is>
      </c>
      <c r="BE38" s="24" t="inlineStr">
        <is>
          <t>08844b1e52756e6a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2026-07-20T07:25:51.762171Z</t>
        </is>
      </c>
      <c r="BI38" s="24" t="inlineStr">
        <is>
          <t>["same_event","same_team_same_day","same_league_same_day"]</t>
        </is>
      </c>
      <c r="BJ38" s="25" t="n"/>
      <c r="BK38" s="26" t="n">
        <v>-190</v>
      </c>
      <c r="BL38" s="27" t="n">
        <v>1.526316</v>
      </c>
      <c r="BM38" s="28" t="n">
        <v>0.655172</v>
      </c>
      <c r="BN38" s="28" t="n">
        <v>0.651741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07c094e50e3443bc</t>
        </is>
      </c>
      <c r="B39" s="24" t="inlineStr">
        <is>
          <t>2026-07-20T07:27:09.837629Z</t>
        </is>
      </c>
      <c r="C39" s="24" t="inlineStr">
        <is>
          <t>2026-07-20T20:05:00-0400</t>
        </is>
      </c>
      <c r="D39" s="24" t="inlineStr">
        <is>
          <t>401816192</t>
        </is>
      </c>
      <c r="E39" s="24" t="inlineStr">
        <is>
          <t>MLB</t>
        </is>
      </c>
      <c r="F39" s="24" t="inlineStr">
        <is>
          <t>Chicago White Sox</t>
        </is>
      </c>
      <c r="G39" s="24" t="inlineStr">
        <is>
          <t>Texas Rangers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-156</v>
      </c>
      <c r="M39" s="27" t="n">
        <v>1.641026</v>
      </c>
      <c r="N39" s="28" t="n">
        <v>0.609375</v>
      </c>
      <c r="O39" s="28" t="n">
        <v>0.518942</v>
      </c>
      <c r="P39" s="28" t="n"/>
      <c r="Q39" s="28" t="n">
        <v>-0.090433</v>
      </c>
      <c r="R39" s="26" t="n">
        <v>0</v>
      </c>
      <c r="S39" s="29" t="n">
        <v>0.75</v>
      </c>
      <c r="T39" s="24" t="inlineStr">
        <is>
          <t>mlb-elo-trend-lr-v3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0.5150; executable ask 0.6100 (aec-mlb-cws-tex-2026-07-20).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mlb-cws</t>
        </is>
      </c>
      <c r="AQ39" s="24" t="inlineStr">
        <is>
          <t>Chicago White Sox</t>
        </is>
      </c>
      <c r="AR39" s="24" t="inlineStr">
        <is>
          <t>Chicago White Sox</t>
        </is>
      </c>
      <c r="AS39" s="24" t="inlineStr">
        <is>
          <t>mlb-tex</t>
        </is>
      </c>
      <c r="AT39" s="24" t="inlineStr">
        <is>
          <t>Texas Rangers</t>
        </is>
      </c>
      <c r="AU39" s="24" t="inlineStr">
        <is>
          <t>Texas Rangers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99c414db5594aff2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2026-07-20T07:25:54.352994Z</t>
        </is>
      </c>
      <c r="BI39" s="24" t="inlineStr">
        <is>
          <t>["same_event","same_team_same_day","same_league_same_day"]</t>
        </is>
      </c>
      <c r="BJ39" s="25" t="n"/>
      <c r="BK39" s="26" t="n">
        <v>-156</v>
      </c>
      <c r="BL39" s="27" t="n">
        <v>1.641026</v>
      </c>
      <c r="BM39" s="28" t="n">
        <v>0.609375</v>
      </c>
      <c r="BN39" s="28" t="n">
        <v>0.606965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  <row r="40" ht="36" customHeight="1">
      <c r="A40" s="24" t="inlineStr">
        <is>
          <t>fe1acb3bd59e41b3</t>
        </is>
      </c>
      <c r="B40" s="24" t="inlineStr">
        <is>
          <t>2026-07-20T07:27:09.837629Z</t>
        </is>
      </c>
      <c r="C40" s="24" t="inlineStr">
        <is>
          <t>2026-07-20T20:05:00-0400</t>
        </is>
      </c>
      <c r="D40" s="24" t="inlineStr">
        <is>
          <t>401816193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Chicago Cubs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-108</v>
      </c>
      <c r="M40" s="27" t="n">
        <v>1.925926</v>
      </c>
      <c r="N40" s="28" t="n">
        <v>0.519231</v>
      </c>
      <c r="O40" s="28" t="n">
        <v>0.576624</v>
      </c>
      <c r="P40" s="28" t="n"/>
      <c r="Q40" s="28" t="n">
        <v>0.057393</v>
      </c>
      <c r="R40" s="26" t="n">
        <v>49</v>
      </c>
      <c r="S40" s="29" t="n">
        <v>1.25</v>
      </c>
      <c r="T40" s="24" t="inlineStr">
        <is>
          <t>mlb-elo-trend-lr-v3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0.5150; executable ask 0.5200 (aec-mlb-det-chc-2026-07-20).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ebdb392c90fd9a9414a97c1b39024e1a4f2c894aee118b3b4598ecd7e5e96695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ebdb392c90fd9a9414a97c1b39024e1a4f2c894aee118b3b4598ecd7e5e96695</t>
        </is>
      </c>
      <c r="BE40" s="24" t="inlineStr">
        <is>
          <t>cc155e3ebbdaf924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2026-07-20T07:25:55.980853Z</t>
        </is>
      </c>
      <c r="BI40" s="24" t="inlineStr">
        <is>
          <t>["same_event","same_team_same_day","same_league_same_day"]</t>
        </is>
      </c>
      <c r="BJ40" s="25" t="n"/>
      <c r="BK40" s="26" t="n">
        <v>-108</v>
      </c>
      <c r="BL40" s="27" t="n">
        <v>1.925926</v>
      </c>
      <c r="BM40" s="28" t="n">
        <v>0.519231</v>
      </c>
      <c r="BN40" s="28" t="n">
        <v>0.517413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</row>
    <row r="41" ht="36" customHeight="1">
      <c r="A41" s="24" t="inlineStr">
        <is>
          <t>41914e723f8545e3</t>
        </is>
      </c>
      <c r="B41" s="24" t="inlineStr">
        <is>
          <t>2026-07-20T07:27:09.837629Z</t>
        </is>
      </c>
      <c r="C41" s="24" t="inlineStr">
        <is>
          <t>2026-07-20T20:40:00-0400</t>
        </is>
      </c>
      <c r="D41" s="24" t="inlineStr">
        <is>
          <t>401816197</t>
        </is>
      </c>
      <c r="E41" s="24" t="inlineStr">
        <is>
          <t>MLB</t>
        </is>
      </c>
      <c r="F41" s="24" t="inlineStr">
        <is>
          <t>Washington Nationals</t>
        </is>
      </c>
      <c r="G41" s="24" t="inlineStr">
        <is>
          <t>Colorado Rockies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-115</v>
      </c>
      <c r="M41" s="27" t="n">
        <v>1.869565</v>
      </c>
      <c r="N41" s="28" t="n">
        <v>0.534884</v>
      </c>
      <c r="O41" s="28" t="n">
        <v>0.547691</v>
      </c>
      <c r="P41" s="28" t="n"/>
      <c r="Q41" s="28" t="n">
        <v>0.012807</v>
      </c>
      <c r="R41" s="26" t="n">
        <v>26</v>
      </c>
      <c r="S41" s="29" t="n">
        <v>1</v>
      </c>
      <c r="T41" s="24" t="inlineStr">
        <is>
          <t>mlb-elo-trend-lr-v3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Learned LR call at threshold 0.5150; executable ask 0.5350 (aec-mlb-wsh-col-2026-07-20).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mlb-wsh</t>
        </is>
      </c>
      <c r="AQ41" s="24" t="inlineStr">
        <is>
          <t>Washington Nationals</t>
        </is>
      </c>
      <c r="AR41" s="24" t="inlineStr">
        <is>
          <t>Washington Nationals</t>
        </is>
      </c>
      <c r="AS41" s="24" t="inlineStr">
        <is>
          <t>mlb-col</t>
        </is>
      </c>
      <c r="AT41" s="24" t="inlineStr">
        <is>
          <t>Colorado Rockies</t>
        </is>
      </c>
      <c r="AU41" s="24" t="inlineStr">
        <is>
          <t>Colorado Rockies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ebdb392c90fd9a9414a97c1b39024e1a4f2c894aee118b3b4598ecd7e5e96695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ebdb392c90fd9a9414a97c1b39024e1a4f2c894aee118b3b4598ecd7e5e96695</t>
        </is>
      </c>
      <c r="BE41" s="24" t="inlineStr">
        <is>
          <t>c4e9d6e5adabb27c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2026-07-20T07:25:57.709954Z</t>
        </is>
      </c>
      <c r="BI41" s="24" t="inlineStr">
        <is>
          <t>["same_event","same_team_same_day","same_league_same_day"]</t>
        </is>
      </c>
      <c r="BJ41" s="25" t="n"/>
      <c r="BK41" s="26" t="n">
        <v>-115</v>
      </c>
      <c r="BL41" s="27" t="n">
        <v>1.869565</v>
      </c>
      <c r="BM41" s="28" t="n">
        <v>0.534884</v>
      </c>
      <c r="BN41" s="28" t="n">
        <v>0.532338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</row>
    <row r="42" ht="36" customHeight="1">
      <c r="A42" s="24" t="inlineStr">
        <is>
          <t>226f56cb020a4d72</t>
        </is>
      </c>
      <c r="B42" s="24" t="inlineStr">
        <is>
          <t>2026-07-20T07:27:09.837629Z</t>
        </is>
      </c>
      <c r="C42" s="24" t="inlineStr">
        <is>
          <t>2026-07-20T21:40:00-0400</t>
        </is>
      </c>
      <c r="D42" s="24" t="inlineStr">
        <is>
          <t>401816198</t>
        </is>
      </c>
      <c r="E42" s="24" t="inlineStr">
        <is>
          <t>MLB</t>
        </is>
      </c>
      <c r="F42" s="24" t="inlineStr">
        <is>
          <t>Athletics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-147</v>
      </c>
      <c r="M42" s="27" t="n">
        <v>1.680272</v>
      </c>
      <c r="N42" s="28" t="n">
        <v>0.5951419999999999</v>
      </c>
      <c r="O42" s="28" t="n">
        <v>0.589249</v>
      </c>
      <c r="P42" s="28" t="n"/>
      <c r="Q42" s="28" t="n">
        <v>-0.005893</v>
      </c>
      <c r="R42" s="26" t="n">
        <v>17</v>
      </c>
      <c r="S42" s="29" t="n">
        <v>1.5</v>
      </c>
      <c r="T42" s="24" t="inlineStr">
        <is>
          <t>mlb-elo-trend-lr-v3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Learned LR call at threshold 0.5150; executable ask 0.5950 (aec-mlb-ath-az-2026-07-20).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mlb-ath</t>
        </is>
      </c>
      <c r="AQ42" s="24" t="inlineStr">
        <is>
          <t>Athletics</t>
        </is>
      </c>
      <c r="AR42" s="24" t="inlineStr">
        <is>
          <t>Athletics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ebdb392c90fd9a9414a97c1b39024e1a4f2c894aee118b3b4598ecd7e5e96695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ebdb392c90fd9a9414a97c1b39024e1a4f2c894aee118b3b4598ecd7e5e96695</t>
        </is>
      </c>
      <c r="BE42" s="24" t="inlineStr">
        <is>
          <t>202c6fbc367f9e59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2026-07-20T07:25:58.909244Z</t>
        </is>
      </c>
      <c r="BI42" s="24" t="inlineStr">
        <is>
          <t>["same_event","same_team_same_day","same_league_same_day"]</t>
        </is>
      </c>
      <c r="BJ42" s="25" t="n"/>
      <c r="BK42" s="26" t="n">
        <v>-147</v>
      </c>
      <c r="BL42" s="27" t="n">
        <v>1.680272</v>
      </c>
      <c r="BM42" s="28" t="n">
        <v>0.5951419999999999</v>
      </c>
      <c r="BN42" s="28" t="n">
        <v>0.59204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</row>
    <row r="43" ht="36" customHeight="1">
      <c r="A43" s="24" t="inlineStr">
        <is>
          <t>a9cd87c83dca4e08</t>
        </is>
      </c>
      <c r="B43" s="24" t="inlineStr">
        <is>
          <t>2026-07-20T07:27:09.837629Z</t>
        </is>
      </c>
      <c r="C43" s="24" t="inlineStr">
        <is>
          <t>2026-07-20T21:40:00-0400</t>
        </is>
      </c>
      <c r="D43" s="24" t="inlineStr">
        <is>
          <t>401816199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Seattle Mariners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0.597509</v>
      </c>
      <c r="P43" s="28" t="n"/>
      <c r="Q43" s="28" t="n">
        <v>0.007345</v>
      </c>
      <c r="R43" s="26" t="n">
        <v>24</v>
      </c>
      <c r="S43" s="29" t="n">
        <v>1.5</v>
      </c>
      <c r="T43" s="24" t="inlineStr">
        <is>
          <t>mlb-elo-trend-lr-v3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Learned LR call at threshold 0.5150; executable ask 0.5900 (aec-mlb-cin-sea-2026-07-20).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ebdb392c90fd9a9414a97c1b39024e1a4f2c894aee118b3b4598ecd7e5e96695</t>
        </is>
      </c>
      <c r="BB43" s="24" t="inlineStr">
        <is>
          <t>learned_lr</t>
        </is>
      </c>
      <c r="BC43" s="24" t="inlineStr">
        <is>
          <t>mlb-elo-trend-lr-v3</t>
        </is>
      </c>
      <c r="BD43" s="24" t="inlineStr">
        <is>
          <t>ebdb392c90fd9a9414a97c1b39024e1a4f2c894aee118b3b4598ecd7e5e96695</t>
        </is>
      </c>
      <c r="BE43" s="24" t="inlineStr">
        <is>
          <t>982d73638d70c45b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2026-07-20T07:26:01.154096Z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>
        <v>0.5870649999999999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8e420714a95e4d9c</t>
        </is>
      </c>
      <c r="B44" s="24" t="inlineStr">
        <is>
          <t>2026-07-20T07:27:09.837629Z</t>
        </is>
      </c>
      <c r="C44" s="24" t="inlineStr">
        <is>
          <t>2026-07-20T22:00:00-0400</t>
        </is>
      </c>
      <c r="D44" s="24" t="inlineStr">
        <is>
          <t>401816200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Los Angeles Angels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104</v>
      </c>
      <c r="M44" s="27" t="n">
        <v>2.04</v>
      </c>
      <c r="N44" s="28" t="n">
        <v>0.490196</v>
      </c>
      <c r="O44" s="28" t="n">
        <v>0.5411280000000001</v>
      </c>
      <c r="P44" s="28" t="n"/>
      <c r="Q44" s="28" t="n">
        <v>0.050932</v>
      </c>
      <c r="R44" s="26" t="n">
        <v>45</v>
      </c>
      <c r="S44" s="29" t="n">
        <v>1</v>
      </c>
      <c r="T44" s="24" t="inlineStr">
        <is>
          <t>mlb-elo-trend-lr-v3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Learned LR call at threshold 0.5150; executable ask 0.4900 (aec-mlb-stl-laa-2026-07-20).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mlb-laa</t>
        </is>
      </c>
      <c r="AT44" s="24" t="inlineStr">
        <is>
          <t>Los Angeles Angels</t>
        </is>
      </c>
      <c r="AU44" s="24" t="inlineStr">
        <is>
          <t>Los Angeles Angels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ebdb392c90fd9a9414a97c1b39024e1a4f2c894aee118b3b4598ecd7e5e96695</t>
        </is>
      </c>
      <c r="BB44" s="24" t="inlineStr">
        <is>
          <t>learned_lr</t>
        </is>
      </c>
      <c r="BC44" s="24" t="inlineStr">
        <is>
          <t>mlb-elo-trend-lr-v3</t>
        </is>
      </c>
      <c r="BD44" s="24" t="inlineStr">
        <is>
          <t>ebdb392c90fd9a9414a97c1b39024e1a4f2c894aee118b3b4598ecd7e5e96695</t>
        </is>
      </c>
      <c r="BE44" s="24" t="inlineStr">
        <is>
          <t>84a60e91d728d400</t>
        </is>
      </c>
      <c r="BF44" s="24" t="inlineStr">
        <is>
          <t>1</t>
        </is>
      </c>
      <c r="BG44" s="24" t="inlineStr">
        <is>
          <t>mlb-elo-trend-lr-v3</t>
        </is>
      </c>
      <c r="BH44" s="24" t="inlineStr">
        <is>
          <t>2026-07-20T07:26:01.325929Z</t>
        </is>
      </c>
      <c r="BI44" s="24" t="inlineStr">
        <is>
          <t>["same_event","same_team_same_day","same_league_same_day"]</t>
        </is>
      </c>
      <c r="BJ44" s="25" t="n"/>
      <c r="BK44" s="26" t="n">
        <v>104</v>
      </c>
      <c r="BL44" s="27" t="n">
        <v>2.04</v>
      </c>
      <c r="BM44" s="28" t="n">
        <v>0.490196</v>
      </c>
      <c r="BN44" s="28" t="n">
        <v>0.487562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e35a217d64aa4265</t>
        </is>
      </c>
      <c r="B45" s="24" t="inlineStr">
        <is>
          <t>2026-07-20T07:27:15.488547Z</t>
        </is>
      </c>
      <c r="C45" s="24" t="inlineStr">
        <is>
          <t>2026-07-20T20:00:00-0400</t>
        </is>
      </c>
      <c r="D45" s="24" t="inlineStr">
        <is>
          <t>401857083</t>
        </is>
      </c>
      <c r="E45" s="24" t="inlineStr">
        <is>
          <t>WNBA</t>
        </is>
      </c>
      <c r="F45" s="24" t="inlineStr">
        <is>
          <t>Las Vegas Aces</t>
        </is>
      </c>
      <c r="G45" s="24" t="inlineStr">
        <is>
          <t>Toronto Tempo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-488</v>
      </c>
      <c r="M45" s="27" t="n">
        <v>1.204918</v>
      </c>
      <c r="N45" s="28" t="n">
        <v>0.829932</v>
      </c>
      <c r="O45" s="28" t="n">
        <v>0.657294</v>
      </c>
      <c r="P45" s="28" t="n"/>
      <c r="Q45" s="28" t="n">
        <v>-0.172638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Learned LR call at threshold 0.5000; executable ask 0.8300 (aec-wnba-lv-tor-2026-07-20).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NO_CALL_LARGE_DISAGREEMENT_REVIEW</t>
        </is>
      </c>
      <c r="AP45" s="24" t="inlineStr">
        <is>
          <t>wnba-lva</t>
        </is>
      </c>
      <c r="AQ45" s="24" t="inlineStr">
        <is>
          <t>Las Vegas Aces</t>
        </is>
      </c>
      <c r="AR45" s="24" t="inlineStr">
        <is>
          <t>Las Vegas Aces</t>
        </is>
      </c>
      <c r="AS45" s="24" t="inlineStr">
        <is>
          <t>wnba-tor</t>
        </is>
      </c>
      <c r="AT45" s="24" t="inlineStr">
        <is>
          <t>Toronto Tempo</t>
        </is>
      </c>
      <c r="AU45" s="24" t="inlineStr">
        <is>
          <t>Toronto Tempo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b239d28861d5b74d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2026-07-20T07:26:02.605954Z</t>
        </is>
      </c>
      <c r="BI45" s="24" t="inlineStr">
        <is>
          <t>["same_event","same_team_same_day","same_league_same_day"]</t>
        </is>
      </c>
      <c r="BJ45" s="25" t="n"/>
      <c r="BK45" s="26" t="n">
        <v>-488</v>
      </c>
      <c r="BL45" s="27" t="n">
        <v>1.204918</v>
      </c>
      <c r="BM45" s="28" t="n">
        <v>0.829932</v>
      </c>
      <c r="BN45" s="28" t="n">
        <v>0.821782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6c42d2d2436849c1</t>
        </is>
      </c>
      <c r="B46" s="24" t="inlineStr">
        <is>
          <t>2026-07-20T07:27:15.488547Z</t>
        </is>
      </c>
      <c r="C46" s="24" t="inlineStr">
        <is>
          <t>2026-07-20T20:00:00-0400</t>
        </is>
      </c>
      <c r="D46" s="24" t="inlineStr">
        <is>
          <t>401892393</t>
        </is>
      </c>
      <c r="E46" s="24" t="inlineStr">
        <is>
          <t>WNBA</t>
        </is>
      </c>
      <c r="F46" s="24" t="inlineStr">
        <is>
          <t>New York Liberty</t>
        </is>
      </c>
      <c r="G46" s="24" t="inlineStr">
        <is>
          <t>Dallas Wings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150</v>
      </c>
      <c r="M46" s="27" t="n">
        <v>2.5</v>
      </c>
      <c r="N46" s="28" t="n">
        <v>0.4</v>
      </c>
      <c r="O46" s="28" t="n">
        <v>0.6787840000000001</v>
      </c>
      <c r="P46" s="28" t="n"/>
      <c r="Q46" s="28" t="n">
        <v>0.278784</v>
      </c>
      <c r="R46" s="26" t="n">
        <v>100</v>
      </c>
      <c r="S46" s="29" t="n">
        <v>2</v>
      </c>
      <c r="T46" s="24" t="inlineStr">
        <is>
          <t>wnba-elo-trend-lr-v3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0.5000; executable ask 0.4000 (aec-wnba-ny-dal-2026-07-20).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wnba-nyl</t>
        </is>
      </c>
      <c r="AQ46" s="24" t="inlineStr">
        <is>
          <t>New York Liberty</t>
        </is>
      </c>
      <c r="AR46" s="24" t="inlineStr">
        <is>
          <t>New York Liberty</t>
        </is>
      </c>
      <c r="AS46" s="24" t="inlineStr">
        <is>
          <t>wnba-dal</t>
        </is>
      </c>
      <c r="AT46" s="24" t="inlineStr">
        <is>
          <t>Dallas Wings</t>
        </is>
      </c>
      <c r="AU46" s="24" t="inlineStr">
        <is>
          <t>Dallas Wings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1c6f45e72b2d1f80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2026-07-20T07:26:04.731909Z</t>
        </is>
      </c>
      <c r="BI46" s="24" t="inlineStr">
        <is>
          <t>["same_event","same_team_same_day","same_league_same_day"]</t>
        </is>
      </c>
      <c r="BJ46" s="25" t="n"/>
      <c r="BK46" s="26" t="n">
        <v>150</v>
      </c>
      <c r="BL46" s="27" t="n">
        <v>2.5</v>
      </c>
      <c r="BM46" s="28" t="n">
        <v>0.4</v>
      </c>
      <c r="BN46" s="28" t="n">
        <v>0.39604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0da50dc88c9649b8</t>
        </is>
      </c>
      <c r="B47" s="24" t="inlineStr">
        <is>
          <t>2026-07-20T07:27:15.488547Z</t>
        </is>
      </c>
      <c r="C47" s="24" t="inlineStr">
        <is>
          <t>2026-07-20T22:00:00-0400</t>
        </is>
      </c>
      <c r="D47" s="24" t="inlineStr">
        <is>
          <t>401857084</t>
        </is>
      </c>
      <c r="E47" s="24" t="inlineStr">
        <is>
          <t>WNBA</t>
        </is>
      </c>
      <c r="F47" s="24" t="inlineStr">
        <is>
          <t>Washington Mystics</t>
        </is>
      </c>
      <c r="G47" s="24" t="inlineStr">
        <is>
          <t>Golden State Valkyries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-317</v>
      </c>
      <c r="M47" s="27" t="n">
        <v>1.315457</v>
      </c>
      <c r="N47" s="28" t="n">
        <v>0.760192</v>
      </c>
      <c r="O47" s="28" t="n">
        <v>0.750444</v>
      </c>
      <c r="P47" s="28" t="n"/>
      <c r="Q47" s="28" t="n">
        <v>-0.009748</v>
      </c>
      <c r="R47" s="26" t="n">
        <v>15</v>
      </c>
      <c r="S47" s="29" t="n">
        <v>2</v>
      </c>
      <c r="T47" s="24" t="inlineStr">
        <is>
          <t>wnba-elo-trend-lr-v3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Learned LR call at threshold 0.5000; executable ask 0.7600 (aec-wnba-wsh-gsv-2026-07-20).</t>
        </is>
      </c>
      <c r="AF47" s="31" t="inlineStr">
        <is>
          <t>Learned model; promotion gate not yet open; zero-unit research until review.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wnba-was</t>
        </is>
      </c>
      <c r="AQ47" s="24" t="inlineStr">
        <is>
          <t>Washington Mystics</t>
        </is>
      </c>
      <c r="AR47" s="24" t="inlineStr">
        <is>
          <t>Washington Mystics</t>
        </is>
      </c>
      <c r="AS47" s="24" t="inlineStr">
        <is>
          <t>wnba-gsv</t>
        </is>
      </c>
      <c r="AT47" s="24" t="inlineStr">
        <is>
          <t>Golden State Valkyries</t>
        </is>
      </c>
      <c r="AU47" s="24" t="inlineStr">
        <is>
          <t>Golden State Valkyries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d339198b196cb3fcd02950ed5efbdd4cefbeb95b2cd63cd756e77f99dc483719</t>
        </is>
      </c>
      <c r="BB47" s="24" t="inlineStr">
        <is>
          <t>learned_lr</t>
        </is>
      </c>
      <c r="BC47" s="24" t="inlineStr">
        <is>
          <t>wnba-elo-trend-lr-v3</t>
        </is>
      </c>
      <c r="BD47" s="24" t="inlineStr">
        <is>
          <t>d339198b196cb3fcd02950ed5efbdd4cefbeb95b2cd63cd756e77f99dc483719</t>
        </is>
      </c>
      <c r="BE47" s="24" t="inlineStr">
        <is>
          <t>46de7d71a35c9491</t>
        </is>
      </c>
      <c r="BF47" s="24" t="inlineStr">
        <is>
          <t>1</t>
        </is>
      </c>
      <c r="BG47" s="24" t="inlineStr">
        <is>
          <t>wnba-elo-trend-lr-v3</t>
        </is>
      </c>
      <c r="BH47" s="24" t="inlineStr">
        <is>
          <t>2026-07-20T07:26:06.455979Z</t>
        </is>
      </c>
      <c r="BI47" s="24" t="inlineStr">
        <is>
          <t>["same_event","same_team_same_day","same_league_same_day"]</t>
        </is>
      </c>
      <c r="BJ47" s="25" t="n"/>
      <c r="BK47" s="26" t="n">
        <v>-317</v>
      </c>
      <c r="BL47" s="27" t="n">
        <v>1.315457</v>
      </c>
      <c r="BM47" s="28" t="n">
        <v>0.760192</v>
      </c>
      <c r="BN47" s="28" t="n">
        <v>0.752475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2d184773492d4263</t>
        </is>
      </c>
      <c r="B48" s="24" t="inlineStr">
        <is>
          <t>2026-07-20T07:27:15.488547Z</t>
        </is>
      </c>
      <c r="C48" s="24" t="inlineStr">
        <is>
          <t>2026-07-20T22:00:00-0400</t>
        </is>
      </c>
      <c r="D48" s="24" t="inlineStr">
        <is>
          <t>401857085</t>
        </is>
      </c>
      <c r="E48" s="24" t="inlineStr">
        <is>
          <t>WNBA</t>
        </is>
      </c>
      <c r="F48" s="24" t="inlineStr">
        <is>
          <t>Minnesota Lynx</t>
        </is>
      </c>
      <c r="G48" s="24" t="inlineStr">
        <is>
          <t>Seattle Storm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-488</v>
      </c>
      <c r="M48" s="27" t="n">
        <v>1.204918</v>
      </c>
      <c r="N48" s="28" t="n">
        <v>0.829932</v>
      </c>
      <c r="O48" s="28" t="n">
        <v>0.739042</v>
      </c>
      <c r="P48" s="28" t="n"/>
      <c r="Q48" s="28" t="n">
        <v>-0.09089</v>
      </c>
      <c r="R48" s="26" t="n">
        <v>0</v>
      </c>
      <c r="S48" s="29" t="n">
        <v>2</v>
      </c>
      <c r="T48" s="24" t="inlineStr">
        <is>
          <t>wnba-elo-trend-lr-v3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0.5000; executable ask 0.8300 (aec-wnba-min-sea-2026-07-20).</t>
        </is>
      </c>
      <c r="AF48" s="31" t="inlineStr">
        <is>
          <t>Learned model; promotion gate not yet open; zero-unit research until review.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wnba-min</t>
        </is>
      </c>
      <c r="AQ48" s="24" t="inlineStr">
        <is>
          <t>Minnesota Lynx</t>
        </is>
      </c>
      <c r="AR48" s="24" t="inlineStr">
        <is>
          <t>Minnesota Lynx</t>
        </is>
      </c>
      <c r="AS48" s="24" t="inlineStr">
        <is>
          <t>wnba-sea</t>
        </is>
      </c>
      <c r="AT48" s="24" t="inlineStr">
        <is>
          <t>Seattle Storm</t>
        </is>
      </c>
      <c r="AU48" s="24" t="inlineStr">
        <is>
          <t>Seattle Storm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d339198b196cb3fcd02950ed5efbdd4cefbeb95b2cd63cd756e77f99dc483719</t>
        </is>
      </c>
      <c r="BB48" s="24" t="inlineStr">
        <is>
          <t>learned_lr</t>
        </is>
      </c>
      <c r="BC48" s="24" t="inlineStr">
        <is>
          <t>wnba-elo-trend-lr-v3</t>
        </is>
      </c>
      <c r="BD48" s="24" t="inlineStr">
        <is>
          <t>d339198b196cb3fcd02950ed5efbdd4cefbeb95b2cd63cd756e77f99dc483719</t>
        </is>
      </c>
      <c r="BE48" s="24" t="inlineStr">
        <is>
          <t>9e3cecf68c87303d</t>
        </is>
      </c>
      <c r="BF48" s="24" t="inlineStr">
        <is>
          <t>1</t>
        </is>
      </c>
      <c r="BG48" s="24" t="inlineStr">
        <is>
          <t>wnba-elo-trend-lr-v3</t>
        </is>
      </c>
      <c r="BH48" s="24" t="inlineStr">
        <is>
          <t>2026-07-20T07:26:06.846002Z</t>
        </is>
      </c>
      <c r="BI48" s="24" t="inlineStr">
        <is>
          <t>["same_event","same_team_same_day","same_league_same_day"]</t>
        </is>
      </c>
      <c r="BJ48" s="25" t="n"/>
      <c r="BK48" s="26" t="n">
        <v>-488</v>
      </c>
      <c r="BL48" s="27" t="n">
        <v>1.204918</v>
      </c>
      <c r="BM48" s="28" t="n">
        <v>0.829932</v>
      </c>
      <c r="BN48" s="28" t="n">
        <v>0.821782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ef7830f025d54963</t>
        </is>
      </c>
      <c r="B49" s="24" t="inlineStr">
        <is>
          <t>2026-07-18T07:12:56.298602Z</t>
        </is>
      </c>
      <c r="C49" s="24" t="inlineStr">
        <is>
          <t>2026-07-18T20:00:00-0400</t>
        </is>
      </c>
      <c r="D49" s="24" t="inlineStr">
        <is>
          <t>401857077</t>
        </is>
      </c>
      <c r="E49" s="24" t="inlineStr">
        <is>
          <t>WNBA</t>
        </is>
      </c>
      <c r="F49" s="24" t="inlineStr">
        <is>
          <t>New York Liberty</t>
        </is>
      </c>
      <c r="G49" s="24" t="inlineStr">
        <is>
          <t>Indiana Fever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117</v>
      </c>
      <c r="M49" s="27" t="n">
        <v>2.17</v>
      </c>
      <c r="N49" s="28" t="n">
        <v>0.460829</v>
      </c>
      <c r="O49" s="28" t="n">
        <v>0.593309</v>
      </c>
      <c r="P49" s="28" t="n"/>
      <c r="Q49" s="28" t="n">
        <v>0.13248</v>
      </c>
      <c r="R49" s="26" t="n">
        <v>100</v>
      </c>
      <c r="S49" s="29" t="n">
        <v>1.5</v>
      </c>
      <c r="T49" s="24" t="inlineStr">
        <is>
          <t>wnba-elo-trend-lr-v3</t>
        </is>
      </c>
      <c r="U49" s="24" t="inlineStr">
        <is>
          <t>settled</t>
        </is>
      </c>
      <c r="V49" s="24" t="inlineStr">
        <is>
          <t>win</t>
        </is>
      </c>
      <c r="W49" s="26" t="n">
        <v>88</v>
      </c>
      <c r="X49" s="26" t="n">
        <v>108</v>
      </c>
      <c r="Y49" s="25" t="n"/>
      <c r="Z49" s="26" t="n"/>
      <c r="AA49" s="28" t="n"/>
      <c r="AB49" s="28" t="n"/>
      <c r="AC49" s="30" t="n">
        <v>1.755</v>
      </c>
      <c r="AD49" s="24" t="inlineStr">
        <is>
          <t>2026-07-19T03:07:19.656208Z</t>
        </is>
      </c>
      <c r="AE49" s="31" t="inlineStr">
        <is>
          <t>Learned LR call at threshold 0.5413; executable ask 0.4600 (aec-wnba-ny-ind-2026-07-18).</t>
        </is>
      </c>
      <c r="AF49" s="31" t="inlineStr">
        <is>
          <t>Learned model; promotion gate not yet open; zero-unit research until review.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wnba-nyl</t>
        </is>
      </c>
      <c r="AQ49" s="24" t="inlineStr">
        <is>
          <t>New York Liberty</t>
        </is>
      </c>
      <c r="AR49" s="24" t="inlineStr">
        <is>
          <t>New York Liberty</t>
        </is>
      </c>
      <c r="AS49" s="24" t="inlineStr">
        <is>
          <t>wnba-ind</t>
        </is>
      </c>
      <c r="AT49" s="24" t="inlineStr">
        <is>
          <t>Indiana Fever</t>
        </is>
      </c>
      <c r="AU49" s="24" t="inlineStr">
        <is>
          <t>Indiana Fever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6b38a269117f4c6c1ae1e324273c2f9b9d11b2c15d99242f39aa89882d15db32</t>
        </is>
      </c>
      <c r="BB49" s="24" t="inlineStr">
        <is>
          <t>learned_lr</t>
        </is>
      </c>
      <c r="BC49" s="24" t="inlineStr">
        <is>
          <t>wnba-elo-trend-lr-v3</t>
        </is>
      </c>
      <c r="BD49" s="24" t="inlineStr">
        <is>
          <t>6b38a269117f4c6c1ae1e324273c2f9b9d11b2c15d99242f39aa89882d15db32</t>
        </is>
      </c>
      <c r="BE49" s="24" t="inlineStr">
        <is>
          <t>3a7dae2b4e6e8f88</t>
        </is>
      </c>
      <c r="BF49" s="24" t="inlineStr">
        <is>
          <t>1</t>
        </is>
      </c>
      <c r="BG49" s="24" t="inlineStr">
        <is>
          <t>wnba-elo-trend-lr-v3</t>
        </is>
      </c>
      <c r="BH49" s="24" t="inlineStr">
        <is>
          <t>2026-07-18T07:12:40.468242Z</t>
        </is>
      </c>
      <c r="BI49" s="24" t="inlineStr">
        <is>
          <t>["same_event","same_team_same_day","same_league_same_day"]</t>
        </is>
      </c>
      <c r="BJ49" s="25" t="n"/>
      <c r="BK49" s="26" t="n">
        <v>117</v>
      </c>
      <c r="BL49" s="27" t="n">
        <v>2.17</v>
      </c>
      <c r="BM49" s="28" t="n">
        <v>0.460829</v>
      </c>
      <c r="BN49" s="28" t="n">
        <v>0.455446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1.17</v>
      </c>
      <c r="BZ49" s="24" t="inlineStr">
        <is>
          <t>2026-07-19T03:07:19.656208Z</t>
        </is>
      </c>
      <c r="CA49" s="31" t="inlineStr">
        <is>
          <t>fixed one-unit hypothetical scoring; no real exposure or execution</t>
        </is>
      </c>
    </row>
    <row r="50" ht="36" customHeight="1">
      <c r="A50" s="24" t="inlineStr">
        <is>
          <t>931feaf381a247bc</t>
        </is>
      </c>
      <c r="B50" s="24" t="inlineStr">
        <is>
          <t>2026-07-18T16:16:11.093520Z</t>
        </is>
      </c>
      <c r="C50" s="24" t="inlineStr">
        <is>
          <t>2026-07-18T16:10:00-0400</t>
        </is>
      </c>
      <c r="D50" s="24" t="inlineStr">
        <is>
          <t>401816163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Milwaukee Brewers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0.608753</v>
      </c>
      <c r="P50" s="28" t="n"/>
      <c r="Q50" s="28" t="n">
        <v>0.037938</v>
      </c>
      <c r="R50" s="26" t="n">
        <v>69</v>
      </c>
      <c r="S50" s="29" t="n">
        <v>1.5</v>
      </c>
      <c r="T50" s="24" t="inlineStr">
        <is>
          <t>mlb-elo-trend-lr-v3</t>
        </is>
      </c>
      <c r="U50" s="24" t="inlineStr">
        <is>
          <t>settled</t>
        </is>
      </c>
      <c r="V50" s="24" t="inlineStr">
        <is>
          <t>win</t>
        </is>
      </c>
      <c r="W50" s="26" t="n">
        <v>6</v>
      </c>
      <c r="X50" s="26" t="n">
        <v>8</v>
      </c>
      <c r="Y50" s="25" t="n"/>
      <c r="Z50" s="26" t="n"/>
      <c r="AA50" s="28" t="n"/>
      <c r="AB50" s="28" t="n"/>
      <c r="AC50" s="30" t="n">
        <v>1.1278</v>
      </c>
      <c r="AD50" s="24" t="inlineStr">
        <is>
          <t>2026-07-18T23:59:20.431552Z</t>
        </is>
      </c>
      <c r="AE50" s="31" t="inlineStr">
        <is>
          <t>Learned LR call at threshold 0.6000; executable ask 0.5700 (aec-mlb-mia-mil-2026-07-18).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mlb-mil</t>
        </is>
      </c>
      <c r="AT50" s="24" t="inlineStr">
        <is>
          <t>Milwaukee Brewers</t>
        </is>
      </c>
      <c r="AU50" s="24" t="inlineStr">
        <is>
          <t>Milwaukee Brewers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117c03794b1d1031deec3bd4cce88c9158bebd0622c621defd0aab3eb37c0a6e</t>
        </is>
      </c>
      <c r="BB50" s="24" t="inlineStr">
        <is>
          <t>learned_lr</t>
        </is>
      </c>
      <c r="BC50" s="24" t="inlineStr">
        <is>
          <t>mlb-elo-trend-lr-v3</t>
        </is>
      </c>
      <c r="BD50" s="24" t="inlineStr">
        <is>
          <t>117c03794b1d1031deec3bd4cce88c9158bebd0622c621defd0aab3eb37c0a6e</t>
        </is>
      </c>
      <c r="BE50" s="24" t="inlineStr">
        <is>
          <t>0f54459b91a18ff1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2026-07-18T16:15:15.200995Z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>
        <v>0.567164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0.75188</v>
      </c>
      <c r="BZ50" s="24" t="inlineStr">
        <is>
          <t>2026-07-18T23:59:20.431552Z</t>
        </is>
      </c>
      <c r="CA50" s="31" t="inlineStr">
        <is>
          <t>fixed one-unit hypothetical scoring; no real exposure or execution</t>
        </is>
      </c>
    </row>
    <row r="51" ht="36" customHeight="1">
      <c r="A51" s="24" t="inlineStr">
        <is>
          <t>8789a71883f94701</t>
        </is>
      </c>
      <c r="B51" s="24" t="inlineStr">
        <is>
          <t>2026-07-18T16:44:20.099051Z</t>
        </is>
      </c>
      <c r="C51" s="24" t="inlineStr">
        <is>
          <t>2026-07-18T13:10:00-0400</t>
        </is>
      </c>
      <c r="D51" s="24" t="inlineStr">
        <is>
          <t>401896568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Cleveland Guardians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-102</v>
      </c>
      <c r="M51" s="27" t="n">
        <v>1.980392</v>
      </c>
      <c r="N51" s="28" t="n">
        <v>0.50495</v>
      </c>
      <c r="O51" s="28" t="n">
        <v>0.554084</v>
      </c>
      <c r="P51" s="28" t="n"/>
      <c r="Q51" s="28" t="n">
        <v>0.049134</v>
      </c>
      <c r="R51" s="26" t="n">
        <v>75</v>
      </c>
      <c r="S51" s="29" t="n">
        <v>1</v>
      </c>
      <c r="T51" s="24" t="inlineStr">
        <is>
          <t>mlb-elo-trend-lr-v3</t>
        </is>
      </c>
      <c r="U51" s="24" t="inlineStr">
        <is>
          <t>settled</t>
        </is>
      </c>
      <c r="V51" s="24" t="inlineStr">
        <is>
          <t>loss</t>
        </is>
      </c>
      <c r="W51" s="26" t="n">
        <v>7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2026-07-18T21:05:56.909771Z</t>
        </is>
      </c>
      <c r="AE51" s="31" t="inlineStr">
        <is>
          <t>Learned LR call at threshold 0.5500; executable ask 0.5050 (aec-mlb-pit-cle-2026-07-18).</t>
        </is>
      </c>
      <c r="AF51" s="31" t="inlineStr">
        <is>
          <t>Learned model; promotion gate not yet open; zero-unit research until review.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mlb-pit</t>
        </is>
      </c>
      <c r="AQ51" s="24" t="inlineStr">
        <is>
          <t>Pittsburgh Pirates</t>
        </is>
      </c>
      <c r="AR51" s="24" t="inlineStr">
        <is>
          <t>Pittsburgh Pirates</t>
        </is>
      </c>
      <c r="AS51" s="24" t="inlineStr">
        <is>
          <t>mlb-cle</t>
        </is>
      </c>
      <c r="AT51" s="24" t="inlineStr">
        <is>
          <t>Cleveland Guardians</t>
        </is>
      </c>
      <c r="AU51" s="24" t="inlineStr">
        <is>
          <t>Cleveland Guardians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c97732889cfca1912f8d78791ff63f04ee3fe987951aced9e4fab541932597cd</t>
        </is>
      </c>
      <c r="BB51" s="24" t="inlineStr">
        <is>
          <t>learned_lr</t>
        </is>
      </c>
      <c r="BC51" s="24" t="inlineStr">
        <is>
          <t>mlb-elo-trend-lr-v3</t>
        </is>
      </c>
      <c r="BD51" s="24" t="inlineStr">
        <is>
          <t>c97732889cfca1912f8d78791ff63f04ee3fe987951aced9e4fab541932597cd</t>
        </is>
      </c>
      <c r="BE51" s="24" t="inlineStr">
        <is>
          <t>6df496ff8b2da9c6</t>
        </is>
      </c>
      <c r="BF51" s="24" t="inlineStr">
        <is>
          <t>1</t>
        </is>
      </c>
      <c r="BG51" s="24" t="inlineStr">
        <is>
          <t>mlb-elo-trend-lr-v3</t>
        </is>
      </c>
      <c r="BH51" s="24" t="inlineStr">
        <is>
          <t>2026-07-18T16:42:59.880808Z</t>
        </is>
      </c>
      <c r="BI51" s="24" t="inlineStr">
        <is>
          <t>["same_event","same_team_same_day","same_league_same_day"]</t>
        </is>
      </c>
      <c r="BJ51" s="25" t="n"/>
      <c r="BK51" s="26" t="n">
        <v>-102</v>
      </c>
      <c r="BL51" s="27" t="n">
        <v>1.980392</v>
      </c>
      <c r="BM51" s="28" t="n">
        <v>0.50495</v>
      </c>
      <c r="BN51" s="28" t="n">
        <v>0.502488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inlineStr">
        <is>
          <t>2026-07-18T21:05:56.909771Z</t>
        </is>
      </c>
      <c r="CA51" s="31" t="inlineStr">
        <is>
          <t>fixed one-unit hypothetical scoring; no real exposure or execution</t>
        </is>
      </c>
    </row>
    <row r="52" ht="36" customHeight="1">
      <c r="A52" s="24" t="inlineStr">
        <is>
          <t>512e4ebfdf1a456e</t>
        </is>
      </c>
      <c r="B52" s="24" t="inlineStr">
        <is>
          <t>2026-07-18T16:44:20.099051Z</t>
        </is>
      </c>
      <c r="C52" s="24" t="inlineStr">
        <is>
          <t>2026-07-18T14:20:00-0400</t>
        </is>
      </c>
      <c r="D52" s="24" t="inlineStr">
        <is>
          <t>401816164</t>
        </is>
      </c>
      <c r="E52" s="24" t="inlineStr">
        <is>
          <t>MLB</t>
        </is>
      </c>
      <c r="F52" s="24" t="inlineStr">
        <is>
          <t>Minnesota Twins</t>
        </is>
      </c>
      <c r="G52" s="24" t="inlineStr">
        <is>
          <t>Chicago Cubs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0.608363</v>
      </c>
      <c r="P52" s="28" t="n"/>
      <c r="Q52" s="28" t="n">
        <v>0.037548</v>
      </c>
      <c r="R52" s="26" t="n">
        <v>69</v>
      </c>
      <c r="S52" s="29" t="n">
        <v>1.5</v>
      </c>
      <c r="T52" s="24" t="inlineStr">
        <is>
          <t>mlb-elo-trend-lr-v3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/>
      <c r="Z52" s="26" t="n"/>
      <c r="AA52" s="28" t="n"/>
      <c r="AB52" s="28" t="n"/>
      <c r="AC52" s="30" t="n">
        <v>1.1278</v>
      </c>
      <c r="AD52" s="24" t="inlineStr">
        <is>
          <t>2026-07-18T21:05:56.984438Z</t>
        </is>
      </c>
      <c r="AE52" s="31" t="inlineStr">
        <is>
          <t>Learned LR call at threshold 0.5500; executable ask 0.5700 (aec-mlb-min-chc-2026-07-18).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mlb-min</t>
        </is>
      </c>
      <c r="AQ52" s="24" t="inlineStr">
        <is>
          <t>Minnesota Twins</t>
        </is>
      </c>
      <c r="AR52" s="24" t="inlineStr">
        <is>
          <t>Minnesota Twins</t>
        </is>
      </c>
      <c r="AS52" s="24" t="inlineStr">
        <is>
          <t>mlb-chc</t>
        </is>
      </c>
      <c r="AT52" s="24" t="inlineStr">
        <is>
          <t>Chicago Cubs</t>
        </is>
      </c>
      <c r="AU52" s="24" t="inlineStr">
        <is>
          <t>Chicago Cubs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c97732889cfca1912f8d78791ff63f04ee3fe987951aced9e4fab541932597cd</t>
        </is>
      </c>
      <c r="BB52" s="24" t="inlineStr">
        <is>
          <t>learned_lr</t>
        </is>
      </c>
      <c r="BC52" s="24" t="inlineStr">
        <is>
          <t>mlb-elo-trend-lr-v3</t>
        </is>
      </c>
      <c r="BD52" s="24" t="inlineStr">
        <is>
          <t>c97732889cfca1912f8d78791ff63f04ee3fe987951aced9e4fab541932597cd</t>
        </is>
      </c>
      <c r="BE52" s="24" t="inlineStr">
        <is>
          <t>7166685f6e68e237</t>
        </is>
      </c>
      <c r="BF52" s="24" t="inlineStr">
        <is>
          <t>1</t>
        </is>
      </c>
      <c r="BG52" s="24" t="inlineStr">
        <is>
          <t>mlb-elo-trend-lr-v3</t>
        </is>
      </c>
      <c r="BH52" s="24" t="inlineStr">
        <is>
          <t>2026-07-18T16:42:49.506840Z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>
        <v>0.567164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0.75188</v>
      </c>
      <c r="BZ52" s="24" t="inlineStr">
        <is>
          <t>2026-07-18T21:05:56.984438Z</t>
        </is>
      </c>
      <c r="CA52" s="31" t="inlineStr">
        <is>
          <t>fixed one-unit hypothetical scoring; no real exposure or execution</t>
        </is>
      </c>
    </row>
    <row r="53" ht="36" customHeight="1">
      <c r="A53" s="24" t="inlineStr">
        <is>
          <t>80b7c78aaffb4905</t>
        </is>
      </c>
      <c r="B53" s="24" t="inlineStr">
        <is>
          <t>2026-07-18T16:44:20.099051Z</t>
        </is>
      </c>
      <c r="C53" s="24" t="inlineStr">
        <is>
          <t>2026-07-18T15:07:00-0400</t>
        </is>
      </c>
      <c r="D53" s="24" t="inlineStr">
        <is>
          <t>401816156</t>
        </is>
      </c>
      <c r="E53" s="24" t="inlineStr">
        <is>
          <t>MLB</t>
        </is>
      </c>
      <c r="F53" s="24" t="inlineStr">
        <is>
          <t>Chicago White Sox</t>
        </is>
      </c>
      <c r="G53" s="24" t="inlineStr">
        <is>
          <t>Toronto Blue Jays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0.5767679999999999</v>
      </c>
      <c r="P53" s="28" t="n"/>
      <c r="Q53" s="28" t="n">
        <v>0.066964</v>
      </c>
      <c r="R53" s="26" t="n">
        <v>83</v>
      </c>
      <c r="S53" s="29" t="n">
        <v>1.25</v>
      </c>
      <c r="T53" s="24" t="inlineStr">
        <is>
          <t>mlb-elo-trend-lr-v3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1.2019</v>
      </c>
      <c r="AD53" s="24" t="inlineStr">
        <is>
          <t>2026-07-18T23:59:20.512474Z</t>
        </is>
      </c>
      <c r="AE53" s="31" t="inlineStr">
        <is>
          <t>Learned LR call at threshold 0.5500; executable ask 0.5100 (aec-mlb-cws-tor-2026-07-18).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mlb-cws</t>
        </is>
      </c>
      <c r="AQ53" s="24" t="inlineStr">
        <is>
          <t>Chicago White Sox</t>
        </is>
      </c>
      <c r="AR53" s="24" t="inlineStr">
        <is>
          <t>Chicago White Sox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c97732889cfca1912f8d78791ff63f04ee3fe987951aced9e4fab541932597cd</t>
        </is>
      </c>
      <c r="BB53" s="24" t="inlineStr">
        <is>
          <t>learned_lr</t>
        </is>
      </c>
      <c r="BC53" s="24" t="inlineStr">
        <is>
          <t>mlb-elo-trend-lr-v3</t>
        </is>
      </c>
      <c r="BD53" s="24" t="inlineStr">
        <is>
          <t>c97732889cfca1912f8d78791ff63f04ee3fe987951aced9e4fab541932597cd</t>
        </is>
      </c>
      <c r="BE53" s="24" t="inlineStr">
        <is>
          <t>990421d336b67011</t>
        </is>
      </c>
      <c r="BF53" s="24" t="inlineStr">
        <is>
          <t>1</t>
        </is>
      </c>
      <c r="BG53" s="24" t="inlineStr">
        <is>
          <t>mlb-elo-trend-lr-v3</t>
        </is>
      </c>
      <c r="BH53" s="24" t="inlineStr">
        <is>
          <t>2026-07-18T16:42:50.404282Z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>
        <v>0.507463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>
        <v>1</v>
      </c>
      <c r="BY53" s="27" t="n">
        <v>0.961538</v>
      </c>
      <c r="BZ53" s="24" t="inlineStr">
        <is>
          <t>2026-07-18T23:59:20.512474Z</t>
        </is>
      </c>
      <c r="CA53" s="31" t="inlineStr">
        <is>
          <t>fixed one-unit hypothetical scoring; no real exposure or execution</t>
        </is>
      </c>
    </row>
    <row r="54" ht="36" customHeight="1">
      <c r="A54" s="24" t="inlineStr">
        <is>
          <t>c7e4de168a8f4e3d</t>
        </is>
      </c>
      <c r="B54" s="24" t="inlineStr">
        <is>
          <t>2026-07-18T16:44:20.099051Z</t>
        </is>
      </c>
      <c r="C54" s="24" t="inlineStr">
        <is>
          <t>2026-07-18T15:10:00-0400</t>
        </is>
      </c>
      <c r="D54" s="24" t="inlineStr">
        <is>
          <t>401816166</t>
        </is>
      </c>
      <c r="E54" s="24" t="inlineStr">
        <is>
          <t>MLB</t>
        </is>
      </c>
      <c r="F54" s="24" t="inlineStr">
        <is>
          <t>Cincinnati Reds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0.582367</v>
      </c>
      <c r="P54" s="28" t="n"/>
      <c r="Q54" s="28" t="n">
        <v>0.072563</v>
      </c>
      <c r="R54" s="26" t="n">
        <v>86</v>
      </c>
      <c r="S54" s="29" t="n">
        <v>1.25</v>
      </c>
      <c r="T54" s="24" t="inlineStr">
        <is>
          <t>mlb-elo-trend-lr-v3</t>
        </is>
      </c>
      <c r="U54" s="24" t="inlineStr">
        <is>
          <t>settled</t>
        </is>
      </c>
      <c r="V54" s="24" t="inlineStr">
        <is>
          <t>loss</t>
        </is>
      </c>
      <c r="W54" s="26" t="n">
        <v>3</v>
      </c>
      <c r="X54" s="26" t="n">
        <v>10</v>
      </c>
      <c r="Y54" s="25" t="n"/>
      <c r="Z54" s="26" t="n"/>
      <c r="AA54" s="28" t="n"/>
      <c r="AB54" s="28" t="n"/>
      <c r="AC54" s="30" t="n">
        <v>-1.25</v>
      </c>
      <c r="AD54" s="24" t="inlineStr">
        <is>
          <t>2026-07-18T23:59:20.572146Z</t>
        </is>
      </c>
      <c r="AE54" s="31" t="inlineStr">
        <is>
          <t>Learned LR call at threshold 0.5500; executable ask 0.5100 (aec-mlb-cin-col-2026-07-18).</t>
        </is>
      </c>
      <c r="AF54" s="31" t="inlineStr">
        <is>
          <t>Learned model; promotion gate not yet open; zero-unit research until review.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mlb-cin</t>
        </is>
      </c>
      <c r="AQ54" s="24" t="inlineStr">
        <is>
          <t>Cincinnati Reds</t>
        </is>
      </c>
      <c r="AR54" s="24" t="inlineStr">
        <is>
          <t>Cincinnati Reds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c97732889cfca1912f8d78791ff63f04ee3fe987951aced9e4fab541932597cd</t>
        </is>
      </c>
      <c r="BB54" s="24" t="inlineStr">
        <is>
          <t>learned_lr</t>
        </is>
      </c>
      <c r="BC54" s="24" t="inlineStr">
        <is>
          <t>mlb-elo-trend-lr-v3</t>
        </is>
      </c>
      <c r="BD54" s="24" t="inlineStr">
        <is>
          <t>c97732889cfca1912f8d78791ff63f04ee3fe987951aced9e4fab541932597cd</t>
        </is>
      </c>
      <c r="BE54" s="24" t="inlineStr">
        <is>
          <t>4215d10b9bfb4b91</t>
        </is>
      </c>
      <c r="BF54" s="24" t="inlineStr">
        <is>
          <t>1</t>
        </is>
      </c>
      <c r="BG54" s="24" t="inlineStr">
        <is>
          <t>mlb-elo-trend-lr-v3</t>
        </is>
      </c>
      <c r="BH54" s="24" t="inlineStr">
        <is>
          <t>2026-07-18T16:42:52.313468Z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>
        <v>1</v>
      </c>
      <c r="BY54" s="27" t="n">
        <v>-1</v>
      </c>
      <c r="BZ54" s="24" t="inlineStr">
        <is>
          <t>2026-07-18T23:59:20.572146Z</t>
        </is>
      </c>
      <c r="CA54" s="31" t="inlineStr">
        <is>
          <t>fixed one-unit hypothetical scoring; no real exposure or execution</t>
        </is>
      </c>
    </row>
    <row r="55" ht="36" customHeight="1">
      <c r="A55" s="24" t="inlineStr">
        <is>
          <t>2ec6744dbfd84ecf</t>
        </is>
      </c>
      <c r="B55" s="24" t="inlineStr">
        <is>
          <t>2026-07-18T16:44:20.099051Z</t>
        </is>
      </c>
      <c r="C55" s="24" t="inlineStr">
        <is>
          <t>2026-07-18T16:10:00-0400</t>
        </is>
      </c>
      <c r="D55" s="24" t="inlineStr">
        <is>
          <t>401816161</t>
        </is>
      </c>
      <c r="E55" s="24" t="inlineStr">
        <is>
          <t>MLB</t>
        </is>
      </c>
      <c r="F55" s="24" t="inlineStr">
        <is>
          <t>Texas Rangers</t>
        </is>
      </c>
      <c r="G55" s="24" t="inlineStr">
        <is>
          <t>Atlanta Braves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-106</v>
      </c>
      <c r="M55" s="27" t="n">
        <v>1.943396</v>
      </c>
      <c r="N55" s="28" t="n">
        <v>0.514563</v>
      </c>
      <c r="O55" s="28" t="n">
        <v>0.550297</v>
      </c>
      <c r="P55" s="28" t="n"/>
      <c r="Q55" s="28" t="n">
        <v>0.035734</v>
      </c>
      <c r="R55" s="26" t="n">
        <v>68</v>
      </c>
      <c r="S55" s="29" t="n">
        <v>1</v>
      </c>
      <c r="T55" s="24" t="inlineStr">
        <is>
          <t>mlb-elo-trend-lr-v3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6</v>
      </c>
      <c r="Y55" s="25" t="n"/>
      <c r="Z55" s="26" t="n"/>
      <c r="AA55" s="28" t="n"/>
      <c r="AB55" s="28" t="n"/>
      <c r="AC55" s="30" t="n">
        <v>-1</v>
      </c>
      <c r="AD55" s="24" t="inlineStr">
        <is>
          <t>2026-07-18T23:59:20.634092Z</t>
        </is>
      </c>
      <c r="AE55" s="31" t="inlineStr">
        <is>
          <t>Learned LR call at threshold 0.5500; executable ask 0.5150 (aec-mlb-tex-atl-2026-07-18).</t>
        </is>
      </c>
      <c r="AF55" s="31" t="inlineStr">
        <is>
          <t>Learned model; promotion gate not yet open; zero-unit research until review.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mlb-tex</t>
        </is>
      </c>
      <c r="AQ55" s="24" t="inlineStr">
        <is>
          <t>Texas Rangers</t>
        </is>
      </c>
      <c r="AR55" s="24" t="inlineStr">
        <is>
          <t>Texas Rangers</t>
        </is>
      </c>
      <c r="AS55" s="24" t="inlineStr">
        <is>
          <t>mlb-atl</t>
        </is>
      </c>
      <c r="AT55" s="24" t="inlineStr">
        <is>
          <t>Atlanta Braves</t>
        </is>
      </c>
      <c r="AU55" s="24" t="inlineStr">
        <is>
          <t>Atlanta Braves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c97732889cfca1912f8d78791ff63f04ee3fe987951aced9e4fab541932597cd</t>
        </is>
      </c>
      <c r="BB55" s="24" t="inlineStr">
        <is>
          <t>learned_lr</t>
        </is>
      </c>
      <c r="BC55" s="24" t="inlineStr">
        <is>
          <t>mlb-elo-trend-lr-v3</t>
        </is>
      </c>
      <c r="BD55" s="24" t="inlineStr">
        <is>
          <t>c97732889cfca1912f8d78791ff63f04ee3fe987951aced9e4fab541932597cd</t>
        </is>
      </c>
      <c r="BE55" s="24" t="inlineStr">
        <is>
          <t>a999da31a6f5af28</t>
        </is>
      </c>
      <c r="BF55" s="24" t="inlineStr">
        <is>
          <t>1</t>
        </is>
      </c>
      <c r="BG55" s="24" t="inlineStr">
        <is>
          <t>mlb-elo-trend-lr-v3</t>
        </is>
      </c>
      <c r="BH55" s="24" t="inlineStr">
        <is>
          <t>2026-07-18T16:42:57.199270Z</t>
        </is>
      </c>
      <c r="BI55" s="24" t="inlineStr">
        <is>
          <t>["same_event","same_team_same_day","same_league_same_day"]</t>
        </is>
      </c>
      <c r="BJ55" s="25" t="n"/>
      <c r="BK55" s="26" t="n">
        <v>-106</v>
      </c>
      <c r="BL55" s="27" t="n">
        <v>1.943396</v>
      </c>
      <c r="BM55" s="28" t="n">
        <v>0.514563</v>
      </c>
      <c r="BN55" s="28" t="n">
        <v>0.5124379999999999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inlineStr">
        <is>
          <t>2026-07-18T23:59:20.634092Z</t>
        </is>
      </c>
      <c r="CA55" s="31" t="inlineStr">
        <is>
          <t>fixed one-unit hypothetical scoring; no real exposure or execution</t>
        </is>
      </c>
    </row>
    <row r="56" ht="36" customHeight="1">
      <c r="A56" s="24" t="inlineStr">
        <is>
          <t>634e9b9c56164f59</t>
        </is>
      </c>
      <c r="B56" s="24" t="inlineStr">
        <is>
          <t>2026-07-18T16:44:20.099051Z</t>
        </is>
      </c>
      <c r="C56" s="24" t="inlineStr">
        <is>
          <t>2026-07-18T19:10:00-0400</t>
        </is>
      </c>
      <c r="D56" s="24" t="inlineStr">
        <is>
          <t>401816159</t>
        </is>
      </c>
      <c r="E56" s="24" t="inlineStr">
        <is>
          <t>MLB</t>
        </is>
      </c>
      <c r="F56" s="24" t="inlineStr">
        <is>
          <t>Pittsburgh Pirates</t>
        </is>
      </c>
      <c r="G56" s="24" t="inlineStr">
        <is>
          <t>Cleveland Guardians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-102</v>
      </c>
      <c r="M56" s="27" t="n">
        <v>1.980392</v>
      </c>
      <c r="N56" s="28" t="n">
        <v>0.50495</v>
      </c>
      <c r="O56" s="28" t="n">
        <v>0.554084</v>
      </c>
      <c r="P56" s="28" t="n"/>
      <c r="Q56" s="28" t="n">
        <v>0.049134</v>
      </c>
      <c r="R56" s="26" t="n">
        <v>75</v>
      </c>
      <c r="S56" s="29" t="n">
        <v>1</v>
      </c>
      <c r="T56" s="24" t="inlineStr">
        <is>
          <t>mlb-elo-trend-lr-v3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5</v>
      </c>
      <c r="Y56" s="25" t="n"/>
      <c r="Z56" s="26" t="n"/>
      <c r="AA56" s="28" t="n"/>
      <c r="AB56" s="28" t="n"/>
      <c r="AC56" s="30" t="n">
        <v>0.9804</v>
      </c>
      <c r="AD56" s="24" t="inlineStr">
        <is>
          <t>2026-07-18T23:59:20.697637Z</t>
        </is>
      </c>
      <c r="AE56" s="31" t="inlineStr">
        <is>
          <t>Learned LR call at threshold 0.5500; executable ask 0.5050 (aec-mlb-pit-cle-2026-07-18).</t>
        </is>
      </c>
      <c r="AF56" s="31" t="inlineStr">
        <is>
          <t>Learned model; promotion gate not yet open; zero-unit research until review.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mlb-pit</t>
        </is>
      </c>
      <c r="AQ56" s="24" t="inlineStr">
        <is>
          <t>Pittsburgh Pirates</t>
        </is>
      </c>
      <c r="AR56" s="24" t="inlineStr">
        <is>
          <t>Pittsburgh Pirates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c97732889cfca1912f8d78791ff63f04ee3fe987951aced9e4fab541932597cd</t>
        </is>
      </c>
      <c r="BB56" s="24" t="inlineStr">
        <is>
          <t>learned_lr</t>
        </is>
      </c>
      <c r="BC56" s="24" t="inlineStr">
        <is>
          <t>mlb-elo-trend-lr-v3</t>
        </is>
      </c>
      <c r="BD56" s="24" t="inlineStr">
        <is>
          <t>c97732889cfca1912f8d78791ff63f04ee3fe987951aced9e4fab541932597cd</t>
        </is>
      </c>
      <c r="BE56" s="24" t="inlineStr">
        <is>
          <t>3c0f9e9f1d0333c4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2026-07-18T16:42:59.880808Z</t>
        </is>
      </c>
      <c r="BI56" s="24" t="inlineStr">
        <is>
          <t>["same_event","same_team_same_day","same_league_same_day"]</t>
        </is>
      </c>
      <c r="BJ56" s="25" t="n"/>
      <c r="BK56" s="26" t="n">
        <v>-102</v>
      </c>
      <c r="BL56" s="27" t="n">
        <v>1.980392</v>
      </c>
      <c r="BM56" s="28" t="n">
        <v>0.50495</v>
      </c>
      <c r="BN56" s="28" t="n">
        <v>0.502488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0.980392</v>
      </c>
      <c r="BZ56" s="24" t="inlineStr">
        <is>
          <t>2026-07-18T23:59:20.697637Z</t>
        </is>
      </c>
      <c r="CA56" s="31" t="inlineStr">
        <is>
          <t>fixed one-unit hypothetical scoring; no real exposure or execution</t>
        </is>
      </c>
    </row>
    <row r="57" ht="36" customHeight="1">
      <c r="A57" s="24" t="inlineStr">
        <is>
          <t>0a1abd6e59a84720</t>
        </is>
      </c>
      <c r="B57" s="24" t="inlineStr">
        <is>
          <t>2026-07-18T16:44:20.099051Z</t>
        </is>
      </c>
      <c r="C57" s="24" t="inlineStr">
        <is>
          <t>2026-07-18T20:08:00-0400</t>
        </is>
      </c>
      <c r="D57" s="24" t="inlineStr">
        <is>
          <t>401816168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Seattle Mariners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0.627758</v>
      </c>
      <c r="P57" s="28" t="n"/>
      <c r="Q57" s="28" t="n">
        <v>0.047926</v>
      </c>
      <c r="R57" s="26" t="n">
        <v>74</v>
      </c>
      <c r="S57" s="29" t="n">
        <v>1.75</v>
      </c>
      <c r="T57" s="24" t="inlineStr">
        <is>
          <t>mlb-elo-trend-lr-v3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4</v>
      </c>
      <c r="Y57" s="25" t="n"/>
      <c r="Z57" s="26" t="n"/>
      <c r="AA57" s="28" t="n"/>
      <c r="AB57" s="28" t="n"/>
      <c r="AC57" s="30" t="n">
        <v>1.2681</v>
      </c>
      <c r="AD57" s="24" t="inlineStr">
        <is>
          <t>2026-07-19T06:08:38.177875Z</t>
        </is>
      </c>
      <c r="AE57" s="31" t="inlineStr">
        <is>
          <t>Learned LR call at threshold 0.5500; executable ask 0.5800 (aec-mlb-sf-sea-2026-07-18).</t>
        </is>
      </c>
      <c r="AF57" s="31" t="inlineStr">
        <is>
          <t>Learned model; promotion gate not yet open; zero-unit research until review.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mlb-sea</t>
        </is>
      </c>
      <c r="AT57" s="24" t="inlineStr">
        <is>
          <t>Seattle Mariners</t>
        </is>
      </c>
      <c r="AU57" s="24" t="inlineStr">
        <is>
          <t>Seattle Mariners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c97732889cfca1912f8d78791ff63f04ee3fe987951aced9e4fab541932597cd</t>
        </is>
      </c>
      <c r="BB57" s="24" t="inlineStr">
        <is>
          <t>learned_lr</t>
        </is>
      </c>
      <c r="BC57" s="24" t="inlineStr">
        <is>
          <t>mlb-elo-trend-lr-v3</t>
        </is>
      </c>
      <c r="BD57" s="24" t="inlineStr">
        <is>
          <t>c97732889cfca1912f8d78791ff63f04ee3fe987951aced9e4fab541932597cd</t>
        </is>
      </c>
      <c r="BE57" s="24" t="inlineStr">
        <is>
          <t>29d502a7704e228f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2026-07-18T16:43:04.779295Z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>
        <v>1</v>
      </c>
      <c r="BY57" s="27" t="n">
        <v>0.724638</v>
      </c>
      <c r="BZ57" s="24" t="inlineStr">
        <is>
          <t>2026-07-19T06:08:38.177875Z</t>
        </is>
      </c>
      <c r="CA57" s="31" t="inlineStr">
        <is>
          <t>fixed one-unit hypothetical scoring; no real exposure or execution</t>
        </is>
      </c>
    </row>
    <row r="58" ht="36" customHeight="1">
      <c r="A58" s="24" t="inlineStr">
        <is>
          <t>534daa3057c4428f</t>
        </is>
      </c>
      <c r="B58" s="24" t="inlineStr">
        <is>
          <t>2026-07-18T16:44:20.099051Z</t>
        </is>
      </c>
      <c r="C58" s="24" t="inlineStr">
        <is>
          <t>2026-07-18T22:05:00-0400</t>
        </is>
      </c>
      <c r="D58" s="24" t="inlineStr">
        <is>
          <t>401816170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Athletics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102</v>
      </c>
      <c r="M58" s="27" t="n">
        <v>2.02</v>
      </c>
      <c r="N58" s="28" t="n">
        <v>0.49505</v>
      </c>
      <c r="O58" s="28" t="n">
        <v>0.569735</v>
      </c>
      <c r="P58" s="28" t="n"/>
      <c r="Q58" s="28" t="n">
        <v>0.074685</v>
      </c>
      <c r="R58" s="26" t="n">
        <v>87</v>
      </c>
      <c r="S58" s="29" t="n">
        <v>1.25</v>
      </c>
      <c r="T58" s="24" t="inlineStr">
        <is>
          <t>mlb-elo-trend-lr-v3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15</v>
      </c>
      <c r="Y58" s="25" t="n"/>
      <c r="Z58" s="26" t="n"/>
      <c r="AA58" s="28" t="n"/>
      <c r="AB58" s="28" t="n"/>
      <c r="AC58" s="30" t="n">
        <v>1.275</v>
      </c>
      <c r="AD58" s="24" t="inlineStr">
        <is>
          <t>2026-07-19T06:08:38.355137Z</t>
        </is>
      </c>
      <c r="AE58" s="31" t="inlineStr">
        <is>
          <t>Learned LR call at threshold 0.5500; executable ask 0.4950 (aec-mlb-wsh-ath-2026-07-18).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mlb-ath</t>
        </is>
      </c>
      <c r="AT58" s="24" t="inlineStr">
        <is>
          <t>Athletics</t>
        </is>
      </c>
      <c r="AU58" s="24" t="inlineStr">
        <is>
          <t>Athletics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c97732889cfca1912f8d78791ff63f04ee3fe987951aced9e4fab541932597cd</t>
        </is>
      </c>
      <c r="BB58" s="24" t="inlineStr">
        <is>
          <t>learned_lr</t>
        </is>
      </c>
      <c r="BC58" s="24" t="inlineStr">
        <is>
          <t>mlb-elo-trend-lr-v3</t>
        </is>
      </c>
      <c r="BD58" s="24" t="inlineStr">
        <is>
          <t>c97732889cfca1912f8d78791ff63f04ee3fe987951aced9e4fab541932597cd</t>
        </is>
      </c>
      <c r="BE58" s="24" t="inlineStr">
        <is>
          <t>d2faed7be6c04691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2026-07-18T16:43:06.321641Z</t>
        </is>
      </c>
      <c r="BI58" s="24" t="inlineStr">
        <is>
          <t>["same_event","same_team_same_day","same_league_same_day"]</t>
        </is>
      </c>
      <c r="BJ58" s="25" t="n"/>
      <c r="BK58" s="26" t="n">
        <v>102</v>
      </c>
      <c r="BL58" s="27" t="n">
        <v>2.02</v>
      </c>
      <c r="BM58" s="28" t="n">
        <v>0.49505</v>
      </c>
      <c r="BN58" s="28" t="n">
        <v>0.492537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>
        <v>1</v>
      </c>
      <c r="BY58" s="27" t="n">
        <v>1.02</v>
      </c>
      <c r="BZ58" s="24" t="inlineStr">
        <is>
          <t>2026-07-19T06:08:38.355137Z</t>
        </is>
      </c>
      <c r="CA58" s="31" t="inlineStr">
        <is>
          <t>fixed one-unit hypothetical scoring; no real exposure or execution</t>
        </is>
      </c>
    </row>
    <row r="59" ht="36" customHeight="1">
      <c r="A59" s="24" t="inlineStr">
        <is>
          <t>5ab4cdd6444d4f9b</t>
        </is>
      </c>
      <c r="B59" s="24" t="inlineStr">
        <is>
          <t>2026-07-18T16:50:38.270483Z</t>
        </is>
      </c>
      <c r="C59" s="24" t="inlineStr">
        <is>
          <t>2026-07-18T16:10:00-0400</t>
        </is>
      </c>
      <c r="D59" s="24" t="inlineStr">
        <is>
          <t>401816162</t>
        </is>
      </c>
      <c r="E59" s="24" t="inlineStr">
        <is>
          <t>MLB</t>
        </is>
      </c>
      <c r="F59" s="24" t="inlineStr">
        <is>
          <t>Baltimore Orioles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-102</v>
      </c>
      <c r="M59" s="27" t="n">
        <v>1.980392</v>
      </c>
      <c r="N59" s="28" t="n">
        <v>0.50495</v>
      </c>
      <c r="O59" s="28" t="n">
        <v>0.545167</v>
      </c>
      <c r="P59" s="28" t="n"/>
      <c r="Q59" s="28" t="n">
        <v>0.040217</v>
      </c>
      <c r="R59" s="26" t="n">
        <v>70</v>
      </c>
      <c r="S59" s="29" t="n">
        <v>1</v>
      </c>
      <c r="T59" s="24" t="inlineStr">
        <is>
          <t>mlb-elo-trend-lr-v3</t>
        </is>
      </c>
      <c r="U59" s="24" t="inlineStr">
        <is>
          <t>settled</t>
        </is>
      </c>
      <c r="V59" s="24" t="inlineStr">
        <is>
          <t>loss</t>
        </is>
      </c>
      <c r="W59" s="26" t="n">
        <v>4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2026-07-18T23:59:20.760772Z</t>
        </is>
      </c>
      <c r="AE59" s="31" t="inlineStr">
        <is>
          <t>Learned LR call at threshold 0.5100; executable ask 0.5050 (aec-mlb-bal-hou-2026-07-18).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mlb-bal</t>
        </is>
      </c>
      <c r="AQ59" s="24" t="inlineStr">
        <is>
          <t>Baltimore Orioles</t>
        </is>
      </c>
      <c r="AR59" s="24" t="inlineStr">
        <is>
          <t>Baltimore Orioles</t>
        </is>
      </c>
      <c r="AS59" s="24" t="inlineStr">
        <is>
          <t>mlb-hou</t>
        </is>
      </c>
      <c r="AT59" s="24" t="inlineStr">
        <is>
          <t>Houston Astros</t>
        </is>
      </c>
      <c r="AU59" s="24" t="inlineStr">
        <is>
          <t>Houston Astros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40e5d70a6fae1347ad85569354088d9df4f2d6970f7d7c2f9d4924d65efd0c19</t>
        </is>
      </c>
      <c r="BB59" s="24" t="inlineStr">
        <is>
          <t>learned_lr</t>
        </is>
      </c>
      <c r="BC59" s="24" t="inlineStr">
        <is>
          <t>mlb-elo-trend-lr-v3</t>
        </is>
      </c>
      <c r="BD59" s="24" t="inlineStr">
        <is>
          <t>40e5d70a6fae1347ad85569354088d9df4f2d6970f7d7c2f9d4924d65efd0c19</t>
        </is>
      </c>
      <c r="BE59" s="24" t="inlineStr">
        <is>
          <t>f6cae9c590f4ed48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2026-07-18T16:49:31.642864Z</t>
        </is>
      </c>
      <c r="BI59" s="24" t="inlineStr">
        <is>
          <t>["same_event","same_team_same_day","same_league_same_day"]</t>
        </is>
      </c>
      <c r="BJ59" s="25" t="n"/>
      <c r="BK59" s="26" t="n">
        <v>-102</v>
      </c>
      <c r="BL59" s="27" t="n">
        <v>1.980392</v>
      </c>
      <c r="BM59" s="28" t="n">
        <v>0.50495</v>
      </c>
      <c r="BN59" s="28" t="n">
        <v>0.502488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inlineStr">
        <is>
          <t>2026-07-18T23:59:20.760772Z</t>
        </is>
      </c>
      <c r="CA59" s="31" t="inlineStr">
        <is>
          <t>fixed one-unit hypothetical scoring; no real exposure or execution</t>
        </is>
      </c>
    </row>
    <row r="60" ht="36" customHeight="1">
      <c r="A60" s="24" t="inlineStr">
        <is>
          <t>6768ed78d65e4f03</t>
        </is>
      </c>
      <c r="B60" s="24" t="inlineStr">
        <is>
          <t>2026-07-18T17:28:36.828868Z</t>
        </is>
      </c>
      <c r="C60" s="24" t="inlineStr">
        <is>
          <t>2026-07-18T16:10:00-0400</t>
        </is>
      </c>
      <c r="D60" s="24" t="inlineStr">
        <is>
          <t>401816160</t>
        </is>
      </c>
      <c r="E60" s="24" t="inlineStr">
        <is>
          <t>MLB</t>
        </is>
      </c>
      <c r="F60" s="24" t="inlineStr">
        <is>
          <t>Tampa Bay Rays</t>
        </is>
      </c>
      <c r="G60" s="24" t="inlineStr">
        <is>
          <t>Boston Red Sox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0.5727179999999999</v>
      </c>
      <c r="P60" s="28" t="n"/>
      <c r="Q60" s="28" t="n">
        <v>0.06776799999999999</v>
      </c>
      <c r="R60" s="26" t="n">
        <v>84</v>
      </c>
      <c r="S60" s="29" t="n">
        <v>1.25</v>
      </c>
      <c r="T60" s="24" t="inlineStr">
        <is>
          <t>mlb-elo-trend-lr-v3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6</v>
      </c>
      <c r="X60" s="26" t="n">
        <v>7</v>
      </c>
      <c r="Y60" s="25" t="n"/>
      <c r="Z60" s="26" t="n"/>
      <c r="AA60" s="28" t="n"/>
      <c r="AB60" s="28" t="n"/>
      <c r="AC60" s="30" t="n">
        <v>1.2255</v>
      </c>
      <c r="AD60" s="24" t="inlineStr">
        <is>
          <t>2026-07-18T23:59:20.822768Z</t>
        </is>
      </c>
      <c r="AE60" s="31" t="inlineStr">
        <is>
          <t>Learned LR call at threshold 0.5100; executable ask 0.5050 (aec-mlb-tb-bos-2026-07-18).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mlb-tb</t>
        </is>
      </c>
      <c r="AQ60" s="24" t="inlineStr">
        <is>
          <t>Tampa Bay Rays</t>
        </is>
      </c>
      <c r="AR60" s="24" t="inlineStr">
        <is>
          <t>Tampa Bay Rays</t>
        </is>
      </c>
      <c r="AS60" s="24" t="inlineStr">
        <is>
          <t>mlb-bos</t>
        </is>
      </c>
      <c r="AT60" s="24" t="inlineStr">
        <is>
          <t>Boston Red Sox</t>
        </is>
      </c>
      <c r="AU60" s="24" t="inlineStr">
        <is>
          <t>Boston Red Sox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21de40f664c548e677d8ffc04521004b3df55963718b1d039537d56f08b84fb1</t>
        </is>
      </c>
      <c r="BB60" s="24" t="inlineStr">
        <is>
          <t>learned_lr</t>
        </is>
      </c>
      <c r="BC60" s="24" t="inlineStr">
        <is>
          <t>mlb-elo-trend-lr-v3</t>
        </is>
      </c>
      <c r="BD60" s="24" t="inlineStr">
        <is>
          <t>21de40f664c548e677d8ffc04521004b3df55963718b1d039537d56f08b84fb1</t>
        </is>
      </c>
      <c r="BE60" s="24" t="inlineStr">
        <is>
          <t>db0a002aa4e19b4b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2026-07-18T17:27:47.084596Z</t>
        </is>
      </c>
      <c r="BI60" s="24" t="inlineStr">
        <is>
          <t>["same_event","same_team_same_day","same_league_same_day"]</t>
        </is>
      </c>
      <c r="BJ60" s="25" t="n"/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>
        <v>1</v>
      </c>
      <c r="BY60" s="27" t="n">
        <v>0.980392</v>
      </c>
      <c r="BZ60" s="24" t="inlineStr">
        <is>
          <t>2026-07-18T23:59:20.822768Z</t>
        </is>
      </c>
      <c r="CA60" s="31" t="inlineStr">
        <is>
          <t>fixed one-unit hypothetical scoring; no real exposure or execution</t>
        </is>
      </c>
    </row>
    <row r="61" ht="36" customHeight="1">
      <c r="A61" s="24" t="inlineStr">
        <is>
          <t>924907abbb534b0a</t>
        </is>
      </c>
      <c r="B61" s="24" t="inlineStr">
        <is>
          <t>2026-07-18T17:28:36.828868Z</t>
        </is>
      </c>
      <c r="C61" s="24" t="inlineStr">
        <is>
          <t>2026-07-18T16:10:00-0400</t>
        </is>
      </c>
      <c r="D61" s="24" t="inlineStr">
        <is>
          <t>401816165</t>
        </is>
      </c>
      <c r="E61" s="24" t="inlineStr">
        <is>
          <t>MLB</t>
        </is>
      </c>
      <c r="F61" s="24" t="inlineStr">
        <is>
          <t>San Diego Padres</t>
        </is>
      </c>
      <c r="G61" s="24" t="inlineStr">
        <is>
          <t>Kansas City Royals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-104</v>
      </c>
      <c r="M61" s="27" t="n">
        <v>1.961538</v>
      </c>
      <c r="N61" s="28" t="n">
        <v>0.509804</v>
      </c>
      <c r="O61" s="28" t="n">
        <v>0.5306149999999999</v>
      </c>
      <c r="P61" s="28" t="n"/>
      <c r="Q61" s="28" t="n">
        <v>0.020811</v>
      </c>
      <c r="R61" s="26" t="n">
        <v>60</v>
      </c>
      <c r="S61" s="29" t="n">
        <v>0.75</v>
      </c>
      <c r="T61" s="24" t="inlineStr">
        <is>
          <t>mlb-elo-trend-lr-v3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6</v>
      </c>
      <c r="Y61" s="25" t="n"/>
      <c r="Z61" s="26" t="n"/>
      <c r="AA61" s="28" t="n"/>
      <c r="AB61" s="28" t="n"/>
      <c r="AC61" s="30" t="n">
        <v>-0.75</v>
      </c>
      <c r="AD61" s="24" t="inlineStr">
        <is>
          <t>2026-07-18T23:59:20.891397Z</t>
        </is>
      </c>
      <c r="AE61" s="31" t="inlineStr">
        <is>
          <t>Learned LR call at threshold 0.5100; executable ask 0.5100 (aec-mlb-sd-kc-2026-07-18).</t>
        </is>
      </c>
      <c r="AF61" s="31" t="inlineStr">
        <is>
          <t>Learned model; promotion gate not yet open; zero-unit research until review.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mlb-sd</t>
        </is>
      </c>
      <c r="AQ61" s="24" t="inlineStr">
        <is>
          <t>San Diego Padres</t>
        </is>
      </c>
      <c r="AR61" s="24" t="inlineStr">
        <is>
          <t>San Diego Padres</t>
        </is>
      </c>
      <c r="AS61" s="24" t="inlineStr">
        <is>
          <t>mlb-kc</t>
        </is>
      </c>
      <c r="AT61" s="24" t="inlineStr">
        <is>
          <t>Kansas City Royals</t>
        </is>
      </c>
      <c r="AU61" s="24" t="inlineStr">
        <is>
          <t>Kansas City Royals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21de40f664c548e677d8ffc04521004b3df55963718b1d039537d56f08b84fb1</t>
        </is>
      </c>
      <c r="BB61" s="24" t="inlineStr">
        <is>
          <t>learned_lr</t>
        </is>
      </c>
      <c r="BC61" s="24" t="inlineStr">
        <is>
          <t>mlb-elo-trend-lr-v3</t>
        </is>
      </c>
      <c r="BD61" s="24" t="inlineStr">
        <is>
          <t>21de40f664c548e677d8ffc04521004b3df55963718b1d039537d56f08b84fb1</t>
        </is>
      </c>
      <c r="BE61" s="24" t="inlineStr">
        <is>
          <t>ed4675d45b8d4ffe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2026-07-18T17:27:46.135351Z</t>
        </is>
      </c>
      <c r="BI61" s="24" t="inlineStr">
        <is>
          <t>["same_event","same_team_same_day","same_league_same_day"]</t>
        </is>
      </c>
      <c r="BJ61" s="25" t="n"/>
      <c r="BK61" s="26" t="n">
        <v>-104</v>
      </c>
      <c r="BL61" s="27" t="n">
        <v>1.961538</v>
      </c>
      <c r="BM61" s="28" t="n">
        <v>0.509804</v>
      </c>
      <c r="BN61" s="28" t="n">
        <v>0.507463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>
        <v>1</v>
      </c>
      <c r="BY61" s="27" t="n">
        <v>-1</v>
      </c>
      <c r="BZ61" s="24" t="inlineStr">
        <is>
          <t>2026-07-18T23:59:20.891397Z</t>
        </is>
      </c>
      <c r="CA61" s="31" t="inlineStr">
        <is>
          <t>fixed one-unit hypothetical scoring; no real exposure or execution</t>
        </is>
      </c>
    </row>
    <row r="62" ht="36" customHeight="1">
      <c r="A62" s="24" t="inlineStr">
        <is>
          <t>48c8669ffc2149cc</t>
        </is>
      </c>
      <c r="B62" s="24" t="inlineStr">
        <is>
          <t>2026-07-18T17:37:17.255201Z</t>
        </is>
      </c>
      <c r="C62" s="24" t="inlineStr">
        <is>
          <t>2026-07-19T12:15:00-0400</t>
        </is>
      </c>
      <c r="D62" s="24" t="inlineStr">
        <is>
          <t>401816171</t>
        </is>
      </c>
      <c r="E62" s="24" t="inlineStr">
        <is>
          <t>MLB</t>
        </is>
      </c>
      <c r="F62" s="24" t="inlineStr">
        <is>
          <t>Chicago White Sox</t>
        </is>
      </c>
      <c r="G62" s="24" t="inlineStr">
        <is>
          <t>Toronto Blue Jays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-104</v>
      </c>
      <c r="M62" s="27" t="n">
        <v>1.961538</v>
      </c>
      <c r="N62" s="28" t="n">
        <v>0.509804</v>
      </c>
      <c r="O62" s="28" t="n">
        <v>0.549576</v>
      </c>
      <c r="P62" s="28" t="n"/>
      <c r="Q62" s="28" t="n">
        <v>0.039772</v>
      </c>
      <c r="R62" s="26" t="n">
        <v>70</v>
      </c>
      <c r="S62" s="29" t="n">
        <v>1</v>
      </c>
      <c r="T62" s="24" t="inlineStr">
        <is>
          <t>mlb-elo-trend-lr-v3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2026-07-19T21:31:34.426330Z</t>
        </is>
      </c>
      <c r="AE62" s="31" t="inlineStr">
        <is>
          <t>Learned LR call at threshold 0.5100; executable ask 0.5100 (aec-mlb-cws-tor-2026-07-19).</t>
        </is>
      </c>
      <c r="AF62" s="31" t="inlineStr">
        <is>
          <t>Learned model; promotion gate not yet open; zero-unit research until review.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mlb-cws</t>
        </is>
      </c>
      <c r="AQ62" s="24" t="inlineStr">
        <is>
          <t>Chicago White Sox</t>
        </is>
      </c>
      <c r="AR62" s="24" t="inlineStr">
        <is>
          <t>Chicago White Sox</t>
        </is>
      </c>
      <c r="AS62" s="24" t="inlineStr">
        <is>
          <t>mlb-tor</t>
        </is>
      </c>
      <c r="AT62" s="24" t="inlineStr">
        <is>
          <t>Toronto Blue Jays</t>
        </is>
      </c>
      <c r="AU62" s="24" t="inlineStr">
        <is>
          <t>Toronto Blue Jays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21de40f664c548e677d8ffc04521004b3df55963718b1d039537d56f08b84fb1</t>
        </is>
      </c>
      <c r="BB62" s="24" t="inlineStr">
        <is>
          <t>learned_lr</t>
        </is>
      </c>
      <c r="BC62" s="24" t="inlineStr">
        <is>
          <t>mlb-elo-trend-lr-v3</t>
        </is>
      </c>
      <c r="BD62" s="24" t="inlineStr">
        <is>
          <t>21de40f664c548e677d8ffc04521004b3df55963718b1d039537d56f08b84fb1</t>
        </is>
      </c>
      <c r="BE62" s="24" t="inlineStr">
        <is>
          <t>50f6dab0538e7f4a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2026-07-18T17:36:34.425604Z</t>
        </is>
      </c>
      <c r="BI62" s="24" t="inlineStr">
        <is>
          <t>["same_event","same_team_same_day","same_league_same_day"]</t>
        </is>
      </c>
      <c r="BJ62" s="25" t="n"/>
      <c r="BK62" s="26" t="n">
        <v>-104</v>
      </c>
      <c r="BL62" s="27" t="n">
        <v>1.961538</v>
      </c>
      <c r="BM62" s="28" t="n">
        <v>0.509804</v>
      </c>
      <c r="BN62" s="28" t="n">
        <v>0.507463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inlineStr">
        <is>
          <t>2026-07-19T21:31:34.426330Z</t>
        </is>
      </c>
      <c r="CA62" s="31" t="inlineStr">
        <is>
          <t>fixed one-unit hypothetical scoring; no real exposure or execution</t>
        </is>
      </c>
    </row>
    <row r="63" ht="36" customHeight="1">
      <c r="A63" s="24" t="inlineStr">
        <is>
          <t>5290104d16c8463b</t>
        </is>
      </c>
      <c r="B63" s="24" t="inlineStr">
        <is>
          <t>2026-07-18T17:37:17.255201Z</t>
        </is>
      </c>
      <c r="C63" s="24" t="inlineStr">
        <is>
          <t>2026-07-19T13:35:00-0400</t>
        </is>
      </c>
      <c r="D63" s="24" t="inlineStr">
        <is>
          <t>401816173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-111</v>
      </c>
      <c r="M63" s="27" t="n">
        <v>1.900901</v>
      </c>
      <c r="N63" s="28" t="n">
        <v>0.526066</v>
      </c>
      <c r="O63" s="28" t="n">
        <v>0.606009</v>
      </c>
      <c r="P63" s="28" t="n"/>
      <c r="Q63" s="28" t="n">
        <v>0.079943</v>
      </c>
      <c r="R63" s="26" t="n">
        <v>90</v>
      </c>
      <c r="S63" s="29" t="n">
        <v>1.5</v>
      </c>
      <c r="T63" s="24" t="inlineStr">
        <is>
          <t>mlb-elo-trend-lr-v3</t>
        </is>
      </c>
      <c r="U63" s="24" t="inlineStr">
        <is>
          <t>settled</t>
        </is>
      </c>
      <c r="V63" s="24" t="inlineStr">
        <is>
          <t>loss</t>
        </is>
      </c>
      <c r="W63" s="26" t="n">
        <v>6</v>
      </c>
      <c r="X63" s="26" t="n">
        <v>1</v>
      </c>
      <c r="Y63" s="25" t="n"/>
      <c r="Z63" s="26" t="n"/>
      <c r="AA63" s="28" t="n"/>
      <c r="AB63" s="28" t="n"/>
      <c r="AC63" s="30" t="n">
        <v>-1.5</v>
      </c>
      <c r="AD63" s="24" t="inlineStr">
        <is>
          <t>2026-07-19T21:31:34.633018Z</t>
        </is>
      </c>
      <c r="AE63" s="31" t="inlineStr">
        <is>
          <t>Learned LR call at threshold 0.5100; executable ask 0.5250 (aec-mlb-nym-phi-2026-07-19).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21de40f664c548e677d8ffc04521004b3df55963718b1d039537d56f08b84fb1</t>
        </is>
      </c>
      <c r="BB63" s="24" t="inlineStr">
        <is>
          <t>learned_lr</t>
        </is>
      </c>
      <c r="BC63" s="24" t="inlineStr">
        <is>
          <t>mlb-elo-trend-lr-v3</t>
        </is>
      </c>
      <c r="BD63" s="24" t="inlineStr">
        <is>
          <t>21de40f664c548e677d8ffc04521004b3df55963718b1d039537d56f08b84fb1</t>
        </is>
      </c>
      <c r="BE63" s="24" t="inlineStr">
        <is>
          <t>ce93768fc5c8be02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2026-07-18T17:36:34.787099Z</t>
        </is>
      </c>
      <c r="BI63" s="24" t="inlineStr">
        <is>
          <t>["same_event","same_team_same_day","same_league_same_day"]</t>
        </is>
      </c>
      <c r="BJ63" s="25" t="n"/>
      <c r="BK63" s="26" t="n">
        <v>-111</v>
      </c>
      <c r="BL63" s="27" t="n">
        <v>1.900901</v>
      </c>
      <c r="BM63" s="28" t="n">
        <v>0.526066</v>
      </c>
      <c r="BN63" s="28" t="n">
        <v>0.522388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-1</v>
      </c>
      <c r="BZ63" s="24" t="inlineStr">
        <is>
          <t>2026-07-19T21:31:34.633018Z</t>
        </is>
      </c>
      <c r="CA63" s="31" t="inlineStr">
        <is>
          <t>fixed one-unit hypothetical scoring; no real exposure or execution</t>
        </is>
      </c>
    </row>
    <row r="64" ht="36" customHeight="1">
      <c r="A64" s="24" t="inlineStr">
        <is>
          <t>7a4271bd40494914</t>
        </is>
      </c>
      <c r="B64" s="24" t="inlineStr">
        <is>
          <t>2026-07-18T17:37:17.255201Z</t>
        </is>
      </c>
      <c r="C64" s="24" t="inlineStr">
        <is>
          <t>2026-07-19T13:35:00-0400</t>
        </is>
      </c>
      <c r="D64" s="24" t="inlineStr">
        <is>
          <t>401816175</t>
        </is>
      </c>
      <c r="E64" s="24" t="inlineStr">
        <is>
          <t>MLB</t>
        </is>
      </c>
      <c r="F64" s="24" t="inlineStr">
        <is>
          <t>Tampa Bay Rays</t>
        </is>
      </c>
      <c r="G64" s="24" t="inlineStr">
        <is>
          <t>Boston Red Sox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-108</v>
      </c>
      <c r="M64" s="27" t="n">
        <v>1.925926</v>
      </c>
      <c r="N64" s="28" t="n">
        <v>0.519231</v>
      </c>
      <c r="O64" s="28" t="n">
        <v>0.550576</v>
      </c>
      <c r="P64" s="28" t="n"/>
      <c r="Q64" s="28" t="n">
        <v>0.031345</v>
      </c>
      <c r="R64" s="26" t="n">
        <v>66</v>
      </c>
      <c r="S64" s="29" t="n">
        <v>1</v>
      </c>
      <c r="T64" s="24" t="inlineStr">
        <is>
          <t>mlb-elo-trend-lr-v3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6</v>
      </c>
      <c r="Y64" s="25" t="n"/>
      <c r="Z64" s="26" t="n"/>
      <c r="AA64" s="28" t="n"/>
      <c r="AB64" s="28" t="n"/>
      <c r="AC64" s="30" t="n">
        <v>0.9258999999999999</v>
      </c>
      <c r="AD64" s="24" t="inlineStr">
        <is>
          <t>2026-07-19T21:31:34.820097Z</t>
        </is>
      </c>
      <c r="AE64" s="31" t="inlineStr">
        <is>
          <t>Learned LR call at threshold 0.5100; executable ask 0.5200 (aec-mlb-tb-bos-2026-07-19).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mlb-tb</t>
        </is>
      </c>
      <c r="AQ64" s="24" t="inlineStr">
        <is>
          <t>Tampa Bay Rays</t>
        </is>
      </c>
      <c r="AR64" s="24" t="inlineStr">
        <is>
          <t>Tampa Bay Rays</t>
        </is>
      </c>
      <c r="AS64" s="24" t="inlineStr">
        <is>
          <t>mlb-bos</t>
        </is>
      </c>
      <c r="AT64" s="24" t="inlineStr">
        <is>
          <t>Boston Red Sox</t>
        </is>
      </c>
      <c r="AU64" s="24" t="inlineStr">
        <is>
          <t>Boston Red Sox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21de40f664c548e677d8ffc04521004b3df55963718b1d039537d56f08b84fb1</t>
        </is>
      </c>
      <c r="BB64" s="24" t="inlineStr">
        <is>
          <t>learned_lr</t>
        </is>
      </c>
      <c r="BC64" s="24" t="inlineStr">
        <is>
          <t>mlb-elo-trend-lr-v3</t>
        </is>
      </c>
      <c r="BD64" s="24" t="inlineStr">
        <is>
          <t>21de40f664c548e677d8ffc04521004b3df55963718b1d039537d56f08b84fb1</t>
        </is>
      </c>
      <c r="BE64" s="24" t="inlineStr">
        <is>
          <t>1e50d689e0ba0748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2026-07-18T17:36:36.879504Z</t>
        </is>
      </c>
      <c r="BI64" s="24" t="inlineStr">
        <is>
          <t>["same_event","same_team_same_day","same_league_same_day"]</t>
        </is>
      </c>
      <c r="BJ64" s="25" t="n"/>
      <c r="BK64" s="26" t="n">
        <v>-108</v>
      </c>
      <c r="BL64" s="27" t="n">
        <v>1.925926</v>
      </c>
      <c r="BM64" s="28" t="n">
        <v>0.519231</v>
      </c>
      <c r="BN64" s="28" t="n">
        <v>0.5148509999999999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>
        <v>1</v>
      </c>
      <c r="BY64" s="27" t="n">
        <v>0.925926</v>
      </c>
      <c r="BZ64" s="24" t="inlineStr">
        <is>
          <t>2026-07-19T21:31:34.820097Z</t>
        </is>
      </c>
      <c r="CA64" s="31" t="inlineStr">
        <is>
          <t>fixed one-unit hypothetical scoring; no real exposure or execution</t>
        </is>
      </c>
    </row>
    <row r="65" ht="36" customHeight="1">
      <c r="A65" s="24" t="inlineStr">
        <is>
          <t>6c30433f6943459a</t>
        </is>
      </c>
      <c r="B65" s="24" t="inlineStr">
        <is>
          <t>2026-07-18T17:37:17.255201Z</t>
        </is>
      </c>
      <c r="C65" s="24" t="inlineStr">
        <is>
          <t>2026-07-19T13:40:00-0400</t>
        </is>
      </c>
      <c r="D65" s="24" t="inlineStr">
        <is>
          <t>401816174</t>
        </is>
      </c>
      <c r="E65" s="24" t="inlineStr">
        <is>
          <t>MLB</t>
        </is>
      </c>
      <c r="F65" s="24" t="inlineStr">
        <is>
          <t>Pittsburgh Pirates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111</v>
      </c>
      <c r="M65" s="27" t="n">
        <v>2.11</v>
      </c>
      <c r="N65" s="28" t="n">
        <v>0.473934</v>
      </c>
      <c r="O65" s="28" t="n">
        <v>0.564072</v>
      </c>
      <c r="P65" s="28" t="n"/>
      <c r="Q65" s="28" t="n">
        <v>0.090138</v>
      </c>
      <c r="R65" s="26" t="n">
        <v>95</v>
      </c>
      <c r="S65" s="29" t="n">
        <v>1.25</v>
      </c>
      <c r="T65" s="24" t="inlineStr">
        <is>
          <t>mlb-elo-trend-lr-v3</t>
        </is>
      </c>
      <c r="U65" s="24" t="inlineStr">
        <is>
          <t>settled</t>
        </is>
      </c>
      <c r="V65" s="24" t="inlineStr">
        <is>
          <t>loss</t>
        </is>
      </c>
      <c r="W65" s="26" t="n">
        <v>7</v>
      </c>
      <c r="X65" s="26" t="n">
        <v>1</v>
      </c>
      <c r="Y65" s="25" t="n"/>
      <c r="Z65" s="26" t="n"/>
      <c r="AA65" s="28" t="n"/>
      <c r="AB65" s="28" t="n"/>
      <c r="AC65" s="30" t="n">
        <v>-1.25</v>
      </c>
      <c r="AD65" s="24" t="inlineStr">
        <is>
          <t>2026-07-19T21:31:35.008100Z</t>
        </is>
      </c>
      <c r="AE65" s="31" t="inlineStr">
        <is>
          <t>Learned LR call at threshold 0.5100; executable ask 0.4750 (aec-mlb-pit-cle-2026-07-19).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mlb-pit</t>
        </is>
      </c>
      <c r="AQ65" s="24" t="inlineStr">
        <is>
          <t>Pittsburgh Pirates</t>
        </is>
      </c>
      <c r="AR65" s="24" t="inlineStr">
        <is>
          <t>Pittsburgh Pirates</t>
        </is>
      </c>
      <c r="AS65" s="24" t="inlineStr">
        <is>
          <t>mlb-cle</t>
        </is>
      </c>
      <c r="AT65" s="24" t="inlineStr">
        <is>
          <t>Cleveland Guardians</t>
        </is>
      </c>
      <c r="AU65" s="24" t="inlineStr">
        <is>
          <t>Cleveland Guardians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21de40f664c548e677d8ffc04521004b3df55963718b1d039537d56f08b84fb1</t>
        </is>
      </c>
      <c r="BB65" s="24" t="inlineStr">
        <is>
          <t>learned_lr</t>
        </is>
      </c>
      <c r="BC65" s="24" t="inlineStr">
        <is>
          <t>mlb-elo-trend-lr-v3</t>
        </is>
      </c>
      <c r="BD65" s="24" t="inlineStr">
        <is>
          <t>21de40f664c548e677d8ffc04521004b3df55963718b1d039537d56f08b84fb1</t>
        </is>
      </c>
      <c r="BE65" s="24" t="inlineStr">
        <is>
          <t>5e36475e8b7bf75d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2026-07-18T17:36:37.946655Z</t>
        </is>
      </c>
      <c r="BI65" s="24" t="inlineStr">
        <is>
          <t>["same_event","same_team_same_day","same_league_same_day"]</t>
        </is>
      </c>
      <c r="BJ65" s="25" t="n"/>
      <c r="BK65" s="26" t="n">
        <v>111</v>
      </c>
      <c r="BL65" s="27" t="n">
        <v>2.11</v>
      </c>
      <c r="BM65" s="28" t="n">
        <v>0.473934</v>
      </c>
      <c r="BN65" s="28" t="n">
        <v>0.472637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-1</v>
      </c>
      <c r="BZ65" s="24" t="inlineStr">
        <is>
          <t>2026-07-19T21:31:35.008100Z</t>
        </is>
      </c>
      <c r="CA65" s="31" t="inlineStr">
        <is>
          <t>fixed one-unit hypothetical scoring; no real exposure or execution</t>
        </is>
      </c>
    </row>
    <row r="66" ht="36" customHeight="1">
      <c r="A66" s="24" t="inlineStr">
        <is>
          <t>a96ea6dd6b144441</t>
        </is>
      </c>
      <c r="B66" s="24" t="inlineStr">
        <is>
          <t>2026-07-18T17:37:17.255201Z</t>
        </is>
      </c>
      <c r="C66" s="24" t="inlineStr">
        <is>
          <t>2026-07-19T14:10:00-0400</t>
        </is>
      </c>
      <c r="D66" s="24" t="inlineStr">
        <is>
          <t>401816178</t>
        </is>
      </c>
      <c r="E66" s="24" t="inlineStr">
        <is>
          <t>MLB</t>
        </is>
      </c>
      <c r="F66" s="24" t="inlineStr">
        <is>
          <t>Miami Marlins</t>
        </is>
      </c>
      <c r="G66" s="24" t="inlineStr">
        <is>
          <t>Milwaukee Brewers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-125</v>
      </c>
      <c r="M66" s="27" t="n">
        <v>1.8</v>
      </c>
      <c r="N66" s="28" t="n">
        <v>0.555556</v>
      </c>
      <c r="O66" s="28" t="n">
        <v>0.607169</v>
      </c>
      <c r="P66" s="28" t="n"/>
      <c r="Q66" s="28" t="n">
        <v>0.051613</v>
      </c>
      <c r="R66" s="26" t="n">
        <v>76</v>
      </c>
      <c r="S66" s="29" t="n">
        <v>1.5</v>
      </c>
      <c r="T66" s="24" t="inlineStr">
        <is>
          <t>mlb-elo-trend-lr-v3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3</v>
      </c>
      <c r="Y66" s="25" t="n"/>
      <c r="Z66" s="26" t="n"/>
      <c r="AA66" s="28" t="n"/>
      <c r="AB66" s="28" t="n"/>
      <c r="AC66" s="30" t="n">
        <v>1.2</v>
      </c>
      <c r="AD66" s="24" t="inlineStr">
        <is>
          <t>2026-07-19T21:31:35.195059Z</t>
        </is>
      </c>
      <c r="AE66" s="31" t="inlineStr">
        <is>
          <t>Learned LR call at threshold 0.5100; executable ask 0.5550 (aec-mlb-mia-mil-2026-07-19).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mlb-mia</t>
        </is>
      </c>
      <c r="AQ66" s="24" t="inlineStr">
        <is>
          <t>Miami Marlins</t>
        </is>
      </c>
      <c r="AR66" s="24" t="inlineStr">
        <is>
          <t>Miami Marlins</t>
        </is>
      </c>
      <c r="AS66" s="24" t="inlineStr">
        <is>
          <t>mlb-mil</t>
        </is>
      </c>
      <c r="AT66" s="24" t="inlineStr">
        <is>
          <t>Milwaukee Brewers</t>
        </is>
      </c>
      <c r="AU66" s="24" t="inlineStr">
        <is>
          <t>Milwaukee Brewers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21de40f664c548e677d8ffc04521004b3df55963718b1d039537d56f08b84fb1</t>
        </is>
      </c>
      <c r="BB66" s="24" t="inlineStr">
        <is>
          <t>learned_lr</t>
        </is>
      </c>
      <c r="BC66" s="24" t="inlineStr">
        <is>
          <t>mlb-elo-trend-lr-v3</t>
        </is>
      </c>
      <c r="BD66" s="24" t="inlineStr">
        <is>
          <t>21de40f664c548e677d8ffc04521004b3df55963718b1d039537d56f08b84fb1</t>
        </is>
      </c>
      <c r="BE66" s="24" t="inlineStr">
        <is>
          <t>a0d9b1134dce1744</t>
        </is>
      </c>
      <c r="BF66" s="24" t="inlineStr">
        <is>
          <t>1</t>
        </is>
      </c>
      <c r="BG66" s="24" t="inlineStr">
        <is>
          <t>mlb-elo-trend-lr-v3</t>
        </is>
      </c>
      <c r="BH66" s="24" t="inlineStr">
        <is>
          <t>2026-07-18T17:36:41.204729Z</t>
        </is>
      </c>
      <c r="BI66" s="24" t="inlineStr">
        <is>
          <t>["same_event","same_team_same_day","same_league_same_day"]</t>
        </is>
      </c>
      <c r="BJ66" s="25" t="n"/>
      <c r="BK66" s="26" t="n">
        <v>-125</v>
      </c>
      <c r="BL66" s="27" t="n">
        <v>1.8</v>
      </c>
      <c r="BM66" s="28" t="n">
        <v>0.555556</v>
      </c>
      <c r="BN66" s="28" t="n">
        <v>0.552239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0.8</v>
      </c>
      <c r="BZ66" s="24" t="inlineStr">
        <is>
          <t>2026-07-19T21:31:35.195059Z</t>
        </is>
      </c>
      <c r="CA66" s="31" t="inlineStr">
        <is>
          <t>fixed one-unit hypothetical scoring; no real exposure or execution</t>
        </is>
      </c>
    </row>
    <row r="67" ht="36" customHeight="1">
      <c r="A67" s="24" t="inlineStr">
        <is>
          <t>04b8c864fb464dd7</t>
        </is>
      </c>
      <c r="B67" s="24" t="inlineStr">
        <is>
          <t>2026-07-18T17:37:17.255201Z</t>
        </is>
      </c>
      <c r="C67" s="24" t="inlineStr">
        <is>
          <t>2026-07-19T14:10:00-0400</t>
        </is>
      </c>
      <c r="D67" s="24" t="inlineStr">
        <is>
          <t>401816180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Kansas City Royals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0.520865</v>
      </c>
      <c r="P67" s="28" t="n"/>
      <c r="Q67" s="28" t="n">
        <v>0.035428</v>
      </c>
      <c r="R67" s="26" t="n">
        <v>68</v>
      </c>
      <c r="S67" s="29" t="n">
        <v>0.75</v>
      </c>
      <c r="T67" s="24" t="inlineStr">
        <is>
          <t>mlb-elo-trend-lr-v3</t>
        </is>
      </c>
      <c r="U67" s="24" t="inlineStr">
        <is>
          <t>settled</t>
        </is>
      </c>
      <c r="V67" s="24" t="inlineStr">
        <is>
          <t>win</t>
        </is>
      </c>
      <c r="W67" s="26" t="n">
        <v>19</v>
      </c>
      <c r="X67" s="26" t="n">
        <v>2</v>
      </c>
      <c r="Y67" s="25" t="n"/>
      <c r="Z67" s="26" t="n"/>
      <c r="AA67" s="28" t="n"/>
      <c r="AB67" s="28" t="n"/>
      <c r="AC67" s="30" t="n">
        <v>0.795</v>
      </c>
      <c r="AD67" s="24" t="inlineStr">
        <is>
          <t>2026-07-19T21:31:35.380420Z</t>
        </is>
      </c>
      <c r="AE67" s="31" t="inlineStr">
        <is>
          <t>Learned LR call at threshold 0.5100; executable ask 0.4850 (aec-mlb-sd-kc-2026-07-19).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mlb-kc</t>
        </is>
      </c>
      <c r="AT67" s="24" t="inlineStr">
        <is>
          <t>Kansas City Royals</t>
        </is>
      </c>
      <c r="AU67" s="24" t="inlineStr">
        <is>
          <t>Kansas City Royals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21de40f664c548e677d8ffc04521004b3df55963718b1d039537d56f08b84fb1</t>
        </is>
      </c>
      <c r="BB67" s="24" t="inlineStr">
        <is>
          <t>learned_lr</t>
        </is>
      </c>
      <c r="BC67" s="24" t="inlineStr">
        <is>
          <t>mlb-elo-trend-lr-v3</t>
        </is>
      </c>
      <c r="BD67" s="24" t="inlineStr">
        <is>
          <t>21de40f664c548e677d8ffc04521004b3df55963718b1d039537d56f08b84fb1</t>
        </is>
      </c>
      <c r="BE67" s="24" t="inlineStr">
        <is>
          <t>b9e5139f50e614b7</t>
        </is>
      </c>
      <c r="BF67" s="24" t="inlineStr">
        <is>
          <t>1</t>
        </is>
      </c>
      <c r="BG67" s="24" t="inlineStr">
        <is>
          <t>mlb-elo-trend-lr-v3</t>
        </is>
      </c>
      <c r="BH67" s="24" t="inlineStr">
        <is>
          <t>2026-07-18T17:36:40.632965Z</t>
        </is>
      </c>
      <c r="BI67" s="24" t="inlineStr">
        <is>
          <t>["same_event","same_team_same_day","same_league_same_day"]</t>
        </is>
      </c>
      <c r="BJ67" s="25" t="n"/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>
        <v>1</v>
      </c>
      <c r="BY67" s="27" t="n">
        <v>1.06</v>
      </c>
      <c r="BZ67" s="24" t="inlineStr">
        <is>
          <t>2026-07-19T21:31:35.380420Z</t>
        </is>
      </c>
      <c r="CA67" s="31" t="inlineStr">
        <is>
          <t>fixed one-unit hypothetical scoring; no real exposure or execution</t>
        </is>
      </c>
    </row>
    <row r="68" ht="36" customHeight="1">
      <c r="A68" s="24" t="inlineStr">
        <is>
          <t>2fe604a809ed46d5</t>
        </is>
      </c>
      <c r="B68" s="24" t="inlineStr">
        <is>
          <t>2026-07-19T10:49:38.448695+00:00</t>
        </is>
      </c>
      <c r="C68" s="24" t="inlineStr">
        <is>
          <t>2026-07-17T13:35:00-0400</t>
        </is>
      </c>
      <c r="D68" s="24" t="inlineStr">
        <is>
          <t>Tamp-Bost-2026-07-17-G1</t>
        </is>
      </c>
      <c r="E68" s="24" t="inlineStr">
        <is>
          <t>MLB</t>
        </is>
      </c>
      <c r="F68" s="24" t="inlineStr">
        <is>
          <t>Tampa Bay Rays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</t>
        </is>
      </c>
      <c r="L68" s="26" t="n">
        <v>-106</v>
      </c>
      <c r="M68" s="27" t="n">
        <v>1.943396</v>
      </c>
      <c r="N68" s="28" t="n">
        <v>0.514563</v>
      </c>
      <c r="O68" s="28" t="n">
        <v>0.550333</v>
      </c>
      <c r="P68" s="28" t="n">
        <v>0.05</v>
      </c>
      <c r="Q68" s="28" t="n">
        <v>0.03577</v>
      </c>
      <c r="R68" s="26" t="n"/>
      <c r="S68" s="29" t="n">
        <v>1</v>
      </c>
      <c r="T68" s="24" t="inlineStr">
        <is>
          <t>mlb-elo-trend-lr-v3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10</v>
      </c>
      <c r="Y68" s="25" t="n"/>
      <c r="Z68" s="26" t="n"/>
      <c r="AA68" s="28" t="n"/>
      <c r="AB68" s="28" t="n"/>
      <c r="AC68" s="30" t="n">
        <v>0.9434</v>
      </c>
      <c r="AD68" s="24" t="inlineStr">
        <is>
          <t>2026-07-19T12:18:56.423740+00:00</t>
        </is>
      </c>
      <c r="AE68" s="31" t="inlineStr">
        <is>
          <t>backtest</t>
        </is>
      </c>
      <c r="AF68" s="31" t="n"/>
      <c r="AG68" s="24" t="n"/>
      <c r="AH68" s="24" t="n"/>
      <c r="AI68" s="31" t="n"/>
      <c r="AJ68" s="31" t="n"/>
      <c r="AK68" s="24" t="n"/>
      <c r="AL68" s="26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inlineStr">
        <is>
          <t>2026-07-17T16:26:03.970000Z</t>
        </is>
      </c>
      <c r="BI68" s="24" t="n"/>
      <c r="BJ68" s="25" t="n"/>
      <c r="BK68" s="26" t="n">
        <v>-106</v>
      </c>
      <c r="BL68" s="27" t="n">
        <v>1.943396</v>
      </c>
      <c r="BM68" s="28" t="n">
        <v>0.514563</v>
      </c>
      <c r="BN68" s="28" t="n">
        <v>0.5124379999999999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</row>
    <row r="69" ht="36" customHeight="1">
      <c r="A69" s="24" t="inlineStr">
        <is>
          <t>47dbb1641a0a4833</t>
        </is>
      </c>
      <c r="B69" s="24" t="inlineStr">
        <is>
          <t>2026-07-19T10:49:38.448695+00:00</t>
        </is>
      </c>
      <c r="C69" s="24" t="inlineStr">
        <is>
          <t>2026-07-17T19:10:00-0400</t>
        </is>
      </c>
      <c r="D69" s="24" t="inlineStr">
        <is>
          <t>Tamp-Bost-2026-07-17-G2</t>
        </is>
      </c>
      <c r="E69" s="24" t="inlineStr">
        <is>
          <t>MLB</t>
        </is>
      </c>
      <c r="F69" s="24" t="inlineStr">
        <is>
          <t>Tampa Bay Rays</t>
        </is>
      </c>
      <c r="G69" s="24" t="inlineStr">
        <is>
          <t>Boston Red Sox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</t>
        </is>
      </c>
      <c r="L69" s="26" t="n">
        <v>-106</v>
      </c>
      <c r="M69" s="27" t="n">
        <v>1.943396</v>
      </c>
      <c r="N69" s="28" t="n">
        <v>0.514563</v>
      </c>
      <c r="O69" s="28" t="n">
        <v>0.550333</v>
      </c>
      <c r="P69" s="28" t="n">
        <v>0.05</v>
      </c>
      <c r="Q69" s="28" t="n">
        <v>0.03577</v>
      </c>
      <c r="R69" s="26" t="n"/>
      <c r="S69" s="29" t="n">
        <v>1</v>
      </c>
      <c r="T69" s="24" t="inlineStr">
        <is>
          <t>mlb-elo-trend-lr-v3</t>
        </is>
      </c>
      <c r="U69" s="24" t="inlineStr">
        <is>
          <t>settled</t>
        </is>
      </c>
      <c r="V69" s="24" t="inlineStr">
        <is>
          <t>win</t>
        </is>
      </c>
      <c r="W69" s="26" t="n">
        <v>3</v>
      </c>
      <c r="X69" s="26" t="n">
        <v>5</v>
      </c>
      <c r="Y69" s="25" t="n"/>
      <c r="Z69" s="26" t="n"/>
      <c r="AA69" s="28" t="n"/>
      <c r="AB69" s="28" t="n"/>
      <c r="AC69" s="30" t="n">
        <v>0.9434</v>
      </c>
      <c r="AD69" s="24" t="inlineStr">
        <is>
          <t>2026-07-19T12:18:56.423961+00:00</t>
        </is>
      </c>
      <c r="AE69" s="31" t="inlineStr">
        <is>
          <t>backtest</t>
        </is>
      </c>
      <c r="AF69" s="31" t="n"/>
      <c r="AG69" s="24" t="n"/>
      <c r="AH69" s="24" t="n"/>
      <c r="AI69" s="31" t="n"/>
      <c r="AJ69" s="31" t="n"/>
      <c r="AK69" s="24" t="n"/>
      <c r="AL69" s="26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inlineStr">
        <is>
          <t>2026-07-17T16:26:03.970000Z</t>
        </is>
      </c>
      <c r="BI69" s="24" t="n"/>
      <c r="BJ69" s="25" t="n"/>
      <c r="BK69" s="26" t="n">
        <v>-106</v>
      </c>
      <c r="BL69" s="27" t="n">
        <v>1.943396</v>
      </c>
      <c r="BM69" s="28" t="n">
        <v>0.514563</v>
      </c>
      <c r="BN69" s="28" t="n">
        <v>0.5124379999999999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</row>
    <row r="70" ht="36" customHeight="1">
      <c r="A70" s="24" t="inlineStr">
        <is>
          <t>baee116aa2834b53</t>
        </is>
      </c>
      <c r="B70" s="24" t="inlineStr">
        <is>
          <t>2026-07-19T10:49:38.448695+00:00</t>
        </is>
      </c>
      <c r="C70" s="24" t="inlineStr">
        <is>
          <t>2026-07-17T19:40:00-0400</t>
        </is>
      </c>
      <c r="D70" s="24" t="inlineStr">
        <is>
          <t>Miam-Milw-2026-07-17</t>
        </is>
      </c>
      <c r="E70" s="24" t="inlineStr">
        <is>
          <t>MLB</t>
        </is>
      </c>
      <c r="F70" s="24" t="inlineStr">
        <is>
          <t>Miami Marlins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</t>
        </is>
      </c>
      <c r="L70" s="26" t="n">
        <v>-141</v>
      </c>
      <c r="M70" s="27" t="n">
        <v>1.70922</v>
      </c>
      <c r="N70" s="28" t="n">
        <v>0.585062</v>
      </c>
      <c r="O70" s="28" t="n">
        <v>0.616198</v>
      </c>
      <c r="P70" s="28" t="n">
        <v>0.05</v>
      </c>
      <c r="Q70" s="28" t="n">
        <v>0.031136</v>
      </c>
      <c r="R70" s="26" t="n"/>
      <c r="S70" s="29" t="n">
        <v>1.75</v>
      </c>
      <c r="T70" s="24" t="inlineStr">
        <is>
          <t>mlb-elo-trend-lr-v3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2</v>
      </c>
      <c r="Y70" s="25" t="n"/>
      <c r="Z70" s="26" t="n"/>
      <c r="AA70" s="28" t="n"/>
      <c r="AB70" s="28" t="n"/>
      <c r="AC70" s="30" t="n">
        <v>1.2411</v>
      </c>
      <c r="AD70" s="24" t="inlineStr">
        <is>
          <t>2026-07-19T12:18:56.424573+00:00</t>
        </is>
      </c>
      <c r="AE70" s="31" t="inlineStr">
        <is>
          <t>backtest</t>
        </is>
      </c>
      <c r="AF70" s="31" t="n"/>
      <c r="AG70" s="24" t="n"/>
      <c r="AH70" s="24" t="n"/>
      <c r="AI70" s="31" t="n"/>
      <c r="AJ70" s="31" t="n"/>
      <c r="AK70" s="24" t="n"/>
      <c r="AL70" s="26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inlineStr">
        <is>
          <t>2026-07-17T17:12:44.293402Z</t>
        </is>
      </c>
      <c r="BI70" s="24" t="n"/>
      <c r="BJ70" s="25" t="n"/>
      <c r="BK70" s="26" t="n">
        <v>-141</v>
      </c>
      <c r="BL70" s="27" t="n">
        <v>1.70922</v>
      </c>
      <c r="BM70" s="28" t="n">
        <v>0.585062</v>
      </c>
      <c r="BN70" s="28" t="n">
        <v>0.58209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</row>
    <row r="71" ht="36" customHeight="1">
      <c r="A71" s="24" t="inlineStr">
        <is>
          <t>509252032f1947b8</t>
        </is>
      </c>
      <c r="B71" s="24" t="inlineStr">
        <is>
          <t>2026-07-19T10:49:38.448695+00:00</t>
        </is>
      </c>
      <c r="C71" s="24" t="inlineStr">
        <is>
          <t>2026-07-17T20:05:00-0400</t>
        </is>
      </c>
      <c r="D71" s="24" t="inlineStr">
        <is>
          <t>Minn-Chic-2026-07-17</t>
        </is>
      </c>
      <c r="E71" s="24" t="inlineStr">
        <is>
          <t>MLB</t>
        </is>
      </c>
      <c r="F71" s="24" t="inlineStr">
        <is>
          <t>Minnesota Twins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</t>
        </is>
      </c>
      <c r="L71" s="26" t="n">
        <v>-133</v>
      </c>
      <c r="M71" s="27" t="n">
        <v>1.75188</v>
      </c>
      <c r="N71" s="28" t="n">
        <v>0.570815</v>
      </c>
      <c r="O71" s="28" t="n">
        <v>0.60271</v>
      </c>
      <c r="P71" s="28" t="n">
        <v>0.05</v>
      </c>
      <c r="Q71" s="28" t="n">
        <v>0.031895</v>
      </c>
      <c r="R71" s="26" t="n"/>
      <c r="S71" s="29" t="n">
        <v>1.5</v>
      </c>
      <c r="T71" s="24" t="inlineStr">
        <is>
          <t>mlb-elo-trend-lr-v3</t>
        </is>
      </c>
      <c r="U71" s="24" t="inlineStr">
        <is>
          <t>settled</t>
        </is>
      </c>
      <c r="V71" s="24" t="inlineStr">
        <is>
          <t>loss</t>
        </is>
      </c>
      <c r="W71" s="26" t="n">
        <v>5</v>
      </c>
      <c r="X71" s="26" t="n">
        <v>2</v>
      </c>
      <c r="Y71" s="25" t="n"/>
      <c r="Z71" s="26" t="n"/>
      <c r="AA71" s="28" t="n"/>
      <c r="AB71" s="28" t="n"/>
      <c r="AC71" s="30" t="n">
        <v>-1.5</v>
      </c>
      <c r="AD71" s="24" t="inlineStr">
        <is>
          <t>2026-07-19T12:18:56.424770+00:00</t>
        </is>
      </c>
      <c r="AE71" s="31" t="inlineStr">
        <is>
          <t>backtest</t>
        </is>
      </c>
      <c r="AF71" s="31" t="n"/>
      <c r="AG71" s="24" t="n"/>
      <c r="AH71" s="24" t="n"/>
      <c r="AI71" s="31" t="n"/>
      <c r="AJ71" s="31" t="n"/>
      <c r="AK71" s="24" t="n"/>
      <c r="AL71" s="26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inlineStr">
        <is>
          <t>2026-07-17T17:12:44.967723Z</t>
        </is>
      </c>
      <c r="BI71" s="24" t="n"/>
      <c r="BJ71" s="25" t="n"/>
      <c r="BK71" s="26" t="n">
        <v>-133</v>
      </c>
      <c r="BL71" s="27" t="n">
        <v>1.75188</v>
      </c>
      <c r="BM71" s="28" t="n">
        <v>0.570815</v>
      </c>
      <c r="BN71" s="28" t="n">
        <v>0.567164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</row>
    <row r="72" ht="36" customHeight="1">
      <c r="A72" s="24" t="inlineStr">
        <is>
          <t>19647b771ec94081</t>
        </is>
      </c>
      <c r="B72" s="24" t="inlineStr">
        <is>
          <t>2026-07-19T10:49:38.448695+00:00</t>
        </is>
      </c>
      <c r="C72" s="24" t="inlineStr">
        <is>
          <t>2026-07-17T20:40:00-0400</t>
        </is>
      </c>
      <c r="D72" s="24" t="inlineStr">
        <is>
          <t>Cinc-Colo-2026-07-17</t>
        </is>
      </c>
      <c r="E72" s="24" t="inlineStr">
        <is>
          <t>MLB</t>
        </is>
      </c>
      <c r="F72" s="24" t="inlineStr">
        <is>
          <t>Cincinnati Reds</t>
        </is>
      </c>
      <c r="G72" s="24" t="inlineStr">
        <is>
          <t>Colorado Rockies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</t>
        </is>
      </c>
      <c r="L72" s="26" t="n">
        <v>104</v>
      </c>
      <c r="M72" s="27" t="n">
        <v>2.04</v>
      </c>
      <c r="N72" s="28" t="n">
        <v>0.490196</v>
      </c>
      <c r="O72" s="28" t="n">
        <v>0.582862</v>
      </c>
      <c r="P72" s="28" t="n">
        <v>0.05</v>
      </c>
      <c r="Q72" s="28" t="n">
        <v>0.092666</v>
      </c>
      <c r="R72" s="26" t="n"/>
      <c r="S72" s="29" t="n">
        <v>1.25</v>
      </c>
      <c r="T72" s="24" t="inlineStr">
        <is>
          <t>mlb-elo-trend-lr-v3</t>
        </is>
      </c>
      <c r="U72" s="24" t="inlineStr">
        <is>
          <t>settled</t>
        </is>
      </c>
      <c r="V72" s="24" t="inlineStr">
        <is>
          <t>win</t>
        </is>
      </c>
      <c r="W72" s="26" t="n">
        <v>7</v>
      </c>
      <c r="X72" s="26" t="n">
        <v>2</v>
      </c>
      <c r="Y72" s="25" t="n"/>
      <c r="Z72" s="26" t="n"/>
      <c r="AA72" s="28" t="n"/>
      <c r="AB72" s="28" t="n"/>
      <c r="AC72" s="30" t="n">
        <v>1.3</v>
      </c>
      <c r="AD72" s="24" t="inlineStr">
        <is>
          <t>2026-07-19T12:18:56.425382+00:00</t>
        </is>
      </c>
      <c r="AE72" s="31" t="inlineStr">
        <is>
          <t>backtest</t>
        </is>
      </c>
      <c r="AF72" s="31" t="n"/>
      <c r="AG72" s="24" t="n"/>
      <c r="AH72" s="24" t="n"/>
      <c r="AI72" s="31" t="n"/>
      <c r="AJ72" s="31" t="n"/>
      <c r="AK72" s="24" t="n"/>
      <c r="AL72" s="26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inlineStr">
        <is>
          <t>2026-07-17T16:26:11.935150Z</t>
        </is>
      </c>
      <c r="BI72" s="24" t="n"/>
      <c r="BJ72" s="25" t="n"/>
      <c r="BK72" s="26" t="n">
        <v>104</v>
      </c>
      <c r="BL72" s="27" t="n">
        <v>2.04</v>
      </c>
      <c r="BM72" s="28" t="n">
        <v>0.490196</v>
      </c>
      <c r="BN72" s="28" t="n">
        <v>0.487562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</row>
    <row r="73" ht="36" customHeight="1">
      <c r="A73" s="24" t="inlineStr">
        <is>
          <t>632575e6d24b409b</t>
        </is>
      </c>
      <c r="B73" s="24" t="inlineStr">
        <is>
          <t>2026-07-19T10:49:38.448695+00:00</t>
        </is>
      </c>
      <c r="C73" s="24" t="inlineStr">
        <is>
          <t>2026-07-17T21:38:00-0400</t>
        </is>
      </c>
      <c r="D73" s="24" t="inlineStr">
        <is>
          <t>Detr-LosA-2026-07-17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Los Angeles Angels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</t>
        </is>
      </c>
      <c r="L73" s="26" t="n">
        <v>-104</v>
      </c>
      <c r="M73" s="27" t="n">
        <v>1.961538</v>
      </c>
      <c r="N73" s="28" t="n">
        <v>0.509804</v>
      </c>
      <c r="O73" s="28" t="n">
        <v>0.550233</v>
      </c>
      <c r="P73" s="28" t="n">
        <v>0.05</v>
      </c>
      <c r="Q73" s="28" t="n">
        <v>0.040429</v>
      </c>
      <c r="R73" s="26" t="n"/>
      <c r="S73" s="29" t="n">
        <v>1</v>
      </c>
      <c r="T73" s="24" t="inlineStr">
        <is>
          <t>mlb-elo-trend-lr-v3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0.9615</v>
      </c>
      <c r="AD73" s="24" t="inlineStr">
        <is>
          <t>2026-07-19T12:18:56.425591+00:00</t>
        </is>
      </c>
      <c r="AE73" s="31" t="inlineStr">
        <is>
          <t>backtest</t>
        </is>
      </c>
      <c r="AF73" s="31" t="n"/>
      <c r="AG73" s="24" t="n"/>
      <c r="AH73" s="24" t="n"/>
      <c r="AI73" s="31" t="n"/>
      <c r="AJ73" s="31" t="n"/>
      <c r="AK73" s="24" t="n"/>
      <c r="AL73" s="26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inlineStr">
        <is>
          <t>2026-07-17T16:26:12.761758Z</t>
        </is>
      </c>
      <c r="BI73" s="24" t="n"/>
      <c r="BJ73" s="25" t="n"/>
      <c r="BK73" s="26" t="n">
        <v>-104</v>
      </c>
      <c r="BL73" s="27" t="n">
        <v>1.961538</v>
      </c>
      <c r="BM73" s="28" t="n">
        <v>0.509804</v>
      </c>
      <c r="BN73" s="28" t="n">
        <v>0.507463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</row>
    <row r="74" ht="36" customHeight="1">
      <c r="A74" s="24" t="inlineStr">
        <is>
          <t>673ea47c54654f7f</t>
        </is>
      </c>
      <c r="B74" s="24" t="inlineStr">
        <is>
          <t>2026-07-19T10:49:38.448695+00:00</t>
        </is>
      </c>
      <c r="C74" s="24" t="inlineStr">
        <is>
          <t>2026-07-17T21:40:00-0400</t>
        </is>
      </c>
      <c r="D74" s="24" t="inlineStr">
        <is>
          <t>Wash-Athl-2026-07-17</t>
        </is>
      </c>
      <c r="E74" s="24" t="inlineStr">
        <is>
          <t>MLB</t>
        </is>
      </c>
      <c r="F74" s="24" t="inlineStr">
        <is>
          <t>Washington Nationals</t>
        </is>
      </c>
      <c r="G74" s="24" t="inlineStr">
        <is>
          <t>Athletics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</t>
        </is>
      </c>
      <c r="L74" s="26" t="n">
        <v>120</v>
      </c>
      <c r="M74" s="27" t="n">
        <v>2.2</v>
      </c>
      <c r="N74" s="28" t="n">
        <v>0.454545</v>
      </c>
      <c r="O74" s="28" t="n">
        <v>0.530299</v>
      </c>
      <c r="P74" s="28" t="n">
        <v>0.05</v>
      </c>
      <c r="Q74" s="28" t="n">
        <v>0.075754</v>
      </c>
      <c r="R74" s="26" t="n"/>
      <c r="S74" s="29" t="n">
        <v>0.75</v>
      </c>
      <c r="T74" s="24" t="inlineStr">
        <is>
          <t>mlb-elo-trend-lr-v3</t>
        </is>
      </c>
      <c r="U74" s="24" t="inlineStr">
        <is>
          <t>settled</t>
        </is>
      </c>
      <c r="V74" s="24" t="inlineStr">
        <is>
          <t>loss</t>
        </is>
      </c>
      <c r="W74" s="26" t="n">
        <v>23</v>
      </c>
      <c r="X74" s="26" t="n">
        <v>4</v>
      </c>
      <c r="Y74" s="25" t="n"/>
      <c r="Z74" s="26" t="n"/>
      <c r="AA74" s="28" t="n"/>
      <c r="AB74" s="28" t="n"/>
      <c r="AC74" s="30" t="n">
        <v>-0.75</v>
      </c>
      <c r="AD74" s="24" t="inlineStr">
        <is>
          <t>2026-07-19T12:18:56.425781+00:00</t>
        </is>
      </c>
      <c r="AE74" s="31" t="inlineStr">
        <is>
          <t>backtest</t>
        </is>
      </c>
      <c r="AF74" s="31" t="n"/>
      <c r="AG74" s="24" t="n"/>
      <c r="AH74" s="24" t="n"/>
      <c r="AI74" s="31" t="n"/>
      <c r="AJ74" s="31" t="n"/>
      <c r="AK74" s="24" t="n"/>
      <c r="AL74" s="26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inlineStr">
        <is>
          <t>2026-07-17T16:26:14.658660Z</t>
        </is>
      </c>
      <c r="BI74" s="24" t="n"/>
      <c r="BJ74" s="25" t="n"/>
      <c r="BK74" s="26" t="n">
        <v>120</v>
      </c>
      <c r="BL74" s="27" t="n">
        <v>2.2</v>
      </c>
      <c r="BM74" s="28" t="n">
        <v>0.454545</v>
      </c>
      <c r="BN74" s="28" t="n">
        <v>0.452736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</row>
    <row r="75" ht="36" customHeight="1">
      <c r="A75" s="24" t="inlineStr">
        <is>
          <t>f7bfb70dfae84f8f</t>
        </is>
      </c>
      <c r="B75" s="24" t="inlineStr">
        <is>
          <t>2026-07-19T10:49:38.448695+00:00</t>
        </is>
      </c>
      <c r="C75" s="24" t="inlineStr">
        <is>
          <t>2026-07-17T21:40:00-0400</t>
        </is>
      </c>
      <c r="D75" s="24" t="inlineStr">
        <is>
          <t>St.L-Ariz-2026-07-17</t>
        </is>
      </c>
      <c r="E75" s="24" t="inlineStr">
        <is>
          <t>MLB</t>
        </is>
      </c>
      <c r="F75" s="24" t="inlineStr">
        <is>
          <t>St. Louis Cardinals</t>
        </is>
      </c>
      <c r="G75" s="24" t="inlineStr">
        <is>
          <t>Arizona Diamondbacks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</t>
        </is>
      </c>
      <c r="L75" s="26" t="n">
        <v>100</v>
      </c>
      <c r="M75" s="27" t="n">
        <v>2</v>
      </c>
      <c r="N75" s="28" t="n">
        <v>0.5</v>
      </c>
      <c r="O75" s="28" t="n">
        <v>0.525388</v>
      </c>
      <c r="P75" s="28" t="n">
        <v>0.05</v>
      </c>
      <c r="Q75" s="28" t="n">
        <v>0.025388</v>
      </c>
      <c r="R75" s="26" t="n"/>
      <c r="S75" s="29" t="n">
        <v>0.75</v>
      </c>
      <c r="T75" s="24" t="inlineStr">
        <is>
          <t>mlb-elo-trend-lr-v3</t>
        </is>
      </c>
      <c r="U75" s="24" t="inlineStr">
        <is>
          <t>settled</t>
        </is>
      </c>
      <c r="V75" s="24" t="inlineStr">
        <is>
          <t>loss</t>
        </is>
      </c>
      <c r="W75" s="26" t="n">
        <v>5</v>
      </c>
      <c r="X75" s="26" t="n">
        <v>4</v>
      </c>
      <c r="Y75" s="25" t="n"/>
      <c r="Z75" s="26" t="n"/>
      <c r="AA75" s="28" t="n"/>
      <c r="AB75" s="28" t="n"/>
      <c r="AC75" s="30" t="n">
        <v>-0.75</v>
      </c>
      <c r="AD75" s="24" t="inlineStr">
        <is>
          <t>2026-07-19T12:18:56.425985+00:00</t>
        </is>
      </c>
      <c r="AE75" s="31" t="inlineStr">
        <is>
          <t>backtest</t>
        </is>
      </c>
      <c r="AF75" s="31" t="n"/>
      <c r="AG75" s="24" t="n"/>
      <c r="AH75" s="24" t="n"/>
      <c r="AI75" s="31" t="n"/>
      <c r="AJ75" s="31" t="n"/>
      <c r="AK75" s="24" t="n"/>
      <c r="AL75" s="26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inlineStr">
        <is>
          <t>2026-07-17T16:26:13.837104Z</t>
        </is>
      </c>
      <c r="BI75" s="24" t="n"/>
      <c r="BJ75" s="25" t="n"/>
      <c r="BK75" s="26" t="n">
        <v>100</v>
      </c>
      <c r="BL75" s="27" t="n">
        <v>2</v>
      </c>
      <c r="BM75" s="28" t="n">
        <v>0.5</v>
      </c>
      <c r="BN75" s="28" t="n">
        <v>0.497512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</row>
    <row r="76" ht="36" customHeight="1">
      <c r="A76" s="24" t="inlineStr">
        <is>
          <t>121539248eb44830</t>
        </is>
      </c>
      <c r="B76" s="24" t="inlineStr">
        <is>
          <t>2026-07-19T13:23:06.843442Z</t>
        </is>
      </c>
      <c r="C76" s="24" t="inlineStr">
        <is>
          <t>2026-07-19T17:35Z</t>
        </is>
      </c>
      <c r="D76" s="24" t="inlineStr">
        <is>
          <t>401816176</t>
        </is>
      </c>
      <c r="E76" s="24" t="inlineStr">
        <is>
          <t>MLB</t>
        </is>
      </c>
      <c r="F76" s="24" t="inlineStr">
        <is>
          <t>Texas Rangers</t>
        </is>
      </c>
      <c r="G76" s="24" t="inlineStr">
        <is>
          <t>Atlanta Braves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108</v>
      </c>
      <c r="M76" s="27" t="n">
        <v>2.08</v>
      </c>
      <c r="N76" s="28" t="n">
        <v>0.480769</v>
      </c>
      <c r="O76" s="28" t="n">
        <v>0.566738</v>
      </c>
      <c r="P76" s="28" t="n"/>
      <c r="Q76" s="28" t="n">
        <v>0.085969</v>
      </c>
      <c r="R76" s="26" t="n">
        <v>93</v>
      </c>
      <c r="S76" s="29" t="n">
        <v>1.25</v>
      </c>
      <c r="T76" s="24" t="inlineStr">
        <is>
          <t>mlb-elo-trend-lr-v3</t>
        </is>
      </c>
      <c r="U76" s="24" t="inlineStr">
        <is>
          <t>settled</t>
        </is>
      </c>
      <c r="V76" s="24" t="inlineStr">
        <is>
          <t>win</t>
        </is>
      </c>
      <c r="W76" s="26" t="n">
        <v>5</v>
      </c>
      <c r="X76" s="26" t="n">
        <v>8</v>
      </c>
      <c r="Y76" s="25" t="n"/>
      <c r="Z76" s="26" t="n"/>
      <c r="AA76" s="28" t="n"/>
      <c r="AB76" s="28" t="n"/>
      <c r="AC76" s="30" t="n">
        <v>1.35</v>
      </c>
      <c r="AD76" s="24" t="inlineStr">
        <is>
          <t>2026-07-19T21:31:35.621312Z</t>
        </is>
      </c>
      <c r="AE76" s="31" t="inlineStr">
        <is>
          <t>Learned LR call at threshold 0.5150; executable ask 0.4800 (aec-mlb-tex-atl-2026-07-19).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mlb-tex</t>
        </is>
      </c>
      <c r="AQ76" s="24" t="inlineStr">
        <is>
          <t>Texas Rangers</t>
        </is>
      </c>
      <c r="AR76" s="24" t="inlineStr">
        <is>
          <t>Texas Rangers</t>
        </is>
      </c>
      <c r="AS76" s="24" t="inlineStr">
        <is>
          <t>mlb-atl</t>
        </is>
      </c>
      <c r="AT76" s="24" t="inlineStr">
        <is>
          <t>Atlanta Braves</t>
        </is>
      </c>
      <c r="AU76" s="24" t="inlineStr">
        <is>
          <t>Atlanta Braves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ebdb392c90fd9a9414a97c1b39024e1a4f2c894aee118b3b4598ecd7e5e96695</t>
        </is>
      </c>
      <c r="BB76" s="24" t="inlineStr">
        <is>
          <t>learned_lr</t>
        </is>
      </c>
      <c r="BC76" s="24" t="inlineStr">
        <is>
          <t>mlb-elo-trend-lr-v3</t>
        </is>
      </c>
      <c r="BD76" s="24" t="inlineStr">
        <is>
          <t>ebdb392c90fd9a9414a97c1b39024e1a4f2c894aee118b3b4598ecd7e5e96695</t>
        </is>
      </c>
      <c r="BE76" s="24" t="inlineStr">
        <is>
          <t>94b28766e76410c6</t>
        </is>
      </c>
      <c r="BF76" s="24" t="inlineStr">
        <is>
          <t>1</t>
        </is>
      </c>
      <c r="BG76" s="24" t="inlineStr">
        <is>
          <t>mlb-elo-trend-lr-v3</t>
        </is>
      </c>
      <c r="BH76" s="24" t="inlineStr">
        <is>
          <t>2026-07-19T13:22:02.614593Z</t>
        </is>
      </c>
      <c r="BI76" s="24" t="inlineStr">
        <is>
          <t>["same_event","same_team_same_day","same_league_same_day"]</t>
        </is>
      </c>
      <c r="BJ76" s="25" t="n"/>
      <c r="BK76" s="26" t="n">
        <v>108</v>
      </c>
      <c r="BL76" s="27" t="n">
        <v>2.08</v>
      </c>
      <c r="BM76" s="28" t="n">
        <v>0.480769</v>
      </c>
      <c r="BN76" s="28" t="n">
        <v>0.477612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>
        <v>1</v>
      </c>
      <c r="BY76" s="27" t="n">
        <v>1.08</v>
      </c>
      <c r="BZ76" s="24" t="inlineStr">
        <is>
          <t>2026-07-19T21:31:35.621312Z</t>
        </is>
      </c>
      <c r="CA76" s="31" t="inlineStr">
        <is>
          <t>fixed one-unit hypothetical scoring; no real exposure or execution</t>
        </is>
      </c>
    </row>
    <row r="77" ht="36" customHeight="1">
      <c r="A77" s="24" t="inlineStr">
        <is>
          <t>4ee0f5bbef6b4559</t>
        </is>
      </c>
      <c r="B77" s="24" t="inlineStr">
        <is>
          <t>2026-07-19T13:23:06.843442Z</t>
        </is>
      </c>
      <c r="C77" s="24" t="inlineStr">
        <is>
          <t>2026-07-19T19:10Z</t>
        </is>
      </c>
      <c r="D77" s="24" t="inlineStr">
        <is>
          <t>401816181</t>
        </is>
      </c>
      <c r="E77" s="24" t="inlineStr">
        <is>
          <t>MLB</t>
        </is>
      </c>
      <c r="F77" s="24" t="inlineStr">
        <is>
          <t>Cincinnati Reds</t>
        </is>
      </c>
      <c r="G77" s="24" t="inlineStr">
        <is>
          <t>Colorado Rockies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0.600425</v>
      </c>
      <c r="P77" s="28" t="n"/>
      <c r="Q77" s="28" t="n">
        <v>0.02961</v>
      </c>
      <c r="R77" s="26" t="n">
        <v>65</v>
      </c>
      <c r="S77" s="29" t="n">
        <v>1.5</v>
      </c>
      <c r="T77" s="24" t="inlineStr">
        <is>
          <t>mlb-elo-trend-lr-v3</t>
        </is>
      </c>
      <c r="U77" s="24" t="inlineStr">
        <is>
          <t>settled</t>
        </is>
      </c>
      <c r="V77" s="24" t="inlineStr">
        <is>
          <t>win</t>
        </is>
      </c>
      <c r="W77" s="26" t="n">
        <v>9</v>
      </c>
      <c r="X77" s="26" t="n">
        <v>6</v>
      </c>
      <c r="Y77" s="25" t="n"/>
      <c r="Z77" s="26" t="n"/>
      <c r="AA77" s="28" t="n"/>
      <c r="AB77" s="28" t="n"/>
      <c r="AC77" s="30" t="n">
        <v>1.1278</v>
      </c>
      <c r="AD77" s="24" t="inlineStr">
        <is>
          <t>2026-07-19T22:14:31.386508Z</t>
        </is>
      </c>
      <c r="AE77" s="31" t="inlineStr">
        <is>
          <t>Learned LR call at threshold 0.5150; executable ask 0.5700 (aec-mlb-cin-col-2026-07-19).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mlb-cin</t>
        </is>
      </c>
      <c r="AQ77" s="24" t="inlineStr">
        <is>
          <t>Cincinnati Reds</t>
        </is>
      </c>
      <c r="AR77" s="24" t="inlineStr">
        <is>
          <t>Cincinnati Reds</t>
        </is>
      </c>
      <c r="AS77" s="24" t="inlineStr">
        <is>
          <t>mlb-col</t>
        </is>
      </c>
      <c r="AT77" s="24" t="inlineStr">
        <is>
          <t>Colorado Rockies</t>
        </is>
      </c>
      <c r="AU77" s="24" t="inlineStr">
        <is>
          <t>Colorado Rockies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ebdb392c90fd9a9414a97c1b39024e1a4f2c894aee118b3b4598ecd7e5e96695</t>
        </is>
      </c>
      <c r="BB77" s="24" t="inlineStr">
        <is>
          <t>learned_lr</t>
        </is>
      </c>
      <c r="BC77" s="24" t="inlineStr">
        <is>
          <t>mlb-elo-trend-lr-v3</t>
        </is>
      </c>
      <c r="BD77" s="24" t="inlineStr">
        <is>
          <t>ebdb392c90fd9a9414a97c1b39024e1a4f2c894aee118b3b4598ecd7e5e96695</t>
        </is>
      </c>
      <c r="BE77" s="24" t="inlineStr">
        <is>
          <t>b8bf91edb90bdfcb</t>
        </is>
      </c>
      <c r="BF77" s="24" t="inlineStr">
        <is>
          <t>1</t>
        </is>
      </c>
      <c r="BG77" s="24" t="inlineStr">
        <is>
          <t>mlb-elo-trend-lr-v3</t>
        </is>
      </c>
      <c r="BH77" s="24" t="inlineStr">
        <is>
          <t>2026-07-19T13:22:13.486376Z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>
        <v>0.567164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>
        <v>1</v>
      </c>
      <c r="BY77" s="27" t="n">
        <v>0.75188</v>
      </c>
      <c r="BZ77" s="24" t="inlineStr">
        <is>
          <t>2026-07-19T22:14:31.386508Z</t>
        </is>
      </c>
      <c r="CA77" s="31" t="inlineStr">
        <is>
          <t>fixed one-unit hypothetical scoring; no real exposure or execution</t>
        </is>
      </c>
    </row>
    <row r="78" ht="36" customHeight="1">
      <c r="A78" s="24" t="inlineStr">
        <is>
          <t>35cfaddd8fa54724</t>
        </is>
      </c>
      <c r="B78" s="24" t="inlineStr">
        <is>
          <t>2026-07-19T13:23:06.843442Z</t>
        </is>
      </c>
      <c r="C78" s="24" t="inlineStr">
        <is>
          <t>2026-07-19T20:05Z</t>
        </is>
      </c>
      <c r="D78" s="24" t="inlineStr">
        <is>
          <t>401816185</t>
        </is>
      </c>
      <c r="E78" s="24" t="inlineStr">
        <is>
          <t>MLB</t>
        </is>
      </c>
      <c r="F78" s="24" t="inlineStr">
        <is>
          <t>Washington Nationals</t>
        </is>
      </c>
      <c r="G78" s="24" t="inlineStr">
        <is>
          <t>Athletics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130</v>
      </c>
      <c r="M78" s="27" t="n">
        <v>2.3</v>
      </c>
      <c r="N78" s="28" t="n">
        <v>0.434783</v>
      </c>
      <c r="O78" s="28" t="n">
        <v>0.556646</v>
      </c>
      <c r="P78" s="28" t="n"/>
      <c r="Q78" s="28" t="n">
        <v>0.121863</v>
      </c>
      <c r="R78" s="26" t="n">
        <v>100</v>
      </c>
      <c r="S78" s="29" t="n">
        <v>1</v>
      </c>
      <c r="T78" s="24" t="inlineStr">
        <is>
          <t>mlb-elo-trend-lr-v3</t>
        </is>
      </c>
      <c r="U78" s="24" t="inlineStr">
        <is>
          <t>settled</t>
        </is>
      </c>
      <c r="V78" s="24" t="inlineStr">
        <is>
          <t>loss</t>
        </is>
      </c>
      <c r="W78" s="26" t="n">
        <v>5</v>
      </c>
      <c r="X78" s="26" t="n">
        <v>2</v>
      </c>
      <c r="Y78" s="25" t="n"/>
      <c r="Z78" s="26" t="n"/>
      <c r="AA78" s="28" t="n"/>
      <c r="AB78" s="28" t="n"/>
      <c r="AC78" s="30" t="n">
        <v>-1</v>
      </c>
      <c r="AD78" s="24" t="inlineStr">
        <is>
          <t>2026-07-19T23:07:45.507453Z</t>
        </is>
      </c>
      <c r="AE78" s="31" t="inlineStr">
        <is>
          <t>Learned LR call at threshold 0.5150; executable ask 0.4350 (aec-mlb-wsh-ath-2026-07-19).</t>
        </is>
      </c>
      <c r="AF78" s="31" t="inlineStr">
        <is>
          <t>Learned model; promotion gate not yet open; zero-unit research until review.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mlb-wsh</t>
        </is>
      </c>
      <c r="AQ78" s="24" t="inlineStr">
        <is>
          <t>Washington Nationals</t>
        </is>
      </c>
      <c r="AR78" s="24" t="inlineStr">
        <is>
          <t>Washington Nationals</t>
        </is>
      </c>
      <c r="AS78" s="24" t="inlineStr">
        <is>
          <t>mlb-ath</t>
        </is>
      </c>
      <c r="AT78" s="24" t="inlineStr">
        <is>
          <t>Athletics</t>
        </is>
      </c>
      <c r="AU78" s="24" t="inlineStr">
        <is>
          <t>Athletics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ebdb392c90fd9a9414a97c1b39024e1a4f2c894aee118b3b4598ecd7e5e96695</t>
        </is>
      </c>
      <c r="BB78" s="24" t="inlineStr">
        <is>
          <t>learned_lr</t>
        </is>
      </c>
      <c r="BC78" s="24" t="inlineStr">
        <is>
          <t>mlb-elo-trend-lr-v3</t>
        </is>
      </c>
      <c r="BD78" s="24" t="inlineStr">
        <is>
          <t>ebdb392c90fd9a9414a97c1b39024e1a4f2c894aee118b3b4598ecd7e5e96695</t>
        </is>
      </c>
      <c r="BE78" s="24" t="inlineStr">
        <is>
          <t>47154d07c5727d94</t>
        </is>
      </c>
      <c r="BF78" s="24" t="inlineStr">
        <is>
          <t>1</t>
        </is>
      </c>
      <c r="BG78" s="24" t="inlineStr">
        <is>
          <t>mlb-elo-trend-lr-v3</t>
        </is>
      </c>
      <c r="BH78" s="24" t="inlineStr">
        <is>
          <t>2026-07-19T13:22:14.970065Z</t>
        </is>
      </c>
      <c r="BI78" s="24" t="inlineStr">
        <is>
          <t>["same_event","same_team_same_day","same_league_same_day"]</t>
        </is>
      </c>
      <c r="BJ78" s="25" t="n"/>
      <c r="BK78" s="26" t="n">
        <v>130</v>
      </c>
      <c r="BL78" s="27" t="n">
        <v>2.3</v>
      </c>
      <c r="BM78" s="28" t="n">
        <v>0.434783</v>
      </c>
      <c r="BN78" s="28" t="n">
        <v>0.432836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2026-07-19T23:07:45.507453Z</t>
        </is>
      </c>
      <c r="CA78" s="31" t="inlineStr">
        <is>
          <t>fixed one-unit hypothetical scoring; no real exposure or execution</t>
        </is>
      </c>
    </row>
    <row r="79" ht="36" customHeight="1">
      <c r="A79" s="24" t="inlineStr">
        <is>
          <t>4ae204a92d8a47fc</t>
        </is>
      </c>
      <c r="B79" s="24" t="inlineStr">
        <is>
          <t>2026-07-19T17:18:24.670965Z</t>
        </is>
      </c>
      <c r="C79" s="24" t="inlineStr">
        <is>
          <t>2026-07-20T18:40:00-0400</t>
        </is>
      </c>
      <c r="D79" s="24" t="inlineStr">
        <is>
          <t>401816188</t>
        </is>
      </c>
      <c r="E79" s="24" t="inlineStr">
        <is>
          <t>MLB</t>
        </is>
      </c>
      <c r="F79" s="24" t="inlineStr">
        <is>
          <t>Minnesota Twins</t>
        </is>
      </c>
      <c r="G79" s="24" t="inlineStr">
        <is>
          <t>Cleveland Guardians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0.583941</v>
      </c>
      <c r="P79" s="28" t="n"/>
      <c r="Q79" s="28" t="n">
        <v>0.06471</v>
      </c>
      <c r="R79" s="26" t="n">
        <v>52</v>
      </c>
      <c r="S79" s="29" t="n">
        <v>1.25</v>
      </c>
      <c r="T79" s="24" t="inlineStr">
        <is>
          <t>mlb-elo-trend-lr-v3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0.5150; executable ask 0.5200 (aec-mlb-min-cle-2026-07-20).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mlb-min</t>
        </is>
      </c>
      <c r="AQ79" s="24" t="inlineStr">
        <is>
          <t>Minnesota Twins</t>
        </is>
      </c>
      <c r="AR79" s="24" t="inlineStr">
        <is>
          <t>Minnesota Twins</t>
        </is>
      </c>
      <c r="AS79" s="24" t="inlineStr">
        <is>
          <t>mlb-cle</t>
        </is>
      </c>
      <c r="AT79" s="24" t="inlineStr">
        <is>
          <t>Cleveland Guardians</t>
        </is>
      </c>
      <c r="AU79" s="24" t="inlineStr">
        <is>
          <t>Cleveland Guardians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ebdb392c90fd9a9414a97c1b39024e1a4f2c894aee118b3b4598ecd7e5e96695</t>
        </is>
      </c>
      <c r="BB79" s="24" t="inlineStr">
        <is>
          <t>learned_lr</t>
        </is>
      </c>
      <c r="BC79" s="24" t="inlineStr">
        <is>
          <t>mlb-elo-trend-lr-v3</t>
        </is>
      </c>
      <c r="BD79" s="24" t="inlineStr">
        <is>
          <t>ebdb392c90fd9a9414a97c1b39024e1a4f2c894aee118b3b4598ecd7e5e96695</t>
        </is>
      </c>
      <c r="BE79" s="24" t="inlineStr">
        <is>
          <t>19929f0cfbcdf2ed</t>
        </is>
      </c>
      <c r="BF79" s="24" t="inlineStr">
        <is>
          <t>1</t>
        </is>
      </c>
      <c r="BG79" s="24" t="inlineStr">
        <is>
          <t>mlb-elo-trend-lr-v3</t>
        </is>
      </c>
      <c r="BH79" s="24" t="inlineStr">
        <is>
          <t>2026-07-19T17:17:28.488847Z</t>
        </is>
      </c>
      <c r="BI79" s="24" t="inlineStr">
        <is>
          <t>["same_event","same_team_same_day","same_league_same_day"]</t>
        </is>
      </c>
      <c r="BJ79" s="25" t="n"/>
      <c r="BK79" s="26" t="n">
        <v>-108</v>
      </c>
      <c r="BL79" s="27" t="n">
        <v>1.925926</v>
      </c>
      <c r="BM79" s="28" t="n">
        <v>0.519231</v>
      </c>
      <c r="BN79" s="28" t="n">
        <v>0.517413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</row>
    <row r="80" ht="36" customHeight="1">
      <c r="A80" s="24" t="inlineStr">
        <is>
          <t>279e8c5dd40743fe</t>
        </is>
      </c>
      <c r="B80" s="24" t="inlineStr">
        <is>
          <t>2026-07-19T17:18:24.670965Z</t>
        </is>
      </c>
      <c r="C80" s="24" t="inlineStr">
        <is>
          <t>2026-07-20T19:00:00-0400</t>
        </is>
      </c>
      <c r="D80" s="24" t="inlineStr">
        <is>
          <t>401816187</t>
        </is>
      </c>
      <c r="E80" s="24" t="inlineStr">
        <is>
          <t>MLB</t>
        </is>
      </c>
      <c r="F80" s="24" t="inlineStr">
        <is>
          <t>Los Angeles Dodgers</t>
        </is>
      </c>
      <c r="G80" s="24" t="inlineStr">
        <is>
          <t>Philadelphia Phillies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135</v>
      </c>
      <c r="M80" s="27" t="n">
        <v>2.35</v>
      </c>
      <c r="N80" s="28" t="n">
        <v>0.425532</v>
      </c>
      <c r="O80" s="28" t="n">
        <v>0.535498</v>
      </c>
      <c r="P80" s="28" t="n"/>
      <c r="Q80" s="28" t="n">
        <v>0.109966</v>
      </c>
      <c r="R80" s="26" t="n">
        <v>100</v>
      </c>
      <c r="S80" s="29" t="n">
        <v>0.75</v>
      </c>
      <c r="T80" s="24" t="inlineStr">
        <is>
          <t>mlb-elo-trend-lr-v3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0.5150; executable ask 0.4250 (aec-mlb-lad-phi-2026-07-20).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NO_CALL_LARGE_DISAGREEMENT_REVIEW</t>
        </is>
      </c>
      <c r="AP80" s="24" t="inlineStr">
        <is>
          <t>mlb-lad</t>
        </is>
      </c>
      <c r="AQ80" s="24" t="inlineStr">
        <is>
          <t>Los Angeles Dodgers</t>
        </is>
      </c>
      <c r="AR80" s="24" t="inlineStr">
        <is>
          <t>Los Angeles Dodgers</t>
        </is>
      </c>
      <c r="AS80" s="24" t="inlineStr">
        <is>
          <t>mlb-phi</t>
        </is>
      </c>
      <c r="AT80" s="24" t="inlineStr">
        <is>
          <t>Philadelphia Phillies</t>
        </is>
      </c>
      <c r="AU80" s="24" t="inlineStr">
        <is>
          <t>Philadelphia Phillies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ebdb392c90fd9a9414a97c1b39024e1a4f2c894aee118b3b4598ecd7e5e96695</t>
        </is>
      </c>
      <c r="BB80" s="24" t="inlineStr">
        <is>
          <t>learned_lr</t>
        </is>
      </c>
      <c r="BC80" s="24" t="inlineStr">
        <is>
          <t>mlb-elo-trend-lr-v3</t>
        </is>
      </c>
      <c r="BD80" s="24" t="inlineStr">
        <is>
          <t>ebdb392c90fd9a9414a97c1b39024e1a4f2c894aee118b3b4598ecd7e5e96695</t>
        </is>
      </c>
      <c r="BE80" s="24" t="inlineStr">
        <is>
          <t>2e2c2111662001b9</t>
        </is>
      </c>
      <c r="BF80" s="24" t="inlineStr">
        <is>
          <t>1</t>
        </is>
      </c>
      <c r="BG80" s="24" t="inlineStr">
        <is>
          <t>mlb-elo-trend-lr-v3</t>
        </is>
      </c>
      <c r="BH80" s="24" t="inlineStr">
        <is>
          <t>2026-07-19T17:17:33.614115Z</t>
        </is>
      </c>
      <c r="BI80" s="24" t="inlineStr">
        <is>
          <t>["same_event","same_team_same_day","same_league_same_day"]</t>
        </is>
      </c>
      <c r="BJ80" s="25" t="n"/>
      <c r="BK80" s="26" t="n">
        <v>135</v>
      </c>
      <c r="BL80" s="27" t="n">
        <v>2.35</v>
      </c>
      <c r="BM80" s="28" t="n">
        <v>0.425532</v>
      </c>
      <c r="BN80" s="28" t="n">
        <v>0.422886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</row>
    <row r="81" ht="36" customHeight="1">
      <c r="A81" s="24" t="inlineStr">
        <is>
          <t>5d2cb57b32f14866</t>
        </is>
      </c>
      <c r="B81" s="24" t="inlineStr">
        <is>
          <t>2026-07-19T17:18:24.670965Z</t>
        </is>
      </c>
      <c r="C81" s="24" t="inlineStr">
        <is>
          <t>2026-07-20T19:05:00-0400</t>
        </is>
      </c>
      <c r="D81" s="24" t="inlineStr">
        <is>
          <t>401816189</t>
        </is>
      </c>
      <c r="E81" s="24" t="inlineStr">
        <is>
          <t>MLB</t>
        </is>
      </c>
      <c r="F81" s="24" t="inlineStr">
        <is>
          <t>Pittsburgh Pirates</t>
        </is>
      </c>
      <c r="G81" s="24" t="inlineStr">
        <is>
          <t>New York Yankees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-127</v>
      </c>
      <c r="M81" s="27" t="n">
        <v>1.787402</v>
      </c>
      <c r="N81" s="28" t="n">
        <v>0.5594710000000001</v>
      </c>
      <c r="O81" s="28" t="n">
        <v>0.58711</v>
      </c>
      <c r="P81" s="28" t="n"/>
      <c r="Q81" s="28" t="n">
        <v>0.027639</v>
      </c>
      <c r="R81" s="26" t="n">
        <v>34</v>
      </c>
      <c r="S81" s="29" t="n">
        <v>1.25</v>
      </c>
      <c r="T81" s="24" t="inlineStr">
        <is>
          <t>mlb-elo-trend-lr-v3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0.5150; executable ask 0.5600 (aec-mlb-pit-nyy-2026-07-20).</t>
        </is>
      </c>
      <c r="AF81" s="31" t="inlineStr">
        <is>
          <t>Learned model; promotion gate not yet open; zero-unit research until review.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mlb-pit</t>
        </is>
      </c>
      <c r="AQ81" s="24" t="inlineStr">
        <is>
          <t>Pittsburgh Pirates</t>
        </is>
      </c>
      <c r="AR81" s="24" t="inlineStr">
        <is>
          <t>Pittsburgh Pirates</t>
        </is>
      </c>
      <c r="AS81" s="24" t="inlineStr">
        <is>
          <t>mlb-nyy</t>
        </is>
      </c>
      <c r="AT81" s="24" t="inlineStr">
        <is>
          <t>New York Yankees</t>
        </is>
      </c>
      <c r="AU81" s="24" t="inlineStr">
        <is>
          <t>New York Yankees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ebdb392c90fd9a9414a97c1b39024e1a4f2c894aee118b3b4598ecd7e5e96695</t>
        </is>
      </c>
      <c r="BB81" s="24" t="inlineStr">
        <is>
          <t>learned_lr</t>
        </is>
      </c>
      <c r="BC81" s="24" t="inlineStr">
        <is>
          <t>mlb-elo-trend-lr-v3</t>
        </is>
      </c>
      <c r="BD81" s="24" t="inlineStr">
        <is>
          <t>ebdb392c90fd9a9414a97c1b39024e1a4f2c894aee118b3b4598ecd7e5e96695</t>
        </is>
      </c>
      <c r="BE81" s="24" t="inlineStr">
        <is>
          <t>5ace88fdb9c57ce4</t>
        </is>
      </c>
      <c r="BF81" s="24" t="inlineStr">
        <is>
          <t>1</t>
        </is>
      </c>
      <c r="BG81" s="24" t="inlineStr">
        <is>
          <t>mlb-elo-trend-lr-v3</t>
        </is>
      </c>
      <c r="BH81" s="24" t="inlineStr">
        <is>
          <t>2026-07-19T17:17:29.263038Z</t>
        </is>
      </c>
      <c r="BI81" s="24" t="inlineStr">
        <is>
          <t>["same_event","same_team_same_day","same_league_same_day"]</t>
        </is>
      </c>
      <c r="BJ81" s="25" t="n"/>
      <c r="BK81" s="26" t="n">
        <v>-127</v>
      </c>
      <c r="BL81" s="27" t="n">
        <v>1.787402</v>
      </c>
      <c r="BM81" s="28" t="n">
        <v>0.5594710000000001</v>
      </c>
      <c r="BN81" s="28" t="n">
        <v>0.557214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</row>
    <row r="82" ht="36" customHeight="1">
      <c r="A82" s="24" t="inlineStr">
        <is>
          <t>a1f560f16ca8495f</t>
        </is>
      </c>
      <c r="B82" s="24" t="inlineStr">
        <is>
          <t>2026-07-19T17:18:24.670965Z</t>
        </is>
      </c>
      <c r="C82" s="24" t="inlineStr">
        <is>
          <t>2026-07-20T19:10:00-0400</t>
        </is>
      </c>
      <c r="D82" s="24" t="inlineStr">
        <is>
          <t>401816186</t>
        </is>
      </c>
      <c r="E82" s="24" t="inlineStr">
        <is>
          <t>MLB</t>
        </is>
      </c>
      <c r="F82" s="24" t="inlineStr">
        <is>
          <t>Baltimore Orioles</t>
        </is>
      </c>
      <c r="G82" s="24" t="inlineStr">
        <is>
          <t>Boston Red Sox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-117</v>
      </c>
      <c r="M82" s="27" t="n">
        <v>1.854701</v>
      </c>
      <c r="N82" s="28" t="n">
        <v>0.539171</v>
      </c>
      <c r="O82" s="28" t="n">
        <v>0.56697</v>
      </c>
      <c r="P82" s="28" t="n"/>
      <c r="Q82" s="28" t="n">
        <v>0.027799</v>
      </c>
      <c r="R82" s="26" t="n">
        <v>34</v>
      </c>
      <c r="S82" s="29" t="n">
        <v>1.25</v>
      </c>
      <c r="T82" s="24" t="inlineStr">
        <is>
          <t>mlb-elo-trend-lr-v3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Learned LR call at threshold 0.5150; executable ask 0.5400 (aec-mlb-bal-bos-2026-07-20).</t>
        </is>
      </c>
      <c r="AF82" s="31" t="inlineStr">
        <is>
          <t>Learned model; promotion gate not yet open; zero-unit research until review.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mlb-bal</t>
        </is>
      </c>
      <c r="AQ82" s="24" t="inlineStr">
        <is>
          <t>Baltimore Orioles</t>
        </is>
      </c>
      <c r="AR82" s="24" t="inlineStr">
        <is>
          <t>Baltimore Orioles</t>
        </is>
      </c>
      <c r="AS82" s="24" t="inlineStr">
        <is>
          <t>mlb-bos</t>
        </is>
      </c>
      <c r="AT82" s="24" t="inlineStr">
        <is>
          <t>Boston Red Sox</t>
        </is>
      </c>
      <c r="AU82" s="24" t="inlineStr">
        <is>
          <t>Boston Red Sox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ebdb392c90fd9a9414a97c1b39024e1a4f2c894aee118b3b4598ecd7e5e96695</t>
        </is>
      </c>
      <c r="BB82" s="24" t="inlineStr">
        <is>
          <t>learned_lr</t>
        </is>
      </c>
      <c r="BC82" s="24" t="inlineStr">
        <is>
          <t>mlb-elo-trend-lr-v3</t>
        </is>
      </c>
      <c r="BD82" s="24" t="inlineStr">
        <is>
          <t>ebdb392c90fd9a9414a97c1b39024e1a4f2c894aee118b3b4598ecd7e5e96695</t>
        </is>
      </c>
      <c r="BE82" s="24" t="inlineStr">
        <is>
          <t>a6a83b5ac90d7962</t>
        </is>
      </c>
      <c r="BF82" s="24" t="inlineStr">
        <is>
          <t>1</t>
        </is>
      </c>
      <c r="BG82" s="24" t="inlineStr">
        <is>
          <t>mlb-elo-trend-lr-v3</t>
        </is>
      </c>
      <c r="BH82" s="24" t="inlineStr">
        <is>
          <t>2026-07-19T17:17:31.410943Z</t>
        </is>
      </c>
      <c r="BI82" s="24" t="inlineStr">
        <is>
          <t>["same_event","same_team_same_day","same_league_same_day"]</t>
        </is>
      </c>
      <c r="BJ82" s="25" t="n"/>
      <c r="BK82" s="26" t="n">
        <v>-117</v>
      </c>
      <c r="BL82" s="27" t="n">
        <v>1.854701</v>
      </c>
      <c r="BM82" s="28" t="n">
        <v>0.539171</v>
      </c>
      <c r="BN82" s="28" t="n">
        <v>0.537313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</row>
    <row r="83" ht="36" customHeight="1">
      <c r="A83" s="24" t="inlineStr">
        <is>
          <t>369b925b172f4b6a</t>
        </is>
      </c>
      <c r="B83" s="24" t="inlineStr">
        <is>
          <t>2026-07-19T17:18:24.670965Z</t>
        </is>
      </c>
      <c r="C83" s="24" t="inlineStr">
        <is>
          <t>2026-07-21T01:40Z</t>
        </is>
      </c>
      <c r="D83" s="24" t="inlineStr">
        <is>
          <t>401816199</t>
        </is>
      </c>
      <c r="E83" s="24" t="inlineStr">
        <is>
          <t>MLB</t>
        </is>
      </c>
      <c r="F83" s="24" t="inlineStr">
        <is>
          <t>Cincinnati Reds</t>
        </is>
      </c>
      <c r="G83" s="24" t="inlineStr">
        <is>
          <t>Seattle Mariners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-125</v>
      </c>
      <c r="M83" s="27" t="n">
        <v>1.8</v>
      </c>
      <c r="N83" s="28" t="n">
        <v>0.555556</v>
      </c>
      <c r="O83" s="28" t="n">
        <v>0.597509</v>
      </c>
      <c r="P83" s="28" t="n"/>
      <c r="Q83" s="28" t="n">
        <v>0.041953</v>
      </c>
      <c r="R83" s="26" t="n">
        <v>41</v>
      </c>
      <c r="S83" s="29" t="n">
        <v>1.5</v>
      </c>
      <c r="T83" s="24" t="inlineStr">
        <is>
          <t>mlb-elo-trend-lr-v3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0.5150; executable ask 0.5550 (aec-mlb-cin-sea-2026-07-20).</t>
        </is>
      </c>
      <c r="AF83" s="31" t="inlineStr">
        <is>
          <t>Learned model; promotion gate not yet open; zero-unit research until review.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mlb-cin</t>
        </is>
      </c>
      <c r="AQ83" s="24" t="inlineStr">
        <is>
          <t>Cincinnati Reds</t>
        </is>
      </c>
      <c r="AR83" s="24" t="inlineStr">
        <is>
          <t>Cincinnati Reds</t>
        </is>
      </c>
      <c r="AS83" s="24" t="inlineStr">
        <is>
          <t>mlb-sea</t>
        </is>
      </c>
      <c r="AT83" s="24" t="inlineStr">
        <is>
          <t>Seattle Mariners</t>
        </is>
      </c>
      <c r="AU83" s="24" t="inlineStr">
        <is>
          <t>Seattle Mariners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ebdb392c90fd9a9414a97c1b39024e1a4f2c894aee118b3b4598ecd7e5e96695</t>
        </is>
      </c>
      <c r="BB83" s="24" t="inlineStr">
        <is>
          <t>learned_lr</t>
        </is>
      </c>
      <c r="BC83" s="24" t="inlineStr">
        <is>
          <t>mlb-elo-trend-lr-v3</t>
        </is>
      </c>
      <c r="BD83" s="24" t="inlineStr">
        <is>
          <t>ebdb392c90fd9a9414a97c1b39024e1a4f2c894aee118b3b4598ecd7e5e96695</t>
        </is>
      </c>
      <c r="BE83" s="24" t="inlineStr">
        <is>
          <t>982d73638d70c45b</t>
        </is>
      </c>
      <c r="BF83" s="24" t="inlineStr">
        <is>
          <t>1</t>
        </is>
      </c>
      <c r="BG83" s="24" t="inlineStr">
        <is>
          <t>mlb-elo-trend-lr-v3</t>
        </is>
      </c>
      <c r="BH83" s="24" t="inlineStr">
        <is>
          <t>2026-07-19T17:17:46.849555Z</t>
        </is>
      </c>
      <c r="BI83" s="24" t="inlineStr">
        <is>
          <t>["same_event","same_team_same_day","same_league_same_day"]</t>
        </is>
      </c>
      <c r="BJ83" s="25" t="n"/>
      <c r="BK83" s="26" t="n">
        <v>-125</v>
      </c>
      <c r="BL83" s="27" t="n">
        <v>1.8</v>
      </c>
      <c r="BM83" s="28" t="n">
        <v>0.555556</v>
      </c>
      <c r="BN83" s="28" t="n">
        <v>0.552239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</row>
    <row r="84" ht="36" customHeight="1">
      <c r="A84" s="24" t="inlineStr">
        <is>
          <t>c7a1577522fb4d37</t>
        </is>
      </c>
      <c r="B84" s="24" t="inlineStr">
        <is>
          <t>2026-07-19T17:18:24.670965Z</t>
        </is>
      </c>
      <c r="C84" s="24" t="inlineStr">
        <is>
          <t>2026-07-21T02:00Z</t>
        </is>
      </c>
      <c r="D84" s="24" t="inlineStr">
        <is>
          <t>401816200</t>
        </is>
      </c>
      <c r="E84" s="24" t="inlineStr">
        <is>
          <t>MLB</t>
        </is>
      </c>
      <c r="F84" s="24" t="inlineStr">
        <is>
          <t>St. Louis Cardinals</t>
        </is>
      </c>
      <c r="G84" s="24" t="inlineStr">
        <is>
          <t>Los Angeles Angels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-102</v>
      </c>
      <c r="M84" s="27" t="n">
        <v>1.980392</v>
      </c>
      <c r="N84" s="28" t="n">
        <v>0.50495</v>
      </c>
      <c r="O84" s="28" t="n">
        <v>0.541942</v>
      </c>
      <c r="P84" s="28" t="n"/>
      <c r="Q84" s="28" t="n">
        <v>0.036992</v>
      </c>
      <c r="R84" s="26" t="n">
        <v>38</v>
      </c>
      <c r="S84" s="29" t="n">
        <v>1</v>
      </c>
      <c r="T84" s="24" t="inlineStr">
        <is>
          <t>mlb-elo-trend-lr-v3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0.5150; executable ask 0.5050 (aec-mlb-stl-laa-2026-07-20).</t>
        </is>
      </c>
      <c r="AF84" s="31" t="inlineStr">
        <is>
          <t>Learned model; promotion gate not yet open; zero-unit research until review.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mlb-stl</t>
        </is>
      </c>
      <c r="AQ84" s="24" t="inlineStr">
        <is>
          <t>St. Louis Cardinals</t>
        </is>
      </c>
      <c r="AR84" s="24" t="inlineStr">
        <is>
          <t>St. Louis Cardinals</t>
        </is>
      </c>
      <c r="AS84" s="24" t="inlineStr">
        <is>
          <t>mlb-laa</t>
        </is>
      </c>
      <c r="AT84" s="24" t="inlineStr">
        <is>
          <t>Los Angeles Angels</t>
        </is>
      </c>
      <c r="AU84" s="24" t="inlineStr">
        <is>
          <t>Los Angeles Angels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ebdb392c90fd9a9414a97c1b39024e1a4f2c894aee118b3b4598ecd7e5e96695</t>
        </is>
      </c>
      <c r="BB84" s="24" t="inlineStr">
        <is>
          <t>learned_lr</t>
        </is>
      </c>
      <c r="BC84" s="24" t="inlineStr">
        <is>
          <t>mlb-elo-trend-lr-v3</t>
        </is>
      </c>
      <c r="BD84" s="24" t="inlineStr">
        <is>
          <t>ebdb392c90fd9a9414a97c1b39024e1a4f2c894aee118b3b4598ecd7e5e96695</t>
        </is>
      </c>
      <c r="BE84" s="24" t="inlineStr">
        <is>
          <t>83613a19346b831e</t>
        </is>
      </c>
      <c r="BF84" s="24" t="inlineStr">
        <is>
          <t>1</t>
        </is>
      </c>
      <c r="BG84" s="24" t="inlineStr">
        <is>
          <t>mlb-elo-trend-lr-v3</t>
        </is>
      </c>
      <c r="BH84" s="24" t="inlineStr">
        <is>
          <t>2026-07-19T17:17:47.727344Z</t>
        </is>
      </c>
      <c r="BI84" s="24" t="inlineStr">
        <is>
          <t>["same_event","same_team_same_day","same_league_same_day"]</t>
        </is>
      </c>
      <c r="BJ84" s="25" t="n"/>
      <c r="BK84" s="26" t="n">
        <v>-102</v>
      </c>
      <c r="BL84" s="27" t="n">
        <v>1.980392</v>
      </c>
      <c r="BM84" s="28" t="n">
        <v>0.50495</v>
      </c>
      <c r="BN84" s="28" t="n">
        <v>0.502488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</row>
    <row r="85" ht="36" customHeight="1">
      <c r="A85" s="24" t="inlineStr">
        <is>
          <t>5ddbae8d805944cb</t>
        </is>
      </c>
      <c r="B85" s="24" t="inlineStr">
        <is>
          <t>2026-07-19T17:18:29.371620Z</t>
        </is>
      </c>
      <c r="C85" s="24" t="inlineStr">
        <is>
          <t>2026-07-21T00:00Z</t>
        </is>
      </c>
      <c r="D85" s="24" t="inlineStr">
        <is>
          <t>401892393</t>
        </is>
      </c>
      <c r="E85" s="24" t="inlineStr">
        <is>
          <t>WNBA</t>
        </is>
      </c>
      <c r="F85" s="24" t="inlineStr">
        <is>
          <t>New York Liberty</t>
        </is>
      </c>
      <c r="G85" s="24" t="inlineStr">
        <is>
          <t>Dallas Wings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0.6787840000000001</v>
      </c>
      <c r="P85" s="28" t="n"/>
      <c r="Q85" s="28" t="n">
        <v>0.198015</v>
      </c>
      <c r="R85" s="26" t="n">
        <v>100</v>
      </c>
      <c r="S85" s="29" t="n">
        <v>0.5</v>
      </c>
      <c r="T85" s="24" t="inlineStr">
        <is>
          <t>wnba-elo-trend-lr-v3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0.5000; executable ask 0.4800 (aec-wnba-ny-dal-2026-07-20).</t>
        </is>
      </c>
      <c r="AF85" s="31" t="inlineStr">
        <is>
          <t>Learned model; promotion gate not yet open; zero-unit research until review.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NO_CALL_LARGE_DISAGREEMENT_REVIEW</t>
        </is>
      </c>
      <c r="AP85" s="24" t="inlineStr">
        <is>
          <t>wnba-nyl</t>
        </is>
      </c>
      <c r="AQ85" s="24" t="inlineStr">
        <is>
          <t>New York Liberty</t>
        </is>
      </c>
      <c r="AR85" s="24" t="inlineStr">
        <is>
          <t>New York Liberty</t>
        </is>
      </c>
      <c r="AS85" s="24" t="inlineStr">
        <is>
          <t>wnba-dal</t>
        </is>
      </c>
      <c r="AT85" s="24" t="inlineStr">
        <is>
          <t>Dallas Wings</t>
        </is>
      </c>
      <c r="AU85" s="24" t="inlineStr">
        <is>
          <t>Dallas Wings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d339198b196cb3fcd02950ed5efbdd4cefbeb95b2cd63cd756e77f99dc483719</t>
        </is>
      </c>
      <c r="BB85" s="24" t="inlineStr">
        <is>
          <t>learned_lr</t>
        </is>
      </c>
      <c r="BC85" s="24" t="inlineStr">
        <is>
          <t>wnba-elo-trend-lr-v3</t>
        </is>
      </c>
      <c r="BD85" s="24" t="inlineStr">
        <is>
          <t>d339198b196cb3fcd02950ed5efbdd4cefbeb95b2cd63cd756e77f99dc483719</t>
        </is>
      </c>
      <c r="BE85" s="24" t="inlineStr">
        <is>
          <t>1c6f45e72b2d1f80</t>
        </is>
      </c>
      <c r="BF85" s="24" t="inlineStr">
        <is>
          <t>1</t>
        </is>
      </c>
      <c r="BG85" s="24" t="inlineStr">
        <is>
          <t>wnba-elo-trend-lr-v3</t>
        </is>
      </c>
      <c r="BH85" s="24" t="inlineStr">
        <is>
          <t>2026-07-19T17:17:49.472621Z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>
        <v>0.475248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</row>
    <row r="86" ht="36" customHeight="1">
      <c r="A86" s="24" t="inlineStr">
        <is>
          <t>742b29ba1ffd440b</t>
        </is>
      </c>
      <c r="B86" s="24" t="inlineStr">
        <is>
          <t>2026-07-19T22:20:13.941752Z</t>
        </is>
      </c>
      <c r="C86" s="24" t="inlineStr">
        <is>
          <t>2026-07-20T20:05:00-0400</t>
        </is>
      </c>
      <c r="D86" s="24" t="inlineStr">
        <is>
          <t>401816193</t>
        </is>
      </c>
      <c r="E86" s="24" t="inlineStr">
        <is>
          <t>MLB</t>
        </is>
      </c>
      <c r="F86" s="24" t="inlineStr">
        <is>
          <t>Detroit Tigers</t>
        </is>
      </c>
      <c r="G86" s="24" t="inlineStr">
        <is>
          <t>Chicago Cubs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0.575831</v>
      </c>
      <c r="P86" s="28" t="n"/>
      <c r="Q86" s="28" t="n">
        <v>0.0566</v>
      </c>
      <c r="R86" s="26" t="n">
        <v>48</v>
      </c>
      <c r="S86" s="29" t="n">
        <v>1.25</v>
      </c>
      <c r="T86" s="24" t="inlineStr">
        <is>
          <t>mlb-elo-trend-lr-v3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0.5150; executable ask 0.5200 (aec-mlb-det-chc-2026-07-20).</t>
        </is>
      </c>
      <c r="AF86" s="31" t="inlineStr">
        <is>
          <t>Learned model; promotion gate not yet open; zero-unit research until review.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mlb-det</t>
        </is>
      </c>
      <c r="AQ86" s="24" t="inlineStr">
        <is>
          <t>Detroit Tigers</t>
        </is>
      </c>
      <c r="AR86" s="24" t="inlineStr">
        <is>
          <t>Detroit Tigers</t>
        </is>
      </c>
      <c r="AS86" s="24" t="inlineStr">
        <is>
          <t>mlb-chc</t>
        </is>
      </c>
      <c r="AT86" s="24" t="inlineStr">
        <is>
          <t>Chicago Cubs</t>
        </is>
      </c>
      <c r="AU86" s="24" t="inlineStr">
        <is>
          <t>Chicago Cubs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ebdb392c90fd9a9414a97c1b39024e1a4f2c894aee118b3b4598ecd7e5e96695</t>
        </is>
      </c>
      <c r="BB86" s="24" t="inlineStr">
        <is>
          <t>learned_lr</t>
        </is>
      </c>
      <c r="BC86" s="24" t="inlineStr">
        <is>
          <t>mlb-elo-trend-lr-v3</t>
        </is>
      </c>
      <c r="BD86" s="24" t="inlineStr">
        <is>
          <t>ebdb392c90fd9a9414a97c1b39024e1a4f2c894aee118b3b4598ecd7e5e96695</t>
        </is>
      </c>
      <c r="BE86" s="24" t="inlineStr">
        <is>
          <t>4f45054abf6875ac</t>
        </is>
      </c>
      <c r="BF86" s="24" t="inlineStr">
        <is>
          <t>1</t>
        </is>
      </c>
      <c r="BG86" s="24" t="inlineStr">
        <is>
          <t>mlb-elo-trend-lr-v3</t>
        </is>
      </c>
      <c r="BH86" s="24" t="inlineStr">
        <is>
          <t>2026-07-19T17:19:26.722324Z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>
        <v>0.517413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2026-07-20T11:53:04Z</dcterms:created>
  <dcterms:modified xsi:type="dcterms:W3CDTF">2026-07-20T11:53:04Z</dcterms:modified>
</cp:coreProperties>
</file>