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74" headerRowCount="1">
  <autoFilter ref="A1:CA74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COUNTA('Picks'!$A$2:$A$74)</f>
        <v/>
      </c>
      <c r="C4" s="6">
        <f>COUNTIF('Picks'!$U$2:$U$74,"open")</f>
        <v/>
      </c>
      <c r="E4" s="6">
        <f>COUNTIF('Picks'!$U$2:$U$74,"settled")</f>
        <v/>
      </c>
      <c r="G4" s="6">
        <f>IF(COUNTIFS('Picks'!$U$2:$U$74,"settled",'Picks'!$V$2:$V$74,"win")+COUNTIFS('Picks'!$U$2:$U$74,"settled",'Picks'!$V$2:$V$74,"loss")&gt;=$L$2,"Ready","Insufficient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COUNTIF('Picks'!$BX$2:$BX$74,"&gt;0")</f>
        <v/>
      </c>
      <c r="C7" s="6">
        <f>COUNTIFS('Picks'!$BX$2:$BX$74,"&gt;0",'Picks'!$V$2:$V$74,"win")&amp;"-"&amp;COUNTIFS('Picks'!$BX$2:$BX$74,"&gt;0",'Picks'!$V$2:$V$74,"loss")</f>
        <v/>
      </c>
      <c r="E7" s="32">
        <f>IFERROR(COUNTIFS('Picks'!$BX$2:$BX$74,"&gt;0",'Picks'!$V$2:$V$74,"win")/(COUNTIFS('Picks'!$BX$2:$BX$74,"&gt;0",'Picks'!$V$2:$V$74,"win")+COUNTIFS('Picks'!$BX$2:$BX$74,"&gt;0",'Picks'!$V$2:$V$74,"loss")),0)</f>
        <v/>
      </c>
      <c r="G7" s="32">
        <f>IFERROR(SUM('Picks'!$BY$2:$BY$74)/SUM('Picks'!$BX$2:$BX$74),0)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SUM('Picks'!$BY$2:$BY$74)</f>
        <v/>
      </c>
      <c r="C10" s="9">
        <f>IFERROR(AVERAGEIF('Picks'!$AB$2:$AB$74,"&lt;&gt;",'Picks'!$AB$2:$AB$74),0)</f>
        <v/>
      </c>
      <c r="E10" s="6">
        <f>COUNTIFS('Picks'!$AM$2:$AM$74,"QUALIFIED_SHADOW_CALL",'Picks'!$U$2:$U$74,"settled")</f>
        <v/>
      </c>
      <c r="G10" s="33">
        <f>SUMIFS('Picks'!$AC$2:$AC$74,'Picks'!$AM$2:$AM$74,"QUALIFIED_SHADOW_CALL")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COUNTIFS('Picks'!$H$2:$H$74,$A14,'Picks'!$U$2:$U$74,"settled")</f>
        <v/>
      </c>
      <c r="C14" s="13">
        <f>COUNTIFS('Picks'!$H$2:$H$74,$A14,'Picks'!$U$2:$U$74,"settled",'Picks'!$V$2:$V$74,"win")</f>
        <v/>
      </c>
      <c r="D14" s="13">
        <f>COUNTIFS('Picks'!$H$2:$H$74,$A14,'Picks'!$U$2:$U$74,"settled",'Picks'!$V$2:$V$74,"loss")</f>
        <v/>
      </c>
      <c r="E14" s="34">
        <f>IFERROR(C14/(C14+D14),0)</f>
        <v/>
      </c>
      <c r="F14" s="35">
        <f>SUMIFS('Picks'!$BY$2:$BY$74,'Picks'!$H$2:$H$74,$A14)</f>
        <v/>
      </c>
      <c r="G14" s="16">
        <f>IFERROR(AVERAGEIFS('Picks'!$AB$2:$AB$74,'Picks'!$H$2:$H$74,$A14,'Picks'!$U$2:$U$74,"settled"),0)</f>
        <v/>
      </c>
    </row>
    <row r="15">
      <c r="A15" s="17" t="inlineStr">
        <is>
          <t>spread</t>
        </is>
      </c>
      <c r="B15" s="18">
        <f>COUNTIFS('Picks'!$H$2:$H$74,$A15,'Picks'!$U$2:$U$74,"settled")</f>
        <v/>
      </c>
      <c r="C15" s="18">
        <f>COUNTIFS('Picks'!$H$2:$H$74,$A15,'Picks'!$U$2:$U$74,"settled",'Picks'!$V$2:$V$74,"win")</f>
        <v/>
      </c>
      <c r="D15" s="18">
        <f>COUNTIFS('Picks'!$H$2:$H$74,$A15,'Picks'!$U$2:$U$74,"settled",'Picks'!$V$2:$V$74,"loss")</f>
        <v/>
      </c>
      <c r="E15" s="36">
        <f>IFERROR(C15/(C15+D15),0)</f>
        <v/>
      </c>
      <c r="F15" s="37">
        <f>SUMIFS('Picks'!$BY$2:$BY$74,'Picks'!$H$2:$H$74,$A15)</f>
        <v/>
      </c>
      <c r="G15" s="21">
        <f>IFERROR(AVERAGEIFS('Picks'!$AB$2:$AB$74,'Picks'!$H$2:$H$74,$A15,'Picks'!$U$2:$U$74,"settled"),0)</f>
        <v/>
      </c>
    </row>
    <row r="16">
      <c r="A16" s="12" t="inlineStr">
        <is>
          <t>total</t>
        </is>
      </c>
      <c r="B16" s="13">
        <f>COUNTIFS('Picks'!$H$2:$H$74,$A16,'Picks'!$U$2:$U$74,"settled")</f>
        <v/>
      </c>
      <c r="C16" s="13">
        <f>COUNTIFS('Picks'!$H$2:$H$74,$A16,'Picks'!$U$2:$U$74,"settled",'Picks'!$V$2:$V$74,"win")</f>
        <v/>
      </c>
      <c r="D16" s="13">
        <f>COUNTIFS('Picks'!$H$2:$H$74,$A16,'Picks'!$U$2:$U$74,"settled",'Picks'!$V$2:$V$74,"loss")</f>
        <v/>
      </c>
      <c r="E16" s="34">
        <f>IFERROR(C16/(C16+D16),0)</f>
        <v/>
      </c>
      <c r="F16" s="35">
        <f>SUMIFS('Picks'!$BY$2:$BY$74,'Picks'!$H$2:$H$74,$A16)</f>
        <v/>
      </c>
      <c r="G16" s="16">
        <f>IFERROR(AVERAGEIFS('Picks'!$AB$2:$AB$74,'Picks'!$H$2:$H$74,$A16,'Picks'!$U$2:$U$74,"settled"),0)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104</v>
      </c>
      <c r="M32" s="39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61</v>
      </c>
      <c r="S32" s="29" t="n">
        <v>1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38" t="n"/>
      <c r="Z32" s="26" t="n"/>
      <c r="AA32" s="28" t="n"/>
      <c r="AB32" s="28" t="n"/>
      <c r="AC32" s="4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38" t="n"/>
      <c r="BK32" s="26" t="n">
        <v>104</v>
      </c>
      <c r="BL32" s="39" t="n">
        <v>2.04</v>
      </c>
      <c r="BM32" s="28" t="n">
        <v>0.490196</v>
      </c>
      <c r="BN32" s="28" t="n">
        <v>0.487562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117</v>
      </c>
      <c r="M33" s="39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38" t="n"/>
      <c r="Z33" s="26" t="n"/>
      <c r="AA33" s="28" t="n"/>
      <c r="AB33" s="28" t="n"/>
      <c r="AC33" s="4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38" t="n"/>
      <c r="BK33" s="26" t="n">
        <v>117</v>
      </c>
      <c r="BL33" s="39" t="n">
        <v>2.17</v>
      </c>
      <c r="BM33" s="28" t="n">
        <v>0.460829</v>
      </c>
      <c r="BN33" s="28" t="n">
        <v>0.457711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-117</v>
      </c>
      <c r="M34" s="39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13</v>
      </c>
      <c r="S34" s="29" t="n">
        <v>1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38" t="n"/>
      <c r="Z34" s="26" t="n"/>
      <c r="AA34" s="28" t="n"/>
      <c r="AB34" s="28" t="n"/>
      <c r="AC34" s="4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38" t="n"/>
      <c r="BK34" s="26" t="n">
        <v>-117</v>
      </c>
      <c r="BL34" s="39" t="n">
        <v>1.854701</v>
      </c>
      <c r="BM34" s="28" t="n">
        <v>0.539171</v>
      </c>
      <c r="BN34" s="28" t="n">
        <v>0.537313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117</v>
      </c>
      <c r="M35" s="39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99</v>
      </c>
      <c r="S35" s="29" t="n">
        <v>1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38" t="n"/>
      <c r="Z35" s="26" t="n"/>
      <c r="AA35" s="28" t="n"/>
      <c r="AB35" s="28" t="n"/>
      <c r="AC35" s="4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38" t="n"/>
      <c r="BK35" s="26" t="n">
        <v>117</v>
      </c>
      <c r="BL35" s="39" t="n">
        <v>2.17</v>
      </c>
      <c r="BM35" s="28" t="n">
        <v>0.460829</v>
      </c>
      <c r="BN35" s="28" t="n">
        <v>0.457711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-106</v>
      </c>
      <c r="M36" s="39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4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38" t="n"/>
      <c r="Z36" s="26" t="n"/>
      <c r="AA36" s="28" t="n"/>
      <c r="AB36" s="28" t="n"/>
      <c r="AC36" s="4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38" t="n"/>
      <c r="BK36" s="26" t="n">
        <v>-106</v>
      </c>
      <c r="BL36" s="39" t="n">
        <v>1.943396</v>
      </c>
      <c r="BM36" s="28" t="n">
        <v>0.514563</v>
      </c>
      <c r="BN36" s="28" t="n">
        <v>0.5124379999999999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-122</v>
      </c>
      <c r="M37" s="39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81</v>
      </c>
      <c r="S37" s="29" t="n">
        <v>1.75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38" t="n"/>
      <c r="Z37" s="26" t="n"/>
      <c r="AA37" s="28" t="n"/>
      <c r="AB37" s="28" t="n"/>
      <c r="AC37" s="4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38" t="n"/>
      <c r="BK37" s="26" t="n">
        <v>-122</v>
      </c>
      <c r="BL37" s="39" t="n">
        <v>1.819672</v>
      </c>
      <c r="BM37" s="28" t="n">
        <v>0.54955</v>
      </c>
      <c r="BN37" s="28" t="n">
        <v>0.547264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38" t="n"/>
      <c r="K38" s="24" t="inlineStr">
        <is>
          <t>polymarket_us</t>
        </is>
      </c>
      <c r="L38" s="26" t="n">
        <v>115</v>
      </c>
      <c r="M38" s="39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55</v>
      </c>
      <c r="S38" s="29" t="n">
        <v>0.75</v>
      </c>
      <c r="T38" s="24" t="inlineStr">
        <is>
          <t>mlb-elo-trend-lr-v4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38" t="n"/>
      <c r="Z38" s="26" t="n"/>
      <c r="AA38" s="28" t="n"/>
      <c r="AB38" s="28" t="n"/>
      <c r="AC38" s="4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38" t="n"/>
      <c r="BK38" s="26" t="n">
        <v>115</v>
      </c>
      <c r="BL38" s="39" t="n">
        <v>2.15</v>
      </c>
      <c r="BM38" s="28" t="n">
        <v>0.465116</v>
      </c>
      <c r="BN38" s="28" t="n">
        <v>0.462687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-150</v>
      </c>
      <c r="M39" s="39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99</v>
      </c>
      <c r="S39" s="29" t="n">
        <v>1.5</v>
      </c>
      <c r="T39" s="24" t="inlineStr">
        <is>
          <t>mlb-elo-trend-lr-v4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38" t="n"/>
      <c r="Z39" s="26" t="n"/>
      <c r="AA39" s="28" t="n"/>
      <c r="AB39" s="28" t="n"/>
      <c r="AC39" s="4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38" t="n"/>
      <c r="BK39" s="26" t="n">
        <v>-150</v>
      </c>
      <c r="BL39" s="39" t="n">
        <v>1.666667</v>
      </c>
      <c r="BM39" s="28" t="n">
        <v>0.6</v>
      </c>
      <c r="BN39" s="28" t="n">
        <v>0.597015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38" t="n"/>
      <c r="K40" s="24" t="inlineStr">
        <is>
          <t>polymarket_us</t>
        </is>
      </c>
      <c r="L40" s="26" t="n">
        <v>-141</v>
      </c>
      <c r="M40" s="39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41</v>
      </c>
      <c r="S40" s="29" t="n">
        <v>0.75</v>
      </c>
      <c r="T40" s="24" t="inlineStr">
        <is>
          <t>mlb-elo-trend-lr-v4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38" t="n"/>
      <c r="Z40" s="26" t="n"/>
      <c r="AA40" s="28" t="n"/>
      <c r="AB40" s="28" t="n"/>
      <c r="AC40" s="4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38" t="n"/>
      <c r="BK40" s="26" t="n">
        <v>-141</v>
      </c>
      <c r="BL40" s="39" t="n">
        <v>1.70922</v>
      </c>
      <c r="BM40" s="28" t="n">
        <v>0.585062</v>
      </c>
      <c r="BN40" s="28" t="n">
        <v>0.58209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-163</v>
      </c>
      <c r="M41" s="39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75</v>
      </c>
      <c r="S41" s="29" t="n">
        <v>1.5</v>
      </c>
      <c r="T41" s="24" t="inlineStr">
        <is>
          <t>mlb-elo-trend-lr-v4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38" t="n"/>
      <c r="Z41" s="26" t="n"/>
      <c r="AA41" s="28" t="n"/>
      <c r="AB41" s="28" t="n"/>
      <c r="AC41" s="4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38" t="n"/>
      <c r="BK41" s="26" t="n">
        <v>-163</v>
      </c>
      <c r="BL41" s="39" t="n">
        <v>1.613497</v>
      </c>
      <c r="BM41" s="28" t="n">
        <v>0.619772</v>
      </c>
      <c r="BN41" s="28" t="n">
        <v>0.616915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polymarket_us</t>
        </is>
      </c>
      <c r="L42" s="26" t="n">
        <v>-111</v>
      </c>
      <c r="M42" s="39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92</v>
      </c>
      <c r="S42" s="29" t="n">
        <v>0.75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38" t="n"/>
      <c r="Z42" s="26" t="n"/>
      <c r="AA42" s="28" t="n"/>
      <c r="AB42" s="28" t="n"/>
      <c r="AC42" s="4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38" t="n"/>
      <c r="BK42" s="26" t="n">
        <v>-111</v>
      </c>
      <c r="BL42" s="39" t="n">
        <v>1.900901</v>
      </c>
      <c r="BM42" s="28" t="n">
        <v>0.526066</v>
      </c>
      <c r="BN42" s="28" t="n">
        <v>0.522388</v>
      </c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38" t="n"/>
      <c r="K43" s="24" t="inlineStr">
        <is>
          <t>polymarket_us</t>
        </is>
      </c>
      <c r="L43" s="26" t="n">
        <v>-108</v>
      </c>
      <c r="M43" s="39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99</v>
      </c>
      <c r="S43" s="29" t="n">
        <v>0.75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38" t="n"/>
      <c r="Z43" s="26" t="n"/>
      <c r="AA43" s="28" t="n"/>
      <c r="AB43" s="28" t="n"/>
      <c r="AC43" s="4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38" t="n"/>
      <c r="BK43" s="26" t="n">
        <v>-108</v>
      </c>
      <c r="BL43" s="39" t="n">
        <v>1.925926</v>
      </c>
      <c r="BM43" s="28" t="n">
        <v>0.519231</v>
      </c>
      <c r="BN43" s="28" t="n">
        <v>0.517413</v>
      </c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polymarket_us</t>
        </is>
      </c>
      <c r="L44" s="26" t="n">
        <v>-400</v>
      </c>
      <c r="M44" s="39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38" t="n"/>
      <c r="Z44" s="26" t="n"/>
      <c r="AA44" s="28" t="n"/>
      <c r="AB44" s="28" t="n"/>
      <c r="AC44" s="4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38" t="n"/>
      <c r="BK44" s="26" t="n">
        <v>-400</v>
      </c>
      <c r="BL44" s="39" t="n">
        <v>1.25</v>
      </c>
      <c r="BM44" s="28" t="n">
        <v>0.8</v>
      </c>
      <c r="BN44" s="28" t="n">
        <v>0.792079</v>
      </c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polymarket_us</t>
        </is>
      </c>
      <c r="L45" s="26" t="n">
        <v>-426</v>
      </c>
      <c r="M45" s="39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38" t="n"/>
      <c r="Z45" s="26" t="n"/>
      <c r="AA45" s="28" t="n"/>
      <c r="AB45" s="28" t="n"/>
      <c r="AC45" s="4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38" t="n"/>
      <c r="BK45" s="26" t="n">
        <v>-426</v>
      </c>
      <c r="BL45" s="39" t="n">
        <v>1.234742</v>
      </c>
      <c r="BM45" s="28" t="n">
        <v>0.809886</v>
      </c>
      <c r="BN45" s="28" t="n">
        <v>0.80198</v>
      </c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38" t="n"/>
      <c r="K46" s="24" t="inlineStr">
        <is>
          <t>polymarket_us</t>
        </is>
      </c>
      <c r="L46" s="26" t="n">
        <v>-156</v>
      </c>
      <c r="M46" s="39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38" t="n"/>
      <c r="Z46" s="26" t="n"/>
      <c r="AA46" s="28" t="n"/>
      <c r="AB46" s="28" t="n"/>
      <c r="AC46" s="4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38" t="n"/>
      <c r="BK46" s="26" t="n">
        <v>-156</v>
      </c>
      <c r="BL46" s="39" t="n">
        <v>1.641026</v>
      </c>
      <c r="BM46" s="28" t="n">
        <v>0.609375</v>
      </c>
      <c r="BN46" s="28" t="n">
        <v>0.6039600000000001</v>
      </c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38" t="n"/>
      <c r="K47" s="24" t="inlineStr">
        <is>
          <t>polymarket_us</t>
        </is>
      </c>
      <c r="L47" s="26" t="n">
        <v>-354</v>
      </c>
      <c r="M47" s="39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38" t="n"/>
      <c r="Z47" s="26" t="n"/>
      <c r="AA47" s="28" t="n"/>
      <c r="AB47" s="28" t="n"/>
      <c r="AC47" s="4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38" t="n"/>
      <c r="BK47" s="26" t="n">
        <v>-354</v>
      </c>
      <c r="BL47" s="39" t="n">
        <v>1.282486</v>
      </c>
      <c r="BM47" s="28" t="n">
        <v>0.779736</v>
      </c>
      <c r="BN47" s="28" t="n">
        <v>0.779736</v>
      </c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</t>
        </is>
      </c>
      <c r="L48" s="26" t="n">
        <v>-194</v>
      </c>
      <c r="M48" s="39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>
        <v>17</v>
      </c>
      <c r="S48" s="29" t="n">
        <v>1.25</v>
      </c>
      <c r="T48" s="24" t="inlineStr">
        <is>
          <t>mlb-elo-trend-lr-v4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38" t="n"/>
      <c r="Z48" s="26" t="n"/>
      <c r="AA48" s="28" t="n"/>
      <c r="AB48" s="28" t="n"/>
      <c r="AC48" s="4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inlineStr">
        <is>
          <t>5224fb6ffbc9ddf8fa517627b830ac851192da94d241963d556945393a42bb9d</t>
        </is>
      </c>
      <c r="BB48" s="24" t="n"/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n"/>
      <c r="BF48" s="24" t="n"/>
      <c r="BG48" s="24" t="n"/>
      <c r="BH48" s="24" t="inlineStr">
        <is>
          <t>2026-07-17T16:26:07.030893Z</t>
        </is>
      </c>
      <c r="BI48" s="24" t="n"/>
      <c r="BJ48" s="38" t="n"/>
      <c r="BK48" s="26" t="n">
        <v>-194</v>
      </c>
      <c r="BL48" s="39" t="n">
        <v>1.515464</v>
      </c>
      <c r="BM48" s="28" t="n">
        <v>0.659864</v>
      </c>
      <c r="BN48" s="28" t="n">
        <v>0.656716</v>
      </c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</t>
        </is>
      </c>
      <c r="L49" s="26" t="n">
        <v>-122</v>
      </c>
      <c r="M49" s="39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>
        <v>2</v>
      </c>
      <c r="S49" s="29" t="n">
        <v>1</v>
      </c>
      <c r="T49" s="24" t="inlineStr">
        <is>
          <t>mlb-elo-trend-lr-v4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38" t="n"/>
      <c r="Z49" s="26" t="n"/>
      <c r="AA49" s="28" t="n"/>
      <c r="AB49" s="28" t="n"/>
      <c r="AC49" s="4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inlineStr">
        <is>
          <t>5224fb6ffbc9ddf8fa517627b830ac851192da94d241963d556945393a42bb9d</t>
        </is>
      </c>
      <c r="BB49" s="24" t="n"/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n"/>
      <c r="BF49" s="24" t="n"/>
      <c r="BG49" s="24" t="n"/>
      <c r="BH49" s="24" t="inlineStr">
        <is>
          <t>2026-07-17T16:26:05.906965Z</t>
        </is>
      </c>
      <c r="BI49" s="24" t="n"/>
      <c r="BJ49" s="38" t="n"/>
      <c r="BK49" s="26" t="n">
        <v>-122</v>
      </c>
      <c r="BL49" s="39" t="n">
        <v>1.819672</v>
      </c>
      <c r="BM49" s="28" t="n">
        <v>0.54955</v>
      </c>
      <c r="BN49" s="28" t="n">
        <v>0.547264</v>
      </c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38" t="n"/>
      <c r="K50" s="24" t="inlineStr">
        <is>
          <t>polymarket</t>
        </is>
      </c>
      <c r="L50" s="26" t="n">
        <v>-113</v>
      </c>
      <c r="M50" s="39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>
        <v>90</v>
      </c>
      <c r="S50" s="29" t="n">
        <v>0.75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38" t="n"/>
      <c r="Z50" s="26" t="n"/>
      <c r="AA50" s="28" t="n"/>
      <c r="AB50" s="28" t="n"/>
      <c r="AC50" s="4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2026-07-17T16:26:09.836107Z</t>
        </is>
      </c>
      <c r="BI50" s="24" t="n"/>
      <c r="BJ50" s="38" t="n"/>
      <c r="BK50" s="26" t="n">
        <v>-113</v>
      </c>
      <c r="BL50" s="39" t="n">
        <v>1.884956</v>
      </c>
      <c r="BM50" s="28" t="n">
        <v>0.530516</v>
      </c>
      <c r="BN50" s="28" t="n">
        <v>0.527363</v>
      </c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</t>
        </is>
      </c>
      <c r="L51" s="26" t="n">
        <v>-106</v>
      </c>
      <c r="M51" s="39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>
        <v>10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38" t="n"/>
      <c r="Z51" s="26" t="n"/>
      <c r="AA51" s="28" t="n"/>
      <c r="AB51" s="28" t="n"/>
      <c r="AC51" s="4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2026-07-17T16:26:10.857493Z</t>
        </is>
      </c>
      <c r="BI51" s="24" t="n"/>
      <c r="BJ51" s="38" t="n"/>
      <c r="BK51" s="26" t="n">
        <v>-106</v>
      </c>
      <c r="BL51" s="39" t="n">
        <v>1.943396</v>
      </c>
      <c r="BM51" s="28" t="n">
        <v>0.514563</v>
      </c>
      <c r="BN51" s="28" t="n">
        <v>0.5124379999999999</v>
      </c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</t>
        </is>
      </c>
      <c r="L52" s="26" t="n">
        <v>-174</v>
      </c>
      <c r="M52" s="39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>
        <v>62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38" t="n"/>
      <c r="Z52" s="26" t="n"/>
      <c r="AA52" s="28" t="n"/>
      <c r="AB52" s="28" t="n"/>
      <c r="AC52" s="4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2026-07-17T16:26:16.071100Z</t>
        </is>
      </c>
      <c r="BI52" s="24" t="n"/>
      <c r="BJ52" s="38" t="n"/>
      <c r="BK52" s="26" t="n">
        <v>-174</v>
      </c>
      <c r="BL52" s="39" t="n">
        <v>1.574713</v>
      </c>
      <c r="BM52" s="28" t="n">
        <v>0.635036</v>
      </c>
      <c r="BN52" s="28" t="n">
        <v>0.631841</v>
      </c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38" t="n"/>
      <c r="K53" s="24" t="inlineStr">
        <is>
          <t>polymarket</t>
        </is>
      </c>
      <c r="L53" s="26" t="n">
        <v>-376</v>
      </c>
      <c r="M53" s="39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38" t="n"/>
      <c r="Z53" s="26" t="n"/>
      <c r="AA53" s="28" t="n"/>
      <c r="AB53" s="28" t="n"/>
      <c r="AC53" s="4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38" t="n"/>
      <c r="BK53" s="26" t="n">
        <v>-376</v>
      </c>
      <c r="BL53" s="39" t="n">
        <v>1.265957</v>
      </c>
      <c r="BM53" s="28" t="n">
        <v>0.789916</v>
      </c>
      <c r="BN53" s="28" t="n">
        <v>0.782178</v>
      </c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</t>
        </is>
      </c>
      <c r="L54" s="26" t="n">
        <v>-113</v>
      </c>
      <c r="M54" s="39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38" t="n"/>
      <c r="Z54" s="26" t="n"/>
      <c r="AA54" s="28" t="n"/>
      <c r="AB54" s="28" t="n"/>
      <c r="AC54" s="4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38" t="n"/>
      <c r="BK54" s="26" t="n">
        <v>-113</v>
      </c>
      <c r="BL54" s="39" t="n">
        <v>1.884956</v>
      </c>
      <c r="BM54" s="28" t="n">
        <v>0.530516</v>
      </c>
      <c r="BN54" s="28" t="n">
        <v>0.524752</v>
      </c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</t>
        </is>
      </c>
      <c r="L55" s="26" t="n">
        <v>-178</v>
      </c>
      <c r="M55" s="39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38" t="n"/>
      <c r="Z55" s="26" t="n"/>
      <c r="AA55" s="28" t="n"/>
      <c r="AB55" s="28" t="n"/>
      <c r="AC55" s="4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38" t="n"/>
      <c r="BK55" s="26" t="n">
        <v>-178</v>
      </c>
      <c r="BL55" s="39" t="n">
        <v>1.561798</v>
      </c>
      <c r="BM55" s="28" t="n">
        <v>0.640288</v>
      </c>
      <c r="BN55" s="28" t="n">
        <v>0.633663</v>
      </c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</t>
        </is>
      </c>
      <c r="L56" s="26" t="n">
        <v>-163</v>
      </c>
      <c r="M56" s="39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>
        <v>91</v>
      </c>
      <c r="S56" s="29" t="n">
        <v>1.5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38" t="n"/>
      <c r="Z56" s="26" t="n"/>
      <c r="AA56" s="28" t="n"/>
      <c r="AB56" s="28" t="n"/>
      <c r="AC56" s="4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inlineStr">
        <is>
          <t>5224fb6ffbc9ddf8fa517627b830ac851192da94d241963d556945393a42bb9d</t>
        </is>
      </c>
      <c r="BB56" s="24" t="n"/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n"/>
      <c r="BF56" s="24" t="n"/>
      <c r="BG56" s="24" t="n"/>
      <c r="BH56" s="24" t="inlineStr">
        <is>
          <t>2026-07-18T17:33:12.199724Z</t>
        </is>
      </c>
      <c r="BI56" s="24" t="n"/>
      <c r="BJ56" s="38" t="n"/>
      <c r="BK56" s="26" t="n">
        <v>-163</v>
      </c>
      <c r="BL56" s="39" t="n">
        <v>1.613497</v>
      </c>
      <c r="BM56" s="28" t="n">
        <v>0.619772</v>
      </c>
      <c r="BN56" s="28" t="n">
        <v>0.616915</v>
      </c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</t>
        </is>
      </c>
      <c r="L57" s="26" t="n">
        <v>-111</v>
      </c>
      <c r="M57" s="39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>
        <v>99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38" t="n"/>
      <c r="Z57" s="26" t="n"/>
      <c r="AA57" s="28" t="n"/>
      <c r="AB57" s="28" t="n"/>
      <c r="AC57" s="4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inlineStr">
        <is>
          <t>5224fb6ffbc9ddf8fa517627b830ac851192da94d241963d556945393a42bb9d</t>
        </is>
      </c>
      <c r="BB57" s="24" t="n"/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n"/>
      <c r="BF57" s="24" t="n"/>
      <c r="BG57" s="24" t="n"/>
      <c r="BH57" s="24" t="inlineStr">
        <is>
          <t>2026-07-18T17:33:15.460034Z</t>
        </is>
      </c>
      <c r="BI57" s="24" t="n"/>
      <c r="BJ57" s="38" t="n"/>
      <c r="BK57" s="26" t="n">
        <v>-111</v>
      </c>
      <c r="BL57" s="39" t="n">
        <v>1.900901</v>
      </c>
      <c r="BM57" s="28" t="n">
        <v>0.526066</v>
      </c>
      <c r="BN57" s="28" t="n">
        <v>0.522388</v>
      </c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</t>
        </is>
      </c>
      <c r="L58" s="26" t="n">
        <v>-138</v>
      </c>
      <c r="M58" s="39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>
        <v>17</v>
      </c>
      <c r="S58" s="29" t="n">
        <v>1.5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38" t="n"/>
      <c r="Z58" s="26" t="n"/>
      <c r="AA58" s="28" t="n"/>
      <c r="AB58" s="28" t="n"/>
      <c r="AC58" s="4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inlineStr">
        <is>
          <t>5224fb6ffbc9ddf8fa517627b830ac851192da94d241963d556945393a42bb9d</t>
        </is>
      </c>
      <c r="BB58" s="24" t="n"/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n"/>
      <c r="BF58" s="24" t="n"/>
      <c r="BG58" s="24" t="n"/>
      <c r="BH58" s="24" t="inlineStr">
        <is>
          <t>2026-07-18T17:35:05.699206Z</t>
        </is>
      </c>
      <c r="BI58" s="24" t="n"/>
      <c r="BJ58" s="38" t="n"/>
      <c r="BK58" s="26" t="n">
        <v>-138</v>
      </c>
      <c r="BL58" s="39" t="n">
        <v>1.724638</v>
      </c>
      <c r="BM58" s="28" t="n">
        <v>0.579832</v>
      </c>
      <c r="BN58" s="28" t="n">
        <v>0.577114</v>
      </c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38" t="n"/>
      <c r="K59" s="24" t="inlineStr">
        <is>
          <t>polymarket</t>
        </is>
      </c>
      <c r="L59" s="26" t="n">
        <v>-178</v>
      </c>
      <c r="M59" s="39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>
        <v>9</v>
      </c>
      <c r="S59" s="29" t="n">
        <v>1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38" t="n"/>
      <c r="Z59" s="26" t="n"/>
      <c r="AA59" s="28" t="n"/>
      <c r="AB59" s="28" t="n"/>
      <c r="AC59" s="4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inlineStr">
        <is>
          <t>5224fb6ffbc9ddf8fa517627b830ac851192da94d241963d556945393a42bb9d</t>
        </is>
      </c>
      <c r="BB59" s="24" t="n"/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n"/>
      <c r="BF59" s="24" t="n"/>
      <c r="BG59" s="24" t="n"/>
      <c r="BH59" s="24" t="inlineStr">
        <is>
          <t>2026-07-18T17:33:26.013189Z</t>
        </is>
      </c>
      <c r="BI59" s="24" t="n"/>
      <c r="BJ59" s="38" t="n"/>
      <c r="BK59" s="26" t="n">
        <v>-178</v>
      </c>
      <c r="BL59" s="39" t="n">
        <v>1.561798</v>
      </c>
      <c r="BM59" s="28" t="n">
        <v>0.640288</v>
      </c>
      <c r="BN59" s="28" t="n">
        <v>0.636816</v>
      </c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</t>
        </is>
      </c>
      <c r="L60" s="26" t="n">
        <v>-669</v>
      </c>
      <c r="M60" s="39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38" t="n"/>
      <c r="Z60" s="26" t="n"/>
      <c r="AA60" s="28" t="n"/>
      <c r="AB60" s="28" t="n"/>
      <c r="AC60" s="4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38" t="n"/>
      <c r="BK60" s="26" t="n">
        <v>-669</v>
      </c>
      <c r="BL60" s="39" t="n">
        <v>1.149477</v>
      </c>
      <c r="BM60" s="28" t="n">
        <v>0.869961</v>
      </c>
      <c r="BN60" s="28" t="n">
        <v>0.861386</v>
      </c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</t>
        </is>
      </c>
      <c r="L61" s="26" t="n">
        <v>-355</v>
      </c>
      <c r="M61" s="39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38" t="n"/>
      <c r="Z61" s="26" t="n"/>
      <c r="AA61" s="28" t="n"/>
      <c r="AB61" s="28" t="n"/>
      <c r="AC61" s="4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38" t="n"/>
      <c r="BK61" s="26" t="n">
        <v>-355</v>
      </c>
      <c r="BL61" s="39" t="n">
        <v>1.28169</v>
      </c>
      <c r="BM61" s="28" t="n">
        <v>0.78022</v>
      </c>
      <c r="BN61" s="28" t="n">
        <v>0.772277</v>
      </c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bbf4c446926f4a96</t>
        </is>
      </c>
      <c r="B62" s="24" t="inlineStr">
        <is>
          <t>2026-07-20T15:22:41.782177Z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38" t="n"/>
      <c r="K62" s="24" t="inlineStr">
        <is>
          <t>polymarket_us</t>
        </is>
      </c>
      <c r="L62" s="26" t="n">
        <v>111</v>
      </c>
      <c r="M62" s="39" t="n">
        <v>2.11</v>
      </c>
      <c r="N62" s="28" t="n">
        <v>0.473934</v>
      </c>
      <c r="O62" s="28" t="n">
        <v>0.5726869999999999</v>
      </c>
      <c r="P62" s="28" t="n"/>
      <c r="Q62" s="28" t="n">
        <v>0.09875299999999999</v>
      </c>
      <c r="R62" s="26" t="n">
        <v>99</v>
      </c>
      <c r="S62" s="29" t="n">
        <v>1.25</v>
      </c>
      <c r="T62" s="24" t="inlineStr">
        <is>
          <t>mlb-elo-trend-lr-v4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Learned LR call at threshold 0.5500; executable ask 0.4750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2170ac399ced5417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2026-07-20T14:57:32.219947Z</t>
        </is>
      </c>
      <c r="BI62" s="24" t="inlineStr">
        <is>
          <t>["same_event","same_team_same_day","same_league_same_day"]</t>
        </is>
      </c>
      <c r="BJ62" s="38" t="n"/>
      <c r="BK62" s="26" t="n">
        <v>111</v>
      </c>
      <c r="BL62" s="39" t="n">
        <v>2.11</v>
      </c>
      <c r="BM62" s="28" t="n">
        <v>0.473934</v>
      </c>
      <c r="BN62" s="28" t="n">
        <v>0.472637</v>
      </c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1506b66a3b294539</t>
        </is>
      </c>
      <c r="B63" s="24" t="inlineStr">
        <is>
          <t>2026-07-20T15:22:41.782177Z</t>
        </is>
      </c>
      <c r="C63" s="24" t="inlineStr">
        <is>
          <t>2026-07-20T19:05:00-0400</t>
        </is>
      </c>
      <c r="D63" s="24" t="inlineStr">
        <is>
          <t>401816189</t>
        </is>
      </c>
      <c r="E63" s="24" t="inlineStr">
        <is>
          <t>MLB</t>
        </is>
      </c>
      <c r="F63" s="24" t="inlineStr">
        <is>
          <t>Pittsburgh Pirates</t>
        </is>
      </c>
      <c r="G63" s="24" t="inlineStr">
        <is>
          <t>New York Yankees</t>
        </is>
      </c>
      <c r="H63" s="24" t="inlineStr">
        <is>
          <t>moneyline</t>
        </is>
      </c>
      <c r="I63" s="24" t="inlineStr">
        <is>
          <t>home</t>
        </is>
      </c>
      <c r="J63" s="38" t="n"/>
      <c r="K63" s="24" t="inlineStr">
        <is>
          <t>polymarket_us</t>
        </is>
      </c>
      <c r="L63" s="26" t="n">
        <v>-108</v>
      </c>
      <c r="M63" s="39" t="n">
        <v>1.925926</v>
      </c>
      <c r="N63" s="28" t="n">
        <v>0.519231</v>
      </c>
      <c r="O63" s="28" t="n">
        <v>0.578558</v>
      </c>
      <c r="P63" s="28" t="n"/>
      <c r="Q63" s="28" t="n">
        <v>0.059327</v>
      </c>
      <c r="R63" s="26" t="n">
        <v>50</v>
      </c>
      <c r="S63" s="29" t="n">
        <v>1.25</v>
      </c>
      <c r="T63" s="24" t="inlineStr">
        <is>
          <t>mlb-elo-trend-lr-v4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Learned LR call at threshold 0.5500; executable ask 0.5200 (aec-mlb-pit-nyy-2026-07-20).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mlb-pit</t>
        </is>
      </c>
      <c r="AQ63" s="24" t="inlineStr">
        <is>
          <t>Pittsburgh Pirates</t>
        </is>
      </c>
      <c r="AR63" s="24" t="inlineStr">
        <is>
          <t>Pittsburgh Pirates</t>
        </is>
      </c>
      <c r="AS63" s="24" t="inlineStr">
        <is>
          <t>mlb-nyy</t>
        </is>
      </c>
      <c r="AT63" s="24" t="inlineStr">
        <is>
          <t>New York Yankees</t>
        </is>
      </c>
      <c r="AU63" s="24" t="inlineStr">
        <is>
          <t>New York Yankees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38ab7db5a3798f0c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2026-07-20T14:57:35.056972Z</t>
        </is>
      </c>
      <c r="BI63" s="24" t="inlineStr">
        <is>
          <t>["same_event","same_team_same_day","same_league_same_day"]</t>
        </is>
      </c>
      <c r="BJ63" s="38" t="n"/>
      <c r="BK63" s="26" t="n">
        <v>-108</v>
      </c>
      <c r="BL63" s="39" t="n">
        <v>1.925926</v>
      </c>
      <c r="BM63" s="28" t="n">
        <v>0.519231</v>
      </c>
      <c r="BN63" s="28" t="n">
        <v>0.517413</v>
      </c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540e168c7d8c4ba0</t>
        </is>
      </c>
      <c r="B64" s="24" t="inlineStr">
        <is>
          <t>2026-07-20T15:22:41.782177Z</t>
        </is>
      </c>
      <c r="C64" s="24" t="inlineStr">
        <is>
          <t>2026-07-20T19:10:00-0400</t>
        </is>
      </c>
      <c r="D64" s="24" t="inlineStr">
        <is>
          <t>401816186</t>
        </is>
      </c>
      <c r="E64" s="24" t="inlineStr">
        <is>
          <t>MLB</t>
        </is>
      </c>
      <c r="F64" s="24" t="inlineStr">
        <is>
          <t>Baltimore Orioles</t>
        </is>
      </c>
      <c r="G64" s="24" t="inlineStr">
        <is>
          <t>Boston Red Sox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-138</v>
      </c>
      <c r="M64" s="39" t="n">
        <v>1.724638</v>
      </c>
      <c r="N64" s="28" t="n">
        <v>0.579832</v>
      </c>
      <c r="O64" s="28" t="n">
        <v>0.565797</v>
      </c>
      <c r="P64" s="28" t="n"/>
      <c r="Q64" s="28" t="n">
        <v>-0.014035</v>
      </c>
      <c r="R64" s="26" t="n">
        <v>13</v>
      </c>
      <c r="S64" s="29" t="n">
        <v>1.25</v>
      </c>
      <c r="T64" s="24" t="inlineStr">
        <is>
          <t>mlb-elo-trend-lr-v4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Learned LR call at threshold 0.5500; executable ask 0.5800 (aec-mlb-bal-bos-2026-07-20).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mlb-bal</t>
        </is>
      </c>
      <c r="AQ64" s="24" t="inlineStr">
        <is>
          <t>Baltimore Orioles</t>
        </is>
      </c>
      <c r="AR64" s="24" t="inlineStr">
        <is>
          <t>Baltimore Orioles</t>
        </is>
      </c>
      <c r="AS64" s="24" t="inlineStr">
        <is>
          <t>mlb-bos</t>
        </is>
      </c>
      <c r="AT64" s="24" t="inlineStr">
        <is>
          <t>Boston Red Sox</t>
        </is>
      </c>
      <c r="AU64" s="24" t="inlineStr">
        <is>
          <t>Boston Red Sox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9fe2d27778a72dfe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2026-07-20T14:57:37.354484Z</t>
        </is>
      </c>
      <c r="BI64" s="24" t="inlineStr">
        <is>
          <t>["same_event","same_team_same_day","same_league_same_day"]</t>
        </is>
      </c>
      <c r="BJ64" s="38" t="n"/>
      <c r="BK64" s="26" t="n">
        <v>-138</v>
      </c>
      <c r="BL64" s="39" t="n">
        <v>1.724638</v>
      </c>
      <c r="BM64" s="28" t="n">
        <v>0.579832</v>
      </c>
      <c r="BN64" s="28" t="n">
        <v>0.577114</v>
      </c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f4dc16b93ff64092</t>
        </is>
      </c>
      <c r="B65" s="24" t="inlineStr">
        <is>
          <t>2026-07-20T15:22:41.782177Z</t>
        </is>
      </c>
      <c r="C65" s="24" t="inlineStr">
        <is>
          <t>2026-07-20T19:15:00-0400</t>
        </is>
      </c>
      <c r="D65" s="24" t="inlineStr">
        <is>
          <t>401816190</t>
        </is>
      </c>
      <c r="E65" s="24" t="inlineStr">
        <is>
          <t>MLB</t>
        </is>
      </c>
      <c r="F65" s="24" t="inlineStr">
        <is>
          <t>San Diego Padres</t>
        </is>
      </c>
      <c r="G65" s="24" t="inlineStr">
        <is>
          <t>Atlanta Braves</t>
        </is>
      </c>
      <c r="H65" s="24" t="inlineStr">
        <is>
          <t>moneyline</t>
        </is>
      </c>
      <c r="I65" s="24" t="inlineStr">
        <is>
          <t>home</t>
        </is>
      </c>
      <c r="J65" s="38" t="n"/>
      <c r="K65" s="24" t="inlineStr">
        <is>
          <t>polymarket_us</t>
        </is>
      </c>
      <c r="L65" s="26" t="n">
        <v>-133</v>
      </c>
      <c r="M65" s="39" t="n">
        <v>1.75188</v>
      </c>
      <c r="N65" s="28" t="n">
        <v>0.570815</v>
      </c>
      <c r="O65" s="28" t="n">
        <v>0.550915</v>
      </c>
      <c r="P65" s="28" t="n"/>
      <c r="Q65" s="28" t="n">
        <v>-0.0199</v>
      </c>
      <c r="R65" s="26" t="n">
        <v>10</v>
      </c>
      <c r="S65" s="29" t="n">
        <v>1</v>
      </c>
      <c r="T65" s="24" t="inlineStr">
        <is>
          <t>mlb-elo-trend-lr-v4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Learned LR call at threshold 0.5500; executable ask 0.5700 (aec-mlb-sd-atl-2026-07-20).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mlb-sd</t>
        </is>
      </c>
      <c r="AQ65" s="24" t="inlineStr">
        <is>
          <t>San Diego Padres</t>
        </is>
      </c>
      <c r="AR65" s="24" t="inlineStr">
        <is>
          <t>San Diego Padres</t>
        </is>
      </c>
      <c r="AS65" s="24" t="inlineStr">
        <is>
          <t>mlb-atl</t>
        </is>
      </c>
      <c r="AT65" s="24" t="inlineStr">
        <is>
          <t>Atlanta Braves</t>
        </is>
      </c>
      <c r="AU65" s="24" t="inlineStr">
        <is>
          <t>Atlanta Braves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f0b5eac7c97d1146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2026-07-20T14:57:40.909749Z</t>
        </is>
      </c>
      <c r="BI65" s="24" t="inlineStr">
        <is>
          <t>["same_event","same_team_same_day","same_league_same_day"]</t>
        </is>
      </c>
      <c r="BJ65" s="38" t="n"/>
      <c r="BK65" s="26" t="n">
        <v>-133</v>
      </c>
      <c r="BL65" s="39" t="n">
        <v>1.75188</v>
      </c>
      <c r="BM65" s="28" t="n">
        <v>0.570815</v>
      </c>
      <c r="BN65" s="28" t="n">
        <v>0.567164</v>
      </c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c08b803127a54cd0</t>
        </is>
      </c>
      <c r="B66" s="24" t="inlineStr">
        <is>
          <t>2026-07-20T15:22:41.782177Z</t>
        </is>
      </c>
      <c r="C66" s="24" t="inlineStr">
        <is>
          <t>2026-07-20T19:40:00-0400</t>
        </is>
      </c>
      <c r="D66" s="24" t="inlineStr">
        <is>
          <t>401816195</t>
        </is>
      </c>
      <c r="E66" s="24" t="inlineStr">
        <is>
          <t>MLB</t>
        </is>
      </c>
      <c r="F66" s="24" t="inlineStr">
        <is>
          <t>New York Mets</t>
        </is>
      </c>
      <c r="G66" s="24" t="inlineStr">
        <is>
          <t>Milwaukee Brewers</t>
        </is>
      </c>
      <c r="H66" s="24" t="inlineStr">
        <is>
          <t>moneyline</t>
        </is>
      </c>
      <c r="I66" s="24" t="inlineStr">
        <is>
          <t>home</t>
        </is>
      </c>
      <c r="J66" s="38" t="n"/>
      <c r="K66" s="24" t="inlineStr">
        <is>
          <t>polymarket_us</t>
        </is>
      </c>
      <c r="L66" s="26" t="n">
        <v>-199</v>
      </c>
      <c r="M66" s="39" t="n">
        <v>1.502513</v>
      </c>
      <c r="N66" s="28" t="n">
        <v>0.665552</v>
      </c>
      <c r="O66" s="28" t="n">
        <v>0.640995</v>
      </c>
      <c r="P66" s="28" t="n"/>
      <c r="Q66" s="28" t="n">
        <v>-0.024557</v>
      </c>
      <c r="R66" s="26" t="n">
        <v>8</v>
      </c>
      <c r="S66" s="29" t="n">
        <v>2</v>
      </c>
      <c r="T66" s="24" t="inlineStr">
        <is>
          <t>mlb-elo-trend-lr-v4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Learned LR call at threshold 0.5500; executable ask 0.6650 (aec-mlb-nym-mil-2026-07-20).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mlb-nym</t>
        </is>
      </c>
      <c r="AQ66" s="24" t="inlineStr">
        <is>
          <t>New York Mets</t>
        </is>
      </c>
      <c r="AR66" s="24" t="inlineStr">
        <is>
          <t>New York Mets</t>
        </is>
      </c>
      <c r="AS66" s="24" t="inlineStr">
        <is>
          <t>mlb-mil</t>
        </is>
      </c>
      <c r="AT66" s="24" t="inlineStr">
        <is>
          <t>Milwaukee Brewers</t>
        </is>
      </c>
      <c r="AU66" s="24" t="inlineStr">
        <is>
          <t>Milwaukee Brewers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6d5f3f5e8f75cb2b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2026-07-20T14:57:42.879792Z</t>
        </is>
      </c>
      <c r="BI66" s="24" t="inlineStr">
        <is>
          <t>["same_event","same_team_same_day","same_league_same_day"]</t>
        </is>
      </c>
      <c r="BJ66" s="38" t="n"/>
      <c r="BK66" s="26" t="n">
        <v>-199</v>
      </c>
      <c r="BL66" s="39" t="n">
        <v>1.502513</v>
      </c>
      <c r="BM66" s="28" t="n">
        <v>0.665552</v>
      </c>
      <c r="BN66" s="28" t="n">
        <v>0.6616919999999999</v>
      </c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6e9b235e0abe4f38</t>
        </is>
      </c>
      <c r="B67" s="24" t="inlineStr">
        <is>
          <t>2026-07-20T15:22:41.782177Z</t>
        </is>
      </c>
      <c r="C67" s="24" t="inlineStr">
        <is>
          <t>2026-07-20T20:05:00-0400</t>
        </is>
      </c>
      <c r="D67" s="24" t="inlineStr">
        <is>
          <t>401816193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Chicago Cubs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-108</v>
      </c>
      <c r="M67" s="39" t="n">
        <v>1.925926</v>
      </c>
      <c r="N67" s="28" t="n">
        <v>0.519231</v>
      </c>
      <c r="O67" s="28" t="n">
        <v>0.566967</v>
      </c>
      <c r="P67" s="28" t="n"/>
      <c r="Q67" s="28" t="n">
        <v>0.047736</v>
      </c>
      <c r="R67" s="26" t="n">
        <v>44</v>
      </c>
      <c r="S67" s="29" t="n">
        <v>1.25</v>
      </c>
      <c r="T67" s="24" t="inlineStr">
        <is>
          <t>mlb-elo-trend-lr-v4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Learned LR call at threshold 0.5500; executable ask 0.5200 (aec-mlb-det-chc-2026-07-20).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mlb-chc</t>
        </is>
      </c>
      <c r="AT67" s="24" t="inlineStr">
        <is>
          <t>Chicago Cubs</t>
        </is>
      </c>
      <c r="AU67" s="24" t="inlineStr">
        <is>
          <t>Chicago Cubs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b84afb2c70e14d93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2026-07-20T14:57:46.871986Z</t>
        </is>
      </c>
      <c r="BI67" s="24" t="inlineStr">
        <is>
          <t>["same_event","same_team_same_day","same_league_same_day"]</t>
        </is>
      </c>
      <c r="BJ67" s="38" t="n"/>
      <c r="BK67" s="26" t="n">
        <v>-108</v>
      </c>
      <c r="BL67" s="39" t="n">
        <v>1.925926</v>
      </c>
      <c r="BM67" s="28" t="n">
        <v>0.519231</v>
      </c>
      <c r="BN67" s="28" t="n">
        <v>0.517413</v>
      </c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bf8728673bd4485f</t>
        </is>
      </c>
      <c r="B68" s="24" t="inlineStr">
        <is>
          <t>2026-07-20T15:22:41.782177Z</t>
        </is>
      </c>
      <c r="C68" s="24" t="inlineStr">
        <is>
          <t>2026-07-20T20:40:00-0400</t>
        </is>
      </c>
      <c r="D68" s="24" t="inlineStr">
        <is>
          <t>401816197</t>
        </is>
      </c>
      <c r="E68" s="24" t="inlineStr">
        <is>
          <t>MLB</t>
        </is>
      </c>
      <c r="F68" s="24" t="inlineStr">
        <is>
          <t>Washington Nationals</t>
        </is>
      </c>
      <c r="G68" s="24" t="inlineStr">
        <is>
          <t>Colorado Rockies</t>
        </is>
      </c>
      <c r="H68" s="24" t="inlineStr">
        <is>
          <t>moneyline</t>
        </is>
      </c>
      <c r="I68" s="24" t="inlineStr">
        <is>
          <t>away</t>
        </is>
      </c>
      <c r="J68" s="38" t="n"/>
      <c r="K68" s="24" t="inlineStr">
        <is>
          <t>polymarket_us</t>
        </is>
      </c>
      <c r="L68" s="26" t="n">
        <v>-117</v>
      </c>
      <c r="M68" s="39" t="n">
        <v>1.854701</v>
      </c>
      <c r="N68" s="28" t="n">
        <v>0.539171</v>
      </c>
      <c r="O68" s="28" t="n">
        <v>0.5563709999999999</v>
      </c>
      <c r="P68" s="28" t="n"/>
      <c r="Q68" s="28" t="n">
        <v>0.0172</v>
      </c>
      <c r="R68" s="26" t="n">
        <v>29</v>
      </c>
      <c r="S68" s="29" t="n">
        <v>1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0.5500; executable ask 0.5400 (aec-mlb-wsh-col-2026-07-20).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mlb-wsh</t>
        </is>
      </c>
      <c r="AQ68" s="24" t="inlineStr">
        <is>
          <t>Washington Nationals</t>
        </is>
      </c>
      <c r="AR68" s="24" t="inlineStr">
        <is>
          <t>Washington Nationals</t>
        </is>
      </c>
      <c r="AS68" s="24" t="inlineStr">
        <is>
          <t>mlb-col</t>
        </is>
      </c>
      <c r="AT68" s="24" t="inlineStr">
        <is>
          <t>Colorado Rockies</t>
        </is>
      </c>
      <c r="AU68" s="24" t="inlineStr">
        <is>
          <t>Colorado Rockies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a2f336c1cee8c92e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2026-07-20T14:57:49.897394Z</t>
        </is>
      </c>
      <c r="BI68" s="24" t="inlineStr">
        <is>
          <t>["same_event","same_team_same_day","same_league_same_day"]</t>
        </is>
      </c>
      <c r="BJ68" s="38" t="n"/>
      <c r="BK68" s="26" t="n">
        <v>-117</v>
      </c>
      <c r="BL68" s="39" t="n">
        <v>1.854701</v>
      </c>
      <c r="BM68" s="28" t="n">
        <v>0.539171</v>
      </c>
      <c r="BN68" s="28" t="n">
        <v>0.537313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aefbe47ff16045f2</t>
        </is>
      </c>
      <c r="B69" s="24" t="inlineStr">
        <is>
          <t>2026-07-20T15:22:41.782177Z</t>
        </is>
      </c>
      <c r="C69" s="24" t="inlineStr">
        <is>
          <t>2026-07-20T21:40:00-0400</t>
        </is>
      </c>
      <c r="D69" s="24" t="inlineStr">
        <is>
          <t>401816198</t>
        </is>
      </c>
      <c r="E69" s="24" t="inlineStr">
        <is>
          <t>MLB</t>
        </is>
      </c>
      <c r="F69" s="24" t="inlineStr">
        <is>
          <t>Athletics</t>
        </is>
      </c>
      <c r="G69" s="24" t="inlineStr">
        <is>
          <t>Arizona Diamondbacks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-147</v>
      </c>
      <c r="M69" s="39" t="n">
        <v>1.680272</v>
      </c>
      <c r="N69" s="28" t="n">
        <v>0.5951419999999999</v>
      </c>
      <c r="O69" s="28" t="n">
        <v>0.58189</v>
      </c>
      <c r="P69" s="28" t="n"/>
      <c r="Q69" s="28" t="n">
        <v>-0.013252</v>
      </c>
      <c r="R69" s="26" t="n">
        <v>13</v>
      </c>
      <c r="S69" s="29" t="n">
        <v>1.25</v>
      </c>
      <c r="T69" s="24" t="inlineStr">
        <is>
          <t>mlb-elo-trend-lr-v4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Learned LR call at threshold 0.5500; executable ask 0.5950 (aec-mlb-ath-az-2026-07-20).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mlb-ath</t>
        </is>
      </c>
      <c r="AQ69" s="24" t="inlineStr">
        <is>
          <t>Athletics</t>
        </is>
      </c>
      <c r="AR69" s="24" t="inlineStr">
        <is>
          <t>Athletics</t>
        </is>
      </c>
      <c r="AS69" s="24" t="inlineStr">
        <is>
          <t>mlb-ari</t>
        </is>
      </c>
      <c r="AT69" s="24" t="inlineStr">
        <is>
          <t>Arizona Diamondbacks</t>
        </is>
      </c>
      <c r="AU69" s="24" t="inlineStr">
        <is>
          <t>Arizona Diamondbacks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7b682aa5da86e2a4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2026-07-20T14:57:51.339273Z</t>
        </is>
      </c>
      <c r="BI69" s="24" t="inlineStr">
        <is>
          <t>["same_event","same_team_same_day","same_league_same_day"]</t>
        </is>
      </c>
      <c r="BJ69" s="38" t="n"/>
      <c r="BK69" s="26" t="n">
        <v>-147</v>
      </c>
      <c r="BL69" s="39" t="n">
        <v>1.680272</v>
      </c>
      <c r="BM69" s="28" t="n">
        <v>0.5951419999999999</v>
      </c>
      <c r="BN69" s="28" t="n">
        <v>0.59204</v>
      </c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b9692cb20ec34d5d</t>
        </is>
      </c>
      <c r="B70" s="24" t="inlineStr">
        <is>
          <t>2026-07-20T15:22:41.782177Z</t>
        </is>
      </c>
      <c r="C70" s="24" t="inlineStr">
        <is>
          <t>2026-07-20T21:40:00-0400</t>
        </is>
      </c>
      <c r="D70" s="24" t="inlineStr">
        <is>
          <t>401816199</t>
        </is>
      </c>
      <c r="E70" s="24" t="inlineStr">
        <is>
          <t>MLB</t>
        </is>
      </c>
      <c r="F70" s="24" t="inlineStr">
        <is>
          <t>Cincinnati Reds</t>
        </is>
      </c>
      <c r="G70" s="24" t="inlineStr">
        <is>
          <t>Seattle Mariners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-141</v>
      </c>
      <c r="M70" s="39" t="n">
        <v>1.70922</v>
      </c>
      <c r="N70" s="28" t="n">
        <v>0.585062</v>
      </c>
      <c r="O70" s="28" t="n">
        <v>0.592852</v>
      </c>
      <c r="P70" s="28" t="n"/>
      <c r="Q70" s="28" t="n">
        <v>0.00779</v>
      </c>
      <c r="R70" s="26" t="n">
        <v>24</v>
      </c>
      <c r="S70" s="29" t="n">
        <v>1.5</v>
      </c>
      <c r="T70" s="24" t="inlineStr">
        <is>
          <t>mlb-elo-trend-lr-v4</t>
        </is>
      </c>
      <c r="U70" s="24" t="inlineStr">
        <is>
          <t>open</t>
        </is>
      </c>
      <c r="V70" s="24" t="n"/>
      <c r="W70" s="26" t="n"/>
      <c r="X70" s="26" t="n"/>
      <c r="Y70" s="38" t="n"/>
      <c r="Z70" s="26" t="n"/>
      <c r="AA70" s="28" t="n"/>
      <c r="AB70" s="28" t="n"/>
      <c r="AC70" s="40" t="n"/>
      <c r="AD70" s="24" t="n"/>
      <c r="AE70" s="31" t="inlineStr">
        <is>
          <t>Learned LR call at threshold 0.5500; executable ask 0.5850 (aec-mlb-cin-sea-2026-07-20).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mlb-cin</t>
        </is>
      </c>
      <c r="AQ70" s="24" t="inlineStr">
        <is>
          <t>Cincinnati Reds</t>
        </is>
      </c>
      <c r="AR70" s="24" t="inlineStr">
        <is>
          <t>Cincinnati Reds</t>
        </is>
      </c>
      <c r="AS70" s="24" t="inlineStr">
        <is>
          <t>mlb-sea</t>
        </is>
      </c>
      <c r="AT70" s="24" t="inlineStr">
        <is>
          <t>Seattle Mariners</t>
        </is>
      </c>
      <c r="AU70" s="24" t="inlineStr">
        <is>
          <t>Seattle Mariners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af7ccafcacf69681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2026-07-20T14:57:52.831217Z</t>
        </is>
      </c>
      <c r="BI70" s="24" t="inlineStr">
        <is>
          <t>["same_event","same_team_same_day","same_league_same_day"]</t>
        </is>
      </c>
      <c r="BJ70" s="38" t="n"/>
      <c r="BK70" s="26" t="n">
        <v>-141</v>
      </c>
      <c r="BL70" s="39" t="n">
        <v>1.70922</v>
      </c>
      <c r="BM70" s="28" t="n">
        <v>0.585062</v>
      </c>
      <c r="BN70" s="28" t="n">
        <v>0.58209</v>
      </c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11f48fe641c040f7</t>
        </is>
      </c>
      <c r="B71" s="24" t="inlineStr">
        <is>
          <t>2026-07-20T15:28:55.067840Z</t>
        </is>
      </c>
      <c r="C71" s="24" t="inlineStr">
        <is>
          <t>2026-07-20T20:00:00-0400</t>
        </is>
      </c>
      <c r="D71" s="24" t="inlineStr">
        <is>
          <t>401857083</t>
        </is>
      </c>
      <c r="E71" s="24" t="inlineStr">
        <is>
          <t>WNBA</t>
        </is>
      </c>
      <c r="F71" s="24" t="inlineStr">
        <is>
          <t>Las Vegas Aces</t>
        </is>
      </c>
      <c r="G71" s="24" t="inlineStr">
        <is>
          <t>Toronto Tempo</t>
        </is>
      </c>
      <c r="H71" s="24" t="inlineStr">
        <is>
          <t>moneyline</t>
        </is>
      </c>
      <c r="I71" s="24" t="inlineStr">
        <is>
          <t>away</t>
        </is>
      </c>
      <c r="J71" s="38" t="n"/>
      <c r="K71" s="24" t="inlineStr">
        <is>
          <t>polymarket_us</t>
        </is>
      </c>
      <c r="L71" s="26" t="n">
        <v>-488</v>
      </c>
      <c r="M71" s="39" t="n">
        <v>1.204918</v>
      </c>
      <c r="N71" s="28" t="n">
        <v>0.829932</v>
      </c>
      <c r="O71" s="28" t="n">
        <v>0.6572210000000001</v>
      </c>
      <c r="P71" s="28" t="n"/>
      <c r="Q71" s="28" t="n">
        <v>-0.172711</v>
      </c>
      <c r="R71" s="26" t="n">
        <v>0</v>
      </c>
      <c r="S71" s="29" t="n">
        <v>2</v>
      </c>
      <c r="T71" s="24" t="inlineStr">
        <is>
          <t>wnba-elo-trend-lr-v3</t>
        </is>
      </c>
      <c r="U71" s="24" t="inlineStr">
        <is>
          <t>open</t>
        </is>
      </c>
      <c r="V71" s="24" t="n"/>
      <c r="W71" s="26" t="n"/>
      <c r="X71" s="26" t="n"/>
      <c r="Y71" s="38" t="n"/>
      <c r="Z71" s="26" t="n"/>
      <c r="AA71" s="28" t="n"/>
      <c r="AB71" s="28" t="n"/>
      <c r="AC71" s="40" t="n"/>
      <c r="AD71" s="24" t="n"/>
      <c r="AE71" s="31" t="inlineStr">
        <is>
          <t>Learned LR call at threshold 0.5051; executable ask 0.8300 (aec-wnba-lv-tor-2026-07-20).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NO_CALL_LARGE_DISAGREEMENT_REVIEW</t>
        </is>
      </c>
      <c r="AP71" s="24" t="inlineStr">
        <is>
          <t>wnba-lva</t>
        </is>
      </c>
      <c r="AQ71" s="24" t="inlineStr">
        <is>
          <t>Las Vegas Aces</t>
        </is>
      </c>
      <c r="AR71" s="24" t="inlineStr">
        <is>
          <t>Las Vegas Aces</t>
        </is>
      </c>
      <c r="AS71" s="24" t="inlineStr">
        <is>
          <t>wnba-tor</t>
        </is>
      </c>
      <c r="AT71" s="24" t="inlineStr">
        <is>
          <t>Toronto Tempo</t>
        </is>
      </c>
      <c r="AU71" s="24" t="inlineStr">
        <is>
          <t>Toronto Tempo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43ee2f84f025c10f83f80a8c22d49c35c420734a8a730b5f272287225cceee4b</t>
        </is>
      </c>
      <c r="BB71" s="24" t="inlineStr">
        <is>
          <t>learned_lr</t>
        </is>
      </c>
      <c r="BC71" s="24" t="inlineStr">
        <is>
          <t>wnba-elo-trend-lr-v3</t>
        </is>
      </c>
      <c r="BD71" s="24" t="inlineStr">
        <is>
          <t>43ee2f84f025c10f83f80a8c22d49c35c420734a8a730b5f272287225cceee4b</t>
        </is>
      </c>
      <c r="BE71" s="24" t="inlineStr">
        <is>
          <t>32740a9f4976946d</t>
        </is>
      </c>
      <c r="BF71" s="24" t="inlineStr">
        <is>
          <t>1</t>
        </is>
      </c>
      <c r="BG71" s="24" t="inlineStr">
        <is>
          <t>wnba-elo-trend-lr-v3</t>
        </is>
      </c>
      <c r="BH71" s="24" t="inlineStr">
        <is>
          <t>2026-07-20T14:57:56.867039Z</t>
        </is>
      </c>
      <c r="BI71" s="24" t="inlineStr">
        <is>
          <t>["same_event","same_team_same_day","same_league_same_day"]</t>
        </is>
      </c>
      <c r="BJ71" s="38" t="n"/>
      <c r="BK71" s="26" t="n">
        <v>-488</v>
      </c>
      <c r="BL71" s="39" t="n">
        <v>1.204918</v>
      </c>
      <c r="BM71" s="28" t="n">
        <v>0.829932</v>
      </c>
      <c r="BN71" s="28" t="n">
        <v>0.821782</v>
      </c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  <row r="72" ht="36" customHeight="1">
      <c r="A72" s="24" t="inlineStr">
        <is>
          <t>18e861041a484fd5</t>
        </is>
      </c>
      <c r="B72" s="24" t="inlineStr">
        <is>
          <t>2026-07-20T15:28:55.067840Z</t>
        </is>
      </c>
      <c r="C72" s="24" t="inlineStr">
        <is>
          <t>2026-07-20T20:00:00-0400</t>
        </is>
      </c>
      <c r="D72" s="24" t="inlineStr">
        <is>
          <t>401892393</t>
        </is>
      </c>
      <c r="E72" s="24" t="inlineStr">
        <is>
          <t>WNBA</t>
        </is>
      </c>
      <c r="F72" s="24" t="inlineStr">
        <is>
          <t>New York Liberty</t>
        </is>
      </c>
      <c r="G72" s="24" t="inlineStr">
        <is>
          <t>Dallas Wings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156</v>
      </c>
      <c r="M72" s="39" t="n">
        <v>2.56</v>
      </c>
      <c r="N72" s="28" t="n">
        <v>0.390625</v>
      </c>
      <c r="O72" s="28" t="n">
        <v>0.688998</v>
      </c>
      <c r="P72" s="28" t="n"/>
      <c r="Q72" s="28" t="n">
        <v>0.298373</v>
      </c>
      <c r="R72" s="26" t="n">
        <v>100</v>
      </c>
      <c r="S72" s="29" t="n">
        <v>2</v>
      </c>
      <c r="T72" s="24" t="inlineStr">
        <is>
          <t>wnba-elo-trend-lr-v3</t>
        </is>
      </c>
      <c r="U72" s="24" t="inlineStr">
        <is>
          <t>open</t>
        </is>
      </c>
      <c r="V72" s="24" t="n"/>
      <c r="W72" s="26" t="n"/>
      <c r="X72" s="26" t="n"/>
      <c r="Y72" s="38" t="n"/>
      <c r="Z72" s="26" t="n"/>
      <c r="AA72" s="28" t="n"/>
      <c r="AB72" s="28" t="n"/>
      <c r="AC72" s="40" t="n"/>
      <c r="AD72" s="24" t="n"/>
      <c r="AE72" s="31" t="inlineStr">
        <is>
          <t>Learned LR call at threshold 0.5051; executable ask 0.3900 (aec-wnba-ny-dal-2026-07-20).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NO_CALL_LARGE_DISAGREEMENT_REVIEW</t>
        </is>
      </c>
      <c r="AP72" s="24" t="inlineStr">
        <is>
          <t>wnba-nyl</t>
        </is>
      </c>
      <c r="AQ72" s="24" t="inlineStr">
        <is>
          <t>New York Liberty</t>
        </is>
      </c>
      <c r="AR72" s="24" t="inlineStr">
        <is>
          <t>New York Liberty</t>
        </is>
      </c>
      <c r="AS72" s="24" t="inlineStr">
        <is>
          <t>wnba-dal</t>
        </is>
      </c>
      <c r="AT72" s="24" t="inlineStr">
        <is>
          <t>Dallas Wings</t>
        </is>
      </c>
      <c r="AU72" s="24" t="inlineStr">
        <is>
          <t>Dallas Wings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43ee2f84f025c10f83f80a8c22d49c35c420734a8a730b5f272287225cceee4b</t>
        </is>
      </c>
      <c r="BB72" s="24" t="inlineStr">
        <is>
          <t>learned_lr</t>
        </is>
      </c>
      <c r="BC72" s="24" t="inlineStr">
        <is>
          <t>wnba-elo-trend-lr-v3</t>
        </is>
      </c>
      <c r="BD72" s="24" t="inlineStr">
        <is>
          <t>43ee2f84f025c10f83f80a8c22d49c35c420734a8a730b5f272287225cceee4b</t>
        </is>
      </c>
      <c r="BE72" s="24" t="inlineStr">
        <is>
          <t>c20bbb99f1fff741</t>
        </is>
      </c>
      <c r="BF72" s="24" t="inlineStr">
        <is>
          <t>1</t>
        </is>
      </c>
      <c r="BG72" s="24" t="inlineStr">
        <is>
          <t>wnba-elo-trend-lr-v3</t>
        </is>
      </c>
      <c r="BH72" s="24" t="inlineStr">
        <is>
          <t>2026-07-20T14:57:58.731031Z</t>
        </is>
      </c>
      <c r="BI72" s="24" t="inlineStr">
        <is>
          <t>["same_event","same_team_same_day","same_league_same_day"]</t>
        </is>
      </c>
      <c r="BJ72" s="38" t="n"/>
      <c r="BK72" s="26" t="n">
        <v>156</v>
      </c>
      <c r="BL72" s="39" t="n">
        <v>2.56</v>
      </c>
      <c r="BM72" s="28" t="n">
        <v>0.390625</v>
      </c>
      <c r="BN72" s="28" t="n">
        <v>0.386139</v>
      </c>
      <c r="BO72" s="28" t="n"/>
      <c r="BP72" s="38" t="n"/>
      <c r="BQ72" s="39" t="n"/>
      <c r="BR72" s="28" t="n"/>
      <c r="BS72" s="28" t="n"/>
      <c r="BT72" s="28" t="n"/>
      <c r="BU72" s="38" t="n"/>
      <c r="BV72" s="29" t="n"/>
      <c r="BW72" s="24" t="n"/>
      <c r="BX72" s="40" t="n"/>
      <c r="BY72" s="39" t="n"/>
      <c r="BZ72" s="24" t="n"/>
      <c r="CA72" s="31" t="n"/>
    </row>
    <row r="73" ht="36" customHeight="1">
      <c r="A73" s="24" t="inlineStr">
        <is>
          <t>195c4a9c3ce44e1b</t>
        </is>
      </c>
      <c r="B73" s="24" t="inlineStr">
        <is>
          <t>2026-07-20T15:28:55.067840Z</t>
        </is>
      </c>
      <c r="C73" s="24" t="inlineStr">
        <is>
          <t>2026-07-20T22:00:00-0400</t>
        </is>
      </c>
      <c r="D73" s="24" t="inlineStr">
        <is>
          <t>401857084</t>
        </is>
      </c>
      <c r="E73" s="24" t="inlineStr">
        <is>
          <t>WNBA</t>
        </is>
      </c>
      <c r="F73" s="24" t="inlineStr">
        <is>
          <t>Washington Mystics</t>
        </is>
      </c>
      <c r="G73" s="24" t="inlineStr">
        <is>
          <t>Golden State Valkyries</t>
        </is>
      </c>
      <c r="H73" s="24" t="inlineStr">
        <is>
          <t>moneyline</t>
        </is>
      </c>
      <c r="I73" s="24" t="inlineStr">
        <is>
          <t>home</t>
        </is>
      </c>
      <c r="J73" s="38" t="n"/>
      <c r="K73" s="24" t="inlineStr">
        <is>
          <t>polymarket_us</t>
        </is>
      </c>
      <c r="L73" s="26" t="n">
        <v>-317</v>
      </c>
      <c r="M73" s="39" t="n">
        <v>1.315457</v>
      </c>
      <c r="N73" s="28" t="n">
        <v>0.760192</v>
      </c>
      <c r="O73" s="28" t="n">
        <v>0.750463</v>
      </c>
      <c r="P73" s="28" t="n"/>
      <c r="Q73" s="28" t="n">
        <v>-0.009729</v>
      </c>
      <c r="R73" s="26" t="n">
        <v>15</v>
      </c>
      <c r="S73" s="29" t="n">
        <v>2</v>
      </c>
      <c r="T73" s="24" t="inlineStr">
        <is>
          <t>wnba-elo-trend-lr-v3</t>
        </is>
      </c>
      <c r="U73" s="24" t="inlineStr">
        <is>
          <t>open</t>
        </is>
      </c>
      <c r="V73" s="24" t="n"/>
      <c r="W73" s="26" t="n"/>
      <c r="X73" s="26" t="n"/>
      <c r="Y73" s="38" t="n"/>
      <c r="Z73" s="26" t="n"/>
      <c r="AA73" s="28" t="n"/>
      <c r="AB73" s="28" t="n"/>
      <c r="AC73" s="40" t="n"/>
      <c r="AD73" s="24" t="n"/>
      <c r="AE73" s="31" t="inlineStr">
        <is>
          <t>Learned LR call at threshold 0.5051; executable ask 0.7600 (aec-wnba-wsh-gsv-2026-07-20).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wnba-was</t>
        </is>
      </c>
      <c r="AQ73" s="24" t="inlineStr">
        <is>
          <t>Washington Mystics</t>
        </is>
      </c>
      <c r="AR73" s="24" t="inlineStr">
        <is>
          <t>Washington Mystics</t>
        </is>
      </c>
      <c r="AS73" s="24" t="inlineStr">
        <is>
          <t>wnba-gsv</t>
        </is>
      </c>
      <c r="AT73" s="24" t="inlineStr">
        <is>
          <t>Golden State Valkyries</t>
        </is>
      </c>
      <c r="AU73" s="24" t="inlineStr">
        <is>
          <t>Golden State Valkyries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43ee2f84f025c10f83f80a8c22d49c35c420734a8a730b5f272287225cceee4b</t>
        </is>
      </c>
      <c r="BB73" s="24" t="inlineStr">
        <is>
          <t>learned_lr</t>
        </is>
      </c>
      <c r="BC73" s="24" t="inlineStr">
        <is>
          <t>wnba-elo-trend-lr-v3</t>
        </is>
      </c>
      <c r="BD73" s="24" t="inlineStr">
        <is>
          <t>43ee2f84f025c10f83f80a8c22d49c35c420734a8a730b5f272287225cceee4b</t>
        </is>
      </c>
      <c r="BE73" s="24" t="inlineStr">
        <is>
          <t>a82314f65618b567</t>
        </is>
      </c>
      <c r="BF73" s="24" t="inlineStr">
        <is>
          <t>1</t>
        </is>
      </c>
      <c r="BG73" s="24" t="inlineStr">
        <is>
          <t>wnba-elo-trend-lr-v3</t>
        </is>
      </c>
      <c r="BH73" s="24" t="inlineStr">
        <is>
          <t>2026-07-20T14:58:01.293707Z</t>
        </is>
      </c>
      <c r="BI73" s="24" t="inlineStr">
        <is>
          <t>["same_event","same_team_same_day","same_league_same_day"]</t>
        </is>
      </c>
      <c r="BJ73" s="38" t="n"/>
      <c r="BK73" s="26" t="n">
        <v>-317</v>
      </c>
      <c r="BL73" s="39" t="n">
        <v>1.315457</v>
      </c>
      <c r="BM73" s="28" t="n">
        <v>0.760192</v>
      </c>
      <c r="BN73" s="28" t="n">
        <v>0.752475</v>
      </c>
      <c r="BO73" s="28" t="n"/>
      <c r="BP73" s="38" t="n"/>
      <c r="BQ73" s="39" t="n"/>
      <c r="BR73" s="28" t="n"/>
      <c r="BS73" s="28" t="n"/>
      <c r="BT73" s="28" t="n"/>
      <c r="BU73" s="38" t="n"/>
      <c r="BV73" s="29" t="n"/>
      <c r="BW73" s="24" t="n"/>
      <c r="BX73" s="40" t="n"/>
      <c r="BY73" s="39" t="n"/>
      <c r="BZ73" s="24" t="n"/>
      <c r="CA73" s="31" t="n"/>
    </row>
    <row r="74" ht="36" customHeight="1">
      <c r="A74" s="24" t="inlineStr">
        <is>
          <t>555b6295ce3941e7</t>
        </is>
      </c>
      <c r="B74" s="24" t="inlineStr">
        <is>
          <t>2026-07-20T15:28:55.067840Z</t>
        </is>
      </c>
      <c r="C74" s="24" t="inlineStr">
        <is>
          <t>2026-07-20T22:00:00-0400</t>
        </is>
      </c>
      <c r="D74" s="24" t="inlineStr">
        <is>
          <t>401857085</t>
        </is>
      </c>
      <c r="E74" s="24" t="inlineStr">
        <is>
          <t>WNBA</t>
        </is>
      </c>
      <c r="F74" s="24" t="inlineStr">
        <is>
          <t>Minnesota Lynx</t>
        </is>
      </c>
      <c r="G74" s="24" t="inlineStr">
        <is>
          <t>Seattle Storm</t>
        </is>
      </c>
      <c r="H74" s="24" t="inlineStr">
        <is>
          <t>moneyline</t>
        </is>
      </c>
      <c r="I74" s="24" t="inlineStr">
        <is>
          <t>away</t>
        </is>
      </c>
      <c r="J74" s="38" t="n"/>
      <c r="K74" s="24" t="inlineStr">
        <is>
          <t>polymarket_us</t>
        </is>
      </c>
      <c r="L74" s="26" t="n">
        <v>-456</v>
      </c>
      <c r="M74" s="39" t="n">
        <v>1.219298</v>
      </c>
      <c r="N74" s="28" t="n">
        <v>0.820144</v>
      </c>
      <c r="O74" s="28" t="n">
        <v>0.738843</v>
      </c>
      <c r="P74" s="28" t="n"/>
      <c r="Q74" s="28" t="n">
        <v>-0.081301</v>
      </c>
      <c r="R74" s="26" t="n">
        <v>0</v>
      </c>
      <c r="S74" s="29" t="n">
        <v>2</v>
      </c>
      <c r="T74" s="24" t="inlineStr">
        <is>
          <t>wnba-elo-trend-lr-v3</t>
        </is>
      </c>
      <c r="U74" s="24" t="inlineStr">
        <is>
          <t>open</t>
        </is>
      </c>
      <c r="V74" s="24" t="n"/>
      <c r="W74" s="26" t="n"/>
      <c r="X74" s="26" t="n"/>
      <c r="Y74" s="38" t="n"/>
      <c r="Z74" s="26" t="n"/>
      <c r="AA74" s="28" t="n"/>
      <c r="AB74" s="28" t="n"/>
      <c r="AC74" s="40" t="n"/>
      <c r="AD74" s="24" t="n"/>
      <c r="AE74" s="31" t="inlineStr">
        <is>
          <t>Learned LR call at threshold 0.5051; executable ask 0.8200 (aec-wnba-min-sea-2026-07-20).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wnba-min</t>
        </is>
      </c>
      <c r="AQ74" s="24" t="inlineStr">
        <is>
          <t>Minnesota Lynx</t>
        </is>
      </c>
      <c r="AR74" s="24" t="inlineStr">
        <is>
          <t>Minnesota Lynx</t>
        </is>
      </c>
      <c r="AS74" s="24" t="inlineStr">
        <is>
          <t>wnba-sea</t>
        </is>
      </c>
      <c r="AT74" s="24" t="inlineStr">
        <is>
          <t>Seattle Storm</t>
        </is>
      </c>
      <c r="AU74" s="24" t="inlineStr">
        <is>
          <t>Seattle Storm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43ee2f84f025c10f83f80a8c22d49c35c420734a8a730b5f272287225cceee4b</t>
        </is>
      </c>
      <c r="BB74" s="24" t="inlineStr">
        <is>
          <t>learned_lr</t>
        </is>
      </c>
      <c r="BC74" s="24" t="inlineStr">
        <is>
          <t>wnba-elo-trend-lr-v3</t>
        </is>
      </c>
      <c r="BD74" s="24" t="inlineStr">
        <is>
          <t>43ee2f84f025c10f83f80a8c22d49c35c420734a8a730b5f272287225cceee4b</t>
        </is>
      </c>
      <c r="BE74" s="24" t="inlineStr">
        <is>
          <t>c7928758cc04b6e5</t>
        </is>
      </c>
      <c r="BF74" s="24" t="inlineStr">
        <is>
          <t>1</t>
        </is>
      </c>
      <c r="BG74" s="24" t="inlineStr">
        <is>
          <t>wnba-elo-trend-lr-v3</t>
        </is>
      </c>
      <c r="BH74" s="24" t="inlineStr">
        <is>
          <t>2026-07-20T14:58:02.052718Z</t>
        </is>
      </c>
      <c r="BI74" s="24" t="inlineStr">
        <is>
          <t>["same_event","same_team_same_day","same_league_same_day"]</t>
        </is>
      </c>
      <c r="BJ74" s="38" t="n"/>
      <c r="BK74" s="26" t="n">
        <v>-456</v>
      </c>
      <c r="BL74" s="39" t="n">
        <v>1.219298</v>
      </c>
      <c r="BM74" s="28" t="n">
        <v>0.820144</v>
      </c>
      <c r="BN74" s="28" t="n">
        <v>0.811881</v>
      </c>
      <c r="BO74" s="28" t="n"/>
      <c r="BP74" s="38" t="n"/>
      <c r="BQ74" s="39" t="n"/>
      <c r="BR74" s="28" t="n"/>
      <c r="BS74" s="28" t="n"/>
      <c r="BT74" s="28" t="n"/>
      <c r="BU74" s="38" t="n"/>
      <c r="BV74" s="29" t="n"/>
      <c r="BW74" s="24" t="n"/>
      <c r="BX74" s="40" t="n"/>
      <c r="BY74" s="39" t="n"/>
      <c r="BZ74" s="24" t="n"/>
      <c r="CA74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2026-07-20T15:28:55Z</dcterms:created>
  <dcterms:modified xsi:type="dcterms:W3CDTF">2026-07-20T15:34:45Z</dcterms:modified>
</cp:coreProperties>
</file>