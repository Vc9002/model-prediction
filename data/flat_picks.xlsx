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133" headerRowCount="1">
  <autoFilter ref="A1:CO133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COUNTA('Picks'!$A$2:$A$133)</f>
        <v/>
      </c>
      <c r="C4" s="6">
        <f>COUNTIF('Picks'!$U$2:$U$133,"open")</f>
        <v/>
      </c>
      <c r="E4" s="6">
        <f>COUNTIF('Picks'!$U$2:$U$133,"settled")</f>
        <v/>
      </c>
      <c r="G4" s="6">
        <f>IF(COUNTIFS('Picks'!$U$2:$U$133,"settled",'Picks'!$V$2:$V$133,"win")+COUNTIFS('Picks'!$U$2:$U$133,"settled",'Picks'!$V$2:$V$133,"loss")&gt;=$L$2,"Ready","Insufficient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COUNTIF('Picks'!$BX$2:$BX$133,"&gt;0")</f>
        <v/>
      </c>
      <c r="C7" s="6">
        <f>COUNTIFS('Picks'!$BX$2:$BX$133,"&gt;0",'Picks'!$V$2:$V$133,"win")&amp;"-"&amp;COUNTIFS('Picks'!$BX$2:$BX$133,"&gt;0",'Picks'!$V$2:$V$133,"loss")</f>
        <v/>
      </c>
      <c r="E7" s="7">
        <f>IFERROR(COUNTIFS('Picks'!$BX$2:$BX$133,"&gt;0",'Picks'!$V$2:$V$133,"win")/(COUNTIFS('Picks'!$BX$2:$BX$133,"&gt;0",'Picks'!$V$2:$V$133,"win")+COUNTIFS('Picks'!$BX$2:$BX$133,"&gt;0",'Picks'!$V$2:$V$133,"loss")),0)</f>
        <v/>
      </c>
      <c r="G7" s="7">
        <f>IFERROR(SUM('Picks'!$BY$2:$BY$133)/SUM('Picks'!$BX$2:$BX$133),0)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SUM('Picks'!$BY$2:$BY$133)</f>
        <v/>
      </c>
      <c r="C10" s="9">
        <f>IFERROR(AVERAGEIF('Picks'!$AB$2:$AB$133,"&lt;&gt;",'Picks'!$AB$2:$AB$133),0)</f>
        <v/>
      </c>
      <c r="E10" s="6">
        <f>COUNTIFS('Picks'!$AM$2:$AM$133,"QUALIFIED_SHADOW_CALL",'Picks'!$U$2:$U$133,"settled")</f>
        <v/>
      </c>
      <c r="G10" s="8">
        <f>SUMIFS('Picks'!$AC$2:$AC$133,'Picks'!$AM$2:$AM$133,"QUALIFIED_SHADOW_CALL")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COUNTIFS('Picks'!$H$2:$H$133,$A14,'Picks'!$U$2:$U$133,"settled")</f>
        <v/>
      </c>
      <c r="C14" s="13">
        <f>COUNTIFS('Picks'!$H$2:$H$133,$A14,'Picks'!$U$2:$U$133,"settled",'Picks'!$V$2:$V$133,"win")</f>
        <v/>
      </c>
      <c r="D14" s="13">
        <f>COUNTIFS('Picks'!$H$2:$H$133,$A14,'Picks'!$U$2:$U$133,"settled",'Picks'!$V$2:$V$133,"loss")</f>
        <v/>
      </c>
      <c r="E14" s="14">
        <f>IFERROR(C14/(C14+D14),0)</f>
        <v/>
      </c>
      <c r="F14" s="15">
        <f>SUMIFS('Picks'!$BY$2:$BY$133,'Picks'!$H$2:$H$133,$A14)</f>
        <v/>
      </c>
      <c r="G14" s="16">
        <f>IFERROR(AVERAGEIFS('Picks'!$AB$2:$AB$133,'Picks'!$H$2:$H$133,$A14,'Picks'!$U$2:$U$133,"settled"),0)</f>
        <v/>
      </c>
    </row>
    <row r="15">
      <c r="A15" s="17" t="inlineStr">
        <is>
          <t>spread</t>
        </is>
      </c>
      <c r="B15" s="18">
        <f>COUNTIFS('Picks'!$H$2:$H$133,$A15,'Picks'!$U$2:$U$133,"settled")</f>
        <v/>
      </c>
      <c r="C15" s="18">
        <f>COUNTIFS('Picks'!$H$2:$H$133,$A15,'Picks'!$U$2:$U$133,"settled",'Picks'!$V$2:$V$133,"win")</f>
        <v/>
      </c>
      <c r="D15" s="18">
        <f>COUNTIFS('Picks'!$H$2:$H$133,$A15,'Picks'!$U$2:$U$133,"settled",'Picks'!$V$2:$V$133,"loss")</f>
        <v/>
      </c>
      <c r="E15" s="19">
        <f>IFERROR(C15/(C15+D15),0)</f>
        <v/>
      </c>
      <c r="F15" s="20">
        <f>SUMIFS('Picks'!$BY$2:$BY$133,'Picks'!$H$2:$H$133,$A15)</f>
        <v/>
      </c>
      <c r="G15" s="21">
        <f>IFERROR(AVERAGEIFS('Picks'!$AB$2:$AB$133,'Picks'!$H$2:$H$133,$A15,'Picks'!$U$2:$U$133,"settled"),0)</f>
        <v/>
      </c>
    </row>
    <row r="16">
      <c r="A16" s="12" t="inlineStr">
        <is>
          <t>total</t>
        </is>
      </c>
      <c r="B16" s="13">
        <f>COUNTIFS('Picks'!$H$2:$H$133,$A16,'Picks'!$U$2:$U$133,"settled")</f>
        <v/>
      </c>
      <c r="C16" s="13">
        <f>COUNTIFS('Picks'!$H$2:$H$133,$A16,'Picks'!$U$2:$U$133,"settled",'Picks'!$V$2:$V$133,"win")</f>
        <v/>
      </c>
      <c r="D16" s="13">
        <f>COUNTIFS('Picks'!$H$2:$H$133,$A16,'Picks'!$U$2:$U$133,"settled",'Picks'!$V$2:$V$133,"loss")</f>
        <v/>
      </c>
      <c r="E16" s="14">
        <f>IFERROR(C16/(C16+D16),0)</f>
        <v/>
      </c>
      <c r="F16" s="15">
        <f>SUMIFS('Picks'!$BY$2:$BY$133,'Picks'!$H$2:$H$133,$A16)</f>
        <v/>
      </c>
      <c r="G16" s="16">
        <f>IFERROR(AVERAGEIFS('Picks'!$AB$2:$AB$133,'Picks'!$H$2:$H$133,$A16,'Picks'!$U$2:$U$133,"settled"),0)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1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25528d43c7c547fd</t>
        </is>
      </c>
      <c r="B2" s="24" t="inlineStr">
        <is>
          <t>2026-07-24T23:40:24.344007Z</t>
        </is>
      </c>
      <c r="C2" s="24" t="inlineStr">
        <is>
          <t>2026-07-24T20:05:00-0400</t>
        </is>
      </c>
      <c r="D2" s="24" t="inlineStr">
        <is>
          <t>401816248</t>
        </is>
      </c>
      <c r="E2" s="24" t="inlineStr">
        <is>
          <t>MLB</t>
        </is>
      </c>
      <c r="F2" s="24" t="inlineStr">
        <is>
          <t>Seattle Mariners</t>
        </is>
      </c>
      <c r="G2" s="24" t="inlineStr">
        <is>
          <t>Texas Rangers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106</v>
      </c>
      <c r="M2" s="27" t="n">
        <v>2.06</v>
      </c>
      <c r="N2" s="28" t="n">
        <v>0.485437</v>
      </c>
      <c r="O2" s="28" t="n">
        <v>0.588465</v>
      </c>
      <c r="P2" s="28" t="n"/>
      <c r="Q2" s="28" t="n">
        <v>0.103028</v>
      </c>
      <c r="R2" s="26" t="n">
        <v>100</v>
      </c>
      <c r="S2" s="29" t="n">
        <v>1.5</v>
      </c>
      <c r="T2" s="24" t="inlineStr">
        <is>
          <t>mlb-elo-trend-lr-v5</t>
        </is>
      </c>
      <c r="U2" s="24" t="inlineStr">
        <is>
          <t>settled</t>
        </is>
      </c>
      <c r="V2" s="24" t="inlineStr">
        <is>
          <t>win</t>
        </is>
      </c>
      <c r="W2" s="26" t="n">
        <v>4</v>
      </c>
      <c r="X2" s="26" t="n">
        <v>5</v>
      </c>
      <c r="Y2" s="25" t="n"/>
      <c r="Z2" s="26" t="n"/>
      <c r="AA2" s="28" t="n"/>
      <c r="AB2" s="28" t="n"/>
      <c r="AC2" s="30" t="n">
        <v>1.59</v>
      </c>
      <c r="AD2" s="24" t="inlineStr">
        <is>
          <t>2026-07-25T03:59:35.372834Z</t>
        </is>
      </c>
      <c r="AE2" s="31" t="inlineStr">
        <is>
          <t>Learned LR call at threshold 0.5750; executable ask 0.4850 (aec-mlb-sea-tex-2026-07-24).</t>
        </is>
      </c>
      <c r="AF2" s="31" t="inlineStr">
        <is>
          <t>Learned model; promotion gate not yet open; zero-unit research until review.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NO_CALL_LARGE_DISAGREEMENT_REVIEW</t>
        </is>
      </c>
      <c r="AP2" s="24" t="inlineStr">
        <is>
          <t>mlb-sea</t>
        </is>
      </c>
      <c r="AQ2" s="24" t="inlineStr">
        <is>
          <t>Seattle Mariners</t>
        </is>
      </c>
      <c r="AR2" s="24" t="inlineStr">
        <is>
          <t>Seattle Mariners</t>
        </is>
      </c>
      <c r="AS2" s="24" t="inlineStr">
        <is>
          <t>mlb-tex</t>
        </is>
      </c>
      <c r="AT2" s="24" t="inlineStr">
        <is>
          <t>Texas Rangers</t>
        </is>
      </c>
      <c r="AU2" s="24" t="inlineStr">
        <is>
          <t>Texas Rangers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8a12d027cf1d2c206cb369c47da80e014f8ac4dfc414ffee96ae34656c46fef5</t>
        </is>
      </c>
      <c r="BB2" s="24" t="inlineStr">
        <is>
          <t>learned_lr</t>
        </is>
      </c>
      <c r="BC2" s="24" t="inlineStr">
        <is>
          <t>mlb-elo-trend-lr-v5</t>
        </is>
      </c>
      <c r="BD2" s="24" t="inlineStr">
        <is>
          <t>8a12d027cf1d2c206cb369c47da80e014f8ac4dfc414ffee96ae34656c46fef5</t>
        </is>
      </c>
      <c r="BE2" s="24" t="inlineStr">
        <is>
          <t>79eb281d550dd0ce</t>
        </is>
      </c>
      <c r="BF2" s="24" t="inlineStr">
        <is>
          <t>1</t>
        </is>
      </c>
      <c r="BG2" s="24" t="inlineStr">
        <is>
          <t>mlb-elo-trend-lr-v5</t>
        </is>
      </c>
      <c r="BH2" s="24" t="inlineStr">
        <is>
          <t>2026-07-24T23:40:05.731659Z</t>
        </is>
      </c>
      <c r="BI2" s="24" t="inlineStr">
        <is>
          <t>["same_event","same_team_same_day","same_league_same_day"]</t>
        </is>
      </c>
      <c r="BJ2" s="25" t="n"/>
      <c r="BK2" s="26" t="n">
        <v>106</v>
      </c>
      <c r="BL2" s="27" t="n">
        <v>2.06</v>
      </c>
      <c r="BM2" s="28" t="n">
        <v>0.485437</v>
      </c>
      <c r="BN2" s="28" t="n">
        <v>0.482587</v>
      </c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6470107684e849eb</t>
        </is>
      </c>
      <c r="B3" s="24" t="inlineStr">
        <is>
          <t>2026-07-24T23:40:24.344007Z</t>
        </is>
      </c>
      <c r="C3" s="24" t="inlineStr">
        <is>
          <t>2026-07-24T20:10:00-0400</t>
        </is>
      </c>
      <c r="D3" s="24" t="inlineStr">
        <is>
          <t>401816244</t>
        </is>
      </c>
      <c r="E3" s="24" t="inlineStr">
        <is>
          <t>MLB</t>
        </is>
      </c>
      <c r="F3" s="24" t="inlineStr">
        <is>
          <t>Athletics</t>
        </is>
      </c>
      <c r="G3" s="24" t="inlineStr">
        <is>
          <t>Minnesota Twins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-133</v>
      </c>
      <c r="M3" s="27" t="n">
        <v>1.75188</v>
      </c>
      <c r="N3" s="28" t="n">
        <v>0.570815</v>
      </c>
      <c r="O3" s="28" t="n">
        <v>0.5307229999999999</v>
      </c>
      <c r="P3" s="28" t="n"/>
      <c r="Q3" s="28" t="n">
        <v>-0.040092</v>
      </c>
      <c r="R3" s="26" t="n">
        <v>0</v>
      </c>
      <c r="S3" s="29" t="n">
        <v>0.75</v>
      </c>
      <c r="T3" s="24" t="inlineStr">
        <is>
          <t>mlb-elo-trend-lr-v5</t>
        </is>
      </c>
      <c r="U3" s="24" t="inlineStr">
        <is>
          <t>settled</t>
        </is>
      </c>
      <c r="V3" s="24" t="inlineStr">
        <is>
          <t>loss</t>
        </is>
      </c>
      <c r="W3" s="26" t="n">
        <v>2</v>
      </c>
      <c r="X3" s="26" t="n">
        <v>0</v>
      </c>
      <c r="Y3" s="25" t="n"/>
      <c r="Z3" s="26" t="n"/>
      <c r="AA3" s="28" t="n"/>
      <c r="AB3" s="28" t="n"/>
      <c r="AC3" s="30" t="n">
        <v>-0.75</v>
      </c>
      <c r="AD3" s="24" t="inlineStr">
        <is>
          <t>2026-07-25T03:59:36.010284Z</t>
        </is>
      </c>
      <c r="AE3" s="31" t="inlineStr">
        <is>
          <t>Learned LR call at threshold 0.5750; executable ask 0.5700 (aec-mlb-ath-min-2026-07-24).</t>
        </is>
      </c>
      <c r="AF3" s="31" t="inlineStr">
        <is>
          <t>Learned model; promotion gate not yet open; zero-unit research until review.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NO_CALL_LOW_EDGE</t>
        </is>
      </c>
      <c r="AP3" s="24" t="inlineStr">
        <is>
          <t>mlb-ath</t>
        </is>
      </c>
      <c r="AQ3" s="24" t="inlineStr">
        <is>
          <t>Athletics</t>
        </is>
      </c>
      <c r="AR3" s="24" t="inlineStr">
        <is>
          <t>Athletics</t>
        </is>
      </c>
      <c r="AS3" s="24" t="inlineStr">
        <is>
          <t>mlb-min</t>
        </is>
      </c>
      <c r="AT3" s="24" t="inlineStr">
        <is>
          <t>Minnesota Twins</t>
        </is>
      </c>
      <c r="AU3" s="24" t="inlineStr">
        <is>
          <t>Minnesota Twins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8a12d027cf1d2c206cb369c47da80e014f8ac4dfc414ffee96ae34656c46fef5</t>
        </is>
      </c>
      <c r="BB3" s="24" t="inlineStr">
        <is>
          <t>learned_lr</t>
        </is>
      </c>
      <c r="BC3" s="24" t="inlineStr">
        <is>
          <t>mlb-elo-trend-lr-v5</t>
        </is>
      </c>
      <c r="BD3" s="24" t="inlineStr">
        <is>
          <t>8a12d027cf1d2c206cb369c47da80e014f8ac4dfc414ffee96ae34656c46fef5</t>
        </is>
      </c>
      <c r="BE3" s="24" t="inlineStr">
        <is>
          <t>32d586049ac41eec</t>
        </is>
      </c>
      <c r="BF3" s="24" t="inlineStr">
        <is>
          <t>1</t>
        </is>
      </c>
      <c r="BG3" s="24" t="inlineStr">
        <is>
          <t>mlb-elo-trend-lr-v5</t>
        </is>
      </c>
      <c r="BH3" s="24" t="inlineStr">
        <is>
          <t>2026-07-24T23:40:07.043793Z</t>
        </is>
      </c>
      <c r="BI3" s="24" t="inlineStr">
        <is>
          <t>["same_event","same_team_same_day","same_league_same_day"]</t>
        </is>
      </c>
      <c r="BJ3" s="25" t="n"/>
      <c r="BK3" s="26" t="n">
        <v>-133</v>
      </c>
      <c r="BL3" s="27" t="n">
        <v>1.75188</v>
      </c>
      <c r="BM3" s="28" t="n">
        <v>0.570815</v>
      </c>
      <c r="BN3" s="28" t="n">
        <v>0.567164</v>
      </c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</row>
    <row r="4" ht="36" customHeight="1">
      <c r="A4" s="24" t="inlineStr">
        <is>
          <t>545f9cc46b9f4f05</t>
        </is>
      </c>
      <c r="B4" s="24" t="inlineStr">
        <is>
          <t>2026-07-25T00:14:59.789159Z</t>
        </is>
      </c>
      <c r="C4" s="24" t="inlineStr">
        <is>
          <t>2026-07-24T20:15:00-0400</t>
        </is>
      </c>
      <c r="D4" s="24" t="inlineStr">
        <is>
          <t>401816245</t>
        </is>
      </c>
      <c r="E4" s="24" t="inlineStr">
        <is>
          <t>MLB</t>
        </is>
      </c>
      <c r="F4" s="24" t="inlineStr">
        <is>
          <t>Cincinnati Reds</t>
        </is>
      </c>
      <c r="G4" s="24" t="inlineStr">
        <is>
          <t>St. Louis Cardinals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-141</v>
      </c>
      <c r="M4" s="27" t="n">
        <v>1.70922</v>
      </c>
      <c r="N4" s="28" t="n">
        <v>0.585062</v>
      </c>
      <c r="O4" s="28" t="n">
        <v>0.549377</v>
      </c>
      <c r="P4" s="28" t="n"/>
      <c r="Q4" s="28" t="n">
        <v>-0.035685</v>
      </c>
      <c r="R4" s="26" t="n">
        <v>2</v>
      </c>
      <c r="S4" s="29" t="n">
        <v>1</v>
      </c>
      <c r="T4" s="24" t="inlineStr">
        <is>
          <t>mlb-elo-trend-lr-v5</t>
        </is>
      </c>
      <c r="U4" s="24" t="inlineStr">
        <is>
          <t>settled</t>
        </is>
      </c>
      <c r="V4" s="24" t="inlineStr">
        <is>
          <t>loss</t>
        </is>
      </c>
      <c r="W4" s="26" t="n">
        <v>4</v>
      </c>
      <c r="X4" s="26" t="n">
        <v>2</v>
      </c>
      <c r="Y4" s="25" t="n"/>
      <c r="Z4" s="26" t="n"/>
      <c r="AA4" s="28" t="n"/>
      <c r="AB4" s="28" t="n"/>
      <c r="AC4" s="30" t="n">
        <v>-1</v>
      </c>
      <c r="AD4" s="24" t="inlineStr">
        <is>
          <t>2026-07-25T03:59:36.651414Z</t>
        </is>
      </c>
      <c r="AE4" s="31" t="inlineStr">
        <is>
          <t>Learned LR call at threshold 0.5750; executable ask 0.5850 (aec-mlb-cin-stl-2026-07-24).</t>
        </is>
      </c>
      <c r="AF4" s="31" t="inlineStr">
        <is>
          <t>Learned model; promotion gate not yet open; zero-unit research until review.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NO_CALL_LOW_EDGE</t>
        </is>
      </c>
      <c r="AP4" s="24" t="inlineStr">
        <is>
          <t>mlb-cin</t>
        </is>
      </c>
      <c r="AQ4" s="24" t="inlineStr">
        <is>
          <t>Cincinnati Reds</t>
        </is>
      </c>
      <c r="AR4" s="24" t="inlineStr">
        <is>
          <t>Cincinnati Reds</t>
        </is>
      </c>
      <c r="AS4" s="24" t="inlineStr">
        <is>
          <t>mlb-stl</t>
        </is>
      </c>
      <c r="AT4" s="24" t="inlineStr">
        <is>
          <t>St. Louis Cardinals</t>
        </is>
      </c>
      <c r="AU4" s="24" t="inlineStr">
        <is>
          <t>St. Louis Cardinals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8a12d027cf1d2c206cb369c47da80e014f8ac4dfc414ffee96ae34656c46fef5</t>
        </is>
      </c>
      <c r="BB4" s="24" t="inlineStr">
        <is>
          <t>learned_lr</t>
        </is>
      </c>
      <c r="BC4" s="24" t="inlineStr">
        <is>
          <t>mlb-elo-trend-lr-v5</t>
        </is>
      </c>
      <c r="BD4" s="24" t="inlineStr">
        <is>
          <t>8a12d027cf1d2c206cb369c47da80e014f8ac4dfc414ffee96ae34656c46fef5</t>
        </is>
      </c>
      <c r="BE4" s="24" t="inlineStr">
        <is>
          <t>73756967beddc98c</t>
        </is>
      </c>
      <c r="BF4" s="24" t="inlineStr">
        <is>
          <t>1</t>
        </is>
      </c>
      <c r="BG4" s="24" t="inlineStr">
        <is>
          <t>mlb-elo-trend-lr-v5</t>
        </is>
      </c>
      <c r="BH4" s="24" t="inlineStr">
        <is>
          <t>2026-07-24T23:40:08.101543Z</t>
        </is>
      </c>
      <c r="BI4" s="24" t="inlineStr">
        <is>
          <t>["same_event","same_team_same_day","same_league_same_day"]</t>
        </is>
      </c>
      <c r="BJ4" s="25" t="n"/>
      <c r="BK4" s="26" t="n">
        <v>-141</v>
      </c>
      <c r="BL4" s="27" t="n">
        <v>1.70922</v>
      </c>
      <c r="BM4" s="28" t="n">
        <v>0.585062</v>
      </c>
      <c r="BN4" s="28" t="n">
        <v>0.58209</v>
      </c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</row>
    <row r="5" ht="36" customHeight="1">
      <c r="A5" s="24" t="inlineStr">
        <is>
          <t>3fe6067b082548ce</t>
        </is>
      </c>
      <c r="B5" s="24" t="inlineStr">
        <is>
          <t>2026-07-24T20:09:00Z</t>
        </is>
      </c>
      <c r="C5" s="24" t="inlineStr">
        <is>
          <t>2026-07-24T16:10:00-0400</t>
        </is>
      </c>
      <c r="D5" s="24" t="inlineStr">
        <is>
          <t>401816246</t>
        </is>
      </c>
      <c r="E5" s="24" t="inlineStr">
        <is>
          <t>MLB</t>
        </is>
      </c>
      <c r="F5" s="24" t="inlineStr">
        <is>
          <t>Colorado Rockies</t>
        </is>
      </c>
      <c r="G5" s="24" t="inlineStr">
        <is>
          <t>Milwaukee Brewers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-245</v>
      </c>
      <c r="M5" s="27" t="n">
        <v>1.408163</v>
      </c>
      <c r="N5" s="28" t="n">
        <v>0.710145</v>
      </c>
      <c r="O5" s="28" t="n">
        <v>0.640807</v>
      </c>
      <c r="P5" s="28" t="n"/>
      <c r="Q5" s="28" t="n">
        <v>-0.069338</v>
      </c>
      <c r="R5" s="26" t="n">
        <v>0</v>
      </c>
      <c r="S5" s="29" t="n">
        <v>2</v>
      </c>
      <c r="T5" s="24" t="inlineStr">
        <is>
          <t>mlb-elo-trend-lr-v5</t>
        </is>
      </c>
      <c r="U5" s="24" t="inlineStr">
        <is>
          <t>settled</t>
        </is>
      </c>
      <c r="V5" s="24" t="inlineStr">
        <is>
          <t>loss</t>
        </is>
      </c>
      <c r="W5" s="26" t="n">
        <v>5</v>
      </c>
      <c r="X5" s="26" t="n">
        <v>2</v>
      </c>
      <c r="Y5" s="25" t="n"/>
      <c r="Z5" s="26" t="n"/>
      <c r="AA5" s="28" t="n"/>
      <c r="AB5" s="28" t="n"/>
      <c r="AC5" s="30" t="n">
        <v>-2</v>
      </c>
      <c r="AD5" s="24" t="inlineStr">
        <is>
          <t>2026-07-25T00:31:02.441199Z</t>
        </is>
      </c>
      <c r="AE5" s="31" t="inlineStr">
        <is>
          <t>BACKFILL 2026-07-24: Learned LR call at threshold 0.5750; executable ask 0.7100 (aec-mlb-col-mil-2026-07-24); reconstructed using the freshest pregame BBO snapshot for this game after the original run silently lost this pick to a same-day re-forecast bug.</t>
        </is>
      </c>
      <c r="AF5" s="31" t="inlineStr">
        <is>
          <t>Backfilled after original pick lost to _clear_today_open bug (fixed 2026-07-25); reconstructed from genuinely pregame data.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NO_CALL_LOW_EDGE</t>
        </is>
      </c>
      <c r="AP5" s="24" t="inlineStr">
        <is>
          <t>mlb-col</t>
        </is>
      </c>
      <c r="AQ5" s="24" t="inlineStr">
        <is>
          <t>Colorado Rockies</t>
        </is>
      </c>
      <c r="AR5" s="24" t="inlineStr">
        <is>
          <t>Colorado Rockies</t>
        </is>
      </c>
      <c r="AS5" s="24" t="inlineStr">
        <is>
          <t>mlb-mil</t>
        </is>
      </c>
      <c r="AT5" s="24" t="inlineStr">
        <is>
          <t>Milwaukee Brewers</t>
        </is>
      </c>
      <c r="AU5" s="24" t="inlineStr">
        <is>
          <t>Milwaukee Brewers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8a12d027cf1d2c206cb369c47da80e014f8ac4dfc414ffee96ae34656c46fef5</t>
        </is>
      </c>
      <c r="BB5" s="24" t="inlineStr">
        <is>
          <t>learned_lr</t>
        </is>
      </c>
      <c r="BC5" s="24" t="inlineStr">
        <is>
          <t>mlb-elo-trend-lr-v5</t>
        </is>
      </c>
      <c r="BD5" s="24" t="inlineStr">
        <is>
          <t>8a12d027cf1d2c206cb369c47da80e014f8ac4dfc414ffee96ae34656c46fef5</t>
        </is>
      </c>
      <c r="BE5" s="24" t="inlineStr">
        <is>
          <t>8709de87fe60f3fe</t>
        </is>
      </c>
      <c r="BF5" s="24" t="inlineStr">
        <is>
          <t>1</t>
        </is>
      </c>
      <c r="BG5" s="24" t="inlineStr">
        <is>
          <t>mlb-elo-trend-lr-v5</t>
        </is>
      </c>
      <c r="BH5" s="24" t="inlineStr">
        <is>
          <t>2026-07-24T18:12:54.726973Z</t>
        </is>
      </c>
      <c r="BI5" s="24" t="inlineStr">
        <is>
          <t>["same_event","same_team_same_day","same_league_same_day"]</t>
        </is>
      </c>
      <c r="BJ5" s="25" t="n"/>
      <c r="BK5" s="26" t="n">
        <v>-245</v>
      </c>
      <c r="BL5" s="27" t="n">
        <v>1.408163</v>
      </c>
      <c r="BM5" s="28" t="n">
        <v>0.710145</v>
      </c>
      <c r="BN5" s="28" t="n">
        <v>0.706468</v>
      </c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</row>
    <row r="6" ht="36" customHeight="1">
      <c r="A6" s="24" t="inlineStr">
        <is>
          <t>797edb7f42a441ad</t>
        </is>
      </c>
      <c r="B6" s="24" t="inlineStr">
        <is>
          <t>2026-07-24T22:39:00Z</t>
        </is>
      </c>
      <c r="C6" s="24" t="inlineStr">
        <is>
          <t>2026-07-24T18:40:00-0400</t>
        </is>
      </c>
      <c r="D6" s="24" t="inlineStr">
        <is>
          <t>401816237</t>
        </is>
      </c>
      <c r="E6" s="24" t="inlineStr">
        <is>
          <t>MLB</t>
        </is>
      </c>
      <c r="F6" s="24" t="inlineStr">
        <is>
          <t>Chicago Cubs</t>
        </is>
      </c>
      <c r="G6" s="24" t="inlineStr">
        <is>
          <t>Pittsburgh Pirates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100</v>
      </c>
      <c r="M6" s="27" t="n">
        <v>2</v>
      </c>
      <c r="N6" s="28" t="n">
        <v>0.5</v>
      </c>
      <c r="O6" s="28" t="n">
        <v>0.502911</v>
      </c>
      <c r="P6" s="28" t="n"/>
      <c r="Q6" s="28" t="n">
        <v>0.002911</v>
      </c>
      <c r="R6" s="26" t="n">
        <v>21</v>
      </c>
      <c r="S6" s="29" t="n">
        <v>0.5</v>
      </c>
      <c r="T6" s="24" t="inlineStr">
        <is>
          <t>mlb-elo-trend-lr-v5</t>
        </is>
      </c>
      <c r="U6" s="24" t="inlineStr">
        <is>
          <t>settled</t>
        </is>
      </c>
      <c r="V6" s="24" t="inlineStr">
        <is>
          <t>win</t>
        </is>
      </c>
      <c r="W6" s="26" t="n">
        <v>3</v>
      </c>
      <c r="X6" s="26" t="n">
        <v>2</v>
      </c>
      <c r="Y6" s="25" t="n"/>
      <c r="Z6" s="26" t="n"/>
      <c r="AA6" s="28" t="n"/>
      <c r="AB6" s="28" t="n"/>
      <c r="AC6" s="30" t="n">
        <v>0.5</v>
      </c>
      <c r="AD6" s="24" t="inlineStr">
        <is>
          <t>2026-07-25T02:30:12.848248Z</t>
        </is>
      </c>
      <c r="AE6" s="31" t="inlineStr">
        <is>
          <t>BACKFILL 2026-07-24: Learned LR call at threshold 0.5750; executable ask 0.5000 (aec-mlb-chc-pit-2026-07-24); reconstructed using the freshest pregame BBO snapshot for this game after the original run silently lost this pick to a same-day re-forecast bug.</t>
        </is>
      </c>
      <c r="AF6" s="31" t="inlineStr">
        <is>
          <t>Backfilled after original pick lost to _clear_today_open bug (fixed 2026-07-25); reconstructed from genuinely pregame data.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NO_CALL_LOW_EDGE</t>
        </is>
      </c>
      <c r="AP6" s="24" t="inlineStr">
        <is>
          <t>mlb-chc</t>
        </is>
      </c>
      <c r="AQ6" s="24" t="inlineStr">
        <is>
          <t>Chicago Cubs</t>
        </is>
      </c>
      <c r="AR6" s="24" t="inlineStr">
        <is>
          <t>Chicago Cubs</t>
        </is>
      </c>
      <c r="AS6" s="24" t="inlineStr">
        <is>
          <t>mlb-pit</t>
        </is>
      </c>
      <c r="AT6" s="24" t="inlineStr">
        <is>
          <t>Pittsburgh Pirates</t>
        </is>
      </c>
      <c r="AU6" s="24" t="inlineStr">
        <is>
          <t>Pittsburgh Pirates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8a12d027cf1d2c206cb369c47da80e014f8ac4dfc414ffee96ae34656c46fef5</t>
        </is>
      </c>
      <c r="BB6" s="24" t="inlineStr">
        <is>
          <t>learned_lr</t>
        </is>
      </c>
      <c r="BC6" s="24" t="inlineStr">
        <is>
          <t>mlb-elo-trend-lr-v5</t>
        </is>
      </c>
      <c r="BD6" s="24" t="inlineStr">
        <is>
          <t>8a12d027cf1d2c206cb369c47da80e014f8ac4dfc414ffee96ae34656c46fef5</t>
        </is>
      </c>
      <c r="BE6" s="24" t="inlineStr">
        <is>
          <t>0db73bd38d3dddfd</t>
        </is>
      </c>
      <c r="BF6" s="24" t="inlineStr">
        <is>
          <t>1</t>
        </is>
      </c>
      <c r="BG6" s="24" t="inlineStr">
        <is>
          <t>mlb-elo-trend-lr-v5</t>
        </is>
      </c>
      <c r="BH6" s="24" t="inlineStr">
        <is>
          <t>2026-07-24T21:17:05.662526Z</t>
        </is>
      </c>
      <c r="BI6" s="24" t="inlineStr">
        <is>
          <t>["same_event","same_team_same_day","same_league_same_day"]</t>
        </is>
      </c>
      <c r="BJ6" s="25" t="n"/>
      <c r="BK6" s="26" t="n">
        <v>100</v>
      </c>
      <c r="BL6" s="27" t="n">
        <v>2</v>
      </c>
      <c r="BM6" s="28" t="n">
        <v>0.5</v>
      </c>
      <c r="BN6" s="28" t="n">
        <v>0.497512</v>
      </c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</row>
    <row r="7" ht="36" customHeight="1">
      <c r="A7" s="24" t="inlineStr">
        <is>
          <t>2fb2da0ab97a49a5</t>
        </is>
      </c>
      <c r="B7" s="24" t="inlineStr">
        <is>
          <t>2026-07-24T22:39:00Z</t>
        </is>
      </c>
      <c r="C7" s="24" t="inlineStr">
        <is>
          <t>2026-07-24T18:40:00-0400</t>
        </is>
      </c>
      <c r="D7" s="24" t="inlineStr">
        <is>
          <t>401816239</t>
        </is>
      </c>
      <c r="E7" s="24" t="inlineStr">
        <is>
          <t>MLB</t>
        </is>
      </c>
      <c r="F7" s="24" t="inlineStr">
        <is>
          <t>Kansas City Royals</t>
        </is>
      </c>
      <c r="G7" s="24" t="inlineStr">
        <is>
          <t>Detroit Tigers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-245</v>
      </c>
      <c r="M7" s="27" t="n">
        <v>1.408163</v>
      </c>
      <c r="N7" s="28" t="n">
        <v>0.710145</v>
      </c>
      <c r="O7" s="28" t="n">
        <v>0.514395</v>
      </c>
      <c r="P7" s="28" t="n"/>
      <c r="Q7" s="28" t="n">
        <v>-0.19575</v>
      </c>
      <c r="R7" s="26" t="n">
        <v>0</v>
      </c>
      <c r="S7" s="29" t="n">
        <v>0.75</v>
      </c>
      <c r="T7" s="24" t="inlineStr">
        <is>
          <t>mlb-elo-trend-lr-v5</t>
        </is>
      </c>
      <c r="U7" s="24" t="inlineStr">
        <is>
          <t>settled</t>
        </is>
      </c>
      <c r="V7" s="24" t="inlineStr">
        <is>
          <t>win</t>
        </is>
      </c>
      <c r="W7" s="26" t="n">
        <v>1</v>
      </c>
      <c r="X7" s="26" t="n">
        <v>2</v>
      </c>
      <c r="Y7" s="25" t="n"/>
      <c r="Z7" s="26" t="n"/>
      <c r="AA7" s="28" t="n"/>
      <c r="AB7" s="28" t="n"/>
      <c r="AC7" s="30" t="n">
        <v>0.3061</v>
      </c>
      <c r="AD7" s="24" t="inlineStr">
        <is>
          <t>2026-07-25T02:30:13.526941Z</t>
        </is>
      </c>
      <c r="AE7" s="31" t="inlineStr">
        <is>
          <t>BACKFILL 2026-07-24: Learned LR call at threshold 0.5750; executable ask 0.7100 (aec-mlb-kc-det-2026-07-24); reconstructed using the freshest pregame BBO snapshot for this game after the original run silently lost this pick to a same-day re-forecast bug.</t>
        </is>
      </c>
      <c r="AF7" s="31" t="inlineStr">
        <is>
          <t>Backfilled after original pick lost to _clear_today_open bug (fixed 2026-07-25); reconstructed from genuinely pregame data.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NO_CALL_LARGE_DISAGREEMENT_REVIEW</t>
        </is>
      </c>
      <c r="AP7" s="24" t="inlineStr">
        <is>
          <t>mlb-kc</t>
        </is>
      </c>
      <c r="AQ7" s="24" t="inlineStr">
        <is>
          <t>Kansas City Royals</t>
        </is>
      </c>
      <c r="AR7" s="24" t="inlineStr">
        <is>
          <t>Kansas City Royals</t>
        </is>
      </c>
      <c r="AS7" s="24" t="inlineStr">
        <is>
          <t>mlb-det</t>
        </is>
      </c>
      <c r="AT7" s="24" t="inlineStr">
        <is>
          <t>Detroit Tigers</t>
        </is>
      </c>
      <c r="AU7" s="24" t="inlineStr">
        <is>
          <t>Detroit Tigers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8a12d027cf1d2c206cb369c47da80e014f8ac4dfc414ffee96ae34656c46fef5</t>
        </is>
      </c>
      <c r="BB7" s="24" t="inlineStr">
        <is>
          <t>learned_lr</t>
        </is>
      </c>
      <c r="BC7" s="24" t="inlineStr">
        <is>
          <t>mlb-elo-trend-lr-v5</t>
        </is>
      </c>
      <c r="BD7" s="24" t="inlineStr">
        <is>
          <t>8a12d027cf1d2c206cb369c47da80e014f8ac4dfc414ffee96ae34656c46fef5</t>
        </is>
      </c>
      <c r="BE7" s="24" t="inlineStr">
        <is>
          <t>c6682ff3aeb79a2a</t>
        </is>
      </c>
      <c r="BF7" s="24" t="inlineStr">
        <is>
          <t>1</t>
        </is>
      </c>
      <c r="BG7" s="24" t="inlineStr">
        <is>
          <t>mlb-elo-trend-lr-v5</t>
        </is>
      </c>
      <c r="BH7" s="24" t="inlineStr">
        <is>
          <t>2026-07-24T21:17:04.954417Z</t>
        </is>
      </c>
      <c r="BI7" s="24" t="inlineStr">
        <is>
          <t>["same_event","same_team_same_day","same_league_same_day"]</t>
        </is>
      </c>
      <c r="BJ7" s="25" t="n"/>
      <c r="BK7" s="26" t="n">
        <v>-245</v>
      </c>
      <c r="BL7" s="27" t="n">
        <v>1.408163</v>
      </c>
      <c r="BM7" s="28" t="n">
        <v>0.710145</v>
      </c>
      <c r="BN7" s="28" t="n">
        <v>0.706468</v>
      </c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</row>
    <row r="8" ht="36" customHeight="1">
      <c r="A8" s="24" t="inlineStr">
        <is>
          <t>62bdaed12abd4579</t>
        </is>
      </c>
      <c r="B8" s="24" t="inlineStr">
        <is>
          <t>2026-07-24T22:44:00Z</t>
        </is>
      </c>
      <c r="C8" s="24" t="inlineStr">
        <is>
          <t>2026-07-24T18:45:00-0400</t>
        </is>
      </c>
      <c r="D8" s="24" t="inlineStr">
        <is>
          <t>401816235</t>
        </is>
      </c>
      <c r="E8" s="24" t="inlineStr">
        <is>
          <t>MLB</t>
        </is>
      </c>
      <c r="F8" s="24" t="inlineStr">
        <is>
          <t>Arizona Diamondbacks</t>
        </is>
      </c>
      <c r="G8" s="24" t="inlineStr">
        <is>
          <t>Washington Nationals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115</v>
      </c>
      <c r="M8" s="27" t="n">
        <v>2.15</v>
      </c>
      <c r="N8" s="28" t="n">
        <v>0.465116</v>
      </c>
      <c r="O8" s="28" t="n">
        <v>0.5273679999999999</v>
      </c>
      <c r="P8" s="28" t="n"/>
      <c r="Q8" s="28" t="n">
        <v>0.062252</v>
      </c>
      <c r="R8" s="26" t="n">
        <v>51</v>
      </c>
      <c r="S8" s="29" t="n">
        <v>0.75</v>
      </c>
      <c r="T8" s="24" t="inlineStr">
        <is>
          <t>mlb-elo-trend-lr-v5</t>
        </is>
      </c>
      <c r="U8" s="24" t="inlineStr">
        <is>
          <t>settled</t>
        </is>
      </c>
      <c r="V8" s="24" t="inlineStr">
        <is>
          <t>loss</t>
        </is>
      </c>
      <c r="W8" s="26" t="n">
        <v>3</v>
      </c>
      <c r="X8" s="26" t="n">
        <v>2</v>
      </c>
      <c r="Y8" s="25" t="n"/>
      <c r="Z8" s="26" t="n"/>
      <c r="AA8" s="28" t="n"/>
      <c r="AB8" s="28" t="n"/>
      <c r="AC8" s="30" t="n">
        <v>-0.75</v>
      </c>
      <c r="AD8" s="24" t="inlineStr">
        <is>
          <t>2026-07-25T02:30:14.193420Z</t>
        </is>
      </c>
      <c r="AE8" s="31" t="inlineStr">
        <is>
          <t>BACKFILL 2026-07-24: Learned LR call at threshold 0.5750; executable ask 0.4650 (aec-mlb-az-wsh-2026-07-24); reconstructed using the freshest pregame BBO snapshot for this game after the original run silently lost this pick to a same-day re-forecast bug.</t>
        </is>
      </c>
      <c r="AF8" s="31" t="inlineStr">
        <is>
          <t>Backfilled after original pick lost to _clear_today_open bug (fixed 2026-07-25); reconstructed from genuinely pregame data.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NO_CALL_LOW_EDGE</t>
        </is>
      </c>
      <c r="AP8" s="24" t="inlineStr">
        <is>
          <t>mlb-ari</t>
        </is>
      </c>
      <c r="AQ8" s="24" t="inlineStr">
        <is>
          <t>Arizona Diamondbacks</t>
        </is>
      </c>
      <c r="AR8" s="24" t="inlineStr">
        <is>
          <t>Arizona Diamondbacks</t>
        </is>
      </c>
      <c r="AS8" s="24" t="inlineStr">
        <is>
          <t>mlb-wsh</t>
        </is>
      </c>
      <c r="AT8" s="24" t="inlineStr">
        <is>
          <t>Washington Nationals</t>
        </is>
      </c>
      <c r="AU8" s="24" t="inlineStr">
        <is>
          <t>Washington Nationals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8a12d027cf1d2c206cb369c47da80e014f8ac4dfc414ffee96ae34656c46fef5</t>
        </is>
      </c>
      <c r="BB8" s="24" t="inlineStr">
        <is>
          <t>learned_lr</t>
        </is>
      </c>
      <c r="BC8" s="24" t="inlineStr">
        <is>
          <t>mlb-elo-trend-lr-v5</t>
        </is>
      </c>
      <c r="BD8" s="24" t="inlineStr">
        <is>
          <t>8a12d027cf1d2c206cb369c47da80e014f8ac4dfc414ffee96ae34656c46fef5</t>
        </is>
      </c>
      <c r="BE8" s="24" t="inlineStr">
        <is>
          <t>7b3e962d9e9d69df</t>
        </is>
      </c>
      <c r="BF8" s="24" t="inlineStr">
        <is>
          <t>1</t>
        </is>
      </c>
      <c r="BG8" s="24" t="inlineStr">
        <is>
          <t>mlb-elo-trend-lr-v5</t>
        </is>
      </c>
      <c r="BH8" s="24" t="inlineStr">
        <is>
          <t>2026-07-24T21:17:08.236153Z</t>
        </is>
      </c>
      <c r="BI8" s="24" t="inlineStr">
        <is>
          <t>["same_event","same_team_same_day","same_league_same_day"]</t>
        </is>
      </c>
      <c r="BJ8" s="25" t="n"/>
      <c r="BK8" s="26" t="n">
        <v>115</v>
      </c>
      <c r="BL8" s="27" t="n">
        <v>2.15</v>
      </c>
      <c r="BM8" s="28" t="n">
        <v>0.465116</v>
      </c>
      <c r="BN8" s="28" t="n">
        <v>0.462687</v>
      </c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</row>
    <row r="9" ht="36" customHeight="1">
      <c r="A9" s="24" t="inlineStr">
        <is>
          <t>fe3e7d8a27d24bdd</t>
        </is>
      </c>
      <c r="B9" s="24" t="inlineStr">
        <is>
          <t>2026-07-24T22:44:00Z</t>
        </is>
      </c>
      <c r="C9" s="24" t="inlineStr">
        <is>
          <t>2026-07-24T18:45:00-0400</t>
        </is>
      </c>
      <c r="D9" s="24" t="inlineStr">
        <is>
          <t>401816241</t>
        </is>
      </c>
      <c r="E9" s="24" t="inlineStr">
        <is>
          <t>MLB</t>
        </is>
      </c>
      <c r="F9" s="24" t="inlineStr">
        <is>
          <t>New York Yankees</t>
        </is>
      </c>
      <c r="G9" s="24" t="inlineStr">
        <is>
          <t>Philadelphia Phillies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-127</v>
      </c>
      <c r="M9" s="27" t="n">
        <v>1.787402</v>
      </c>
      <c r="N9" s="28" t="n">
        <v>0.5594710000000001</v>
      </c>
      <c r="O9" s="28" t="n">
        <v>0.510304</v>
      </c>
      <c r="P9" s="28" t="n"/>
      <c r="Q9" s="28" t="n">
        <v>-0.049167</v>
      </c>
      <c r="R9" s="26" t="n">
        <v>0</v>
      </c>
      <c r="S9" s="29" t="n">
        <v>0.5</v>
      </c>
      <c r="T9" s="24" t="inlineStr">
        <is>
          <t>mlb-elo-trend-lr-v5</t>
        </is>
      </c>
      <c r="U9" s="24" t="inlineStr">
        <is>
          <t>settled</t>
        </is>
      </c>
      <c r="V9" s="24" t="inlineStr">
        <is>
          <t>loss</t>
        </is>
      </c>
      <c r="W9" s="26" t="n">
        <v>1</v>
      </c>
      <c r="X9" s="26" t="n">
        <v>0</v>
      </c>
      <c r="Y9" s="25" t="n"/>
      <c r="Z9" s="26" t="n"/>
      <c r="AA9" s="28" t="n"/>
      <c r="AB9" s="28" t="n"/>
      <c r="AC9" s="30" t="n">
        <v>-0.5</v>
      </c>
      <c r="AD9" s="24" t="inlineStr">
        <is>
          <t>2026-07-25T02:30:14.894840Z</t>
        </is>
      </c>
      <c r="AE9" s="31" t="inlineStr">
        <is>
          <t>BACKFILL 2026-07-24: Learned LR call at threshold 0.5750; executable ask 0.5600 (aec-mlb-nyy-phi-2026-07-24); reconstructed using the freshest pregame BBO snapshot for this game after the original run silently lost this pick to a same-day re-forecast bug.</t>
        </is>
      </c>
      <c r="AF9" s="31" t="inlineStr">
        <is>
          <t>Backfilled after original pick lost to _clear_today_open bug (fixed 2026-07-25); reconstructed from genuinely pregame data.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NO_CALL_LOW_EDGE</t>
        </is>
      </c>
      <c r="AP9" s="24" t="inlineStr">
        <is>
          <t>mlb-nyy</t>
        </is>
      </c>
      <c r="AQ9" s="24" t="inlineStr">
        <is>
          <t>New York Yankees</t>
        </is>
      </c>
      <c r="AR9" s="24" t="inlineStr">
        <is>
          <t>New York Yankees</t>
        </is>
      </c>
      <c r="AS9" s="24" t="inlineStr">
        <is>
          <t>mlb-phi</t>
        </is>
      </c>
      <c r="AT9" s="24" t="inlineStr">
        <is>
          <t>Philadelphia Phillies</t>
        </is>
      </c>
      <c r="AU9" s="24" t="inlineStr">
        <is>
          <t>Philadelphia Phillies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8a12d027cf1d2c206cb369c47da80e014f8ac4dfc414ffee96ae34656c46fef5</t>
        </is>
      </c>
      <c r="BB9" s="24" t="inlineStr">
        <is>
          <t>learned_lr</t>
        </is>
      </c>
      <c r="BC9" s="24" t="inlineStr">
        <is>
          <t>mlb-elo-trend-lr-v5</t>
        </is>
      </c>
      <c r="BD9" s="24" t="inlineStr">
        <is>
          <t>8a12d027cf1d2c206cb369c47da80e014f8ac4dfc414ffee96ae34656c46fef5</t>
        </is>
      </c>
      <c r="BE9" s="24" t="inlineStr">
        <is>
          <t>46b943bff41b36e6</t>
        </is>
      </c>
      <c r="BF9" s="24" t="inlineStr">
        <is>
          <t>1</t>
        </is>
      </c>
      <c r="BG9" s="24" t="inlineStr">
        <is>
          <t>mlb-elo-trend-lr-v5</t>
        </is>
      </c>
      <c r="BH9" s="24" t="inlineStr">
        <is>
          <t>2026-07-24T21:17:06.847662Z</t>
        </is>
      </c>
      <c r="BI9" s="24" t="inlineStr">
        <is>
          <t>["same_event","same_team_same_day","same_league_same_day"]</t>
        </is>
      </c>
      <c r="BJ9" s="25" t="n"/>
      <c r="BK9" s="26" t="n">
        <v>-127</v>
      </c>
      <c r="BL9" s="27" t="n">
        <v>1.787402</v>
      </c>
      <c r="BM9" s="28" t="n">
        <v>0.5594710000000001</v>
      </c>
      <c r="BN9" s="28" t="n">
        <v>0.557214</v>
      </c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</row>
    <row r="10" ht="36" customHeight="1">
      <c r="A10" s="24" t="inlineStr">
        <is>
          <t>8e806809077145d8</t>
        </is>
      </c>
      <c r="B10" s="24" t="inlineStr">
        <is>
          <t>2026-07-24T23:04:00Z</t>
        </is>
      </c>
      <c r="C10" s="24" t="inlineStr">
        <is>
          <t>2026-07-24T19:05:00-0400</t>
        </is>
      </c>
      <c r="D10" s="24" t="inlineStr">
        <is>
          <t>401816236</t>
        </is>
      </c>
      <c r="E10" s="24" t="inlineStr">
        <is>
          <t>MLB</t>
        </is>
      </c>
      <c r="F10" s="24" t="inlineStr">
        <is>
          <t>Atlanta Braves</t>
        </is>
      </c>
      <c r="G10" s="24" t="inlineStr">
        <is>
          <t>Baltimore Orioles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-120</v>
      </c>
      <c r="M10" s="27" t="n">
        <v>1.833333</v>
      </c>
      <c r="N10" s="28" t="n">
        <v>0.545455</v>
      </c>
      <c r="O10" s="28" t="n">
        <v>0.506958</v>
      </c>
      <c r="P10" s="28" t="n"/>
      <c r="Q10" s="28" t="n">
        <v>-0.038497</v>
      </c>
      <c r="R10" s="26" t="n">
        <v>1</v>
      </c>
      <c r="S10" s="29" t="n">
        <v>0.5</v>
      </c>
      <c r="T10" s="24" t="inlineStr">
        <is>
          <t>mlb-elo-trend-lr-v5</t>
        </is>
      </c>
      <c r="U10" s="24" t="inlineStr">
        <is>
          <t>settled</t>
        </is>
      </c>
      <c r="V10" s="24" t="inlineStr">
        <is>
          <t>loss</t>
        </is>
      </c>
      <c r="W10" s="26" t="n">
        <v>7</v>
      </c>
      <c r="X10" s="26" t="n">
        <v>6</v>
      </c>
      <c r="Y10" s="25" t="n"/>
      <c r="Z10" s="26" t="n"/>
      <c r="AA10" s="28" t="n"/>
      <c r="AB10" s="28" t="n"/>
      <c r="AC10" s="30" t="n">
        <v>-0.5</v>
      </c>
      <c r="AD10" s="24" t="inlineStr">
        <is>
          <t>2026-07-25T02:30:15.664226Z</t>
        </is>
      </c>
      <c r="AE10" s="31" t="inlineStr">
        <is>
          <t>BACKFILL 2026-07-24: Learned LR call at threshold 0.5750; executable ask 0.5450 (aec-mlb-atl-bal-2026-07-24); reconstructed using the freshest pregame BBO snapshot for this game after the original run silently lost this pick to a same-day re-forecast bug.</t>
        </is>
      </c>
      <c r="AF10" s="31" t="inlineStr">
        <is>
          <t>Backfilled after original pick lost to _clear_today_open bug (fixed 2026-07-25); reconstructed from genuinely pregame data.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NO_CALL_LOW_EDGE</t>
        </is>
      </c>
      <c r="AP10" s="24" t="inlineStr">
        <is>
          <t>mlb-atl</t>
        </is>
      </c>
      <c r="AQ10" s="24" t="inlineStr">
        <is>
          <t>Atlanta Braves</t>
        </is>
      </c>
      <c r="AR10" s="24" t="inlineStr">
        <is>
          <t>Atlanta Braves</t>
        </is>
      </c>
      <c r="AS10" s="24" t="inlineStr">
        <is>
          <t>mlb-bal</t>
        </is>
      </c>
      <c r="AT10" s="24" t="inlineStr">
        <is>
          <t>Baltimore Orioles</t>
        </is>
      </c>
      <c r="AU10" s="24" t="inlineStr">
        <is>
          <t>Baltimore Orioles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8a12d027cf1d2c206cb369c47da80e014f8ac4dfc414ffee96ae34656c46fef5</t>
        </is>
      </c>
      <c r="BB10" s="24" t="inlineStr">
        <is>
          <t>learned_lr</t>
        </is>
      </c>
      <c r="BC10" s="24" t="inlineStr">
        <is>
          <t>mlb-elo-trend-lr-v5</t>
        </is>
      </c>
      <c r="BD10" s="24" t="inlineStr">
        <is>
          <t>8a12d027cf1d2c206cb369c47da80e014f8ac4dfc414ffee96ae34656c46fef5</t>
        </is>
      </c>
      <c r="BE10" s="24" t="inlineStr">
        <is>
          <t>a5f9881fb87c075d</t>
        </is>
      </c>
      <c r="BF10" s="24" t="inlineStr">
        <is>
          <t>1</t>
        </is>
      </c>
      <c r="BG10" s="24" t="inlineStr">
        <is>
          <t>mlb-elo-trend-lr-v5</t>
        </is>
      </c>
      <c r="BH10" s="24" t="inlineStr">
        <is>
          <t>2026-07-24T21:17:09.220873Z</t>
        </is>
      </c>
      <c r="BI10" s="24" t="inlineStr">
        <is>
          <t>["same_event","same_team_same_day","same_league_same_day"]</t>
        </is>
      </c>
      <c r="BJ10" s="25" t="n"/>
      <c r="BK10" s="26" t="n">
        <v>-120</v>
      </c>
      <c r="BL10" s="27" t="n">
        <v>1.833333</v>
      </c>
      <c r="BM10" s="28" t="n">
        <v>0.545455</v>
      </c>
      <c r="BN10" s="28" t="n">
        <v>0.542289</v>
      </c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</row>
    <row r="11" ht="36" customHeight="1">
      <c r="A11" s="24" t="inlineStr">
        <is>
          <t>867d0bce63d8492a</t>
        </is>
      </c>
      <c r="B11" s="24" t="inlineStr">
        <is>
          <t>2026-07-24T23:09:00Z</t>
        </is>
      </c>
      <c r="C11" s="24" t="inlineStr">
        <is>
          <t>2026-07-24T19:10:00-0400</t>
        </is>
      </c>
      <c r="D11" s="24" t="inlineStr">
        <is>
          <t>401816238</t>
        </is>
      </c>
      <c r="E11" s="24" t="inlineStr">
        <is>
          <t>MLB</t>
        </is>
      </c>
      <c r="F11" s="24" t="inlineStr">
        <is>
          <t>Cleveland Guardians</t>
        </is>
      </c>
      <c r="G11" s="24" t="inlineStr">
        <is>
          <t>Tampa Bay Rays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-125</v>
      </c>
      <c r="M11" s="27" t="n">
        <v>1.8</v>
      </c>
      <c r="N11" s="28" t="n">
        <v>0.555556</v>
      </c>
      <c r="O11" s="28" t="n">
        <v>0.54098</v>
      </c>
      <c r="P11" s="28" t="n"/>
      <c r="Q11" s="28" t="n">
        <v>-0.014576</v>
      </c>
      <c r="R11" s="26" t="n">
        <v>13</v>
      </c>
      <c r="S11" s="29" t="n">
        <v>1</v>
      </c>
      <c r="T11" s="24" t="inlineStr">
        <is>
          <t>mlb-elo-trend-lr-v5</t>
        </is>
      </c>
      <c r="U11" s="24" t="inlineStr">
        <is>
          <t>settled</t>
        </is>
      </c>
      <c r="V11" s="24" t="inlineStr">
        <is>
          <t>win</t>
        </is>
      </c>
      <c r="W11" s="26" t="n">
        <v>3</v>
      </c>
      <c r="X11" s="26" t="n">
        <v>11</v>
      </c>
      <c r="Y11" s="25" t="n"/>
      <c r="Z11" s="26" t="n"/>
      <c r="AA11" s="28" t="n"/>
      <c r="AB11" s="28" t="n"/>
      <c r="AC11" s="30" t="n">
        <v>0.8</v>
      </c>
      <c r="AD11" s="24" t="inlineStr">
        <is>
          <t>2026-07-25T02:30:16.385533Z</t>
        </is>
      </c>
      <c r="AE11" s="31" t="inlineStr">
        <is>
          <t>BACKFILL 2026-07-24: Learned LR call at threshold 0.5750; executable ask 0.5550 (aec-mlb-cle-tb-2026-07-24); reconstructed using the freshest pregame BBO snapshot for this game after the original run silently lost this pick to a same-day re-forecast bug.</t>
        </is>
      </c>
      <c r="AF11" s="31" t="inlineStr">
        <is>
          <t>Backfilled after original pick lost to _clear_today_open bug (fixed 2026-07-25); reconstructed from genuinely pregame data.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NO_CALL_LOW_EDGE</t>
        </is>
      </c>
      <c r="AP11" s="24" t="inlineStr">
        <is>
          <t>mlb-cle</t>
        </is>
      </c>
      <c r="AQ11" s="24" t="inlineStr">
        <is>
          <t>Cleveland Guardians</t>
        </is>
      </c>
      <c r="AR11" s="24" t="inlineStr">
        <is>
          <t>Cleveland Guardians</t>
        </is>
      </c>
      <c r="AS11" s="24" t="inlineStr">
        <is>
          <t>mlb-tb</t>
        </is>
      </c>
      <c r="AT11" s="24" t="inlineStr">
        <is>
          <t>Tampa Bay Rays</t>
        </is>
      </c>
      <c r="AU11" s="24" t="inlineStr">
        <is>
          <t>Tampa Bay Rays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8a12d027cf1d2c206cb369c47da80e014f8ac4dfc414ffee96ae34656c46fef5</t>
        </is>
      </c>
      <c r="BB11" s="24" t="inlineStr">
        <is>
          <t>learned_lr</t>
        </is>
      </c>
      <c r="BC11" s="24" t="inlineStr">
        <is>
          <t>mlb-elo-trend-lr-v5</t>
        </is>
      </c>
      <c r="BD11" s="24" t="inlineStr">
        <is>
          <t>8a12d027cf1d2c206cb369c47da80e014f8ac4dfc414ffee96ae34656c46fef5</t>
        </is>
      </c>
      <c r="BE11" s="24" t="inlineStr">
        <is>
          <t>f67aa7bad2ac360f</t>
        </is>
      </c>
      <c r="BF11" s="24" t="inlineStr">
        <is>
          <t>1</t>
        </is>
      </c>
      <c r="BG11" s="24" t="inlineStr">
        <is>
          <t>mlb-elo-trend-lr-v5</t>
        </is>
      </c>
      <c r="BH11" s="24" t="inlineStr">
        <is>
          <t>2026-07-24T21:17:10.317059Z</t>
        </is>
      </c>
      <c r="BI11" s="24" t="inlineStr">
        <is>
          <t>["same_event","same_team_same_day","same_league_same_day"]</t>
        </is>
      </c>
      <c r="BJ11" s="25" t="n"/>
      <c r="BK11" s="26" t="n">
        <v>-125</v>
      </c>
      <c r="BL11" s="27" t="n">
        <v>1.8</v>
      </c>
      <c r="BM11" s="28" t="n">
        <v>0.555556</v>
      </c>
      <c r="BN11" s="28" t="n">
        <v>0.552239</v>
      </c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</row>
    <row r="12" ht="36" customHeight="1">
      <c r="A12" s="24" t="inlineStr">
        <is>
          <t>ef95cb8f980f4060</t>
        </is>
      </c>
      <c r="B12" s="24" t="inlineStr">
        <is>
          <t>2026-07-24T23:09:00Z</t>
        </is>
      </c>
      <c r="C12" s="24" t="inlineStr">
        <is>
          <t>2026-07-24T19:10:00-0400</t>
        </is>
      </c>
      <c r="D12" s="24" t="inlineStr">
        <is>
          <t>401816240</t>
        </is>
      </c>
      <c r="E12" s="24" t="inlineStr">
        <is>
          <t>MLB</t>
        </is>
      </c>
      <c r="F12" s="24" t="inlineStr">
        <is>
          <t>Los Angeles Dodgers</t>
        </is>
      </c>
      <c r="G12" s="24" t="inlineStr">
        <is>
          <t>New York Mets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-120</v>
      </c>
      <c r="M12" s="27" t="n">
        <v>1.833333</v>
      </c>
      <c r="N12" s="28" t="n">
        <v>0.545455</v>
      </c>
      <c r="O12" s="28" t="n">
        <v>0.559795</v>
      </c>
      <c r="P12" s="28" t="n"/>
      <c r="Q12" s="28" t="n">
        <v>0.01434</v>
      </c>
      <c r="R12" s="26" t="n">
        <v>27</v>
      </c>
      <c r="S12" s="29" t="n">
        <v>1</v>
      </c>
      <c r="T12" s="24" t="inlineStr">
        <is>
          <t>mlb-elo-trend-lr-v5</t>
        </is>
      </c>
      <c r="U12" s="24" t="inlineStr">
        <is>
          <t>settled</t>
        </is>
      </c>
      <c r="V12" s="24" t="inlineStr">
        <is>
          <t>win</t>
        </is>
      </c>
      <c r="W12" s="26" t="n">
        <v>4</v>
      </c>
      <c r="X12" s="26" t="n">
        <v>2</v>
      </c>
      <c r="Y12" s="25" t="n"/>
      <c r="Z12" s="26" t="n"/>
      <c r="AA12" s="28" t="n"/>
      <c r="AB12" s="28" t="n"/>
      <c r="AC12" s="30" t="n">
        <v>0.8333</v>
      </c>
      <c r="AD12" s="24" t="inlineStr">
        <is>
          <t>2026-07-25T02:30:17.028474Z</t>
        </is>
      </c>
      <c r="AE12" s="31" t="inlineStr">
        <is>
          <t>BACKFILL 2026-07-24: Learned LR call at threshold 0.5750; executable ask 0.5450 (aec-mlb-lad-nym-2026-07-24); reconstructed using the freshest pregame BBO snapshot for this game after the original run silently lost this pick to a same-day re-forecast bug.</t>
        </is>
      </c>
      <c r="AF12" s="31" t="inlineStr">
        <is>
          <t>Backfilled after original pick lost to _clear_today_open bug (fixed 2026-07-25); reconstructed from genuinely pregame data.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NO_CALL_LOW_EDGE</t>
        </is>
      </c>
      <c r="AP12" s="24" t="inlineStr">
        <is>
          <t>mlb-lad</t>
        </is>
      </c>
      <c r="AQ12" s="24" t="inlineStr">
        <is>
          <t>Los Angeles Dodgers</t>
        </is>
      </c>
      <c r="AR12" s="24" t="inlineStr">
        <is>
          <t>Los Angeles Dodgers</t>
        </is>
      </c>
      <c r="AS12" s="24" t="inlineStr">
        <is>
          <t>mlb-nym</t>
        </is>
      </c>
      <c r="AT12" s="24" t="inlineStr">
        <is>
          <t>New York Mets</t>
        </is>
      </c>
      <c r="AU12" s="24" t="inlineStr">
        <is>
          <t>New York Mets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8a12d027cf1d2c206cb369c47da80e014f8ac4dfc414ffee96ae34656c46fef5</t>
        </is>
      </c>
      <c r="BB12" s="24" t="inlineStr">
        <is>
          <t>learned_lr</t>
        </is>
      </c>
      <c r="BC12" s="24" t="inlineStr">
        <is>
          <t>mlb-elo-trend-lr-v5</t>
        </is>
      </c>
      <c r="BD12" s="24" t="inlineStr">
        <is>
          <t>8a12d027cf1d2c206cb369c47da80e014f8ac4dfc414ffee96ae34656c46fef5</t>
        </is>
      </c>
      <c r="BE12" s="24" t="inlineStr">
        <is>
          <t>c9beddb401e3a3c8</t>
        </is>
      </c>
      <c r="BF12" s="24" t="inlineStr">
        <is>
          <t>1</t>
        </is>
      </c>
      <c r="BG12" s="24" t="inlineStr">
        <is>
          <t>mlb-elo-trend-lr-v5</t>
        </is>
      </c>
      <c r="BH12" s="24" t="inlineStr">
        <is>
          <t>2026-07-24T21:17:12.657758Z</t>
        </is>
      </c>
      <c r="BI12" s="24" t="inlineStr">
        <is>
          <t>["same_event","same_team_same_day","same_league_same_day"]</t>
        </is>
      </c>
      <c r="BJ12" s="25" t="n"/>
      <c r="BK12" s="26" t="n">
        <v>-120</v>
      </c>
      <c r="BL12" s="27" t="n">
        <v>1.833333</v>
      </c>
      <c r="BM12" s="28" t="n">
        <v>0.545455</v>
      </c>
      <c r="BN12" s="28" t="n">
        <v>0.542289</v>
      </c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</row>
    <row r="13" ht="36" customHeight="1">
      <c r="A13" s="24" t="inlineStr">
        <is>
          <t>81f45c800d6a4394</t>
        </is>
      </c>
      <c r="B13" s="24" t="inlineStr">
        <is>
          <t>2026-07-24T23:09:00Z</t>
        </is>
      </c>
      <c r="C13" s="24" t="inlineStr">
        <is>
          <t>2026-07-24T19:10:00-0400</t>
        </is>
      </c>
      <c r="D13" s="24" t="inlineStr">
        <is>
          <t>401816242</t>
        </is>
      </c>
      <c r="E13" s="24" t="inlineStr">
        <is>
          <t>MLB</t>
        </is>
      </c>
      <c r="F13" s="24" t="inlineStr">
        <is>
          <t>San Diego Padres</t>
        </is>
      </c>
      <c r="G13" s="24" t="inlineStr">
        <is>
          <t>Miami Marlins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-120</v>
      </c>
      <c r="M13" s="27" t="n">
        <v>1.833333</v>
      </c>
      <c r="N13" s="28" t="n">
        <v>0.545455</v>
      </c>
      <c r="O13" s="28" t="n">
        <v>0.587495</v>
      </c>
      <c r="P13" s="28" t="n"/>
      <c r="Q13" s="28" t="n">
        <v>0.04204</v>
      </c>
      <c r="R13" s="26" t="n">
        <v>41</v>
      </c>
      <c r="S13" s="29" t="n">
        <v>1.25</v>
      </c>
      <c r="T13" s="24" t="inlineStr">
        <is>
          <t>mlb-elo-trend-lr-v5</t>
        </is>
      </c>
      <c r="U13" s="24" t="inlineStr">
        <is>
          <t>settled</t>
        </is>
      </c>
      <c r="V13" s="24" t="inlineStr">
        <is>
          <t>loss</t>
        </is>
      </c>
      <c r="W13" s="26" t="n">
        <v>4</v>
      </c>
      <c r="X13" s="26" t="n">
        <v>2</v>
      </c>
      <c r="Y13" s="25" t="n"/>
      <c r="Z13" s="26" t="n"/>
      <c r="AA13" s="28" t="n"/>
      <c r="AB13" s="28" t="n"/>
      <c r="AC13" s="30" t="n">
        <v>-1.25</v>
      </c>
      <c r="AD13" s="24" t="inlineStr">
        <is>
          <t>2026-07-25T02:30:17.679795Z</t>
        </is>
      </c>
      <c r="AE13" s="31" t="inlineStr">
        <is>
          <t>BACKFILL 2026-07-24: Learned LR call at threshold 0.5750; executable ask 0.5450 (aec-mlb-sd-mia-2026-07-24); reconstructed using the freshest pregame BBO snapshot for this game after the original run silently lost this pick to a same-day re-forecast bug.</t>
        </is>
      </c>
      <c r="AF13" s="31" t="inlineStr">
        <is>
          <t>Backfilled after original pick lost to _clear_today_open bug (fixed 2026-07-25); reconstructed from genuinely pregame data.</t>
        </is>
      </c>
      <c r="AG13" s="24" t="inlineStr">
        <is>
          <t>review_required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NO_CALL_LOW_EDGE</t>
        </is>
      </c>
      <c r="AP13" s="24" t="inlineStr">
        <is>
          <t>mlb-sd</t>
        </is>
      </c>
      <c r="AQ13" s="24" t="inlineStr">
        <is>
          <t>San Diego Padres</t>
        </is>
      </c>
      <c r="AR13" s="24" t="inlineStr">
        <is>
          <t>San Diego Padres</t>
        </is>
      </c>
      <c r="AS13" s="24" t="inlineStr">
        <is>
          <t>mlb-mia</t>
        </is>
      </c>
      <c r="AT13" s="24" t="inlineStr">
        <is>
          <t>Miami Marlins</t>
        </is>
      </c>
      <c r="AU13" s="24" t="inlineStr">
        <is>
          <t>Miami Marlins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8a12d027cf1d2c206cb369c47da80e014f8ac4dfc414ffee96ae34656c46fef5</t>
        </is>
      </c>
      <c r="BB13" s="24" t="inlineStr">
        <is>
          <t>learned_lr</t>
        </is>
      </c>
      <c r="BC13" s="24" t="inlineStr">
        <is>
          <t>mlb-elo-trend-lr-v5</t>
        </is>
      </c>
      <c r="BD13" s="24" t="inlineStr">
        <is>
          <t>8a12d027cf1d2c206cb369c47da80e014f8ac4dfc414ffee96ae34656c46fef5</t>
        </is>
      </c>
      <c r="BE13" s="24" t="inlineStr">
        <is>
          <t>164667b7e69f3da0</t>
        </is>
      </c>
      <c r="BF13" s="24" t="inlineStr">
        <is>
          <t>1</t>
        </is>
      </c>
      <c r="BG13" s="24" t="inlineStr">
        <is>
          <t>mlb-elo-trend-lr-v5</t>
        </is>
      </c>
      <c r="BH13" s="24" t="inlineStr">
        <is>
          <t>2026-07-24T21:17:11.478643Z</t>
        </is>
      </c>
      <c r="BI13" s="24" t="inlineStr">
        <is>
          <t>["same_event","same_team_same_day","same_league_same_day"]</t>
        </is>
      </c>
      <c r="BJ13" s="25" t="n"/>
      <c r="BK13" s="26" t="n">
        <v>-120</v>
      </c>
      <c r="BL13" s="27" t="n">
        <v>1.833333</v>
      </c>
      <c r="BM13" s="28" t="n">
        <v>0.545455</v>
      </c>
      <c r="BN13" s="28" t="n">
        <v>0.542289</v>
      </c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</row>
    <row r="14" ht="36" customHeight="1">
      <c r="A14" s="24" t="inlineStr">
        <is>
          <t>aef09c18633a4ca6</t>
        </is>
      </c>
      <c r="B14" s="24" t="inlineStr">
        <is>
          <t>2026-07-24T23:14:00Z</t>
        </is>
      </c>
      <c r="C14" s="24" t="inlineStr">
        <is>
          <t>2026-07-24T19:15:00-0400</t>
        </is>
      </c>
      <c r="D14" s="24" t="inlineStr">
        <is>
          <t>401816243</t>
        </is>
      </c>
      <c r="E14" s="24" t="inlineStr">
        <is>
          <t>MLB</t>
        </is>
      </c>
      <c r="F14" s="24" t="inlineStr">
        <is>
          <t>Toronto Blue Jays</t>
        </is>
      </c>
      <c r="G14" s="24" t="inlineStr">
        <is>
          <t>Boston Red Sox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-117</v>
      </c>
      <c r="M14" s="27" t="n">
        <v>1.854701</v>
      </c>
      <c r="N14" s="28" t="n">
        <v>0.539171</v>
      </c>
      <c r="O14" s="28" t="n">
        <v>0.526052</v>
      </c>
      <c r="P14" s="28" t="n"/>
      <c r="Q14" s="28" t="n">
        <v>-0.013119</v>
      </c>
      <c r="R14" s="26" t="n">
        <v>13</v>
      </c>
      <c r="S14" s="29" t="n">
        <v>0.75</v>
      </c>
      <c r="T14" s="24" t="inlineStr">
        <is>
          <t>mlb-elo-trend-lr-v5</t>
        </is>
      </c>
      <c r="U14" s="24" t="inlineStr">
        <is>
          <t>settled</t>
        </is>
      </c>
      <c r="V14" s="24" t="inlineStr">
        <is>
          <t>win</t>
        </is>
      </c>
      <c r="W14" s="26" t="n">
        <v>4</v>
      </c>
      <c r="X14" s="26" t="n">
        <v>6</v>
      </c>
      <c r="Y14" s="25" t="n"/>
      <c r="Z14" s="26" t="n"/>
      <c r="AA14" s="28" t="n"/>
      <c r="AB14" s="28" t="n"/>
      <c r="AC14" s="30" t="n">
        <v>0.641</v>
      </c>
      <c r="AD14" s="24" t="inlineStr">
        <is>
          <t>2026-07-25T03:59:37.289075Z</t>
        </is>
      </c>
      <c r="AE14" s="31" t="inlineStr">
        <is>
          <t>BACKFILL 2026-07-24: Learned LR call at threshold 0.5750; executable ask 0.5400 (aec-mlb-tor-bos-2026-07-24); reconstructed using the freshest pregame BBO snapshot for this game after the original run silently lost this pick to a same-day re-forecast bug.</t>
        </is>
      </c>
      <c r="AF14" s="31" t="inlineStr">
        <is>
          <t>Backfilled after original pick lost to _clear_today_open bug (fixed 2026-07-25); reconstructed from genuinely pregame data.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NO_CALL_LOW_EDGE</t>
        </is>
      </c>
      <c r="AP14" s="24" t="inlineStr">
        <is>
          <t>mlb-tor</t>
        </is>
      </c>
      <c r="AQ14" s="24" t="inlineStr">
        <is>
          <t>Toronto Blue Jays</t>
        </is>
      </c>
      <c r="AR14" s="24" t="inlineStr">
        <is>
          <t>Toronto Blue Jays</t>
        </is>
      </c>
      <c r="AS14" s="24" t="inlineStr">
        <is>
          <t>mlb-bos</t>
        </is>
      </c>
      <c r="AT14" s="24" t="inlineStr">
        <is>
          <t>Boston Red Sox</t>
        </is>
      </c>
      <c r="AU14" s="24" t="inlineStr">
        <is>
          <t>Boston Red Sox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8a12d027cf1d2c206cb369c47da80e014f8ac4dfc414ffee96ae34656c46fef5</t>
        </is>
      </c>
      <c r="BB14" s="24" t="inlineStr">
        <is>
          <t>learned_lr</t>
        </is>
      </c>
      <c r="BC14" s="24" t="inlineStr">
        <is>
          <t>mlb-elo-trend-lr-v5</t>
        </is>
      </c>
      <c r="BD14" s="24" t="inlineStr">
        <is>
          <t>8a12d027cf1d2c206cb369c47da80e014f8ac4dfc414ffee96ae34656c46fef5</t>
        </is>
      </c>
      <c r="BE14" s="24" t="inlineStr">
        <is>
          <t>22fa7668b7708bf4</t>
        </is>
      </c>
      <c r="BF14" s="24" t="inlineStr">
        <is>
          <t>1</t>
        </is>
      </c>
      <c r="BG14" s="24" t="inlineStr">
        <is>
          <t>mlb-elo-trend-lr-v5</t>
        </is>
      </c>
      <c r="BH14" s="24" t="inlineStr">
        <is>
          <t>2026-07-24T21:17:13.845637Z</t>
        </is>
      </c>
      <c r="BI14" s="24" t="inlineStr">
        <is>
          <t>["same_event","same_team_same_day","same_league_same_day"]</t>
        </is>
      </c>
      <c r="BJ14" s="25" t="n"/>
      <c r="BK14" s="26" t="n">
        <v>-117</v>
      </c>
      <c r="BL14" s="27" t="n">
        <v>1.854701</v>
      </c>
      <c r="BM14" s="28" t="n">
        <v>0.539171</v>
      </c>
      <c r="BN14" s="28" t="n">
        <v>0.537313</v>
      </c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</row>
    <row r="15" ht="36" customHeight="1">
      <c r="A15" s="24" t="inlineStr">
        <is>
          <t>5ad194adcbfc486b</t>
        </is>
      </c>
      <c r="B15" s="24" t="inlineStr">
        <is>
          <t>2026-07-24T23:39:00Z</t>
        </is>
      </c>
      <c r="C15" s="24" t="inlineStr">
        <is>
          <t>2026-07-24T19:40:00-0400</t>
        </is>
      </c>
      <c r="D15" s="24" t="inlineStr">
        <is>
          <t>401816247</t>
        </is>
      </c>
      <c r="E15" s="24" t="inlineStr">
        <is>
          <t>MLB</t>
        </is>
      </c>
      <c r="F15" s="24" t="inlineStr">
        <is>
          <t>Houston Astros</t>
        </is>
      </c>
      <c r="G15" s="24" t="inlineStr">
        <is>
          <t>Chicago White Sox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-125</v>
      </c>
      <c r="M15" s="27" t="n">
        <v>1.8</v>
      </c>
      <c r="N15" s="28" t="n">
        <v>0.555556</v>
      </c>
      <c r="O15" s="28" t="n">
        <v>0.518176</v>
      </c>
      <c r="P15" s="28" t="n"/>
      <c r="Q15" s="28" t="n">
        <v>-0.03738</v>
      </c>
      <c r="R15" s="26" t="n">
        <v>1</v>
      </c>
      <c r="S15" s="29" t="n">
        <v>0.75</v>
      </c>
      <c r="T15" s="24" t="inlineStr">
        <is>
          <t>mlb-elo-trend-lr-v5</t>
        </is>
      </c>
      <c r="U15" s="24" t="inlineStr">
        <is>
          <t>settled</t>
        </is>
      </c>
      <c r="V15" s="24" t="inlineStr">
        <is>
          <t>loss</t>
        </is>
      </c>
      <c r="W15" s="26" t="n">
        <v>9</v>
      </c>
      <c r="X15" s="26" t="n">
        <v>5</v>
      </c>
      <c r="Y15" s="25" t="n"/>
      <c r="Z15" s="26" t="n"/>
      <c r="AA15" s="28" t="n"/>
      <c r="AB15" s="28" t="n"/>
      <c r="AC15" s="30" t="n">
        <v>-0.75</v>
      </c>
      <c r="AD15" s="24" t="inlineStr">
        <is>
          <t>2026-07-25T03:59:37.928484Z</t>
        </is>
      </c>
      <c r="AE15" s="31" t="inlineStr">
        <is>
          <t>BACKFILL 2026-07-24: Learned LR call at threshold 0.5750; executable ask 0.5550 (aec-mlb-hou-cws-2026-07-24); reconstructed using the freshest pregame BBO snapshot for this game after the original run silently lost this pick to a same-day re-forecast bug.</t>
        </is>
      </c>
      <c r="AF15" s="31" t="inlineStr">
        <is>
          <t>Backfilled after original pick lost to _clear_today_open bug (fixed 2026-07-25); reconstructed from genuinely pregame data.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NO_CALL_LOW_EDGE</t>
        </is>
      </c>
      <c r="AP15" s="24" t="inlineStr">
        <is>
          <t>mlb-hou</t>
        </is>
      </c>
      <c r="AQ15" s="24" t="inlineStr">
        <is>
          <t>Houston Astros</t>
        </is>
      </c>
      <c r="AR15" s="24" t="inlineStr">
        <is>
          <t>Houston Astros</t>
        </is>
      </c>
      <c r="AS15" s="24" t="inlineStr">
        <is>
          <t>mlb-cws</t>
        </is>
      </c>
      <c r="AT15" s="24" t="inlineStr">
        <is>
          <t>Chicago White Sox</t>
        </is>
      </c>
      <c r="AU15" s="24" t="inlineStr">
        <is>
          <t>Chicago White Sox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8a12d027cf1d2c206cb369c47da80e014f8ac4dfc414ffee96ae34656c46fef5</t>
        </is>
      </c>
      <c r="BB15" s="24" t="inlineStr">
        <is>
          <t>learned_lr</t>
        </is>
      </c>
      <c r="BC15" s="24" t="inlineStr">
        <is>
          <t>mlb-elo-trend-lr-v5</t>
        </is>
      </c>
      <c r="BD15" s="24" t="inlineStr">
        <is>
          <t>8a12d027cf1d2c206cb369c47da80e014f8ac4dfc414ffee96ae34656c46fef5</t>
        </is>
      </c>
      <c r="BE15" s="24" t="inlineStr">
        <is>
          <t>c43993ddeb53c7fe</t>
        </is>
      </c>
      <c r="BF15" s="24" t="inlineStr">
        <is>
          <t>1</t>
        </is>
      </c>
      <c r="BG15" s="24" t="inlineStr">
        <is>
          <t>mlb-elo-trend-lr-v5</t>
        </is>
      </c>
      <c r="BH15" s="24" t="inlineStr">
        <is>
          <t>2026-07-24T21:17:14.907859Z</t>
        </is>
      </c>
      <c r="BI15" s="24" t="inlineStr">
        <is>
          <t>["same_event","same_team_same_day","same_league_same_day"]</t>
        </is>
      </c>
      <c r="BJ15" s="25" t="n"/>
      <c r="BK15" s="26" t="n">
        <v>-125</v>
      </c>
      <c r="BL15" s="27" t="n">
        <v>1.8</v>
      </c>
      <c r="BM15" s="28" t="n">
        <v>0.555556</v>
      </c>
      <c r="BN15" s="28" t="n">
        <v>0.552239</v>
      </c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</row>
    <row r="16" ht="36" customHeight="1">
      <c r="A16" s="24" t="inlineStr">
        <is>
          <t>0eb85ee568904626</t>
        </is>
      </c>
      <c r="B16" s="24" t="inlineStr">
        <is>
          <t>2026-07-25T02:14:00Z</t>
        </is>
      </c>
      <c r="C16" s="24" t="inlineStr">
        <is>
          <t>2026-07-24T22:15:00-0400</t>
        </is>
      </c>
      <c r="D16" s="24" t="inlineStr">
        <is>
          <t>401816249</t>
        </is>
      </c>
      <c r="E16" s="24" t="inlineStr">
        <is>
          <t>MLB</t>
        </is>
      </c>
      <c r="F16" s="24" t="inlineStr">
        <is>
          <t>Los Angeles Angels</t>
        </is>
      </c>
      <c r="G16" s="24" t="inlineStr">
        <is>
          <t>San Francisco Giants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-147</v>
      </c>
      <c r="M16" s="27" t="n">
        <v>1.680272</v>
      </c>
      <c r="N16" s="28" t="n">
        <v>0.5951419999999999</v>
      </c>
      <c r="O16" s="28" t="n">
        <v>0.572973</v>
      </c>
      <c r="P16" s="28" t="n"/>
      <c r="Q16" s="28" t="n">
        <v>-0.022169</v>
      </c>
      <c r="R16" s="26" t="n">
        <v>9</v>
      </c>
      <c r="S16" s="29" t="n">
        <v>1.25</v>
      </c>
      <c r="T16" s="24" t="inlineStr">
        <is>
          <t>mlb-elo-trend-lr-v5</t>
        </is>
      </c>
      <c r="U16" s="24" t="inlineStr">
        <is>
          <t>settled</t>
        </is>
      </c>
      <c r="V16" s="24" t="inlineStr">
        <is>
          <t>win</t>
        </is>
      </c>
      <c r="W16" s="26" t="n">
        <v>6</v>
      </c>
      <c r="X16" s="26" t="n">
        <v>7</v>
      </c>
      <c r="Y16" s="25" t="n"/>
      <c r="Z16" s="26" t="n"/>
      <c r="AA16" s="28" t="n"/>
      <c r="AB16" s="28" t="n"/>
      <c r="AC16" s="30" t="n">
        <v>0.8502999999999999</v>
      </c>
      <c r="AD16" s="24" t="inlineStr">
        <is>
          <t>2026-07-25T15:25:20.955748Z</t>
        </is>
      </c>
      <c r="AE16" s="31" t="inlineStr">
        <is>
          <t>BACKFILL 2026-07-24: Learned LR call at threshold 0.5750; executable ask 0.5950 (aec-mlb-laa-sf-2026-07-24); reconstructed after a same-day re-forecast run (predating the _clear_today_open fix) cleared this pick and never recreated it.</t>
        </is>
      </c>
      <c r="AF16" s="31" t="inlineStr">
        <is>
          <t>Backfilled after original pick lost to _clear_today_open bug (fixed 2026-07-25); reconstructed from genuinely pregame data.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NO_CALL_LOW_EDGE</t>
        </is>
      </c>
      <c r="AP16" s="24" t="inlineStr">
        <is>
          <t>mlb-laa</t>
        </is>
      </c>
      <c r="AQ16" s="24" t="inlineStr">
        <is>
          <t>Los Angeles Angels</t>
        </is>
      </c>
      <c r="AR16" s="24" t="inlineStr">
        <is>
          <t>Los Angeles Angels</t>
        </is>
      </c>
      <c r="AS16" s="24" t="inlineStr">
        <is>
          <t>mlb-sf</t>
        </is>
      </c>
      <c r="AT16" s="24" t="inlineStr">
        <is>
          <t>San Francisco Giants</t>
        </is>
      </c>
      <c r="AU16" s="24" t="inlineStr">
        <is>
          <t>San Francisco Giants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8a12d027cf1d2c206cb369c47da80e014f8ac4dfc414ffee96ae34656c46fef5</t>
        </is>
      </c>
      <c r="BB16" s="24" t="inlineStr">
        <is>
          <t>learned_lr</t>
        </is>
      </c>
      <c r="BC16" s="24" t="inlineStr">
        <is>
          <t>mlb-elo-trend-lr-v5</t>
        </is>
      </c>
      <c r="BD16" s="24" t="inlineStr">
        <is>
          <t>8a12d027cf1d2c206cb369c47da80e014f8ac4dfc414ffee96ae34656c46fef5</t>
        </is>
      </c>
      <c r="BE16" s="24" t="inlineStr">
        <is>
          <t>9072ba031ec06338</t>
        </is>
      </c>
      <c r="BF16" s="24" t="inlineStr">
        <is>
          <t>1</t>
        </is>
      </c>
      <c r="BG16" s="24" t="inlineStr">
        <is>
          <t>mlb-elo-trend-lr-v5</t>
        </is>
      </c>
      <c r="BH16" s="24" t="inlineStr">
        <is>
          <t>2026-07-25T00:28:44.645802Z</t>
        </is>
      </c>
      <c r="BI16" s="24" t="inlineStr">
        <is>
          <t>["same_event","same_team_same_day","same_league_same_day"]</t>
        </is>
      </c>
      <c r="BJ16" s="25" t="n"/>
      <c r="BK16" s="26" t="n">
        <v>-147</v>
      </c>
      <c r="BL16" s="27" t="n">
        <v>1.680272</v>
      </c>
      <c r="BM16" s="28" t="n">
        <v>0.5951419999999999</v>
      </c>
      <c r="BN16" s="28" t="n">
        <v>0.59204</v>
      </c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</row>
    <row r="17" ht="36" customHeight="1">
      <c r="A17" s="24" t="inlineStr">
        <is>
          <t>fad53380a628400a</t>
        </is>
      </c>
      <c r="B17" s="24" t="inlineStr">
        <is>
          <t>2026-07-25T16:13:14.594087Z</t>
        </is>
      </c>
      <c r="C17" s="24" t="inlineStr">
        <is>
          <t>2026-07-25T13:10:00-0400</t>
        </is>
      </c>
      <c r="D17" s="24" t="inlineStr">
        <is>
          <t>401816254</t>
        </is>
      </c>
      <c r="E17" s="24" t="inlineStr">
        <is>
          <t>MLB</t>
        </is>
      </c>
      <c r="F17" s="24" t="inlineStr">
        <is>
          <t>Kansas City Royals</t>
        </is>
      </c>
      <c r="G17" s="24" t="inlineStr">
        <is>
          <t>Detroit Tigers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-153</v>
      </c>
      <c r="M17" s="27" t="n">
        <v>1.653595</v>
      </c>
      <c r="N17" s="28" t="n">
        <v>0.604743</v>
      </c>
      <c r="O17" s="28" t="n">
        <v>0.591131</v>
      </c>
      <c r="P17" s="28" t="n"/>
      <c r="Q17" s="28" t="n">
        <v>-0.013612</v>
      </c>
      <c r="R17" s="26" t="n">
        <v>13</v>
      </c>
      <c r="S17" s="29" t="n">
        <v>1.5</v>
      </c>
      <c r="T17" s="24" t="inlineStr">
        <is>
          <t>mlb-elo-trend-lr-v6</t>
        </is>
      </c>
      <c r="U17" s="24" t="inlineStr">
        <is>
          <t>settled</t>
        </is>
      </c>
      <c r="V17" s="24" t="inlineStr">
        <is>
          <t>loss</t>
        </is>
      </c>
      <c r="W17" s="26" t="n">
        <v>3</v>
      </c>
      <c r="X17" s="26" t="n">
        <v>2</v>
      </c>
      <c r="Y17" s="25" t="n"/>
      <c r="Z17" s="26" t="n"/>
      <c r="AA17" s="28" t="n"/>
      <c r="AB17" s="28" t="n"/>
      <c r="AC17" s="30" t="n">
        <v>-1.5</v>
      </c>
      <c r="AD17" s="24" t="inlineStr">
        <is>
          <t>2026-07-25T19:53:37.410703Z</t>
        </is>
      </c>
      <c r="AE17" s="31" t="inlineStr">
        <is>
          <t>Learned LR call at threshold 0.5690; executable ask 0.6050 (aec-mlb-kc-det-2026-07-25).</t>
        </is>
      </c>
      <c r="AF17" s="31" t="inlineStr">
        <is>
          <t>Learned model; promotion gate not yet open; zero-unit research until review.</t>
        </is>
      </c>
      <c r="AG17" s="24" t="inlineStr">
        <is>
          <t>review_required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NO_CALL_LOW_EDGE</t>
        </is>
      </c>
      <c r="AP17" s="24" t="inlineStr">
        <is>
          <t>mlb-kc</t>
        </is>
      </c>
      <c r="AQ17" s="24" t="inlineStr">
        <is>
          <t>Kansas City Royals</t>
        </is>
      </c>
      <c r="AR17" s="24" t="inlineStr">
        <is>
          <t>Kansas City Royals</t>
        </is>
      </c>
      <c r="AS17" s="24" t="inlineStr">
        <is>
          <t>mlb-det</t>
        </is>
      </c>
      <c r="AT17" s="24" t="inlineStr">
        <is>
          <t>Detroit Tigers</t>
        </is>
      </c>
      <c r="AU17" s="24" t="inlineStr">
        <is>
          <t>Detroit Tigers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10a412e78306d1f4d1a66590dd7cd2087ed53520bfa3bb925889a6371153732f</t>
        </is>
      </c>
      <c r="BB17" s="24" t="inlineStr">
        <is>
          <t>learned_lr</t>
        </is>
      </c>
      <c r="BC17" s="24" t="inlineStr">
        <is>
          <t>mlb-elo-trend-lr-v6</t>
        </is>
      </c>
      <c r="BD17" s="24" t="inlineStr">
        <is>
          <t>10a412e78306d1f4d1a66590dd7cd2087ed53520bfa3bb925889a6371153732f</t>
        </is>
      </c>
      <c r="BE17" s="24" t="inlineStr">
        <is>
          <t>d6d80db4c0064f65</t>
        </is>
      </c>
      <c r="BF17" s="24" t="inlineStr">
        <is>
          <t>1</t>
        </is>
      </c>
      <c r="BG17" s="24" t="inlineStr">
        <is>
          <t>mlb-elo-trend-lr-v6</t>
        </is>
      </c>
      <c r="BH17" s="24" t="inlineStr">
        <is>
          <t>2026-07-25T16:12:03.063110Z</t>
        </is>
      </c>
      <c r="BI17" s="24" t="inlineStr">
        <is>
          <t>["same_event","same_team_same_day","same_league_same_day"]</t>
        </is>
      </c>
      <c r="BJ17" s="25" t="n"/>
      <c r="BK17" s="26" t="n">
        <v>-153</v>
      </c>
      <c r="BL17" s="27" t="n">
        <v>1.653595</v>
      </c>
      <c r="BM17" s="28" t="n">
        <v>0.604743</v>
      </c>
      <c r="BN17" s="28" t="n">
        <v>0.60199</v>
      </c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inlineStr">
        <is>
          <t>0.6075687895</t>
        </is>
      </c>
      <c r="CD17" s="24" t="inlineStr">
        <is>
          <t>0.526674</t>
        </is>
      </c>
      <c r="CE17" s="24" t="inlineStr">
        <is>
          <t>0.98</t>
        </is>
      </c>
      <c r="CF17" s="24" t="n"/>
      <c r="CG17" s="24" t="n"/>
      <c r="CH17" s="24" t="inlineStr">
        <is>
          <t>-0.87</t>
        </is>
      </c>
      <c r="CI17" s="24" t="n"/>
      <c r="CJ17" s="24" t="n"/>
      <c r="CK17" s="24" t="n"/>
      <c r="CL17" s="24" t="n"/>
      <c r="CM17" s="24" t="n"/>
      <c r="CN17" s="24" t="n"/>
      <c r="CO17" s="24" t="n"/>
    </row>
    <row r="18" ht="36" customHeight="1">
      <c r="A18" s="24" t="inlineStr">
        <is>
          <t>d059b44efb704551</t>
        </is>
      </c>
      <c r="B18" s="24" t="inlineStr">
        <is>
          <t>2026-07-25T19:56:13.028676Z</t>
        </is>
      </c>
      <c r="C18" s="24" t="inlineStr">
        <is>
          <t>2026-07-25T16:05:00-0400</t>
        </is>
      </c>
      <c r="D18" s="24" t="inlineStr">
        <is>
          <t>401816250</t>
        </is>
      </c>
      <c r="E18" s="24" t="inlineStr">
        <is>
          <t>MLB</t>
        </is>
      </c>
      <c r="F18" s="24" t="inlineStr">
        <is>
          <t>Arizona Diamondbacks</t>
        </is>
      </c>
      <c r="G18" s="24" t="inlineStr">
        <is>
          <t>Washington Nationals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-127</v>
      </c>
      <c r="M18" s="27" t="n">
        <v>1.787402</v>
      </c>
      <c r="N18" s="28" t="n">
        <v>0.5594710000000001</v>
      </c>
      <c r="O18" s="28" t="n">
        <v>0.706759</v>
      </c>
      <c r="P18" s="28" t="n"/>
      <c r="Q18" s="28" t="n">
        <v>0.147288</v>
      </c>
      <c r="R18" s="26" t="n">
        <v>100</v>
      </c>
      <c r="S18" s="29" t="n">
        <v>2</v>
      </c>
      <c r="T18" s="24" t="inlineStr">
        <is>
          <t>mlb-elo-trend-lr-v6</t>
        </is>
      </c>
      <c r="U18" s="24" t="inlineStr">
        <is>
          <t>settled</t>
        </is>
      </c>
      <c r="V18" s="24" t="inlineStr">
        <is>
          <t>win</t>
        </is>
      </c>
      <c r="W18" s="26" t="n">
        <v>3</v>
      </c>
      <c r="X18" s="26" t="n">
        <v>5</v>
      </c>
      <c r="Y18" s="25" t="n"/>
      <c r="Z18" s="26" t="n"/>
      <c r="AA18" s="28" t="n"/>
      <c r="AB18" s="28" t="n"/>
      <c r="AC18" s="30" t="n">
        <v>1.5748</v>
      </c>
      <c r="AD18" s="24" t="inlineStr">
        <is>
          <t>2026-07-25T22:49:18.317906Z</t>
        </is>
      </c>
      <c r="AE18" s="31" t="inlineStr">
        <is>
          <t>Learned LR call at threshold 0.5690; executable ask 0.5600 (aec-mlb-az-wsh-2026-07-25).</t>
        </is>
      </c>
      <c r="AF18" s="31" t="inlineStr">
        <is>
          <t>Learned model; promotion gate not yet open; zero-unit research until review.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NO_CALL_LARGE_DISAGREEMENT_REVIEW</t>
        </is>
      </c>
      <c r="AP18" s="24" t="inlineStr">
        <is>
          <t>mlb-ari</t>
        </is>
      </c>
      <c r="AQ18" s="24" t="inlineStr">
        <is>
          <t>Arizona Diamondbacks</t>
        </is>
      </c>
      <c r="AR18" s="24" t="inlineStr">
        <is>
          <t>Arizona Diamondbacks</t>
        </is>
      </c>
      <c r="AS18" s="24" t="inlineStr">
        <is>
          <t>mlb-wsh</t>
        </is>
      </c>
      <c r="AT18" s="24" t="inlineStr">
        <is>
          <t>Washington Nationals</t>
        </is>
      </c>
      <c r="AU18" s="24" t="inlineStr">
        <is>
          <t>Washington Nationals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10a412e78306d1f4d1a66590dd7cd2087ed53520bfa3bb925889a6371153732f</t>
        </is>
      </c>
      <c r="BB18" s="24" t="inlineStr">
        <is>
          <t>learned_lr</t>
        </is>
      </c>
      <c r="BC18" s="24" t="inlineStr">
        <is>
          <t>mlb-elo-trend-lr-v6</t>
        </is>
      </c>
      <c r="BD18" s="24" t="inlineStr">
        <is>
          <t>10a412e78306d1f4d1a66590dd7cd2087ed53520bfa3bb925889a6371153732f</t>
        </is>
      </c>
      <c r="BE18" s="24" t="inlineStr">
        <is>
          <t>2fef0aa37610add0</t>
        </is>
      </c>
      <c r="BF18" s="24" t="inlineStr">
        <is>
          <t>1</t>
        </is>
      </c>
      <c r="BG18" s="24" t="inlineStr">
        <is>
          <t>mlb-elo-trend-lr-v6</t>
        </is>
      </c>
      <c r="BH18" s="24" t="inlineStr">
        <is>
          <t>2026-07-25T19:54:15.806472Z</t>
        </is>
      </c>
      <c r="BI18" s="24" t="inlineStr">
        <is>
          <t>["same_event","same_team_same_day","same_league_same_day"]</t>
        </is>
      </c>
      <c r="BJ18" s="25" t="n"/>
      <c r="BK18" s="26" t="n">
        <v>-127</v>
      </c>
      <c r="BL18" s="27" t="n">
        <v>1.787402</v>
      </c>
      <c r="BM18" s="28" t="n">
        <v>0.5594710000000001</v>
      </c>
      <c r="BN18" s="28" t="n">
        <v>0.557214</v>
      </c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inlineStr">
        <is>
          <t>0.4832709168</t>
        </is>
      </c>
      <c r="CD18" s="24" t="inlineStr">
        <is>
          <t>-1.557247</t>
        </is>
      </c>
      <c r="CE18" s="24" t="inlineStr">
        <is>
          <t>1.0</t>
        </is>
      </c>
      <c r="CF18" s="24" t="n"/>
      <c r="CG18" s="24" t="n"/>
      <c r="CH18" s="24" t="inlineStr">
        <is>
          <t>-2.38</t>
        </is>
      </c>
      <c r="CI18" s="24" t="n"/>
      <c r="CJ18" s="24" t="n"/>
      <c r="CK18" s="24" t="n"/>
      <c r="CL18" s="24" t="n"/>
      <c r="CM18" s="24" t="n"/>
      <c r="CN18" s="24" t="n"/>
      <c r="CO18" s="24" t="n"/>
    </row>
    <row r="19" ht="36" customHeight="1">
      <c r="A19" s="24" t="inlineStr">
        <is>
          <t>16bb720c3a8d423b</t>
        </is>
      </c>
      <c r="B19" s="24" t="inlineStr">
        <is>
          <t>2026-07-25T19:56:13.028676Z</t>
        </is>
      </c>
      <c r="C19" s="24" t="inlineStr">
        <is>
          <t>2026-07-25T16:05:00-0400</t>
        </is>
      </c>
      <c r="D19" s="24" t="inlineStr">
        <is>
          <t>401816264</t>
        </is>
      </c>
      <c r="E19" s="24" t="inlineStr">
        <is>
          <t>MLB</t>
        </is>
      </c>
      <c r="F19" s="24" t="inlineStr">
        <is>
          <t>Los Angeles Angels</t>
        </is>
      </c>
      <c r="G19" s="24" t="inlineStr">
        <is>
          <t>San Francisco Giants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-120</v>
      </c>
      <c r="M19" s="27" t="n">
        <v>1.833333</v>
      </c>
      <c r="N19" s="28" t="n">
        <v>0.545455</v>
      </c>
      <c r="O19" s="28" t="n">
        <v>0.707445</v>
      </c>
      <c r="P19" s="28" t="n"/>
      <c r="Q19" s="28" t="n">
        <v>0.16199</v>
      </c>
      <c r="R19" s="26" t="n">
        <v>100</v>
      </c>
      <c r="S19" s="29" t="n">
        <v>2</v>
      </c>
      <c r="T19" s="24" t="inlineStr">
        <is>
          <t>mlb-elo-trend-lr-v6</t>
        </is>
      </c>
      <c r="U19" s="24" t="inlineStr">
        <is>
          <t>settled</t>
        </is>
      </c>
      <c r="V19" s="24" t="inlineStr">
        <is>
          <t>win</t>
        </is>
      </c>
      <c r="W19" s="26" t="n">
        <v>2</v>
      </c>
      <c r="X19" s="26" t="n">
        <v>9</v>
      </c>
      <c r="Y19" s="25" t="n"/>
      <c r="Z19" s="26" t="n"/>
      <c r="AA19" s="28" t="n"/>
      <c r="AB19" s="28" t="n"/>
      <c r="AC19" s="30" t="n">
        <v>1.6667</v>
      </c>
      <c r="AD19" s="24" t="inlineStr">
        <is>
          <t>2026-07-25T22:49:18.692896Z</t>
        </is>
      </c>
      <c r="AE19" s="31" t="inlineStr">
        <is>
          <t>Learned LR call at threshold 0.5690; executable ask 0.5450 (aec-mlb-laa-sf-2026-07-25).</t>
        </is>
      </c>
      <c r="AF19" s="31" t="inlineStr">
        <is>
          <t>Learned model; promotion gate not yet open; zero-unit research until review.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NO_CALL_LARGE_DISAGREEMENT_REVIEW</t>
        </is>
      </c>
      <c r="AP19" s="24" t="inlineStr">
        <is>
          <t>mlb-laa</t>
        </is>
      </c>
      <c r="AQ19" s="24" t="inlineStr">
        <is>
          <t>Los Angeles Angels</t>
        </is>
      </c>
      <c r="AR19" s="24" t="inlineStr">
        <is>
          <t>Los Angeles Angels</t>
        </is>
      </c>
      <c r="AS19" s="24" t="inlineStr">
        <is>
          <t>mlb-sf</t>
        </is>
      </c>
      <c r="AT19" s="24" t="inlineStr">
        <is>
          <t>San Francisco Giants</t>
        </is>
      </c>
      <c r="AU19" s="24" t="inlineStr">
        <is>
          <t>San Francisco Giants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10a412e78306d1f4d1a66590dd7cd2087ed53520bfa3bb925889a6371153732f</t>
        </is>
      </c>
      <c r="BB19" s="24" t="inlineStr">
        <is>
          <t>learned_lr</t>
        </is>
      </c>
      <c r="BC19" s="24" t="inlineStr">
        <is>
          <t>mlb-elo-trend-lr-v6</t>
        </is>
      </c>
      <c r="BD19" s="24" t="inlineStr">
        <is>
          <t>10a412e78306d1f4d1a66590dd7cd2087ed53520bfa3bb925889a6371153732f</t>
        </is>
      </c>
      <c r="BE19" s="24" t="inlineStr">
        <is>
          <t>8863cc8ce5b40a1d</t>
        </is>
      </c>
      <c r="BF19" s="24" t="inlineStr">
        <is>
          <t>1</t>
        </is>
      </c>
      <c r="BG19" s="24" t="inlineStr">
        <is>
          <t>mlb-elo-trend-lr-v6</t>
        </is>
      </c>
      <c r="BH19" s="24" t="inlineStr">
        <is>
          <t>2026-07-25T19:54:17.248754Z</t>
        </is>
      </c>
      <c r="BI19" s="24" t="inlineStr">
        <is>
          <t>["same_event","same_team_same_day","same_league_same_day"]</t>
        </is>
      </c>
      <c r="BJ19" s="25" t="n"/>
      <c r="BK19" s="26" t="n">
        <v>-120</v>
      </c>
      <c r="BL19" s="27" t="n">
        <v>1.833333</v>
      </c>
      <c r="BM19" s="28" t="n">
        <v>0.545455</v>
      </c>
      <c r="BN19" s="28" t="n">
        <v>0.542289</v>
      </c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inlineStr">
        <is>
          <t>0.5910200645</t>
        </is>
      </c>
      <c r="CD19" s="24" t="inlineStr">
        <is>
          <t>1.053308</t>
        </is>
      </c>
      <c r="CE19" s="24" t="inlineStr">
        <is>
          <t>0.96</t>
        </is>
      </c>
      <c r="CF19" s="24" t="n"/>
      <c r="CG19" s="24" t="n"/>
      <c r="CH19" s="24" t="inlineStr">
        <is>
          <t>-2.77</t>
        </is>
      </c>
      <c r="CI19" s="24" t="n"/>
      <c r="CJ19" s="24" t="n"/>
      <c r="CK19" s="24" t="n"/>
      <c r="CL19" s="24" t="n"/>
      <c r="CM19" s="24" t="n"/>
      <c r="CN19" s="24" t="n"/>
      <c r="CO19" s="24" t="n"/>
    </row>
    <row r="20" ht="36" customHeight="1">
      <c r="A20" s="24" t="inlineStr">
        <is>
          <t>ef03a7424b8f44fb</t>
        </is>
      </c>
      <c r="B20" s="24" t="inlineStr">
        <is>
          <t>2026-07-25T19:56:13.028676Z</t>
        </is>
      </c>
      <c r="C20" s="24" t="inlineStr">
        <is>
          <t>2026-07-25T16:10:00-0400</t>
        </is>
      </c>
      <c r="D20" s="24" t="inlineStr">
        <is>
          <t>401816257</t>
        </is>
      </c>
      <c r="E20" s="24" t="inlineStr">
        <is>
          <t>MLB</t>
        </is>
      </c>
      <c r="F20" s="24" t="inlineStr">
        <is>
          <t>San Diego Padres</t>
        </is>
      </c>
      <c r="G20" s="24" t="inlineStr">
        <is>
          <t>Miami Marlins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-133</v>
      </c>
      <c r="M20" s="27" t="n">
        <v>1.75188</v>
      </c>
      <c r="N20" s="28" t="n">
        <v>0.570815</v>
      </c>
      <c r="O20" s="28" t="n">
        <v>0.6451710000000001</v>
      </c>
      <c r="P20" s="28" t="n"/>
      <c r="Q20" s="28" t="n">
        <v>0.07435600000000001</v>
      </c>
      <c r="R20" s="26" t="n">
        <v>57</v>
      </c>
      <c r="S20" s="29" t="n">
        <v>2</v>
      </c>
      <c r="T20" s="24" t="inlineStr">
        <is>
          <t>mlb-elo-trend-lr-v6</t>
        </is>
      </c>
      <c r="U20" s="24" t="inlineStr">
        <is>
          <t>settled</t>
        </is>
      </c>
      <c r="V20" s="24" t="inlineStr">
        <is>
          <t>loss</t>
        </is>
      </c>
      <c r="W20" s="26" t="n">
        <v>7</v>
      </c>
      <c r="X20" s="26" t="n">
        <v>2</v>
      </c>
      <c r="Y20" s="25" t="n"/>
      <c r="Z20" s="26" t="n"/>
      <c r="AA20" s="28" t="n"/>
      <c r="AB20" s="28" t="n"/>
      <c r="AC20" s="30" t="n">
        <v>-2</v>
      </c>
      <c r="AD20" s="24" t="inlineStr">
        <is>
          <t>2026-07-26T00:01:55.929982Z</t>
        </is>
      </c>
      <c r="AE20" s="31" t="inlineStr">
        <is>
          <t>Learned LR call at threshold 0.5690; executable ask 0.5700 (aec-mlb-sd-mia-2026-07-25).</t>
        </is>
      </c>
      <c r="AF20" s="31" t="inlineStr">
        <is>
          <t>Learned model; promotion gate not yet open; zero-unit research until review.</t>
        </is>
      </c>
      <c r="AG20" s="24" t="inlineStr">
        <is>
          <t>review_required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mlb-sd</t>
        </is>
      </c>
      <c r="AQ20" s="24" t="inlineStr">
        <is>
          <t>San Diego Padres</t>
        </is>
      </c>
      <c r="AR20" s="24" t="inlineStr">
        <is>
          <t>San Diego Padres</t>
        </is>
      </c>
      <c r="AS20" s="24" t="inlineStr">
        <is>
          <t>mlb-mia</t>
        </is>
      </c>
      <c r="AT20" s="24" t="inlineStr">
        <is>
          <t>Miami Marlins</t>
        </is>
      </c>
      <c r="AU20" s="24" t="inlineStr">
        <is>
          <t>Miami Marlins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10a412e78306d1f4d1a66590dd7cd2087ed53520bfa3bb925889a6371153732f</t>
        </is>
      </c>
      <c r="BB20" s="24" t="inlineStr">
        <is>
          <t>learned_lr</t>
        </is>
      </c>
      <c r="BC20" s="24" t="inlineStr">
        <is>
          <t>mlb-elo-trend-lr-v6</t>
        </is>
      </c>
      <c r="BD20" s="24" t="inlineStr">
        <is>
          <t>10a412e78306d1f4d1a66590dd7cd2087ed53520bfa3bb925889a6371153732f</t>
        </is>
      </c>
      <c r="BE20" s="24" t="inlineStr">
        <is>
          <t>bd6850e29eada6af</t>
        </is>
      </c>
      <c r="BF20" s="24" t="inlineStr">
        <is>
          <t>1</t>
        </is>
      </c>
      <c r="BG20" s="24" t="inlineStr">
        <is>
          <t>mlb-elo-trend-lr-v6</t>
        </is>
      </c>
      <c r="BH20" s="24" t="inlineStr">
        <is>
          <t>2026-07-25T19:54:18.355539Z</t>
        </is>
      </c>
      <c r="BI20" s="24" t="inlineStr">
        <is>
          <t>["same_event","same_team_same_day","same_league_same_day"]</t>
        </is>
      </c>
      <c r="BJ20" s="25" t="n"/>
      <c r="BK20" s="26" t="n">
        <v>-133</v>
      </c>
      <c r="BL20" s="27" t="n">
        <v>1.75188</v>
      </c>
      <c r="BM20" s="28" t="n">
        <v>0.570815</v>
      </c>
      <c r="BN20" s="28" t="n">
        <v>0.567164</v>
      </c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inlineStr">
        <is>
          <t>0.5121449899</t>
        </is>
      </c>
      <c r="CD20" s="24" t="inlineStr">
        <is>
          <t>-2.399361</t>
        </is>
      </c>
      <c r="CE20" s="24" t="inlineStr">
        <is>
          <t>0.99</t>
        </is>
      </c>
      <c r="CF20" s="24" t="n"/>
      <c r="CG20" s="24" t="n"/>
      <c r="CH20" s="24" t="inlineStr">
        <is>
          <t>-1.19</t>
        </is>
      </c>
      <c r="CI20" s="24" t="n"/>
      <c r="CJ20" s="24" t="n"/>
      <c r="CK20" s="24" t="n"/>
      <c r="CL20" s="24" t="n"/>
      <c r="CM20" s="24" t="n"/>
      <c r="CN20" s="24" t="n"/>
      <c r="CO20" s="24" t="n"/>
    </row>
    <row r="21" ht="36" customHeight="1">
      <c r="A21" s="24" t="inlineStr">
        <is>
          <t>8231c5ae11ed415d</t>
        </is>
      </c>
      <c r="B21" s="24" t="inlineStr">
        <is>
          <t>2026-07-25T19:56:13.028676Z</t>
        </is>
      </c>
      <c r="C21" s="24" t="inlineStr">
        <is>
          <t>2026-07-25T16:10:00-0400</t>
        </is>
      </c>
      <c r="D21" s="24" t="inlineStr">
        <is>
          <t>401816258</t>
        </is>
      </c>
      <c r="E21" s="24" t="inlineStr">
        <is>
          <t>MLB</t>
        </is>
      </c>
      <c r="F21" s="24" t="inlineStr">
        <is>
          <t>Toronto Blue Jays</t>
        </is>
      </c>
      <c r="G21" s="24" t="inlineStr">
        <is>
          <t>Boston Red Sox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-104</v>
      </c>
      <c r="M21" s="27" t="n">
        <v>1.961538</v>
      </c>
      <c r="N21" s="28" t="n">
        <v>0.509804</v>
      </c>
      <c r="O21" s="28" t="n">
        <v>0.527004</v>
      </c>
      <c r="P21" s="28" t="n"/>
      <c r="Q21" s="28" t="n">
        <v>0.0172</v>
      </c>
      <c r="R21" s="26" t="n">
        <v>59</v>
      </c>
      <c r="S21" s="29" t="n">
        <v>0.75</v>
      </c>
      <c r="T21" s="24" t="inlineStr">
        <is>
          <t>mlb-elo-trend-lr-v6</t>
        </is>
      </c>
      <c r="U21" s="24" t="inlineStr">
        <is>
          <t>settled</t>
        </is>
      </c>
      <c r="V21" s="24" t="inlineStr">
        <is>
          <t>loss</t>
        </is>
      </c>
      <c r="W21" s="26" t="n">
        <v>6</v>
      </c>
      <c r="X21" s="26" t="n">
        <v>0</v>
      </c>
      <c r="Y21" s="25" t="n"/>
      <c r="Z21" s="26" t="n"/>
      <c r="AA21" s="28" t="n"/>
      <c r="AB21" s="28" t="n"/>
      <c r="AC21" s="30" t="n">
        <v>-0.75</v>
      </c>
      <c r="AD21" s="24" t="inlineStr">
        <is>
          <t>2026-07-25T22:49:19.072311Z</t>
        </is>
      </c>
      <c r="AE21" s="31" t="inlineStr">
        <is>
          <t>Learned LR call at threshold 0.5690; executable ask 0.5100 (aec-mlb-tor-bos-2026-07-25).</t>
        </is>
      </c>
      <c r="AF21" s="31" t="inlineStr">
        <is>
          <t>Learned model; promotion gate not yet open; zero-unit research until review.</t>
        </is>
      </c>
      <c r="AG21" s="24" t="inlineStr">
        <is>
          <t>review_required</t>
        </is>
      </c>
      <c r="AH21" s="24" t="n"/>
      <c r="AI21" s="31" t="n"/>
      <c r="AJ21" s="31" t="n"/>
      <c r="AK21" s="24" t="inlineStr">
        <is>
          <t>research_observation</t>
        </is>
      </c>
      <c r="AL21" s="26" t="n">
        <v>3</v>
      </c>
      <c r="AM21" s="24" t="inlineStr">
        <is>
          <t>RESEARCH_OBSERVATION</t>
        </is>
      </c>
      <c r="AN21" s="24" t="inlineStr">
        <is>
          <t>NO_CALL</t>
        </is>
      </c>
      <c r="AO21" s="24" t="inlineStr">
        <is>
          <t>NO_CALL_LOW_EDGE</t>
        </is>
      </c>
      <c r="AP21" s="24" t="inlineStr">
        <is>
          <t>mlb-tor</t>
        </is>
      </c>
      <c r="AQ21" s="24" t="inlineStr">
        <is>
          <t>Toronto Blue Jays</t>
        </is>
      </c>
      <c r="AR21" s="24" t="inlineStr">
        <is>
          <t>Toronto Blue Jays</t>
        </is>
      </c>
      <c r="AS21" s="24" t="inlineStr">
        <is>
          <t>mlb-bos</t>
        </is>
      </c>
      <c r="AT21" s="24" t="inlineStr">
        <is>
          <t>Boston Red Sox</t>
        </is>
      </c>
      <c r="AU21" s="24" t="inlineStr">
        <is>
          <t>Boston Red Sox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10a412e78306d1f4d1a66590dd7cd2087ed53520bfa3bb925889a6371153732f</t>
        </is>
      </c>
      <c r="BB21" s="24" t="inlineStr">
        <is>
          <t>learned_lr</t>
        </is>
      </c>
      <c r="BC21" s="24" t="inlineStr">
        <is>
          <t>mlb-elo-trend-lr-v6</t>
        </is>
      </c>
      <c r="BD21" s="24" t="inlineStr">
        <is>
          <t>10a412e78306d1f4d1a66590dd7cd2087ed53520bfa3bb925889a6371153732f</t>
        </is>
      </c>
      <c r="BE21" s="24" t="inlineStr">
        <is>
          <t>c8001da872f8ea6d</t>
        </is>
      </c>
      <c r="BF21" s="24" t="inlineStr">
        <is>
          <t>1</t>
        </is>
      </c>
      <c r="BG21" s="24" t="inlineStr">
        <is>
          <t>mlb-elo-trend-lr-v6</t>
        </is>
      </c>
      <c r="BH21" s="24" t="inlineStr">
        <is>
          <t>2026-07-25T19:54:19.350997Z</t>
        </is>
      </c>
      <c r="BI21" s="24" t="inlineStr">
        <is>
          <t>["same_event","same_team_same_day","same_league_same_day"]</t>
        </is>
      </c>
      <c r="BJ21" s="25" t="n"/>
      <c r="BK21" s="26" t="n">
        <v>-104</v>
      </c>
      <c r="BL21" s="27" t="n">
        <v>1.961538</v>
      </c>
      <c r="BM21" s="28" t="n">
        <v>0.509804</v>
      </c>
      <c r="BN21" s="28" t="n">
        <v>0.507463</v>
      </c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inlineStr">
        <is>
          <t>0.6098870035</t>
        </is>
      </c>
      <c r="CD21" s="24" t="inlineStr">
        <is>
          <t>1.431426</t>
        </is>
      </c>
      <c r="CE21" s="24" t="inlineStr">
        <is>
          <t>1.04</t>
        </is>
      </c>
      <c r="CF21" s="24" t="n"/>
      <c r="CG21" s="24" t="n"/>
      <c r="CH21" s="24" t="inlineStr">
        <is>
          <t>-0.19</t>
        </is>
      </c>
      <c r="CI21" s="24" t="n"/>
      <c r="CJ21" s="24" t="n"/>
      <c r="CK21" s="24" t="n"/>
      <c r="CL21" s="24" t="n"/>
      <c r="CM21" s="24" t="n"/>
      <c r="CN21" s="24" t="n"/>
      <c r="CO21" s="24" t="n"/>
    </row>
    <row r="22" ht="36" customHeight="1">
      <c r="A22" s="24" t="inlineStr">
        <is>
          <t>cf69e63e9e83445a</t>
        </is>
      </c>
      <c r="B22" s="24" t="inlineStr">
        <is>
          <t>2026-07-25T19:56:13.028676Z</t>
        </is>
      </c>
      <c r="C22" s="24" t="inlineStr">
        <is>
          <t>2026-07-25T18:05:00-0400</t>
        </is>
      </c>
      <c r="D22" s="24" t="inlineStr">
        <is>
          <t>401816256</t>
        </is>
      </c>
      <c r="E22" s="24" t="inlineStr">
        <is>
          <t>MLB</t>
        </is>
      </c>
      <c r="F22" s="24" t="inlineStr">
        <is>
          <t>New York Yankees</t>
        </is>
      </c>
      <c r="G22" s="24" t="inlineStr">
        <is>
          <t>Philadelphia Phillies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113</v>
      </c>
      <c r="M22" s="27" t="n">
        <v>2.13</v>
      </c>
      <c r="N22" s="28" t="n">
        <v>0.469484</v>
      </c>
      <c r="O22" s="28" t="n">
        <v>0.546941</v>
      </c>
      <c r="P22" s="28" t="n"/>
      <c r="Q22" s="28" t="n">
        <v>0.077457</v>
      </c>
      <c r="R22" s="26" t="n">
        <v>89</v>
      </c>
      <c r="S22" s="29" t="n">
        <v>1</v>
      </c>
      <c r="T22" s="24" t="inlineStr">
        <is>
          <t>mlb-elo-trend-lr-v6</t>
        </is>
      </c>
      <c r="U22" s="24" t="inlineStr">
        <is>
          <t>settled</t>
        </is>
      </c>
      <c r="V22" s="24" t="inlineStr">
        <is>
          <t>loss</t>
        </is>
      </c>
      <c r="W22" s="26" t="n">
        <v>3</v>
      </c>
      <c r="X22" s="26" t="n">
        <v>1</v>
      </c>
      <c r="Y22" s="25" t="n"/>
      <c r="Z22" s="26" t="n"/>
      <c r="AA22" s="28" t="n"/>
      <c r="AB22" s="28" t="n"/>
      <c r="AC22" s="30" t="n">
        <v>-1</v>
      </c>
      <c r="AD22" s="24" t="inlineStr">
        <is>
          <t>2026-07-26T03:33:59.751925Z</t>
        </is>
      </c>
      <c r="AE22" s="31" t="inlineStr">
        <is>
          <t>Learned LR call at threshold 0.5690; executable ask 0.4700 (aec-mlb-nyy-phi-2026-07-25).</t>
        </is>
      </c>
      <c r="AF22" s="31" t="inlineStr">
        <is>
          <t>Learned model; promotion gate not yet open; zero-unit research until review.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research_observation</t>
        </is>
      </c>
      <c r="AL22" s="26" t="n">
        <v>3</v>
      </c>
      <c r="AM22" s="24" t="inlineStr">
        <is>
          <t>RESEARCH_OBSERVATION</t>
        </is>
      </c>
      <c r="AN22" s="24" t="inlineStr">
        <is>
          <t>NO_CALL</t>
        </is>
      </c>
      <c r="AO22" s="24" t="inlineStr">
        <is>
          <t>NO_CALL_EXPOSURE_LIMIT</t>
        </is>
      </c>
      <c r="AP22" s="24" t="inlineStr">
        <is>
          <t>mlb-nyy</t>
        </is>
      </c>
      <c r="AQ22" s="24" t="inlineStr">
        <is>
          <t>New York Yankees</t>
        </is>
      </c>
      <c r="AR22" s="24" t="inlineStr">
        <is>
          <t>New York Yankees</t>
        </is>
      </c>
      <c r="AS22" s="24" t="inlineStr">
        <is>
          <t>mlb-phi</t>
        </is>
      </c>
      <c r="AT22" s="24" t="inlineStr">
        <is>
          <t>Philadelphia Phillies</t>
        </is>
      </c>
      <c r="AU22" s="24" t="inlineStr">
        <is>
          <t>Philadelphia Phillies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10a412e78306d1f4d1a66590dd7cd2087ed53520bfa3bb925889a6371153732f</t>
        </is>
      </c>
      <c r="BB22" s="24" t="inlineStr">
        <is>
          <t>learned_lr</t>
        </is>
      </c>
      <c r="BC22" s="24" t="inlineStr">
        <is>
          <t>mlb-elo-trend-lr-v6</t>
        </is>
      </c>
      <c r="BD22" s="24" t="inlineStr">
        <is>
          <t>10a412e78306d1f4d1a66590dd7cd2087ed53520bfa3bb925889a6371153732f</t>
        </is>
      </c>
      <c r="BE22" s="24" t="inlineStr">
        <is>
          <t>aacee633ac56e853</t>
        </is>
      </c>
      <c r="BF22" s="24" t="inlineStr">
        <is>
          <t>1</t>
        </is>
      </c>
      <c r="BG22" s="24" t="inlineStr">
        <is>
          <t>mlb-elo-trend-lr-v6</t>
        </is>
      </c>
      <c r="BH22" s="24" t="inlineStr">
        <is>
          <t>2026-07-25T19:54:20.637652Z</t>
        </is>
      </c>
      <c r="BI22" s="24" t="inlineStr">
        <is>
          <t>["same_event","same_team_same_day","same_league_same_day"]</t>
        </is>
      </c>
      <c r="BJ22" s="25" t="n"/>
      <c r="BK22" s="26" t="n">
        <v>113</v>
      </c>
      <c r="BL22" s="27" t="n">
        <v>2.13</v>
      </c>
      <c r="BM22" s="28" t="n">
        <v>0.469484</v>
      </c>
      <c r="BN22" s="28" t="n">
        <v>0.467662</v>
      </c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inlineStr">
        <is>
          <t>0.5250194834</t>
        </is>
      </c>
      <c r="CD22" s="24" t="inlineStr">
        <is>
          <t>0.764165</t>
        </is>
      </c>
      <c r="CE22" s="24" t="inlineStr">
        <is>
          <t>1.01</t>
        </is>
      </c>
      <c r="CF22" s="24" t="n"/>
      <c r="CG22" s="24" t="n"/>
      <c r="CH22" s="24" t="inlineStr">
        <is>
          <t>-0.4</t>
        </is>
      </c>
      <c r="CI22" s="24" t="n"/>
      <c r="CJ22" s="24" t="n"/>
      <c r="CK22" s="24" t="n"/>
      <c r="CL22" s="24" t="n"/>
      <c r="CM22" s="24" t="n"/>
      <c r="CN22" s="24" t="n"/>
      <c r="CO22" s="24" t="n"/>
    </row>
    <row r="23" ht="36" customHeight="1">
      <c r="A23" s="24" t="inlineStr">
        <is>
          <t>ad9253f83d14463b</t>
        </is>
      </c>
      <c r="B23" s="24" t="inlineStr">
        <is>
          <t>2026-07-25T19:56:13.028676Z</t>
        </is>
      </c>
      <c r="C23" s="24" t="inlineStr">
        <is>
          <t>2026-07-25T18:10:00-0400</t>
        </is>
      </c>
      <c r="D23" s="24" t="inlineStr">
        <is>
          <t>401816253</t>
        </is>
      </c>
      <c r="E23" s="24" t="inlineStr">
        <is>
          <t>MLB</t>
        </is>
      </c>
      <c r="F23" s="24" t="inlineStr">
        <is>
          <t>Cleveland Guardians</t>
        </is>
      </c>
      <c r="G23" s="24" t="inlineStr">
        <is>
          <t>Tampa Bay Rays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-111</v>
      </c>
      <c r="M23" s="27" t="n">
        <v>1.900901</v>
      </c>
      <c r="N23" s="28" t="n">
        <v>0.526066</v>
      </c>
      <c r="O23" s="28" t="n">
        <v>0.6146470000000001</v>
      </c>
      <c r="P23" s="28" t="n"/>
      <c r="Q23" s="28" t="n">
        <v>0.08858099999999999</v>
      </c>
      <c r="R23" s="26" t="n">
        <v>64</v>
      </c>
      <c r="S23" s="29" t="n">
        <v>1</v>
      </c>
      <c r="T23" s="24" t="inlineStr">
        <is>
          <t>mlb-elo-trend-lr-v6</t>
        </is>
      </c>
      <c r="U23" s="24" t="inlineStr">
        <is>
          <t>settled</t>
        </is>
      </c>
      <c r="V23" s="24" t="inlineStr">
        <is>
          <t>win</t>
        </is>
      </c>
      <c r="W23" s="26" t="n">
        <v>0</v>
      </c>
      <c r="X23" s="26" t="n">
        <v>3</v>
      </c>
      <c r="Y23" s="25" t="n"/>
      <c r="Z23" s="26" t="n"/>
      <c r="AA23" s="28" t="n"/>
      <c r="AB23" s="28" t="n"/>
      <c r="AC23" s="30" t="n">
        <v>0.9009</v>
      </c>
      <c r="AD23" s="24" t="inlineStr">
        <is>
          <t>2026-07-26T03:34:00.458025Z</t>
        </is>
      </c>
      <c r="AE23" s="31" t="inlineStr">
        <is>
          <t>Learned LR call at threshold 0.5690; executable ask 0.5250 (aec-mlb-cle-tb-2026-07-25).</t>
        </is>
      </c>
      <c r="AF23" s="31" t="inlineStr">
        <is>
          <t>Learned model; promotion gate not yet open; zero-unit research until review.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mlb-cle</t>
        </is>
      </c>
      <c r="AQ23" s="24" t="inlineStr">
        <is>
          <t>Cleveland Guardians</t>
        </is>
      </c>
      <c r="AR23" s="24" t="inlineStr">
        <is>
          <t>Cleveland Guardians</t>
        </is>
      </c>
      <c r="AS23" s="24" t="inlineStr">
        <is>
          <t>mlb-tb</t>
        </is>
      </c>
      <c r="AT23" s="24" t="inlineStr">
        <is>
          <t>Tampa Bay Rays</t>
        </is>
      </c>
      <c r="AU23" s="24" t="inlineStr">
        <is>
          <t>Tampa Bay Rays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10a412e78306d1f4d1a66590dd7cd2087ed53520bfa3bb925889a6371153732f</t>
        </is>
      </c>
      <c r="BB23" s="24" t="inlineStr">
        <is>
          <t>learned_lr</t>
        </is>
      </c>
      <c r="BC23" s="24" t="inlineStr">
        <is>
          <t>mlb-elo-trend-lr-v6</t>
        </is>
      </c>
      <c r="BD23" s="24" t="inlineStr">
        <is>
          <t>10a412e78306d1f4d1a66590dd7cd2087ed53520bfa3bb925889a6371153732f</t>
        </is>
      </c>
      <c r="BE23" s="24" t="inlineStr">
        <is>
          <t>9498bb787406ec04</t>
        </is>
      </c>
      <c r="BF23" s="24" t="inlineStr">
        <is>
          <t>1</t>
        </is>
      </c>
      <c r="BG23" s="24" t="inlineStr">
        <is>
          <t>mlb-elo-trend-lr-v6</t>
        </is>
      </c>
      <c r="BH23" s="24" t="inlineStr">
        <is>
          <t>2026-07-25T19:54:21.566967Z</t>
        </is>
      </c>
      <c r="BI23" s="24" t="inlineStr">
        <is>
          <t>["same_event","same_team_same_day","same_league_same_day"]</t>
        </is>
      </c>
      <c r="BJ23" s="25" t="n"/>
      <c r="BK23" s="26" t="n">
        <v>-111</v>
      </c>
      <c r="BL23" s="27" t="n">
        <v>1.900901</v>
      </c>
      <c r="BM23" s="28" t="n">
        <v>0.526066</v>
      </c>
      <c r="BN23" s="28" t="n">
        <v>0.522388</v>
      </c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inlineStr">
        <is>
          <t>0.5498194022</t>
        </is>
      </c>
      <c r="CD23" s="24" t="inlineStr">
        <is>
          <t>0.593127</t>
        </is>
      </c>
      <c r="CE23" s="24" t="inlineStr">
        <is>
          <t>0.96</t>
        </is>
      </c>
      <c r="CF23" s="24" t="n"/>
      <c r="CG23" s="24" t="n"/>
      <c r="CH23" s="24" t="inlineStr">
        <is>
          <t>-1.27</t>
        </is>
      </c>
      <c r="CI23" s="24" t="n"/>
      <c r="CJ23" s="24" t="n"/>
      <c r="CK23" s="24" t="n"/>
      <c r="CL23" s="24" t="n"/>
      <c r="CM23" s="24" t="n"/>
      <c r="CN23" s="24" t="n"/>
      <c r="CO23" s="24" t="n"/>
    </row>
    <row r="24" ht="36" customHeight="1">
      <c r="A24" s="24" t="inlineStr">
        <is>
          <t>65eb59569aa14072</t>
        </is>
      </c>
      <c r="B24" s="24" t="inlineStr">
        <is>
          <t>2026-07-25T22:24:10.611095Z</t>
        </is>
      </c>
      <c r="C24" s="24" t="inlineStr">
        <is>
          <t>2026-07-25T18:40:00-0400</t>
        </is>
      </c>
      <c r="D24" s="24" t="inlineStr">
        <is>
          <t>401816252</t>
        </is>
      </c>
      <c r="E24" s="24" t="inlineStr">
        <is>
          <t>MLB</t>
        </is>
      </c>
      <c r="F24" s="24" t="inlineStr">
        <is>
          <t>Chicago Cubs</t>
        </is>
      </c>
      <c r="G24" s="24" t="inlineStr">
        <is>
          <t>Pittsburgh Pirates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-115</v>
      </c>
      <c r="M24" s="27" t="n">
        <v>1.869565</v>
      </c>
      <c r="N24" s="28" t="n">
        <v>0.534884</v>
      </c>
      <c r="O24" s="28" t="n">
        <v>0.566176</v>
      </c>
      <c r="P24" s="28" t="n"/>
      <c r="Q24" s="28" t="n">
        <v>0.031292</v>
      </c>
      <c r="R24" s="26" t="n">
        <v>66</v>
      </c>
      <c r="S24" s="29" t="n">
        <v>1.25</v>
      </c>
      <c r="T24" s="24" t="inlineStr">
        <is>
          <t>mlb-elo-trend-lr-v6</t>
        </is>
      </c>
      <c r="U24" s="24" t="inlineStr">
        <is>
          <t>settled</t>
        </is>
      </c>
      <c r="V24" s="24" t="inlineStr">
        <is>
          <t>loss</t>
        </is>
      </c>
      <c r="W24" s="26" t="n">
        <v>11</v>
      </c>
      <c r="X24" s="26" t="n">
        <v>0</v>
      </c>
      <c r="Y24" s="25" t="n"/>
      <c r="Z24" s="26" t="n"/>
      <c r="AA24" s="28" t="n"/>
      <c r="AB24" s="28" t="n"/>
      <c r="AC24" s="30" t="n">
        <v>-1.25</v>
      </c>
      <c r="AD24" s="24" t="inlineStr">
        <is>
          <t>2026-07-26T03:34:00.705249Z</t>
        </is>
      </c>
      <c r="AE24" s="31" t="inlineStr">
        <is>
          <t>Learned LR call at threshold 0.5690; executable ask 0.5350 (aec-mlb-chc-pit-2026-07-25).</t>
        </is>
      </c>
      <c r="AF24" s="31" t="inlineStr">
        <is>
          <t>Learned model; promotion gate not yet open; zero-unit research until review.</t>
        </is>
      </c>
      <c r="AG24" s="24" t="inlineStr">
        <is>
          <t>review_required</t>
        </is>
      </c>
      <c r="AH24" s="24" t="n"/>
      <c r="AI24" s="31" t="n"/>
      <c r="AJ24" s="31" t="n"/>
      <c r="AK24" s="24" t="inlineStr">
        <is>
          <t>research_observation</t>
        </is>
      </c>
      <c r="AL24" s="26" t="n">
        <v>3</v>
      </c>
      <c r="AM24" s="24" t="inlineStr">
        <is>
          <t>RESEARCH_OBSERVATION</t>
        </is>
      </c>
      <c r="AN24" s="24" t="inlineStr">
        <is>
          <t>NO_CALL</t>
        </is>
      </c>
      <c r="AO24" s="24" t="inlineStr">
        <is>
          <t>NO_CALL_LOW_EDGE</t>
        </is>
      </c>
      <c r="AP24" s="24" t="inlineStr">
        <is>
          <t>mlb-chc</t>
        </is>
      </c>
      <c r="AQ24" s="24" t="inlineStr">
        <is>
          <t>Chicago Cubs</t>
        </is>
      </c>
      <c r="AR24" s="24" t="inlineStr">
        <is>
          <t>Chicago Cubs</t>
        </is>
      </c>
      <c r="AS24" s="24" t="inlineStr">
        <is>
          <t>mlb-pit</t>
        </is>
      </c>
      <c r="AT24" s="24" t="inlineStr">
        <is>
          <t>Pittsburgh Pirates</t>
        </is>
      </c>
      <c r="AU24" s="24" t="inlineStr">
        <is>
          <t>Pittsburgh Pirates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10a412e78306d1f4d1a66590dd7cd2087ed53520bfa3bb925889a6371153732f</t>
        </is>
      </c>
      <c r="BB24" s="24" t="inlineStr">
        <is>
          <t>learned_lr</t>
        </is>
      </c>
      <c r="BC24" s="24" t="inlineStr">
        <is>
          <t>mlb-elo-trend-lr-v6</t>
        </is>
      </c>
      <c r="BD24" s="24" t="inlineStr">
        <is>
          <t>10a412e78306d1f4d1a66590dd7cd2087ed53520bfa3bb925889a6371153732f</t>
        </is>
      </c>
      <c r="BE24" s="24" t="inlineStr">
        <is>
          <t>61cc053297e5f6df</t>
        </is>
      </c>
      <c r="BF24" s="24" t="inlineStr">
        <is>
          <t>1</t>
        </is>
      </c>
      <c r="BG24" s="24" t="inlineStr">
        <is>
          <t>mlb-elo-trend-lr-v6</t>
        </is>
      </c>
      <c r="BH24" s="24" t="inlineStr">
        <is>
          <t>2026-07-25T22:22:20.691487Z</t>
        </is>
      </c>
      <c r="BI24" s="24" t="inlineStr">
        <is>
          <t>["same_event","same_team_same_day","same_league_same_day"]</t>
        </is>
      </c>
      <c r="BJ24" s="25" t="n"/>
      <c r="BK24" s="26" t="n">
        <v>-115</v>
      </c>
      <c r="BL24" s="27" t="n">
        <v>1.869565</v>
      </c>
      <c r="BM24" s="28" t="n">
        <v>0.534884</v>
      </c>
      <c r="BN24" s="28" t="n">
        <v>0.532338</v>
      </c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inlineStr">
        <is>
          <t>0.4912443015</t>
        </is>
      </c>
      <c r="CD24" s="24" t="inlineStr">
        <is>
          <t>-0.326562</t>
        </is>
      </c>
      <c r="CE24" s="24" t="inlineStr">
        <is>
          <t>1.0</t>
        </is>
      </c>
      <c r="CF24" s="24" t="n"/>
      <c r="CG24" s="24" t="n"/>
      <c r="CH24" s="24" t="inlineStr">
        <is>
          <t>-0.48</t>
        </is>
      </c>
      <c r="CI24" s="24" t="n"/>
      <c r="CJ24" s="24" t="n"/>
      <c r="CK24" s="24" t="n"/>
      <c r="CL24" s="24" t="n"/>
      <c r="CM24" s="24" t="n"/>
      <c r="CN24" s="24" t="n"/>
      <c r="CO24" s="24" t="n"/>
    </row>
    <row r="25" ht="36" customHeight="1">
      <c r="A25" s="24" t="inlineStr">
        <is>
          <t>6d11e0e020804f6b</t>
        </is>
      </c>
      <c r="B25" s="24" t="inlineStr">
        <is>
          <t>2026-07-25T23:04:33.291918Z</t>
        </is>
      </c>
      <c r="C25" s="24" t="inlineStr">
        <is>
          <t>2026-07-25T19:05:00-0400</t>
        </is>
      </c>
      <c r="D25" s="24" t="inlineStr">
        <is>
          <t>401816251</t>
        </is>
      </c>
      <c r="E25" s="24" t="inlineStr">
        <is>
          <t>MLB</t>
        </is>
      </c>
      <c r="F25" s="24" t="inlineStr">
        <is>
          <t>Atlanta Braves</t>
        </is>
      </c>
      <c r="G25" s="24" t="inlineStr">
        <is>
          <t>Baltimore Orioles</t>
        </is>
      </c>
      <c r="H25" s="24" t="inlineStr">
        <is>
          <t>moneyline</t>
        </is>
      </c>
      <c r="I25" s="24" t="inlineStr">
        <is>
          <t>home</t>
        </is>
      </c>
      <c r="J25" s="25" t="n"/>
      <c r="K25" s="24" t="inlineStr">
        <is>
          <t>polymarket_us</t>
        </is>
      </c>
      <c r="L25" s="26" t="n">
        <v>-104</v>
      </c>
      <c r="M25" s="27" t="n">
        <v>1.961538</v>
      </c>
      <c r="N25" s="28" t="n">
        <v>0.509804</v>
      </c>
      <c r="O25" s="28" t="n">
        <v>0.598249</v>
      </c>
      <c r="P25" s="28" t="n"/>
      <c r="Q25" s="28" t="n">
        <v>0.088445</v>
      </c>
      <c r="R25" s="26" t="n">
        <v>94</v>
      </c>
      <c r="S25" s="29" t="n">
        <v>1.5</v>
      </c>
      <c r="T25" s="24" t="inlineStr">
        <is>
          <t>mlb-elo-trend-lr-v6</t>
        </is>
      </c>
      <c r="U25" s="24" t="inlineStr">
        <is>
          <t>settled</t>
        </is>
      </c>
      <c r="V25" s="24" t="inlineStr">
        <is>
          <t>win</t>
        </is>
      </c>
      <c r="W25" s="26" t="n">
        <v>2</v>
      </c>
      <c r="X25" s="26" t="n">
        <v>3</v>
      </c>
      <c r="Y25" s="25" t="n"/>
      <c r="Z25" s="26" t="n"/>
      <c r="AA25" s="28" t="n"/>
      <c r="AB25" s="28" t="n"/>
      <c r="AC25" s="30" t="n">
        <v>1.4423</v>
      </c>
      <c r="AD25" s="24" t="inlineStr">
        <is>
          <t>2026-07-26T03:34:00.923757Z</t>
        </is>
      </c>
      <c r="AE25" s="31" t="inlineStr">
        <is>
          <t>Learned LR call at threshold 0.5690; executable ask 0.5100 (aec-mlb-atl-bal-2026-07-25).</t>
        </is>
      </c>
      <c r="AF25" s="31" t="inlineStr">
        <is>
          <t>Learned model; promotion gate not yet open; zero-unit research until review.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research_observation</t>
        </is>
      </c>
      <c r="AL25" s="26" t="n">
        <v>3</v>
      </c>
      <c r="AM25" s="24" t="inlineStr">
        <is>
          <t>RESEARCH_OBSERVATION</t>
        </is>
      </c>
      <c r="AN25" s="24" t="inlineStr">
        <is>
          <t>NO_CALL</t>
        </is>
      </c>
      <c r="AO25" s="24" t="inlineStr">
        <is>
          <t>NO_CALL_EXPOSURE_LIMIT</t>
        </is>
      </c>
      <c r="AP25" s="24" t="inlineStr">
        <is>
          <t>mlb-atl</t>
        </is>
      </c>
      <c r="AQ25" s="24" t="inlineStr">
        <is>
          <t>Atlanta Braves</t>
        </is>
      </c>
      <c r="AR25" s="24" t="inlineStr">
        <is>
          <t>Atlanta Braves</t>
        </is>
      </c>
      <c r="AS25" s="24" t="inlineStr">
        <is>
          <t>mlb-bal</t>
        </is>
      </c>
      <c r="AT25" s="24" t="inlineStr">
        <is>
          <t>Baltimore Orioles</t>
        </is>
      </c>
      <c r="AU25" s="24" t="inlineStr">
        <is>
          <t>Baltimore Orioles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10a412e78306d1f4d1a66590dd7cd2087ed53520bfa3bb925889a6371153732f</t>
        </is>
      </c>
      <c r="BB25" s="24" t="inlineStr">
        <is>
          <t>learned_lr</t>
        </is>
      </c>
      <c r="BC25" s="24" t="inlineStr">
        <is>
          <t>mlb-elo-trend-lr-v6</t>
        </is>
      </c>
      <c r="BD25" s="24" t="inlineStr">
        <is>
          <t>10a412e78306d1f4d1a66590dd7cd2087ed53520bfa3bb925889a6371153732f</t>
        </is>
      </c>
      <c r="BE25" s="24" t="inlineStr">
        <is>
          <t>b0f8897af59f8218</t>
        </is>
      </c>
      <c r="BF25" s="24" t="inlineStr">
        <is>
          <t>1</t>
        </is>
      </c>
      <c r="BG25" s="24" t="inlineStr">
        <is>
          <t>mlb-elo-trend-lr-v6</t>
        </is>
      </c>
      <c r="BH25" s="24" t="inlineStr">
        <is>
          <t>2026-07-25T22:50:07.934208Z</t>
        </is>
      </c>
      <c r="BI25" s="24" t="inlineStr">
        <is>
          <t>["same_event","same_team_same_day","same_league_same_day"]</t>
        </is>
      </c>
      <c r="BJ25" s="25" t="n"/>
      <c r="BK25" s="26" t="n">
        <v>-104</v>
      </c>
      <c r="BL25" s="27" t="n">
        <v>1.961538</v>
      </c>
      <c r="BM25" s="28" t="n">
        <v>0.509804</v>
      </c>
      <c r="BN25" s="28" t="n">
        <v>0.507463</v>
      </c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inlineStr">
        <is>
          <t>0.4805983803</t>
        </is>
      </c>
      <c r="CD25" s="24" t="inlineStr">
        <is>
          <t>-1.06997</t>
        </is>
      </c>
      <c r="CE25" s="24" t="inlineStr">
        <is>
          <t>1.01</t>
        </is>
      </c>
      <c r="CF25" s="24" t="n"/>
      <c r="CG25" s="24" t="n"/>
      <c r="CH25" s="24" t="inlineStr">
        <is>
          <t>-0.81</t>
        </is>
      </c>
      <c r="CI25" s="24" t="n"/>
      <c r="CJ25" s="24" t="n"/>
      <c r="CK25" s="24" t="n"/>
      <c r="CL25" s="24" t="n"/>
      <c r="CM25" s="24" t="n"/>
      <c r="CN25" s="24" t="n"/>
      <c r="CO25" s="24" t="n"/>
    </row>
    <row r="26" ht="36" customHeight="1">
      <c r="A26" s="24" t="inlineStr">
        <is>
          <t>08df937fcc024415</t>
        </is>
      </c>
      <c r="B26" s="24" t="inlineStr">
        <is>
          <t>2026-07-25T23:04:33.291918Z</t>
        </is>
      </c>
      <c r="C26" s="24" t="inlineStr">
        <is>
          <t>2026-07-25T19:10:00-0400</t>
        </is>
      </c>
      <c r="D26" s="24" t="inlineStr">
        <is>
          <t>401816259</t>
        </is>
      </c>
      <c r="E26" s="24" t="inlineStr">
        <is>
          <t>MLB</t>
        </is>
      </c>
      <c r="F26" s="24" t="inlineStr">
        <is>
          <t>Athletics</t>
        </is>
      </c>
      <c r="G26" s="24" t="inlineStr">
        <is>
          <t>Minnesota Twins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-141</v>
      </c>
      <c r="M26" s="27" t="n">
        <v>1.70922</v>
      </c>
      <c r="N26" s="28" t="n">
        <v>0.585062</v>
      </c>
      <c r="O26" s="28" t="n">
        <v>0.655327</v>
      </c>
      <c r="P26" s="28" t="n"/>
      <c r="Q26" s="28" t="n">
        <v>0.07026499999999999</v>
      </c>
      <c r="R26" s="26" t="n">
        <v>85</v>
      </c>
      <c r="S26" s="29" t="n">
        <v>2</v>
      </c>
      <c r="T26" s="24" t="inlineStr">
        <is>
          <t>mlb-elo-trend-lr-v6</t>
        </is>
      </c>
      <c r="U26" s="24" t="inlineStr">
        <is>
          <t>settled</t>
        </is>
      </c>
      <c r="V26" s="24" t="inlineStr">
        <is>
          <t>win</t>
        </is>
      </c>
      <c r="W26" s="26" t="n">
        <v>0</v>
      </c>
      <c r="X26" s="26" t="n">
        <v>2</v>
      </c>
      <c r="Y26" s="25" t="n"/>
      <c r="Z26" s="26" t="n"/>
      <c r="AA26" s="28" t="n"/>
      <c r="AB26" s="28" t="n"/>
      <c r="AC26" s="30" t="n">
        <v>1.4184</v>
      </c>
      <c r="AD26" s="24" t="inlineStr">
        <is>
          <t>2026-07-26T03:34:01.261896Z</t>
        </is>
      </c>
      <c r="AE26" s="31" t="inlineStr">
        <is>
          <t>Learned LR call at threshold 0.5690; executable ask 0.5850 (aec-mlb-ath-min-2026-07-25).</t>
        </is>
      </c>
      <c r="AF26" s="31" t="inlineStr">
        <is>
          <t>Learned model; promotion gate not yet open; zero-unit research until review.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research_observation</t>
        </is>
      </c>
      <c r="AL26" s="26" t="n">
        <v>3</v>
      </c>
      <c r="AM26" s="24" t="inlineStr">
        <is>
          <t>RESEARCH_OBSERVATION</t>
        </is>
      </c>
      <c r="AN26" s="24" t="inlineStr">
        <is>
          <t>NO_CALL</t>
        </is>
      </c>
      <c r="AO26" s="24" t="inlineStr">
        <is>
          <t>NO_CALL_EXPOSURE_LIMIT</t>
        </is>
      </c>
      <c r="AP26" s="24" t="inlineStr">
        <is>
          <t>mlb-ath</t>
        </is>
      </c>
      <c r="AQ26" s="24" t="inlineStr">
        <is>
          <t>Athletics</t>
        </is>
      </c>
      <c r="AR26" s="24" t="inlineStr">
        <is>
          <t>Athletics</t>
        </is>
      </c>
      <c r="AS26" s="24" t="inlineStr">
        <is>
          <t>mlb-min</t>
        </is>
      </c>
      <c r="AT26" s="24" t="inlineStr">
        <is>
          <t>Minnesota Twins</t>
        </is>
      </c>
      <c r="AU26" s="24" t="inlineStr">
        <is>
          <t>Minnesota Twins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10a412e78306d1f4d1a66590dd7cd2087ed53520bfa3bb925889a6371153732f</t>
        </is>
      </c>
      <c r="BB26" s="24" t="inlineStr">
        <is>
          <t>learned_lr</t>
        </is>
      </c>
      <c r="BC26" s="24" t="inlineStr">
        <is>
          <t>mlb-elo-trend-lr-v6</t>
        </is>
      </c>
      <c r="BD26" s="24" t="inlineStr">
        <is>
          <t>10a412e78306d1f4d1a66590dd7cd2087ed53520bfa3bb925889a6371153732f</t>
        </is>
      </c>
      <c r="BE26" s="24" t="inlineStr">
        <is>
          <t>8074196c2383cd19</t>
        </is>
      </c>
      <c r="BF26" s="24" t="inlineStr">
        <is>
          <t>1</t>
        </is>
      </c>
      <c r="BG26" s="24" t="inlineStr">
        <is>
          <t>mlb-elo-trend-lr-v6</t>
        </is>
      </c>
      <c r="BH26" s="24" t="inlineStr">
        <is>
          <t>2026-07-25T22:50:11.999483Z</t>
        </is>
      </c>
      <c r="BI26" s="24" t="inlineStr">
        <is>
          <t>["same_event","same_team_same_day","same_league_same_day"]</t>
        </is>
      </c>
      <c r="BJ26" s="25" t="n"/>
      <c r="BK26" s="26" t="n">
        <v>-141</v>
      </c>
      <c r="BL26" s="27" t="n">
        <v>1.70922</v>
      </c>
      <c r="BM26" s="28" t="n">
        <v>0.585062</v>
      </c>
      <c r="BN26" s="28" t="n">
        <v>0.58209</v>
      </c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inlineStr">
        <is>
          <t>0.574450019</t>
        </is>
      </c>
      <c r="CD26" s="24" t="inlineStr">
        <is>
          <t>-0.051147</t>
        </is>
      </c>
      <c r="CE26" s="24" t="inlineStr">
        <is>
          <t>1.0</t>
        </is>
      </c>
      <c r="CF26" s="24" t="n"/>
      <c r="CG26" s="24" t="n"/>
      <c r="CH26" s="24" t="inlineStr">
        <is>
          <t>-1.76</t>
        </is>
      </c>
      <c r="CI26" s="24" t="n"/>
      <c r="CJ26" s="24" t="n"/>
      <c r="CK26" s="24" t="n"/>
      <c r="CL26" s="24" t="n"/>
      <c r="CM26" s="24" t="n"/>
      <c r="CN26" s="24" t="n"/>
      <c r="CO26" s="24" t="n"/>
    </row>
    <row r="27" ht="36" customHeight="1">
      <c r="A27" s="24" t="inlineStr">
        <is>
          <t>92a4d8cfa3144cb3</t>
        </is>
      </c>
      <c r="B27" s="24" t="inlineStr">
        <is>
          <t>2026-07-25T23:04:33.291918Z</t>
        </is>
      </c>
      <c r="C27" s="24" t="inlineStr">
        <is>
          <t>2026-07-25T19:10:00-0400</t>
        </is>
      </c>
      <c r="D27" s="24" t="inlineStr">
        <is>
          <t>401816261</t>
        </is>
      </c>
      <c r="E27" s="24" t="inlineStr">
        <is>
          <t>MLB</t>
        </is>
      </c>
      <c r="F27" s="24" t="inlineStr">
        <is>
          <t>Colorado Rockies</t>
        </is>
      </c>
      <c r="G27" s="24" t="inlineStr">
        <is>
          <t>Milwaukee Brewers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-213</v>
      </c>
      <c r="M27" s="27" t="n">
        <v>1.469484</v>
      </c>
      <c r="N27" s="28" t="n">
        <v>0.680511</v>
      </c>
      <c r="O27" s="28" t="n">
        <v>0.585776</v>
      </c>
      <c r="P27" s="28" t="n"/>
      <c r="Q27" s="28" t="n">
        <v>-0.094735</v>
      </c>
      <c r="R27" s="26" t="n">
        <v>3</v>
      </c>
      <c r="S27" s="29" t="n">
        <v>1.25</v>
      </c>
      <c r="T27" s="24" t="inlineStr">
        <is>
          <t>mlb-elo-trend-lr-v6</t>
        </is>
      </c>
      <c r="U27" s="24" t="inlineStr">
        <is>
          <t>settled</t>
        </is>
      </c>
      <c r="V27" s="24" t="inlineStr">
        <is>
          <t>win</t>
        </is>
      </c>
      <c r="W27" s="26" t="n">
        <v>5</v>
      </c>
      <c r="X27" s="26" t="n">
        <v>8</v>
      </c>
      <c r="Y27" s="25" t="n"/>
      <c r="Z27" s="26" t="n"/>
      <c r="AA27" s="28" t="n"/>
      <c r="AB27" s="28" t="n"/>
      <c r="AC27" s="30" t="n">
        <v>0.5869</v>
      </c>
      <c r="AD27" s="24" t="inlineStr">
        <is>
          <t>2026-07-26T03:34:01.696770Z</t>
        </is>
      </c>
      <c r="AE27" s="31" t="inlineStr">
        <is>
          <t>Learned LR call at threshold 0.5690; executable ask 0.6800 (aec-mlb-col-mil-2026-07-25).</t>
        </is>
      </c>
      <c r="AF27" s="31" t="inlineStr">
        <is>
          <t>Learned model; promotion gate not yet open; zero-unit research until review.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NO_CALL_LOW_EDGE</t>
        </is>
      </c>
      <c r="AP27" s="24" t="inlineStr">
        <is>
          <t>mlb-col</t>
        </is>
      </c>
      <c r="AQ27" s="24" t="inlineStr">
        <is>
          <t>Colorado Rockies</t>
        </is>
      </c>
      <c r="AR27" s="24" t="inlineStr">
        <is>
          <t>Colorado Rockies</t>
        </is>
      </c>
      <c r="AS27" s="24" t="inlineStr">
        <is>
          <t>mlb-mil</t>
        </is>
      </c>
      <c r="AT27" s="24" t="inlineStr">
        <is>
          <t>Milwaukee Brewers</t>
        </is>
      </c>
      <c r="AU27" s="24" t="inlineStr">
        <is>
          <t>Milwaukee Brewers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10a412e78306d1f4d1a66590dd7cd2087ed53520bfa3bb925889a6371153732f</t>
        </is>
      </c>
      <c r="BB27" s="24" t="inlineStr">
        <is>
          <t>learned_lr</t>
        </is>
      </c>
      <c r="BC27" s="24" t="inlineStr">
        <is>
          <t>mlb-elo-trend-lr-v6</t>
        </is>
      </c>
      <c r="BD27" s="24" t="inlineStr">
        <is>
          <t>10a412e78306d1f4d1a66590dd7cd2087ed53520bfa3bb925889a6371153732f</t>
        </is>
      </c>
      <c r="BE27" s="24" t="inlineStr">
        <is>
          <t>74c7ff2840abe7fb</t>
        </is>
      </c>
      <c r="BF27" s="24" t="inlineStr">
        <is>
          <t>1</t>
        </is>
      </c>
      <c r="BG27" s="24" t="inlineStr">
        <is>
          <t>mlb-elo-trend-lr-v6</t>
        </is>
      </c>
      <c r="BH27" s="24" t="inlineStr">
        <is>
          <t>2026-07-25T22:50:10.667797Z</t>
        </is>
      </c>
      <c r="BI27" s="24" t="inlineStr">
        <is>
          <t>["same_event","same_team_same_day","same_league_same_day"]</t>
        </is>
      </c>
      <c r="BJ27" s="25" t="n"/>
      <c r="BK27" s="26" t="n">
        <v>-213</v>
      </c>
      <c r="BL27" s="27" t="n">
        <v>1.469484</v>
      </c>
      <c r="BM27" s="28" t="n">
        <v>0.680511</v>
      </c>
      <c r="BN27" s="28" t="n">
        <v>0.676617</v>
      </c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inlineStr">
        <is>
          <t>0.7661240932</t>
        </is>
      </c>
      <c r="CD27" s="24" t="inlineStr">
        <is>
          <t>0.243505</t>
        </is>
      </c>
      <c r="CE27" s="24" t="inlineStr">
        <is>
          <t>0.98</t>
        </is>
      </c>
      <c r="CF27" s="24" t="n"/>
      <c r="CG27" s="24" t="n"/>
      <c r="CH27" s="24" t="inlineStr">
        <is>
          <t>-0.57</t>
        </is>
      </c>
      <c r="CI27" s="24" t="n"/>
      <c r="CJ27" s="24" t="n"/>
      <c r="CK27" s="24" t="n"/>
      <c r="CL27" s="24" t="n"/>
      <c r="CM27" s="24" t="n"/>
      <c r="CN27" s="24" t="n"/>
      <c r="CO27" s="24" t="n"/>
    </row>
    <row r="28" ht="36" customHeight="1">
      <c r="A28" s="24" t="inlineStr">
        <is>
          <t>edf90ab6182d4c90</t>
        </is>
      </c>
      <c r="B28" s="24" t="inlineStr">
        <is>
          <t>2026-07-25T23:04:33.291918Z</t>
        </is>
      </c>
      <c r="C28" s="24" t="inlineStr">
        <is>
          <t>2026-07-25T19:10:00-0400</t>
        </is>
      </c>
      <c r="D28" s="24" t="inlineStr">
        <is>
          <t>401816262</t>
        </is>
      </c>
      <c r="E28" s="24" t="inlineStr">
        <is>
          <t>MLB</t>
        </is>
      </c>
      <c r="F28" s="24" t="inlineStr">
        <is>
          <t>Houston Astros</t>
        </is>
      </c>
      <c r="G28" s="24" t="inlineStr">
        <is>
          <t>Chicago White Sox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-117</v>
      </c>
      <c r="M28" s="27" t="n">
        <v>1.854701</v>
      </c>
      <c r="N28" s="28" t="n">
        <v>0.539171</v>
      </c>
      <c r="O28" s="28" t="n">
        <v>0.597365</v>
      </c>
      <c r="P28" s="28" t="n"/>
      <c r="Q28" s="28" t="n">
        <v>0.058194</v>
      </c>
      <c r="R28" s="26" t="n">
        <v>79</v>
      </c>
      <c r="S28" s="29" t="n">
        <v>1.5</v>
      </c>
      <c r="T28" s="24" t="inlineStr">
        <is>
          <t>mlb-elo-trend-lr-v6</t>
        </is>
      </c>
      <c r="U28" s="24" t="inlineStr">
        <is>
          <t>settled</t>
        </is>
      </c>
      <c r="V28" s="24" t="inlineStr">
        <is>
          <t>loss</t>
        </is>
      </c>
      <c r="W28" s="26" t="n">
        <v>4</v>
      </c>
      <c r="X28" s="26" t="n">
        <v>1</v>
      </c>
      <c r="Y28" s="25" t="n"/>
      <c r="Z28" s="26" t="n"/>
      <c r="AA28" s="28" t="n"/>
      <c r="AB28" s="28" t="n"/>
      <c r="AC28" s="30" t="n">
        <v>-1.5</v>
      </c>
      <c r="AD28" s="24" t="inlineStr">
        <is>
          <t>2026-07-26T03:34:02.045311Z</t>
        </is>
      </c>
      <c r="AE28" s="31" t="inlineStr">
        <is>
          <t>Learned LR call at threshold 0.5690; executable ask 0.5400 (aec-mlb-hou-cws-2026-07-25).</t>
        </is>
      </c>
      <c r="AF28" s="31" t="inlineStr">
        <is>
          <t>Learned model; promotion gate not yet open; zero-unit research until review.</t>
        </is>
      </c>
      <c r="AG28" s="24" t="inlineStr">
        <is>
          <t>review_required</t>
        </is>
      </c>
      <c r="AH28" s="24" t="n"/>
      <c r="AI28" s="31" t="n"/>
      <c r="AJ28" s="31" t="n"/>
      <c r="AK28" s="24" t="inlineStr">
        <is>
          <t>research_observation</t>
        </is>
      </c>
      <c r="AL28" s="26" t="n">
        <v>3</v>
      </c>
      <c r="AM28" s="24" t="inlineStr">
        <is>
          <t>RESEARCH_OBSERVATION</t>
        </is>
      </c>
      <c r="AN28" s="24" t="inlineStr">
        <is>
          <t>NO_CALL</t>
        </is>
      </c>
      <c r="AO28" s="24" t="inlineStr">
        <is>
          <t>NO_CALL_LOW_EDGE</t>
        </is>
      </c>
      <c r="AP28" s="24" t="inlineStr">
        <is>
          <t>mlb-hou</t>
        </is>
      </c>
      <c r="AQ28" s="24" t="inlineStr">
        <is>
          <t>Houston Astros</t>
        </is>
      </c>
      <c r="AR28" s="24" t="inlineStr">
        <is>
          <t>Houston Astros</t>
        </is>
      </c>
      <c r="AS28" s="24" t="inlineStr">
        <is>
          <t>mlb-cws</t>
        </is>
      </c>
      <c r="AT28" s="24" t="inlineStr">
        <is>
          <t>Chicago White Sox</t>
        </is>
      </c>
      <c r="AU28" s="24" t="inlineStr">
        <is>
          <t>Chicago White Sox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10a412e78306d1f4d1a66590dd7cd2087ed53520bfa3bb925889a6371153732f</t>
        </is>
      </c>
      <c r="BB28" s="24" t="inlineStr">
        <is>
          <t>learned_lr</t>
        </is>
      </c>
      <c r="BC28" s="24" t="inlineStr">
        <is>
          <t>mlb-elo-trend-lr-v6</t>
        </is>
      </c>
      <c r="BD28" s="24" t="inlineStr">
        <is>
          <t>10a412e78306d1f4d1a66590dd7cd2087ed53520bfa3bb925889a6371153732f</t>
        </is>
      </c>
      <c r="BE28" s="24" t="inlineStr">
        <is>
          <t>99426d9e271ba40f</t>
        </is>
      </c>
      <c r="BF28" s="24" t="inlineStr">
        <is>
          <t>1</t>
        </is>
      </c>
      <c r="BG28" s="24" t="inlineStr">
        <is>
          <t>mlb-elo-trend-lr-v6</t>
        </is>
      </c>
      <c r="BH28" s="24" t="inlineStr">
        <is>
          <t>2026-07-25T22:50:09.206081Z</t>
        </is>
      </c>
      <c r="BI28" s="24" t="inlineStr">
        <is>
          <t>["same_event","same_team_same_day","same_league_same_day"]</t>
        </is>
      </c>
      <c r="BJ28" s="25" t="n"/>
      <c r="BK28" s="26" t="n">
        <v>-117</v>
      </c>
      <c r="BL28" s="27" t="n">
        <v>1.854701</v>
      </c>
      <c r="BM28" s="28" t="n">
        <v>0.539171</v>
      </c>
      <c r="BN28" s="28" t="n">
        <v>0.537313</v>
      </c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inlineStr">
        <is>
          <t>0.5495737644</t>
        </is>
      </c>
      <c r="CD28" s="24" t="inlineStr">
        <is>
          <t>-0.365446</t>
        </is>
      </c>
      <c r="CE28" s="24" t="inlineStr">
        <is>
          <t>0.99</t>
        </is>
      </c>
      <c r="CF28" s="24" t="n"/>
      <c r="CG28" s="24" t="n"/>
      <c r="CH28" s="24" t="inlineStr">
        <is>
          <t>-0.85</t>
        </is>
      </c>
      <c r="CI28" s="24" t="n"/>
      <c r="CJ28" s="24" t="n"/>
      <c r="CK28" s="24" t="n"/>
      <c r="CL28" s="24" t="n"/>
      <c r="CM28" s="24" t="n"/>
      <c r="CN28" s="24" t="n"/>
      <c r="CO28" s="24" t="n"/>
    </row>
    <row r="29" ht="36" customHeight="1">
      <c r="A29" s="24" t="inlineStr">
        <is>
          <t>e3c5c9772f274232</t>
        </is>
      </c>
      <c r="B29" s="24" t="inlineStr">
        <is>
          <t>2026-07-25T23:04:33.291918Z</t>
        </is>
      </c>
      <c r="C29" s="24" t="inlineStr">
        <is>
          <t>2026-07-25T19:15:00-0400</t>
        </is>
      </c>
      <c r="D29" s="24" t="inlineStr">
        <is>
          <t>401816255</t>
        </is>
      </c>
      <c r="E29" s="24" t="inlineStr">
        <is>
          <t>MLB</t>
        </is>
      </c>
      <c r="F29" s="24" t="inlineStr">
        <is>
          <t>Los Angeles Dodgers</t>
        </is>
      </c>
      <c r="G29" s="24" t="inlineStr">
        <is>
          <t>New York Mets</t>
        </is>
      </c>
      <c r="H29" s="24" t="inlineStr">
        <is>
          <t>moneyline</t>
        </is>
      </c>
      <c r="I29" s="24" t="inlineStr">
        <is>
          <t>away</t>
        </is>
      </c>
      <c r="J29" s="25" t="n"/>
      <c r="K29" s="24" t="inlineStr">
        <is>
          <t>polymarket_us</t>
        </is>
      </c>
      <c r="L29" s="26" t="n">
        <v>-147</v>
      </c>
      <c r="M29" s="27" t="n">
        <v>1.680272</v>
      </c>
      <c r="N29" s="28" t="n">
        <v>0.5951419999999999</v>
      </c>
      <c r="O29" s="28" t="n">
        <v>0.506008</v>
      </c>
      <c r="P29" s="28" t="n"/>
      <c r="Q29" s="28" t="n">
        <v>-0.089134</v>
      </c>
      <c r="R29" s="26" t="n">
        <v>5</v>
      </c>
      <c r="S29" s="29" t="n">
        <v>0.5</v>
      </c>
      <c r="T29" s="24" t="inlineStr">
        <is>
          <t>mlb-elo-trend-lr-v6</t>
        </is>
      </c>
      <c r="U29" s="24" t="inlineStr">
        <is>
          <t>settled</t>
        </is>
      </c>
      <c r="V29" s="24" t="inlineStr">
        <is>
          <t>win</t>
        </is>
      </c>
      <c r="W29" s="26" t="n">
        <v>4</v>
      </c>
      <c r="X29" s="26" t="n">
        <v>3</v>
      </c>
      <c r="Y29" s="25" t="n"/>
      <c r="Z29" s="26" t="n"/>
      <c r="AA29" s="28" t="n"/>
      <c r="AB29" s="28" t="n"/>
      <c r="AC29" s="30" t="n">
        <v>0.3401</v>
      </c>
      <c r="AD29" s="24" t="inlineStr">
        <is>
          <t>2026-07-26T03:34:02.258716Z</t>
        </is>
      </c>
      <c r="AE29" s="31" t="inlineStr">
        <is>
          <t>Learned LR call at threshold 0.5690; executable ask 0.5950 (aec-mlb-lad-nym-2026-07-25).</t>
        </is>
      </c>
      <c r="AF29" s="31" t="inlineStr">
        <is>
          <t>Learned model; promotion gate not yet open; zero-unit research until review.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research_observation</t>
        </is>
      </c>
      <c r="AL29" s="26" t="n">
        <v>3</v>
      </c>
      <c r="AM29" s="24" t="inlineStr">
        <is>
          <t>RESEARCH_OBSERVATION</t>
        </is>
      </c>
      <c r="AN29" s="24" t="inlineStr">
        <is>
          <t>NO_CALL</t>
        </is>
      </c>
      <c r="AO29" s="24" t="inlineStr">
        <is>
          <t>NO_CALL_LOW_EDGE</t>
        </is>
      </c>
      <c r="AP29" s="24" t="inlineStr">
        <is>
          <t>mlb-lad</t>
        </is>
      </c>
      <c r="AQ29" s="24" t="inlineStr">
        <is>
          <t>Los Angeles Dodgers</t>
        </is>
      </c>
      <c r="AR29" s="24" t="inlineStr">
        <is>
          <t>Los Angeles Dodgers</t>
        </is>
      </c>
      <c r="AS29" s="24" t="inlineStr">
        <is>
          <t>mlb-nym</t>
        </is>
      </c>
      <c r="AT29" s="24" t="inlineStr">
        <is>
          <t>New York Mets</t>
        </is>
      </c>
      <c r="AU29" s="24" t="inlineStr">
        <is>
          <t>New York Mets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10a412e78306d1f4d1a66590dd7cd2087ed53520bfa3bb925889a6371153732f</t>
        </is>
      </c>
      <c r="BB29" s="24" t="inlineStr">
        <is>
          <t>learned_lr</t>
        </is>
      </c>
      <c r="BC29" s="24" t="inlineStr">
        <is>
          <t>mlb-elo-trend-lr-v6</t>
        </is>
      </c>
      <c r="BD29" s="24" t="inlineStr">
        <is>
          <t>10a412e78306d1f4d1a66590dd7cd2087ed53520bfa3bb925889a6371153732f</t>
        </is>
      </c>
      <c r="BE29" s="24" t="inlineStr">
        <is>
          <t>35d98c7876b819da</t>
        </is>
      </c>
      <c r="BF29" s="24" t="inlineStr">
        <is>
          <t>1</t>
        </is>
      </c>
      <c r="BG29" s="24" t="inlineStr">
        <is>
          <t>mlb-elo-trend-lr-v6</t>
        </is>
      </c>
      <c r="BH29" s="24" t="inlineStr">
        <is>
          <t>2026-07-25T22:50:15.766168Z</t>
        </is>
      </c>
      <c r="BI29" s="24" t="inlineStr">
        <is>
          <t>["same_event","same_team_same_day","same_league_same_day"]</t>
        </is>
      </c>
      <c r="BJ29" s="25" t="n"/>
      <c r="BK29" s="26" t="n">
        <v>-147</v>
      </c>
      <c r="BL29" s="27" t="n">
        <v>1.680272</v>
      </c>
      <c r="BM29" s="28" t="n">
        <v>0.5951419999999999</v>
      </c>
      <c r="BN29" s="28" t="n">
        <v>0.59204</v>
      </c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inlineStr">
        <is>
          <t>0.3742927358</t>
        </is>
      </c>
      <c r="CD29" s="24" t="inlineStr">
        <is>
          <t>-0.95341</t>
        </is>
      </c>
      <c r="CE29" s="24" t="inlineStr">
        <is>
          <t>0.97</t>
        </is>
      </c>
      <c r="CF29" s="24" t="n"/>
      <c r="CG29" s="24" t="n"/>
      <c r="CH29" s="24" t="inlineStr">
        <is>
          <t>0.56</t>
        </is>
      </c>
      <c r="CI29" s="24" t="n"/>
      <c r="CJ29" s="24" t="n"/>
      <c r="CK29" s="24" t="n"/>
      <c r="CL29" s="24" t="n"/>
      <c r="CM29" s="24" t="n"/>
      <c r="CN29" s="24" t="n"/>
      <c r="CO29" s="24" t="n"/>
    </row>
    <row r="30" ht="36" customHeight="1">
      <c r="A30" s="24" t="inlineStr">
        <is>
          <t>3e5637d55c1947f7</t>
        </is>
      </c>
      <c r="B30" s="24" t="inlineStr">
        <is>
          <t>2026-07-25T23:04:33.291918Z</t>
        </is>
      </c>
      <c r="C30" s="24" t="inlineStr">
        <is>
          <t>2026-07-25T19:15:00-0400</t>
        </is>
      </c>
      <c r="D30" s="24" t="inlineStr">
        <is>
          <t>401816260</t>
        </is>
      </c>
      <c r="E30" s="24" t="inlineStr">
        <is>
          <t>MLB</t>
        </is>
      </c>
      <c r="F30" s="24" t="inlineStr">
        <is>
          <t>Cincinnati Reds</t>
        </is>
      </c>
      <c r="G30" s="24" t="inlineStr">
        <is>
          <t>St. Louis Cardinals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100</v>
      </c>
      <c r="M30" s="27" t="n">
        <v>2</v>
      </c>
      <c r="N30" s="28" t="n">
        <v>0.5</v>
      </c>
      <c r="O30" s="28" t="n">
        <v>0.685245</v>
      </c>
      <c r="P30" s="28" t="n"/>
      <c r="Q30" s="28" t="n">
        <v>0.185245</v>
      </c>
      <c r="R30" s="26" t="n">
        <v>100</v>
      </c>
      <c r="S30" s="29" t="n">
        <v>2</v>
      </c>
      <c r="T30" s="24" t="inlineStr">
        <is>
          <t>mlb-elo-trend-lr-v6</t>
        </is>
      </c>
      <c r="U30" s="24" t="inlineStr">
        <is>
          <t>settled</t>
        </is>
      </c>
      <c r="V30" s="24" t="inlineStr">
        <is>
          <t>win</t>
        </is>
      </c>
      <c r="W30" s="26" t="n">
        <v>0</v>
      </c>
      <c r="X30" s="26" t="n">
        <v>7</v>
      </c>
      <c r="Y30" s="25" t="n"/>
      <c r="Z30" s="26" t="n"/>
      <c r="AA30" s="28" t="n"/>
      <c r="AB30" s="28" t="n"/>
      <c r="AC30" s="30" t="n">
        <v>2</v>
      </c>
      <c r="AD30" s="24" t="inlineStr">
        <is>
          <t>2026-07-26T03:34:02.468282Z</t>
        </is>
      </c>
      <c r="AE30" s="31" t="inlineStr">
        <is>
          <t>Learned LR call at threshold 0.5690; executable ask 0.5000 (aec-mlb-cin-stl-2026-07-25).</t>
        </is>
      </c>
      <c r="AF30" s="31" t="inlineStr">
        <is>
          <t>Learned model; promotion gate not yet open; zero-unit research until review.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NO_CALL_LARGE_DISAGREEMENT_REVIEW</t>
        </is>
      </c>
      <c r="AP30" s="24" t="inlineStr">
        <is>
          <t>mlb-cin</t>
        </is>
      </c>
      <c r="AQ30" s="24" t="inlineStr">
        <is>
          <t>Cincinnati Reds</t>
        </is>
      </c>
      <c r="AR30" s="24" t="inlineStr">
        <is>
          <t>Cincinnati Reds</t>
        </is>
      </c>
      <c r="AS30" s="24" t="inlineStr">
        <is>
          <t>mlb-stl</t>
        </is>
      </c>
      <c r="AT30" s="24" t="inlineStr">
        <is>
          <t>St. Louis Cardinals</t>
        </is>
      </c>
      <c r="AU30" s="24" t="inlineStr">
        <is>
          <t>St. Louis Cardinals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10a412e78306d1f4d1a66590dd7cd2087ed53520bfa3bb925889a6371153732f</t>
        </is>
      </c>
      <c r="BB30" s="24" t="inlineStr">
        <is>
          <t>learned_lr</t>
        </is>
      </c>
      <c r="BC30" s="24" t="inlineStr">
        <is>
          <t>mlb-elo-trend-lr-v6</t>
        </is>
      </c>
      <c r="BD30" s="24" t="inlineStr">
        <is>
          <t>10a412e78306d1f4d1a66590dd7cd2087ed53520bfa3bb925889a6371153732f</t>
        </is>
      </c>
      <c r="BE30" s="24" t="inlineStr">
        <is>
          <t>0fad44f254db7d02</t>
        </is>
      </c>
      <c r="BF30" s="24" t="inlineStr">
        <is>
          <t>1</t>
        </is>
      </c>
      <c r="BG30" s="24" t="inlineStr">
        <is>
          <t>mlb-elo-trend-lr-v6</t>
        </is>
      </c>
      <c r="BH30" s="24" t="inlineStr">
        <is>
          <t>2026-07-25T22:50:14.595978Z</t>
        </is>
      </c>
      <c r="BI30" s="24" t="inlineStr">
        <is>
          <t>["same_event","same_team_same_day","same_league_same_day"]</t>
        </is>
      </c>
      <c r="BJ30" s="25" t="n"/>
      <c r="BK30" s="26" t="n">
        <v>100</v>
      </c>
      <c r="BL30" s="27" t="n">
        <v>2</v>
      </c>
      <c r="BM30" s="28" t="n">
        <v>0.5</v>
      </c>
      <c r="BN30" s="28" t="n">
        <v>0.497512</v>
      </c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inlineStr">
        <is>
          <t>0.5554985391</t>
        </is>
      </c>
      <c r="CD30" s="24" t="inlineStr">
        <is>
          <t>-1.066813</t>
        </is>
      </c>
      <c r="CE30" s="24" t="inlineStr">
        <is>
          <t>0.99</t>
        </is>
      </c>
      <c r="CF30" s="24" t="n"/>
      <c r="CG30" s="24" t="n"/>
      <c r="CH30" s="24" t="inlineStr">
        <is>
          <t>-2.04</t>
        </is>
      </c>
      <c r="CI30" s="24" t="n"/>
      <c r="CJ30" s="24" t="n"/>
      <c r="CK30" s="24" t="n"/>
      <c r="CL30" s="24" t="n"/>
      <c r="CM30" s="24" t="n"/>
      <c r="CN30" s="24" t="n"/>
      <c r="CO30" s="24" t="n"/>
    </row>
    <row r="31" ht="36" customHeight="1">
      <c r="A31" s="24" t="inlineStr">
        <is>
          <t>ca3330d623614926</t>
        </is>
      </c>
      <c r="B31" s="24" t="inlineStr">
        <is>
          <t>2026-07-25T23:04:33.291918Z</t>
        </is>
      </c>
      <c r="C31" s="24" t="inlineStr">
        <is>
          <t>2026-07-25T19:15:00-0400</t>
        </is>
      </c>
      <c r="D31" s="24" t="inlineStr">
        <is>
          <t>401816263</t>
        </is>
      </c>
      <c r="E31" s="24" t="inlineStr">
        <is>
          <t>MLB</t>
        </is>
      </c>
      <c r="F31" s="24" t="inlineStr">
        <is>
          <t>Seattle Mariners</t>
        </is>
      </c>
      <c r="G31" s="24" t="inlineStr">
        <is>
          <t>Texas Rangers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102</v>
      </c>
      <c r="M31" s="27" t="n">
        <v>2.02</v>
      </c>
      <c r="N31" s="28" t="n">
        <v>0.49505</v>
      </c>
      <c r="O31" s="28" t="n">
        <v>0.528938</v>
      </c>
      <c r="P31" s="28" t="n"/>
      <c r="Q31" s="28" t="n">
        <v>0.033888</v>
      </c>
      <c r="R31" s="26" t="n">
        <v>67</v>
      </c>
      <c r="S31" s="29" t="n">
        <v>0.75</v>
      </c>
      <c r="T31" s="24" t="inlineStr">
        <is>
          <t>mlb-elo-trend-lr-v6</t>
        </is>
      </c>
      <c r="U31" s="24" t="inlineStr">
        <is>
          <t>settled</t>
        </is>
      </c>
      <c r="V31" s="24" t="inlineStr">
        <is>
          <t>win</t>
        </is>
      </c>
      <c r="W31" s="26" t="n">
        <v>1</v>
      </c>
      <c r="X31" s="26" t="n">
        <v>7</v>
      </c>
      <c r="Y31" s="25" t="n"/>
      <c r="Z31" s="26" t="n"/>
      <c r="AA31" s="28" t="n"/>
      <c r="AB31" s="28" t="n"/>
      <c r="AC31" s="30" t="n">
        <v>0.765</v>
      </c>
      <c r="AD31" s="24" t="inlineStr">
        <is>
          <t>2026-07-26T03:34:02.680076Z</t>
        </is>
      </c>
      <c r="AE31" s="31" t="inlineStr">
        <is>
          <t>Learned LR call at threshold 0.5690; executable ask 0.4950 (aec-mlb-sea-tex-2026-07-25).</t>
        </is>
      </c>
      <c r="AF31" s="31" t="inlineStr">
        <is>
          <t>Learned model; promotion gate not yet open; zero-unit research until review.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NO_CALL_LOW_EDGE</t>
        </is>
      </c>
      <c r="AP31" s="24" t="inlineStr">
        <is>
          <t>mlb-sea</t>
        </is>
      </c>
      <c r="AQ31" s="24" t="inlineStr">
        <is>
          <t>Seattle Mariners</t>
        </is>
      </c>
      <c r="AR31" s="24" t="inlineStr">
        <is>
          <t>Seattle Mariners</t>
        </is>
      </c>
      <c r="AS31" s="24" t="inlineStr">
        <is>
          <t>mlb-tex</t>
        </is>
      </c>
      <c r="AT31" s="24" t="inlineStr">
        <is>
          <t>Texas Rangers</t>
        </is>
      </c>
      <c r="AU31" s="24" t="inlineStr">
        <is>
          <t>Texas Rangers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10a412e78306d1f4d1a66590dd7cd2087ed53520bfa3bb925889a6371153732f</t>
        </is>
      </c>
      <c r="BB31" s="24" t="inlineStr">
        <is>
          <t>learned_lr</t>
        </is>
      </c>
      <c r="BC31" s="24" t="inlineStr">
        <is>
          <t>mlb-elo-trend-lr-v6</t>
        </is>
      </c>
      <c r="BD31" s="24" t="inlineStr">
        <is>
          <t>10a412e78306d1f4d1a66590dd7cd2087ed53520bfa3bb925889a6371153732f</t>
        </is>
      </c>
      <c r="BE31" s="24" t="inlineStr">
        <is>
          <t>130172df1163a059</t>
        </is>
      </c>
      <c r="BF31" s="24" t="inlineStr">
        <is>
          <t>1</t>
        </is>
      </c>
      <c r="BG31" s="24" t="inlineStr">
        <is>
          <t>mlb-elo-trend-lr-v6</t>
        </is>
      </c>
      <c r="BH31" s="24" t="inlineStr">
        <is>
          <t>2026-07-25T22:50:13.568802Z</t>
        </is>
      </c>
      <c r="BI31" s="24" t="inlineStr">
        <is>
          <t>["same_event","same_team_same_day","same_league_same_day"]</t>
        </is>
      </c>
      <c r="BJ31" s="25" t="n"/>
      <c r="BK31" s="26" t="n">
        <v>102</v>
      </c>
      <c r="BL31" s="27" t="n">
        <v>2.02</v>
      </c>
      <c r="BM31" s="28" t="n">
        <v>0.49505</v>
      </c>
      <c r="BN31" s="28" t="n">
        <v>0.492537</v>
      </c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inlineStr">
        <is>
          <t>0.492334675</t>
        </is>
      </c>
      <c r="CD31" s="24" t="inlineStr">
        <is>
          <t>-0.43076</t>
        </is>
      </c>
      <c r="CE31" s="24" t="inlineStr">
        <is>
          <t>1.02</t>
        </is>
      </c>
      <c r="CF31" s="24" t="n"/>
      <c r="CG31" s="24" t="n"/>
      <c r="CH31" s="24" t="inlineStr">
        <is>
          <t>0.05</t>
        </is>
      </c>
      <c r="CI31" s="24" t="n"/>
      <c r="CJ31" s="24" t="n"/>
      <c r="CK31" s="24" t="n"/>
      <c r="CL31" s="24" t="n"/>
      <c r="CM31" s="24" t="n"/>
      <c r="CN31" s="24" t="n"/>
      <c r="CO31" s="24" t="n"/>
    </row>
    <row r="32" ht="36" customHeight="1">
      <c r="A32" s="24" t="inlineStr">
        <is>
          <t>6e22a33af453400a</t>
        </is>
      </c>
      <c r="B32" s="24" t="inlineStr">
        <is>
          <t>2026-07-26T12:48:45.878703Z</t>
        </is>
      </c>
      <c r="C32" s="24" t="inlineStr">
        <is>
          <t>2026-07-26T12:15:00-0400</t>
        </is>
      </c>
      <c r="D32" s="24" t="inlineStr">
        <is>
          <t>401816268</t>
        </is>
      </c>
      <c r="E32" s="24" t="inlineStr">
        <is>
          <t>MLB</t>
        </is>
      </c>
      <c r="F32" s="24" t="inlineStr">
        <is>
          <t>Cleveland Guardians</t>
        </is>
      </c>
      <c r="G32" s="24" t="inlineStr">
        <is>
          <t>Tampa Bay Rays</t>
        </is>
      </c>
      <c r="H32" s="24" t="inlineStr">
        <is>
          <t>moneyline</t>
        </is>
      </c>
      <c r="I32" s="24" t="inlineStr">
        <is>
          <t>away</t>
        </is>
      </c>
      <c r="J32" s="25" t="n"/>
      <c r="K32" s="24" t="inlineStr">
        <is>
          <t>polymarket_us</t>
        </is>
      </c>
      <c r="L32" s="26" t="n">
        <v>125</v>
      </c>
      <c r="M32" s="27" t="n">
        <v>2.25</v>
      </c>
      <c r="N32" s="28" t="n">
        <v>0.444444</v>
      </c>
      <c r="O32" s="28" t="n">
        <v>0.517361</v>
      </c>
      <c r="P32" s="28" t="n"/>
      <c r="Q32" s="28" t="n">
        <v>0.072917</v>
      </c>
      <c r="R32" s="26" t="n">
        <v>57</v>
      </c>
      <c r="S32" s="29" t="n">
        <v>0.75</v>
      </c>
      <c r="T32" s="24" t="inlineStr">
        <is>
          <t>mlb-elo-trend-lr-v6</t>
        </is>
      </c>
      <c r="U32" s="24" t="inlineStr">
        <is>
          <t>settled</t>
        </is>
      </c>
      <c r="V32" s="24" t="inlineStr">
        <is>
          <t>loss</t>
        </is>
      </c>
      <c r="W32" s="26" t="n">
        <v>0</v>
      </c>
      <c r="X32" s="26" t="n">
        <v>1</v>
      </c>
      <c r="Y32" s="25" t="n"/>
      <c r="Z32" s="26" t="n"/>
      <c r="AA32" s="28" t="n"/>
      <c r="AB32" s="28" t="n"/>
      <c r="AC32" s="30" t="n">
        <v>-0.75</v>
      </c>
      <c r="AD32" s="24" t="inlineStr">
        <is>
          <t>2026-07-26T18:25:19.272822Z</t>
        </is>
      </c>
      <c r="AE32" s="31" t="inlineStr">
        <is>
          <t>Learned LR call at threshold 0.5690; executable ask 0.4450 (aec-mlb-cle-tb-2026-07-26).</t>
        </is>
      </c>
      <c r="AF32" s="31" t="inlineStr">
        <is>
          <t>Learned model; promotion gate not yet open; zero-unit research until review.</t>
        </is>
      </c>
      <c r="AG32" s="24" t="inlineStr">
        <is>
          <t>review_required</t>
        </is>
      </c>
      <c r="AH32" s="24" t="n"/>
      <c r="AI32" s="31" t="n"/>
      <c r="AJ32" s="31" t="n"/>
      <c r="AK32" s="24" t="inlineStr">
        <is>
          <t>model_qualified</t>
        </is>
      </c>
      <c r="AL32" s="26" t="n">
        <v>3</v>
      </c>
      <c r="AM32" s="24" t="inlineStr">
        <is>
          <t>QUALIFIED_SHADOW_CALL</t>
        </is>
      </c>
      <c r="AN32" s="24" t="inlineStr">
        <is>
          <t>CALL</t>
        </is>
      </c>
      <c r="AO32" s="24" t="inlineStr">
        <is>
          <t>QUALIFIED</t>
        </is>
      </c>
      <c r="AP32" s="24" t="inlineStr">
        <is>
          <t>mlb-cle</t>
        </is>
      </c>
      <c r="AQ32" s="24" t="inlineStr">
        <is>
          <t>Cleveland Guardians</t>
        </is>
      </c>
      <c r="AR32" s="24" t="inlineStr">
        <is>
          <t>Cleveland Guardians</t>
        </is>
      </c>
      <c r="AS32" s="24" t="inlineStr">
        <is>
          <t>mlb-tb</t>
        </is>
      </c>
      <c r="AT32" s="24" t="inlineStr">
        <is>
          <t>Tampa Bay Rays</t>
        </is>
      </c>
      <c r="AU32" s="24" t="inlineStr">
        <is>
          <t>Tampa Bay Rays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10a412e78306d1f4d1a66590dd7cd2087ed53520bfa3bb925889a6371153732f</t>
        </is>
      </c>
      <c r="BB32" s="24" t="inlineStr">
        <is>
          <t>learned_lr</t>
        </is>
      </c>
      <c r="BC32" s="24" t="inlineStr">
        <is>
          <t>mlb-elo-trend-lr-v6</t>
        </is>
      </c>
      <c r="BD32" s="24" t="inlineStr">
        <is>
          <t>10a412e78306d1f4d1a66590dd7cd2087ed53520bfa3bb925889a6371153732f</t>
        </is>
      </c>
      <c r="BE32" s="24" t="inlineStr">
        <is>
          <t>c5ef23c568ffe4c5</t>
        </is>
      </c>
      <c r="BF32" s="24" t="inlineStr">
        <is>
          <t>1</t>
        </is>
      </c>
      <c r="BG32" s="24" t="inlineStr">
        <is>
          <t>mlb-elo-trend-lr-v6</t>
        </is>
      </c>
      <c r="BH32" s="24" t="inlineStr">
        <is>
          <t>2026-07-26T12:45:21.769042Z</t>
        </is>
      </c>
      <c r="BI32" s="24" t="inlineStr">
        <is>
          <t>["same_event","same_team_same_day","same_league_same_day"]</t>
        </is>
      </c>
      <c r="BJ32" s="25" t="n"/>
      <c r="BK32" s="26" t="n">
        <v>125</v>
      </c>
      <c r="BL32" s="27" t="n">
        <v>2.25</v>
      </c>
      <c r="BM32" s="28" t="n">
        <v>0.444444</v>
      </c>
      <c r="BN32" s="28" t="n">
        <v>0.442786</v>
      </c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inlineStr">
        <is>
          <t>0.5498194022</t>
        </is>
      </c>
      <c r="CD32" s="24" t="inlineStr">
        <is>
          <t>0.593127</t>
        </is>
      </c>
      <c r="CE32" s="24" t="inlineStr">
        <is>
          <t>0.96</t>
        </is>
      </c>
      <c r="CF32" s="24" t="n"/>
      <c r="CG32" s="24" t="n"/>
      <c r="CH32" s="24" t="inlineStr">
        <is>
          <t>0.6</t>
        </is>
      </c>
      <c r="CI32" s="24" t="n"/>
      <c r="CJ32" s="24" t="n"/>
      <c r="CK32" s="24" t="n"/>
      <c r="CL32" s="24" t="n"/>
      <c r="CM32" s="24" t="n"/>
      <c r="CN32" s="24" t="n"/>
      <c r="CO32" s="24" t="n"/>
    </row>
    <row r="33" ht="36" customHeight="1">
      <c r="A33" s="24" t="inlineStr">
        <is>
          <t>09a1ceefea134e39</t>
        </is>
      </c>
      <c r="B33" s="24" t="inlineStr">
        <is>
          <t>2026-07-26T12:48:45.878703Z</t>
        </is>
      </c>
      <c r="C33" s="24" t="inlineStr">
        <is>
          <t>2026-07-26T13:35:00-0400</t>
        </is>
      </c>
      <c r="D33" s="24" t="inlineStr">
        <is>
          <t>401816265</t>
        </is>
      </c>
      <c r="E33" s="24" t="inlineStr">
        <is>
          <t>MLB</t>
        </is>
      </c>
      <c r="F33" s="24" t="inlineStr">
        <is>
          <t>Arizona Diamondbacks</t>
        </is>
      </c>
      <c r="G33" s="24" t="inlineStr">
        <is>
          <t>Washington Nationals</t>
        </is>
      </c>
      <c r="H33" s="24" t="inlineStr">
        <is>
          <t>moneyline</t>
        </is>
      </c>
      <c r="I33" s="24" t="inlineStr">
        <is>
          <t>away</t>
        </is>
      </c>
      <c r="J33" s="25" t="n"/>
      <c r="K33" s="24" t="inlineStr">
        <is>
          <t>polymarket_us</t>
        </is>
      </c>
      <c r="L33" s="26" t="n">
        <v>-111</v>
      </c>
      <c r="M33" s="27" t="n">
        <v>1.900901</v>
      </c>
      <c r="N33" s="28" t="n">
        <v>0.526066</v>
      </c>
      <c r="O33" s="28" t="n">
        <v>0.709483</v>
      </c>
      <c r="P33" s="28" t="n"/>
      <c r="Q33" s="28" t="n">
        <v>0.183417</v>
      </c>
      <c r="R33" s="26" t="n">
        <v>100</v>
      </c>
      <c r="S33" s="29" t="n">
        <v>2</v>
      </c>
      <c r="T33" s="24" t="inlineStr">
        <is>
          <t>mlb-elo-trend-lr-v6</t>
        </is>
      </c>
      <c r="U33" s="24" t="inlineStr">
        <is>
          <t>settled</t>
        </is>
      </c>
      <c r="V33" s="24" t="inlineStr">
        <is>
          <t>loss</t>
        </is>
      </c>
      <c r="W33" s="26" t="n">
        <v>7</v>
      </c>
      <c r="X33" s="26" t="n">
        <v>10</v>
      </c>
      <c r="Y33" s="25" t="n"/>
      <c r="Z33" s="26" t="n"/>
      <c r="AA33" s="28" t="n"/>
      <c r="AB33" s="28" t="n"/>
      <c r="AC33" s="30" t="n">
        <v>-2</v>
      </c>
      <c r="AD33" s="24" t="inlineStr">
        <is>
          <t>2026-07-27T01:51:54.797262Z</t>
        </is>
      </c>
      <c r="AE33" s="31" t="inlineStr">
        <is>
          <t>Learned LR call at threshold 0.5690; executable ask 0.5250 (aec-mlb-az-wsh-2026-07-26).</t>
        </is>
      </c>
      <c r="AF33" s="31" t="inlineStr">
        <is>
          <t>Learned model; promotion gate not yet open; zero-unit research until review.</t>
        </is>
      </c>
      <c r="AG33" s="24" t="inlineStr">
        <is>
          <t>review_required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mlb-ari</t>
        </is>
      </c>
      <c r="AQ33" s="24" t="inlineStr">
        <is>
          <t>Arizona Diamondbacks</t>
        </is>
      </c>
      <c r="AR33" s="24" t="inlineStr">
        <is>
          <t>Arizona Diamondbacks</t>
        </is>
      </c>
      <c r="AS33" s="24" t="inlineStr">
        <is>
          <t>mlb-wsh</t>
        </is>
      </c>
      <c r="AT33" s="24" t="inlineStr">
        <is>
          <t>Washington Nationals</t>
        </is>
      </c>
      <c r="AU33" s="24" t="inlineStr">
        <is>
          <t>Washington Nationals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10a412e78306d1f4d1a66590dd7cd2087ed53520bfa3bb925889a6371153732f</t>
        </is>
      </c>
      <c r="BB33" s="24" t="inlineStr">
        <is>
          <t>learned_lr</t>
        </is>
      </c>
      <c r="BC33" s="24" t="inlineStr">
        <is>
          <t>mlb-elo-trend-lr-v6</t>
        </is>
      </c>
      <c r="BD33" s="24" t="inlineStr">
        <is>
          <t>10a412e78306d1f4d1a66590dd7cd2087ed53520bfa3bb925889a6371153732f</t>
        </is>
      </c>
      <c r="BE33" s="24" t="inlineStr">
        <is>
          <t>e06933348ee1d73e</t>
        </is>
      </c>
      <c r="BF33" s="24" t="inlineStr">
        <is>
          <t>1</t>
        </is>
      </c>
      <c r="BG33" s="24" t="inlineStr">
        <is>
          <t>mlb-elo-trend-lr-v6</t>
        </is>
      </c>
      <c r="BH33" s="24" t="inlineStr">
        <is>
          <t>2026-07-26T12:45:26.806731Z</t>
        </is>
      </c>
      <c r="BI33" s="24" t="inlineStr">
        <is>
          <t>["same_event","same_team_same_day","same_league_same_day"]</t>
        </is>
      </c>
      <c r="BJ33" s="25" t="n"/>
      <c r="BK33" s="26" t="n">
        <v>-111</v>
      </c>
      <c r="BL33" s="27" t="n">
        <v>1.900901</v>
      </c>
      <c r="BM33" s="28" t="n">
        <v>0.526066</v>
      </c>
      <c r="BN33" s="28" t="n">
        <v>0.522388</v>
      </c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inlineStr">
        <is>
          <t>0.4832709168</t>
        </is>
      </c>
      <c r="CD33" s="24" t="inlineStr">
        <is>
          <t>-1.557247</t>
        </is>
      </c>
      <c r="CE33" s="24" t="inlineStr">
        <is>
          <t>1.0</t>
        </is>
      </c>
      <c r="CF33" s="24" t="n"/>
      <c r="CG33" s="24" t="n"/>
      <c r="CH33" s="24" t="inlineStr">
        <is>
          <t>3.8</t>
        </is>
      </c>
      <c r="CI33" s="24" t="n"/>
      <c r="CJ33" s="24" t="n"/>
      <c r="CK33" s="24" t="n"/>
      <c r="CL33" s="24" t="n"/>
      <c r="CM33" s="24" t="n"/>
      <c r="CN33" s="24" t="n"/>
      <c r="CO33" s="24" t="n"/>
    </row>
    <row r="34" ht="36" customHeight="1">
      <c r="A34" s="24" t="inlineStr">
        <is>
          <t>e6bcde5dcbf54ff4</t>
        </is>
      </c>
      <c r="B34" s="24" t="inlineStr">
        <is>
          <t>2026-07-26T12:48:45.878703Z</t>
        </is>
      </c>
      <c r="C34" s="24" t="inlineStr">
        <is>
          <t>2026-07-26T13:35:00-0400</t>
        </is>
      </c>
      <c r="D34" s="24" t="inlineStr">
        <is>
          <t>401816266</t>
        </is>
      </c>
      <c r="E34" s="24" t="inlineStr">
        <is>
          <t>MLB</t>
        </is>
      </c>
      <c r="F34" s="24" t="inlineStr">
        <is>
          <t>Atlanta Braves</t>
        </is>
      </c>
      <c r="G34" s="24" t="inlineStr">
        <is>
          <t>Baltimore Orioles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-102</v>
      </c>
      <c r="M34" s="27" t="n">
        <v>1.980392</v>
      </c>
      <c r="N34" s="28" t="n">
        <v>0.50495</v>
      </c>
      <c r="O34" s="28" t="n">
        <v>0.534238</v>
      </c>
      <c r="P34" s="28" t="n"/>
      <c r="Q34" s="28" t="n">
        <v>0.029288</v>
      </c>
      <c r="R34" s="26" t="n">
        <v>36</v>
      </c>
      <c r="S34" s="29" t="n">
        <v>0.75</v>
      </c>
      <c r="T34" s="24" t="inlineStr">
        <is>
          <t>mlb-elo-trend-lr-v6</t>
        </is>
      </c>
      <c r="U34" s="24" t="inlineStr">
        <is>
          <t>settled</t>
        </is>
      </c>
      <c r="V34" s="24" t="inlineStr">
        <is>
          <t>loss</t>
        </is>
      </c>
      <c r="W34" s="26" t="n">
        <v>3</v>
      </c>
      <c r="X34" s="26" t="n">
        <v>2</v>
      </c>
      <c r="Y34" s="25" t="n"/>
      <c r="Z34" s="26" t="n"/>
      <c r="AA34" s="28" t="n"/>
      <c r="AB34" s="28" t="n"/>
      <c r="AC34" s="30" t="n">
        <v>-0.75</v>
      </c>
      <c r="AD34" s="24" t="inlineStr">
        <is>
          <t>2026-07-27T01:51:55.204048Z</t>
        </is>
      </c>
      <c r="AE34" s="31" t="inlineStr">
        <is>
          <t>Learned LR call at threshold 0.5690; executable ask 0.5050 (aec-mlb-atl-bal-2026-07-26).</t>
        </is>
      </c>
      <c r="AF34" s="31" t="inlineStr">
        <is>
          <t>Learned model; promotion gate not yet open; zero-unit research until review.</t>
        </is>
      </c>
      <c r="AG34" s="24" t="inlineStr">
        <is>
          <t>review_required</t>
        </is>
      </c>
      <c r="AH34" s="24" t="n"/>
      <c r="AI34" s="31" t="n"/>
      <c r="AJ34" s="31" t="n"/>
      <c r="AK34" s="24" t="inlineStr">
        <is>
          <t>model_qualified</t>
        </is>
      </c>
      <c r="AL34" s="26" t="n">
        <v>3</v>
      </c>
      <c r="AM34" s="24" t="inlineStr">
        <is>
          <t>QUALIFIED_SHADOW_CALL</t>
        </is>
      </c>
      <c r="AN34" s="24" t="inlineStr">
        <is>
          <t>CALL</t>
        </is>
      </c>
      <c r="AO34" s="24" t="inlineStr">
        <is>
          <t>QUALIFIED</t>
        </is>
      </c>
      <c r="AP34" s="24" t="inlineStr">
        <is>
          <t>mlb-atl</t>
        </is>
      </c>
      <c r="AQ34" s="24" t="inlineStr">
        <is>
          <t>Atlanta Braves</t>
        </is>
      </c>
      <c r="AR34" s="24" t="inlineStr">
        <is>
          <t>Atlanta Braves</t>
        </is>
      </c>
      <c r="AS34" s="24" t="inlineStr">
        <is>
          <t>mlb-bal</t>
        </is>
      </c>
      <c r="AT34" s="24" t="inlineStr">
        <is>
          <t>Baltimore Orioles</t>
        </is>
      </c>
      <c r="AU34" s="24" t="inlineStr">
        <is>
          <t>Baltimore Orioles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10a412e78306d1f4d1a66590dd7cd2087ed53520bfa3bb925889a6371153732f</t>
        </is>
      </c>
      <c r="BB34" s="24" t="inlineStr">
        <is>
          <t>learned_lr</t>
        </is>
      </c>
      <c r="BC34" s="24" t="inlineStr">
        <is>
          <t>mlb-elo-trend-lr-v6</t>
        </is>
      </c>
      <c r="BD34" s="24" t="inlineStr">
        <is>
          <t>10a412e78306d1f4d1a66590dd7cd2087ed53520bfa3bb925889a6371153732f</t>
        </is>
      </c>
      <c r="BE34" s="24" t="inlineStr">
        <is>
          <t>02c2231f4040c432</t>
        </is>
      </c>
      <c r="BF34" s="24" t="inlineStr">
        <is>
          <t>1</t>
        </is>
      </c>
      <c r="BG34" s="24" t="inlineStr">
        <is>
          <t>mlb-elo-trend-lr-v6</t>
        </is>
      </c>
      <c r="BH34" s="24" t="inlineStr">
        <is>
          <t>2026-07-26T12:45:27.980422Z</t>
        </is>
      </c>
      <c r="BI34" s="24" t="inlineStr">
        <is>
          <t>["same_event","same_team_same_day","same_league_same_day"]</t>
        </is>
      </c>
      <c r="BJ34" s="25" t="n"/>
      <c r="BK34" s="26" t="n">
        <v>-102</v>
      </c>
      <c r="BL34" s="27" t="n">
        <v>1.980392</v>
      </c>
      <c r="BM34" s="28" t="n">
        <v>0.50495</v>
      </c>
      <c r="BN34" s="28" t="n">
        <v>0.502488</v>
      </c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inlineStr">
        <is>
          <t>0.4805983803</t>
        </is>
      </c>
      <c r="CD34" s="24" t="inlineStr">
        <is>
          <t>-1.06997</t>
        </is>
      </c>
      <c r="CE34" s="24" t="inlineStr">
        <is>
          <t>1.01</t>
        </is>
      </c>
      <c r="CF34" s="24" t="n"/>
      <c r="CG34" s="24" t="n"/>
      <c r="CH34" s="24" t="inlineStr">
        <is>
          <t>0.1</t>
        </is>
      </c>
      <c r="CI34" s="24" t="n"/>
      <c r="CJ34" s="24" t="n"/>
      <c r="CK34" s="24" t="n"/>
      <c r="CL34" s="24" t="n"/>
      <c r="CM34" s="24" t="n"/>
      <c r="CN34" s="24" t="n"/>
      <c r="CO34" s="24" t="n"/>
    </row>
    <row r="35" ht="36" customHeight="1">
      <c r="A35" s="24" t="inlineStr">
        <is>
          <t>4e058a3c359349f6</t>
        </is>
      </c>
      <c r="B35" s="24" t="inlineStr">
        <is>
          <t>2026-07-26T12:48:45.878703Z</t>
        </is>
      </c>
      <c r="C35" s="24" t="inlineStr">
        <is>
          <t>2026-07-26T13:35:00-0400</t>
        </is>
      </c>
      <c r="D35" s="24" t="inlineStr">
        <is>
          <t>401816267</t>
        </is>
      </c>
      <c r="E35" s="24" t="inlineStr">
        <is>
          <t>MLB</t>
        </is>
      </c>
      <c r="F35" s="24" t="inlineStr">
        <is>
          <t>Chicago Cubs</t>
        </is>
      </c>
      <c r="G35" s="24" t="inlineStr">
        <is>
          <t>Pittsburgh Pirates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-120</v>
      </c>
      <c r="M35" s="27" t="n">
        <v>1.833333</v>
      </c>
      <c r="N35" s="28" t="n">
        <v>0.545455</v>
      </c>
      <c r="O35" s="28" t="n">
        <v>0.631521</v>
      </c>
      <c r="P35" s="28" t="n"/>
      <c r="Q35" s="28" t="n">
        <v>0.086066</v>
      </c>
      <c r="R35" s="26" t="n">
        <v>65</v>
      </c>
      <c r="S35" s="29" t="n">
        <v>1.75</v>
      </c>
      <c r="T35" s="24" t="inlineStr">
        <is>
          <t>mlb-elo-trend-lr-v6</t>
        </is>
      </c>
      <c r="U35" s="24" t="inlineStr">
        <is>
          <t>settled</t>
        </is>
      </c>
      <c r="V35" s="24" t="inlineStr">
        <is>
          <t>win</t>
        </is>
      </c>
      <c r="W35" s="26" t="n">
        <v>7</v>
      </c>
      <c r="X35" s="26" t="n">
        <v>8</v>
      </c>
      <c r="Y35" s="25" t="n"/>
      <c r="Z35" s="26" t="n"/>
      <c r="AA35" s="28" t="n"/>
      <c r="AB35" s="28" t="n"/>
      <c r="AC35" s="30" t="n">
        <v>1.4583</v>
      </c>
      <c r="AD35" s="24" t="inlineStr">
        <is>
          <t>2026-07-27T01:51:55.611588Z</t>
        </is>
      </c>
      <c r="AE35" s="31" t="inlineStr">
        <is>
          <t>Learned LR call at threshold 0.5690; executable ask 0.5450 (aec-mlb-chc-pit-2026-07-26).</t>
        </is>
      </c>
      <c r="AF35" s="31" t="inlineStr">
        <is>
          <t>Learned model; promotion gate not yet open; zero-unit research until review.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model_qualified</t>
        </is>
      </c>
      <c r="AL35" s="26" t="n">
        <v>3</v>
      </c>
      <c r="AM35" s="24" t="inlineStr">
        <is>
          <t>QUALIFIED_SHADOW_CALL</t>
        </is>
      </c>
      <c r="AN35" s="24" t="inlineStr">
        <is>
          <t>CALL</t>
        </is>
      </c>
      <c r="AO35" s="24" t="inlineStr">
        <is>
          <t>QUALIFIED</t>
        </is>
      </c>
      <c r="AP35" s="24" t="inlineStr">
        <is>
          <t>mlb-chc</t>
        </is>
      </c>
      <c r="AQ35" s="24" t="inlineStr">
        <is>
          <t>Chicago Cubs</t>
        </is>
      </c>
      <c r="AR35" s="24" t="inlineStr">
        <is>
          <t>Chicago Cubs</t>
        </is>
      </c>
      <c r="AS35" s="24" t="inlineStr">
        <is>
          <t>mlb-pit</t>
        </is>
      </c>
      <c r="AT35" s="24" t="inlineStr">
        <is>
          <t>Pittsburgh Pirates</t>
        </is>
      </c>
      <c r="AU35" s="24" t="inlineStr">
        <is>
          <t>Pittsburgh Pirates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10a412e78306d1f4d1a66590dd7cd2087ed53520bfa3bb925889a6371153732f</t>
        </is>
      </c>
      <c r="BB35" s="24" t="inlineStr">
        <is>
          <t>learned_lr</t>
        </is>
      </c>
      <c r="BC35" s="24" t="inlineStr">
        <is>
          <t>mlb-elo-trend-lr-v6</t>
        </is>
      </c>
      <c r="BD35" s="24" t="inlineStr">
        <is>
          <t>10a412e78306d1f4d1a66590dd7cd2087ed53520bfa3bb925889a6371153732f</t>
        </is>
      </c>
      <c r="BE35" s="24" t="inlineStr">
        <is>
          <t>db34c66819f2c034</t>
        </is>
      </c>
      <c r="BF35" s="24" t="inlineStr">
        <is>
          <t>1</t>
        </is>
      </c>
      <c r="BG35" s="24" t="inlineStr">
        <is>
          <t>mlb-elo-trend-lr-v6</t>
        </is>
      </c>
      <c r="BH35" s="24" t="inlineStr">
        <is>
          <t>2026-07-26T12:45:25.302203Z</t>
        </is>
      </c>
      <c r="BI35" s="24" t="inlineStr">
        <is>
          <t>["same_event","same_team_same_day","same_league_same_day"]</t>
        </is>
      </c>
      <c r="BJ35" s="25" t="n"/>
      <c r="BK35" s="26" t="n">
        <v>-120</v>
      </c>
      <c r="BL35" s="27" t="n">
        <v>1.833333</v>
      </c>
      <c r="BM35" s="28" t="n">
        <v>0.545455</v>
      </c>
      <c r="BN35" s="28" t="n">
        <v>0.542289</v>
      </c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inlineStr">
        <is>
          <t>0.4912443015</t>
        </is>
      </c>
      <c r="CD35" s="24" t="inlineStr">
        <is>
          <t>-0.326562</t>
        </is>
      </c>
      <c r="CE35" s="24" t="inlineStr">
        <is>
          <t>1.0</t>
        </is>
      </c>
      <c r="CF35" s="24" t="n"/>
      <c r="CG35" s="24" t="n"/>
      <c r="CH35" s="24" t="inlineStr">
        <is>
          <t>-1.43</t>
        </is>
      </c>
      <c r="CI35" s="24" t="n"/>
      <c r="CJ35" s="24" t="n"/>
      <c r="CK35" s="24" t="n"/>
      <c r="CL35" s="24" t="n"/>
      <c r="CM35" s="24" t="n"/>
      <c r="CN35" s="24" t="n"/>
      <c r="CO35" s="24" t="n"/>
    </row>
    <row r="36" ht="36" customHeight="1">
      <c r="A36" s="24" t="inlineStr">
        <is>
          <t>02ff8fdc1dd540ed</t>
        </is>
      </c>
      <c r="B36" s="24" t="inlineStr">
        <is>
          <t>2026-07-26T12:48:45.878703Z</t>
        </is>
      </c>
      <c r="C36" s="24" t="inlineStr">
        <is>
          <t>2026-07-26T13:35:00-0400</t>
        </is>
      </c>
      <c r="D36" s="24" t="inlineStr">
        <is>
          <t>401816273</t>
        </is>
      </c>
      <c r="E36" s="24" t="inlineStr">
        <is>
          <t>MLB</t>
        </is>
      </c>
      <c r="F36" s="24" t="inlineStr">
        <is>
          <t>Toronto Blue Jays</t>
        </is>
      </c>
      <c r="G36" s="24" t="inlineStr">
        <is>
          <t>Boston Red Sox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-133</v>
      </c>
      <c r="M36" s="27" t="n">
        <v>1.75188</v>
      </c>
      <c r="N36" s="28" t="n">
        <v>0.570815</v>
      </c>
      <c r="O36" s="28" t="n">
        <v>0.609142</v>
      </c>
      <c r="P36" s="28" t="n"/>
      <c r="Q36" s="28" t="n">
        <v>0.038327</v>
      </c>
      <c r="R36" s="26" t="n">
        <v>41</v>
      </c>
      <c r="S36" s="29" t="n">
        <v>1.5</v>
      </c>
      <c r="T36" s="24" t="inlineStr">
        <is>
          <t>mlb-elo-trend-lr-v6</t>
        </is>
      </c>
      <c r="U36" s="24" t="inlineStr">
        <is>
          <t>settled</t>
        </is>
      </c>
      <c r="V36" s="24" t="inlineStr">
        <is>
          <t>win</t>
        </is>
      </c>
      <c r="W36" s="26" t="n">
        <v>1</v>
      </c>
      <c r="X36" s="26" t="n">
        <v>6</v>
      </c>
      <c r="Y36" s="25" t="n"/>
      <c r="Z36" s="26" t="n"/>
      <c r="AA36" s="28" t="n"/>
      <c r="AB36" s="28" t="n"/>
      <c r="AC36" s="30" t="n">
        <v>1.1278</v>
      </c>
      <c r="AD36" s="24" t="inlineStr">
        <is>
          <t>2026-07-27T01:51:55.965621Z</t>
        </is>
      </c>
      <c r="AE36" s="31" t="inlineStr">
        <is>
          <t>Learned LR call at threshold 0.5690; executable ask 0.5700 (aec-mlb-tor-bos-2026-07-26).</t>
        </is>
      </c>
      <c r="AF36" s="31" t="inlineStr">
        <is>
          <t>Learned model; promotion gate not yet open; zero-unit research until review.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model_qualified</t>
        </is>
      </c>
      <c r="AL36" s="26" t="n">
        <v>3</v>
      </c>
      <c r="AM36" s="24" t="inlineStr">
        <is>
          <t>QUALIFIED_SHADOW_CALL</t>
        </is>
      </c>
      <c r="AN36" s="24" t="inlineStr">
        <is>
          <t>CALL</t>
        </is>
      </c>
      <c r="AO36" s="24" t="inlineStr">
        <is>
          <t>QUALIFIED</t>
        </is>
      </c>
      <c r="AP36" s="24" t="inlineStr">
        <is>
          <t>mlb-tor</t>
        </is>
      </c>
      <c r="AQ36" s="24" t="inlineStr">
        <is>
          <t>Toronto Blue Jays</t>
        </is>
      </c>
      <c r="AR36" s="24" t="inlineStr">
        <is>
          <t>Toronto Blue Jays</t>
        </is>
      </c>
      <c r="AS36" s="24" t="inlineStr">
        <is>
          <t>mlb-bos</t>
        </is>
      </c>
      <c r="AT36" s="24" t="inlineStr">
        <is>
          <t>Boston Red Sox</t>
        </is>
      </c>
      <c r="AU36" s="24" t="inlineStr">
        <is>
          <t>Boston Red Sox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10a412e78306d1f4d1a66590dd7cd2087ed53520bfa3bb925889a6371153732f</t>
        </is>
      </c>
      <c r="BB36" s="24" t="inlineStr">
        <is>
          <t>learned_lr</t>
        </is>
      </c>
      <c r="BC36" s="24" t="inlineStr">
        <is>
          <t>mlb-elo-trend-lr-v6</t>
        </is>
      </c>
      <c r="BD36" s="24" t="inlineStr">
        <is>
          <t>10a412e78306d1f4d1a66590dd7cd2087ed53520bfa3bb925889a6371153732f</t>
        </is>
      </c>
      <c r="BE36" s="24" t="inlineStr">
        <is>
          <t>617498b239035ded</t>
        </is>
      </c>
      <c r="BF36" s="24" t="inlineStr">
        <is>
          <t>1</t>
        </is>
      </c>
      <c r="BG36" s="24" t="inlineStr">
        <is>
          <t>mlb-elo-trend-lr-v6</t>
        </is>
      </c>
      <c r="BH36" s="24" t="inlineStr">
        <is>
          <t>2026-07-26T12:45:23.647339Z</t>
        </is>
      </c>
      <c r="BI36" s="24" t="inlineStr">
        <is>
          <t>["same_event","same_team_same_day","same_league_same_day"]</t>
        </is>
      </c>
      <c r="BJ36" s="25" t="n"/>
      <c r="BK36" s="26" t="n">
        <v>-133</v>
      </c>
      <c r="BL36" s="27" t="n">
        <v>1.75188</v>
      </c>
      <c r="BM36" s="28" t="n">
        <v>0.570815</v>
      </c>
      <c r="BN36" s="28" t="n">
        <v>0.567164</v>
      </c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inlineStr">
        <is>
          <t>0.6098870035</t>
        </is>
      </c>
      <c r="CD36" s="24" t="inlineStr">
        <is>
          <t>1.431426</t>
        </is>
      </c>
      <c r="CE36" s="24" t="inlineStr">
        <is>
          <t>1.04</t>
        </is>
      </c>
      <c r="CF36" s="24" t="n"/>
      <c r="CG36" s="24" t="n"/>
      <c r="CH36" s="24" t="inlineStr">
        <is>
          <t>-1.36</t>
        </is>
      </c>
      <c r="CI36" s="24" t="n"/>
      <c r="CJ36" s="24" t="n"/>
      <c r="CK36" s="24" t="n"/>
      <c r="CL36" s="24" t="n"/>
      <c r="CM36" s="24" t="n"/>
      <c r="CN36" s="24" t="n"/>
      <c r="CO36" s="24" t="n"/>
    </row>
    <row r="37" ht="36" customHeight="1">
      <c r="A37" s="24" t="inlineStr">
        <is>
          <t>67109b31a47c4754</t>
        </is>
      </c>
      <c r="B37" s="24" t="inlineStr">
        <is>
          <t>2026-07-26T12:48:45.878703Z</t>
        </is>
      </c>
      <c r="C37" s="24" t="inlineStr">
        <is>
          <t>2026-07-26T13:40:00-0400</t>
        </is>
      </c>
      <c r="D37" s="24" t="inlineStr">
        <is>
          <t>401816269</t>
        </is>
      </c>
      <c r="E37" s="24" t="inlineStr">
        <is>
          <t>MLB</t>
        </is>
      </c>
      <c r="F37" s="24" t="inlineStr">
        <is>
          <t>Kansas City Royals</t>
        </is>
      </c>
      <c r="G37" s="24" t="inlineStr">
        <is>
          <t>Detroit Tigers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-174</v>
      </c>
      <c r="M37" s="27" t="n">
        <v>1.574713</v>
      </c>
      <c r="N37" s="28" t="n">
        <v>0.635036</v>
      </c>
      <c r="O37" s="28" t="n">
        <v>0.550399</v>
      </c>
      <c r="P37" s="28" t="n"/>
      <c r="Q37" s="28" t="n">
        <v>-0.084637</v>
      </c>
      <c r="R37" s="26" t="n">
        <v>0</v>
      </c>
      <c r="S37" s="29" t="n">
        <v>1</v>
      </c>
      <c r="T37" s="24" t="inlineStr">
        <is>
          <t>mlb-elo-trend-lr-v6</t>
        </is>
      </c>
      <c r="U37" s="24" t="inlineStr">
        <is>
          <t>settled</t>
        </is>
      </c>
      <c r="V37" s="24" t="inlineStr">
        <is>
          <t>loss</t>
        </is>
      </c>
      <c r="W37" s="26" t="n">
        <v>5</v>
      </c>
      <c r="X37" s="26" t="n">
        <v>4</v>
      </c>
      <c r="Y37" s="25" t="n"/>
      <c r="Z37" s="26" t="n"/>
      <c r="AA37" s="28" t="n"/>
      <c r="AB37" s="28" t="n"/>
      <c r="AC37" s="30" t="n">
        <v>-1</v>
      </c>
      <c r="AD37" s="24" t="inlineStr">
        <is>
          <t>2026-07-27T01:51:56.652959Z</t>
        </is>
      </c>
      <c r="AE37" s="31" t="inlineStr">
        <is>
          <t>Learned LR call at threshold 0.5690; executable ask 0.6350 (aec-mlb-kc-det-2026-07-26).</t>
        </is>
      </c>
      <c r="AF37" s="31" t="inlineStr">
        <is>
          <t>Learned model; promotion gate not yet open; zero-unit research until review.</t>
        </is>
      </c>
      <c r="AG37" s="24" t="inlineStr">
        <is>
          <t>review_required</t>
        </is>
      </c>
      <c r="AH37" s="24" t="n"/>
      <c r="AI37" s="31" t="n"/>
      <c r="AJ37" s="31" t="n"/>
      <c r="AK37" s="24" t="inlineStr">
        <is>
          <t>model_qualified</t>
        </is>
      </c>
      <c r="AL37" s="26" t="n">
        <v>3</v>
      </c>
      <c r="AM37" s="24" t="inlineStr">
        <is>
          <t>QUALIFIED_SHADOW_CALL</t>
        </is>
      </c>
      <c r="AN37" s="24" t="inlineStr">
        <is>
          <t>CALL</t>
        </is>
      </c>
      <c r="AO37" s="24" t="inlineStr">
        <is>
          <t>QUALIFIED</t>
        </is>
      </c>
      <c r="AP37" s="24" t="inlineStr">
        <is>
          <t>mlb-kc</t>
        </is>
      </c>
      <c r="AQ37" s="24" t="inlineStr">
        <is>
          <t>Kansas City Royals</t>
        </is>
      </c>
      <c r="AR37" s="24" t="inlineStr">
        <is>
          <t>Kansas City Royals</t>
        </is>
      </c>
      <c r="AS37" s="24" t="inlineStr">
        <is>
          <t>mlb-det</t>
        </is>
      </c>
      <c r="AT37" s="24" t="inlineStr">
        <is>
          <t>Detroit Tigers</t>
        </is>
      </c>
      <c r="AU37" s="24" t="inlineStr">
        <is>
          <t>Detroit Tigers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10a412e78306d1f4d1a66590dd7cd2087ed53520bfa3bb925889a6371153732f</t>
        </is>
      </c>
      <c r="BB37" s="24" t="inlineStr">
        <is>
          <t>learned_lr</t>
        </is>
      </c>
      <c r="BC37" s="24" t="inlineStr">
        <is>
          <t>mlb-elo-trend-lr-v6</t>
        </is>
      </c>
      <c r="BD37" s="24" t="inlineStr">
        <is>
          <t>10a412e78306d1f4d1a66590dd7cd2087ed53520bfa3bb925889a6371153732f</t>
        </is>
      </c>
      <c r="BE37" s="24" t="inlineStr">
        <is>
          <t>ab13ade7b58c9aa8</t>
        </is>
      </c>
      <c r="BF37" s="24" t="inlineStr">
        <is>
          <t>1</t>
        </is>
      </c>
      <c r="BG37" s="24" t="inlineStr">
        <is>
          <t>mlb-elo-trend-lr-v6</t>
        </is>
      </c>
      <c r="BH37" s="24" t="inlineStr">
        <is>
          <t>2026-07-26T12:45:29.765826Z</t>
        </is>
      </c>
      <c r="BI37" s="24" t="inlineStr">
        <is>
          <t>["same_event","same_team_same_day","same_league_same_day"]</t>
        </is>
      </c>
      <c r="BJ37" s="25" t="n"/>
      <c r="BK37" s="26" t="n">
        <v>-174</v>
      </c>
      <c r="BL37" s="27" t="n">
        <v>1.574713</v>
      </c>
      <c r="BM37" s="28" t="n">
        <v>0.635036</v>
      </c>
      <c r="BN37" s="28" t="n">
        <v>0.631841</v>
      </c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inlineStr">
        <is>
          <t>0.6075687895</t>
        </is>
      </c>
      <c r="CD37" s="24" t="inlineStr">
        <is>
          <t>0.526674</t>
        </is>
      </c>
      <c r="CE37" s="24" t="inlineStr">
        <is>
          <t>0.98</t>
        </is>
      </c>
      <c r="CF37" s="24" t="n"/>
      <c r="CG37" s="24" t="n"/>
      <c r="CH37" s="24" t="inlineStr">
        <is>
          <t>-0.29</t>
        </is>
      </c>
      <c r="CI37" s="24" t="n"/>
      <c r="CJ37" s="24" t="n"/>
      <c r="CK37" s="24" t="n"/>
      <c r="CL37" s="24" t="n"/>
      <c r="CM37" s="24" t="n"/>
      <c r="CN37" s="24" t="n"/>
      <c r="CO37" s="24" t="n"/>
    </row>
    <row r="38" ht="36" customHeight="1">
      <c r="A38" s="24" t="inlineStr">
        <is>
          <t>b263f0dc47df4609</t>
        </is>
      </c>
      <c r="B38" s="24" t="inlineStr">
        <is>
          <t>2026-07-26T12:48:45.878703Z</t>
        </is>
      </c>
      <c r="C38" s="24" t="inlineStr">
        <is>
          <t>2026-07-26T13:40:00-0400</t>
        </is>
      </c>
      <c r="D38" s="24" t="inlineStr">
        <is>
          <t>401816270</t>
        </is>
      </c>
      <c r="E38" s="24" t="inlineStr">
        <is>
          <t>MLB</t>
        </is>
      </c>
      <c r="F38" s="24" t="inlineStr">
        <is>
          <t>Los Angeles Dodgers</t>
        </is>
      </c>
      <c r="G38" s="24" t="inlineStr">
        <is>
          <t>New York Mets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144</v>
      </c>
      <c r="M38" s="27" t="n">
        <v>2.44</v>
      </c>
      <c r="N38" s="28" t="n">
        <v>0.409836</v>
      </c>
      <c r="O38" s="28" t="n">
        <v>0.542648</v>
      </c>
      <c r="P38" s="28" t="n"/>
      <c r="Q38" s="28" t="n">
        <v>0.132812</v>
      </c>
      <c r="R38" s="26" t="n">
        <v>87</v>
      </c>
      <c r="S38" s="29" t="n">
        <v>1</v>
      </c>
      <c r="T38" s="24" t="inlineStr">
        <is>
          <t>mlb-elo-trend-lr-v6</t>
        </is>
      </c>
      <c r="U38" s="24" t="inlineStr">
        <is>
          <t>settled</t>
        </is>
      </c>
      <c r="V38" s="24" t="inlineStr">
        <is>
          <t>win</t>
        </is>
      </c>
      <c r="W38" s="26" t="n">
        <v>3</v>
      </c>
      <c r="X38" s="26" t="n">
        <v>8</v>
      </c>
      <c r="Y38" s="25" t="n"/>
      <c r="Z38" s="26" t="n"/>
      <c r="AA38" s="28" t="n"/>
      <c r="AB38" s="28" t="n"/>
      <c r="AC38" s="30" t="n">
        <v>1.44</v>
      </c>
      <c r="AD38" s="24" t="inlineStr">
        <is>
          <t>2026-07-27T01:51:57.021462Z</t>
        </is>
      </c>
      <c r="AE38" s="31" t="inlineStr">
        <is>
          <t>Learned LR call at threshold 0.5690; executable ask 0.4100 (aec-mlb-lad-nym-2026-07-26).</t>
        </is>
      </c>
      <c r="AF38" s="31" t="inlineStr">
        <is>
          <t>Learned model; promotion gate not yet open; zero-unit research until review.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model_qualified</t>
        </is>
      </c>
      <c r="AL38" s="26" t="n">
        <v>3</v>
      </c>
      <c r="AM38" s="24" t="inlineStr">
        <is>
          <t>QUALIFIED_SHADOW_CALL</t>
        </is>
      </c>
      <c r="AN38" s="24" t="inlineStr">
        <is>
          <t>CALL</t>
        </is>
      </c>
      <c r="AO38" s="24" t="inlineStr">
        <is>
          <t>QUALIFIED</t>
        </is>
      </c>
      <c r="AP38" s="24" t="inlineStr">
        <is>
          <t>mlb-lad</t>
        </is>
      </c>
      <c r="AQ38" s="24" t="inlineStr">
        <is>
          <t>Los Angeles Dodgers</t>
        </is>
      </c>
      <c r="AR38" s="24" t="inlineStr">
        <is>
          <t>Los Angeles Dodgers</t>
        </is>
      </c>
      <c r="AS38" s="24" t="inlineStr">
        <is>
          <t>mlb-nym</t>
        </is>
      </c>
      <c r="AT38" s="24" t="inlineStr">
        <is>
          <t>New York Mets</t>
        </is>
      </c>
      <c r="AU38" s="24" t="inlineStr">
        <is>
          <t>New York Mets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10a412e78306d1f4d1a66590dd7cd2087ed53520bfa3bb925889a6371153732f</t>
        </is>
      </c>
      <c r="BB38" s="24" t="inlineStr">
        <is>
          <t>learned_lr</t>
        </is>
      </c>
      <c r="BC38" s="24" t="inlineStr">
        <is>
          <t>mlb-elo-trend-lr-v6</t>
        </is>
      </c>
      <c r="BD38" s="24" t="inlineStr">
        <is>
          <t>10a412e78306d1f4d1a66590dd7cd2087ed53520bfa3bb925889a6371153732f</t>
        </is>
      </c>
      <c r="BE38" s="24" t="inlineStr">
        <is>
          <t>0ad0538283a703c8</t>
        </is>
      </c>
      <c r="BF38" s="24" t="inlineStr">
        <is>
          <t>1</t>
        </is>
      </c>
      <c r="BG38" s="24" t="inlineStr">
        <is>
          <t>mlb-elo-trend-lr-v6</t>
        </is>
      </c>
      <c r="BH38" s="24" t="inlineStr">
        <is>
          <t>2026-07-26T12:45:32.381224Z</t>
        </is>
      </c>
      <c r="BI38" s="24" t="inlineStr">
        <is>
          <t>["same_event","same_team_same_day","same_league_same_day"]</t>
        </is>
      </c>
      <c r="BJ38" s="25" t="n"/>
      <c r="BK38" s="26" t="n">
        <v>144</v>
      </c>
      <c r="BL38" s="27" t="n">
        <v>2.44</v>
      </c>
      <c r="BM38" s="28" t="n">
        <v>0.409836</v>
      </c>
      <c r="BN38" s="28" t="n">
        <v>0.40796</v>
      </c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inlineStr">
        <is>
          <t>0.3742927358</t>
        </is>
      </c>
      <c r="CD38" s="24" t="inlineStr">
        <is>
          <t>-0.95341</t>
        </is>
      </c>
      <c r="CE38" s="24" t="inlineStr">
        <is>
          <t>0.97</t>
        </is>
      </c>
      <c r="CF38" s="24" t="n"/>
      <c r="CG38" s="24" t="n"/>
      <c r="CH38" s="24" t="inlineStr">
        <is>
          <t>-0.12</t>
        </is>
      </c>
      <c r="CI38" s="24" t="n"/>
      <c r="CJ38" s="24" t="n"/>
      <c r="CK38" s="24" t="n"/>
      <c r="CL38" s="24" t="n"/>
      <c r="CM38" s="24" t="n"/>
      <c r="CN38" s="24" t="n"/>
      <c r="CO38" s="24" t="n"/>
    </row>
    <row r="39" ht="36" customHeight="1">
      <c r="A39" s="24" t="inlineStr">
        <is>
          <t>811f7acb47cc4843</t>
        </is>
      </c>
      <c r="B39" s="24" t="inlineStr">
        <is>
          <t>2026-07-26T12:48:45.878703Z</t>
        </is>
      </c>
      <c r="C39" s="24" t="inlineStr">
        <is>
          <t>2026-07-26T13:40:00-0400</t>
        </is>
      </c>
      <c r="D39" s="24" t="inlineStr">
        <is>
          <t>401816272</t>
        </is>
      </c>
      <c r="E39" s="24" t="inlineStr">
        <is>
          <t>MLB</t>
        </is>
      </c>
      <c r="F39" s="24" t="inlineStr">
        <is>
          <t>San Diego Padres</t>
        </is>
      </c>
      <c r="G39" s="24" t="inlineStr">
        <is>
          <t>Miami Marlins</t>
        </is>
      </c>
      <c r="H39" s="24" t="inlineStr">
        <is>
          <t>moneyline</t>
        </is>
      </c>
      <c r="I39" s="24" t="inlineStr">
        <is>
          <t>home</t>
        </is>
      </c>
      <c r="J39" s="25" t="n"/>
      <c r="K39" s="24" t="inlineStr">
        <is>
          <t>polymarket_us</t>
        </is>
      </c>
      <c r="L39" s="26" t="n">
        <v>-120</v>
      </c>
      <c r="M39" s="27" t="n">
        <v>1.833333</v>
      </c>
      <c r="N39" s="28" t="n">
        <v>0.545455</v>
      </c>
      <c r="O39" s="28" t="n">
        <v>0.573639</v>
      </c>
      <c r="P39" s="28" t="n"/>
      <c r="Q39" s="28" t="n">
        <v>0.028184</v>
      </c>
      <c r="R39" s="26" t="n">
        <v>36</v>
      </c>
      <c r="S39" s="29" t="n">
        <v>1.25</v>
      </c>
      <c r="T39" s="24" t="inlineStr">
        <is>
          <t>mlb-elo-trend-lr-v6</t>
        </is>
      </c>
      <c r="U39" s="24" t="inlineStr">
        <is>
          <t>settled</t>
        </is>
      </c>
      <c r="V39" s="24" t="inlineStr">
        <is>
          <t>loss</t>
        </is>
      </c>
      <c r="W39" s="26" t="n">
        <v>5</v>
      </c>
      <c r="X39" s="26" t="n">
        <v>3</v>
      </c>
      <c r="Y39" s="25" t="n"/>
      <c r="Z39" s="26" t="n"/>
      <c r="AA39" s="28" t="n"/>
      <c r="AB39" s="28" t="n"/>
      <c r="AC39" s="30" t="n">
        <v>-1.25</v>
      </c>
      <c r="AD39" s="24" t="inlineStr">
        <is>
          <t>2026-07-27T01:51:57.345317Z</t>
        </is>
      </c>
      <c r="AE39" s="31" t="inlineStr">
        <is>
          <t>Learned LR call at threshold 0.5690; executable ask 0.5450 (aec-mlb-sd-mia-2026-07-26).</t>
        </is>
      </c>
      <c r="AF39" s="31" t="inlineStr">
        <is>
          <t>Learned model; promotion gate not yet open; zero-unit research until review.</t>
        </is>
      </c>
      <c r="AG39" s="24" t="inlineStr">
        <is>
          <t>review_required</t>
        </is>
      </c>
      <c r="AH39" s="24" t="n"/>
      <c r="AI39" s="31" t="n"/>
      <c r="AJ39" s="31" t="n"/>
      <c r="AK39" s="24" t="inlineStr">
        <is>
          <t>model_qualified</t>
        </is>
      </c>
      <c r="AL39" s="26" t="n">
        <v>3</v>
      </c>
      <c r="AM39" s="24" t="inlineStr">
        <is>
          <t>QUALIFIED_SHADOW_CALL</t>
        </is>
      </c>
      <c r="AN39" s="24" t="inlineStr">
        <is>
          <t>CALL</t>
        </is>
      </c>
      <c r="AO39" s="24" t="inlineStr">
        <is>
          <t>QUALIFIED</t>
        </is>
      </c>
      <c r="AP39" s="24" t="inlineStr">
        <is>
          <t>mlb-sd</t>
        </is>
      </c>
      <c r="AQ39" s="24" t="inlineStr">
        <is>
          <t>San Diego Padres</t>
        </is>
      </c>
      <c r="AR39" s="24" t="inlineStr">
        <is>
          <t>San Diego Padres</t>
        </is>
      </c>
      <c r="AS39" s="24" t="inlineStr">
        <is>
          <t>mlb-mia</t>
        </is>
      </c>
      <c r="AT39" s="24" t="inlineStr">
        <is>
          <t>Miami Marlins</t>
        </is>
      </c>
      <c r="AU39" s="24" t="inlineStr">
        <is>
          <t>Miami Marlins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10a412e78306d1f4d1a66590dd7cd2087ed53520bfa3bb925889a6371153732f</t>
        </is>
      </c>
      <c r="BB39" s="24" t="inlineStr">
        <is>
          <t>learned_lr</t>
        </is>
      </c>
      <c r="BC39" s="24" t="inlineStr">
        <is>
          <t>mlb-elo-trend-lr-v6</t>
        </is>
      </c>
      <c r="BD39" s="24" t="inlineStr">
        <is>
          <t>10a412e78306d1f4d1a66590dd7cd2087ed53520bfa3bb925889a6371153732f</t>
        </is>
      </c>
      <c r="BE39" s="24" t="inlineStr">
        <is>
          <t>8504bc80207f60bf</t>
        </is>
      </c>
      <c r="BF39" s="24" t="inlineStr">
        <is>
          <t>1</t>
        </is>
      </c>
      <c r="BG39" s="24" t="inlineStr">
        <is>
          <t>mlb-elo-trend-lr-v6</t>
        </is>
      </c>
      <c r="BH39" s="24" t="inlineStr">
        <is>
          <t>2026-07-26T12:45:31.083521Z</t>
        </is>
      </c>
      <c r="BI39" s="24" t="inlineStr">
        <is>
          <t>["same_event","same_team_same_day","same_league_same_day"]</t>
        </is>
      </c>
      <c r="BJ39" s="25" t="n"/>
      <c r="BK39" s="26" t="n">
        <v>-120</v>
      </c>
      <c r="BL39" s="27" t="n">
        <v>1.833333</v>
      </c>
      <c r="BM39" s="28" t="n">
        <v>0.545455</v>
      </c>
      <c r="BN39" s="28" t="n">
        <v>0.542289</v>
      </c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inlineStr">
        <is>
          <t>0.5121449899</t>
        </is>
      </c>
      <c r="CD39" s="24" t="inlineStr">
        <is>
          <t>-2.399361</t>
        </is>
      </c>
      <c r="CE39" s="24" t="inlineStr">
        <is>
          <t>0.99</t>
        </is>
      </c>
      <c r="CF39" s="24" t="n"/>
      <c r="CG39" s="24" t="n"/>
      <c r="CH39" s="24" t="inlineStr">
        <is>
          <t>-0.14</t>
        </is>
      </c>
      <c r="CI39" s="24" t="n"/>
      <c r="CJ39" s="24" t="n"/>
      <c r="CK39" s="24" t="n"/>
      <c r="CL39" s="24" t="n"/>
      <c r="CM39" s="24" t="n"/>
      <c r="CN39" s="24" t="n"/>
      <c r="CO39" s="24" t="n"/>
    </row>
    <row r="40" ht="36" customHeight="1">
      <c r="A40" s="24" t="inlineStr">
        <is>
          <t>64cc35250c2442da</t>
        </is>
      </c>
      <c r="B40" s="24" t="inlineStr">
        <is>
          <t>2026-07-26T17:56:02.643847Z</t>
        </is>
      </c>
      <c r="C40" s="24" t="inlineStr">
        <is>
          <t>2026-07-26T14:10:00-0400</t>
        </is>
      </c>
      <c r="D40" s="24" t="inlineStr">
        <is>
          <t>401816274</t>
        </is>
      </c>
      <c r="E40" s="24" t="inlineStr">
        <is>
          <t>MLB</t>
        </is>
      </c>
      <c r="F40" s="24" t="inlineStr">
        <is>
          <t>Athletics</t>
        </is>
      </c>
      <c r="G40" s="24" t="inlineStr">
        <is>
          <t>Minnesota Twins</t>
        </is>
      </c>
      <c r="H40" s="24" t="inlineStr">
        <is>
          <t>moneyline</t>
        </is>
      </c>
      <c r="I40" s="24" t="inlineStr">
        <is>
          <t>home</t>
        </is>
      </c>
      <c r="J40" s="25" t="n"/>
      <c r="K40" s="24" t="inlineStr">
        <is>
          <t>polymarket_us</t>
        </is>
      </c>
      <c r="L40" s="26" t="n">
        <v>-147</v>
      </c>
      <c r="M40" s="27" t="n">
        <v>1.680272</v>
      </c>
      <c r="N40" s="28" t="n">
        <v>0.5951419999999999</v>
      </c>
      <c r="O40" s="28" t="n">
        <v>0.601826</v>
      </c>
      <c r="P40" s="28" t="n"/>
      <c r="Q40" s="28" t="n">
        <v>0.006684</v>
      </c>
      <c r="R40" s="26" t="n">
        <v>25</v>
      </c>
      <c r="S40" s="29" t="n">
        <v>1.5</v>
      </c>
      <c r="T40" s="24" t="inlineStr">
        <is>
          <t>mlb-elo-trend-lr-v6</t>
        </is>
      </c>
      <c r="U40" s="24" t="inlineStr">
        <is>
          <t>settled</t>
        </is>
      </c>
      <c r="V40" s="24" t="inlineStr">
        <is>
          <t>win</t>
        </is>
      </c>
      <c r="W40" s="26" t="n">
        <v>8</v>
      </c>
      <c r="X40" s="26" t="n">
        <v>11</v>
      </c>
      <c r="Y40" s="25" t="n"/>
      <c r="Z40" s="26" t="n"/>
      <c r="AA40" s="28" t="n"/>
      <c r="AB40" s="28" t="n"/>
      <c r="AC40" s="30" t="n">
        <v>1.0204</v>
      </c>
      <c r="AD40" s="24" t="inlineStr">
        <is>
          <t>2026-07-27T01:51:57.680397Z</t>
        </is>
      </c>
      <c r="AE40" s="31" t="inlineStr">
        <is>
          <t>Learned LR call at threshold 0.5690; executable ask 0.5950 (aec-mlb-ath-min-2026-07-26).</t>
        </is>
      </c>
      <c r="AF40" s="31" t="inlineStr">
        <is>
          <t>Learned model; promotion gate not yet open; zero-unit research until review.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model_qualified</t>
        </is>
      </c>
      <c r="AL40" s="26" t="n">
        <v>3</v>
      </c>
      <c r="AM40" s="24" t="inlineStr">
        <is>
          <t>QUALIFIED_SHADOW_CALL</t>
        </is>
      </c>
      <c r="AN40" s="24" t="inlineStr">
        <is>
          <t>CALL</t>
        </is>
      </c>
      <c r="AO40" s="24" t="inlineStr">
        <is>
          <t>QUALIFIED</t>
        </is>
      </c>
      <c r="AP40" s="24" t="inlineStr">
        <is>
          <t>mlb-ath</t>
        </is>
      </c>
      <c r="AQ40" s="24" t="inlineStr">
        <is>
          <t>Athletics</t>
        </is>
      </c>
      <c r="AR40" s="24" t="inlineStr">
        <is>
          <t>Athletics</t>
        </is>
      </c>
      <c r="AS40" s="24" t="inlineStr">
        <is>
          <t>mlb-min</t>
        </is>
      </c>
      <c r="AT40" s="24" t="inlineStr">
        <is>
          <t>Minnesota Twins</t>
        </is>
      </c>
      <c r="AU40" s="24" t="inlineStr">
        <is>
          <t>Minnesota Twins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10a412e78306d1f4d1a66590dd7cd2087ed53520bfa3bb925889a6371153732f</t>
        </is>
      </c>
      <c r="BB40" s="24" t="inlineStr">
        <is>
          <t>learned_lr</t>
        </is>
      </c>
      <c r="BC40" s="24" t="inlineStr">
        <is>
          <t>mlb-elo-trend-lr-v6</t>
        </is>
      </c>
      <c r="BD40" s="24" t="inlineStr">
        <is>
          <t>10a412e78306d1f4d1a66590dd7cd2087ed53520bfa3bb925889a6371153732f</t>
        </is>
      </c>
      <c r="BE40" s="24" t="inlineStr">
        <is>
          <t>957cc4ec14af077f</t>
        </is>
      </c>
      <c r="BF40" s="24" t="inlineStr">
        <is>
          <t>1</t>
        </is>
      </c>
      <c r="BG40" s="24" t="inlineStr">
        <is>
          <t>mlb-elo-trend-lr-v6</t>
        </is>
      </c>
      <c r="BH40" s="24" t="inlineStr">
        <is>
          <t>2026-07-26T17:53:53.914839Z</t>
        </is>
      </c>
      <c r="BI40" s="24" t="inlineStr">
        <is>
          <t>["same_event","same_team_same_day","same_league_same_day"]</t>
        </is>
      </c>
      <c r="BJ40" s="25" t="n"/>
      <c r="BK40" s="26" t="n">
        <v>-147</v>
      </c>
      <c r="BL40" s="27" t="n">
        <v>1.680272</v>
      </c>
      <c r="BM40" s="28" t="n">
        <v>0.5951419999999999</v>
      </c>
      <c r="BN40" s="28" t="n">
        <v>0.59204</v>
      </c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inlineStr">
        <is>
          <t>0.574450019</t>
        </is>
      </c>
      <c r="CD40" s="24" t="inlineStr">
        <is>
          <t>-0.051147</t>
        </is>
      </c>
      <c r="CE40" s="24" t="inlineStr">
        <is>
          <t>1.0</t>
        </is>
      </c>
      <c r="CF40" s="24" t="n"/>
      <c r="CG40" s="24" t="n"/>
      <c r="CH40" s="24" t="inlineStr">
        <is>
          <t>-0.96</t>
        </is>
      </c>
      <c r="CI40" s="24" t="n"/>
      <c r="CJ40" s="24" t="n"/>
      <c r="CK40" s="24" t="n"/>
      <c r="CL40" s="24" t="n"/>
      <c r="CM40" s="24" t="n"/>
      <c r="CN40" s="24" t="n"/>
      <c r="CO40" s="24" t="n"/>
    </row>
    <row r="41" ht="36" customHeight="1">
      <c r="A41" s="24" t="inlineStr">
        <is>
          <t>adb43705638f49ea</t>
        </is>
      </c>
      <c r="B41" s="24" t="inlineStr">
        <is>
          <t>2026-07-26T17:56:02.643847Z</t>
        </is>
      </c>
      <c r="C41" s="24" t="inlineStr">
        <is>
          <t>2026-07-26T14:10:00-0400</t>
        </is>
      </c>
      <c r="D41" s="24" t="inlineStr">
        <is>
          <t>401816276</t>
        </is>
      </c>
      <c r="E41" s="24" t="inlineStr">
        <is>
          <t>MLB</t>
        </is>
      </c>
      <c r="F41" s="24" t="inlineStr">
        <is>
          <t>Colorado Rockies</t>
        </is>
      </c>
      <c r="G41" s="24" t="inlineStr">
        <is>
          <t>Milwaukee Brewers</t>
        </is>
      </c>
      <c r="H41" s="24" t="inlineStr">
        <is>
          <t>moneyline</t>
        </is>
      </c>
      <c r="I41" s="24" t="inlineStr">
        <is>
          <t>home</t>
        </is>
      </c>
      <c r="J41" s="25" t="n"/>
      <c r="K41" s="24" t="inlineStr">
        <is>
          <t>polymarket_us</t>
        </is>
      </c>
      <c r="L41" s="26" t="n">
        <v>-317</v>
      </c>
      <c r="M41" s="27" t="n">
        <v>1.315457</v>
      </c>
      <c r="N41" s="28" t="n">
        <v>0.760192</v>
      </c>
      <c r="O41" s="28" t="n">
        <v>0.860663</v>
      </c>
      <c r="P41" s="28" t="n"/>
      <c r="Q41" s="28" t="n">
        <v>0.100471</v>
      </c>
      <c r="R41" s="26" t="n">
        <v>72</v>
      </c>
      <c r="S41" s="29" t="n">
        <v>2</v>
      </c>
      <c r="T41" s="24" t="inlineStr">
        <is>
          <t>mlb-elo-trend-lr-v6</t>
        </is>
      </c>
      <c r="U41" s="24" t="inlineStr">
        <is>
          <t>settled</t>
        </is>
      </c>
      <c r="V41" s="24" t="inlineStr">
        <is>
          <t>win</t>
        </is>
      </c>
      <c r="W41" s="26" t="n">
        <v>2</v>
      </c>
      <c r="X41" s="26" t="n">
        <v>11</v>
      </c>
      <c r="Y41" s="25" t="n"/>
      <c r="Z41" s="26" t="n"/>
      <c r="AA41" s="28" t="n"/>
      <c r="AB41" s="28" t="n"/>
      <c r="AC41" s="30" t="n">
        <v>0.6309</v>
      </c>
      <c r="AD41" s="24" t="inlineStr">
        <is>
          <t>2026-07-27T01:51:58.008830Z</t>
        </is>
      </c>
      <c r="AE41" s="31" t="inlineStr">
        <is>
          <t>Learned LR call at threshold 0.5690; executable ask 0.7600 (aec-mlb-col-mil-2026-07-26).</t>
        </is>
      </c>
      <c r="AF41" s="31" t="inlineStr">
        <is>
          <t>Learned model; promotion gate not yet open; zero-unit research until review.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model_qualified</t>
        </is>
      </c>
      <c r="AL41" s="26" t="n">
        <v>3</v>
      </c>
      <c r="AM41" s="24" t="inlineStr">
        <is>
          <t>QUALIFIED_SHADOW_CALL</t>
        </is>
      </c>
      <c r="AN41" s="24" t="inlineStr">
        <is>
          <t>CALL</t>
        </is>
      </c>
      <c r="AO41" s="24" t="inlineStr">
        <is>
          <t>QUALIFIED</t>
        </is>
      </c>
      <c r="AP41" s="24" t="inlineStr">
        <is>
          <t>mlb-col</t>
        </is>
      </c>
      <c r="AQ41" s="24" t="inlineStr">
        <is>
          <t>Colorado Rockies</t>
        </is>
      </c>
      <c r="AR41" s="24" t="inlineStr">
        <is>
          <t>Colorado Rockies</t>
        </is>
      </c>
      <c r="AS41" s="24" t="inlineStr">
        <is>
          <t>mlb-mil</t>
        </is>
      </c>
      <c r="AT41" s="24" t="inlineStr">
        <is>
          <t>Milwaukee Brewers</t>
        </is>
      </c>
      <c r="AU41" s="24" t="inlineStr">
        <is>
          <t>Milwaukee Brewers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10a412e78306d1f4d1a66590dd7cd2087ed53520bfa3bb925889a6371153732f</t>
        </is>
      </c>
      <c r="BB41" s="24" t="inlineStr">
        <is>
          <t>learned_lr</t>
        </is>
      </c>
      <c r="BC41" s="24" t="inlineStr">
        <is>
          <t>mlb-elo-trend-lr-v6</t>
        </is>
      </c>
      <c r="BD41" s="24" t="inlineStr">
        <is>
          <t>10a412e78306d1f4d1a66590dd7cd2087ed53520bfa3bb925889a6371153732f</t>
        </is>
      </c>
      <c r="BE41" s="24" t="inlineStr">
        <is>
          <t>b16669b146172d5b</t>
        </is>
      </c>
      <c r="BF41" s="24" t="inlineStr">
        <is>
          <t>1</t>
        </is>
      </c>
      <c r="BG41" s="24" t="inlineStr">
        <is>
          <t>mlb-elo-trend-lr-v6</t>
        </is>
      </c>
      <c r="BH41" s="24" t="inlineStr">
        <is>
          <t>2026-07-26T17:53:52.064462Z</t>
        </is>
      </c>
      <c r="BI41" s="24" t="inlineStr">
        <is>
          <t>["same_event","same_team_same_day","same_league_same_day"]</t>
        </is>
      </c>
      <c r="BJ41" s="25" t="n"/>
      <c r="BK41" s="26" t="n">
        <v>-317</v>
      </c>
      <c r="BL41" s="27" t="n">
        <v>1.315457</v>
      </c>
      <c r="BM41" s="28" t="n">
        <v>0.760192</v>
      </c>
      <c r="BN41" s="28" t="n">
        <v>0.756219</v>
      </c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inlineStr">
        <is>
          <t>0.7661240932</t>
        </is>
      </c>
      <c r="CD41" s="24" t="inlineStr">
        <is>
          <t>0.243505</t>
        </is>
      </c>
      <c r="CE41" s="24" t="inlineStr">
        <is>
          <t>0.98</t>
        </is>
      </c>
      <c r="CF41" s="24" t="n"/>
      <c r="CG41" s="24" t="n"/>
      <c r="CH41" s="24" t="inlineStr">
        <is>
          <t>-5.71</t>
        </is>
      </c>
      <c r="CI41" s="24" t="n"/>
      <c r="CJ41" s="24" t="n"/>
      <c r="CK41" s="24" t="n"/>
      <c r="CL41" s="24" t="n"/>
      <c r="CM41" s="24" t="n"/>
      <c r="CN41" s="24" t="n"/>
      <c r="CO41" s="24" t="n"/>
    </row>
    <row r="42" ht="36" customHeight="1">
      <c r="A42" s="24" t="inlineStr">
        <is>
          <t>08f2e6a5911b49be</t>
        </is>
      </c>
      <c r="B42" s="24" t="inlineStr">
        <is>
          <t>2026-07-26T17:56:02.643847Z</t>
        </is>
      </c>
      <c r="C42" s="24" t="inlineStr">
        <is>
          <t>2026-07-26T14:10:00-0400</t>
        </is>
      </c>
      <c r="D42" s="24" t="inlineStr">
        <is>
          <t>401816277</t>
        </is>
      </c>
      <c r="E42" s="24" t="inlineStr">
        <is>
          <t>MLB</t>
        </is>
      </c>
      <c r="F42" s="24" t="inlineStr">
        <is>
          <t>Houston Astros</t>
        </is>
      </c>
      <c r="G42" s="24" t="inlineStr">
        <is>
          <t>Chicago White Sox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-108</v>
      </c>
      <c r="M42" s="27" t="n">
        <v>1.925926</v>
      </c>
      <c r="N42" s="28" t="n">
        <v>0.519231</v>
      </c>
      <c r="O42" s="28" t="n">
        <v>0.76295</v>
      </c>
      <c r="P42" s="28" t="n"/>
      <c r="Q42" s="28" t="n">
        <v>0.243719</v>
      </c>
      <c r="R42" s="26" t="n">
        <v>100</v>
      </c>
      <c r="S42" s="29" t="n">
        <v>2</v>
      </c>
      <c r="T42" s="24" t="inlineStr">
        <is>
          <t>mlb-elo-trend-lr-v6</t>
        </is>
      </c>
      <c r="U42" s="24" t="inlineStr">
        <is>
          <t>settled</t>
        </is>
      </c>
      <c r="V42" s="24" t="inlineStr">
        <is>
          <t>win</t>
        </is>
      </c>
      <c r="W42" s="26" t="n">
        <v>3</v>
      </c>
      <c r="X42" s="26" t="n">
        <v>12</v>
      </c>
      <c r="Y42" s="25" t="n"/>
      <c r="Z42" s="26" t="n"/>
      <c r="AA42" s="28" t="n"/>
      <c r="AB42" s="28" t="n"/>
      <c r="AC42" s="30" t="n">
        <v>1.8519</v>
      </c>
      <c r="AD42" s="24" t="inlineStr">
        <is>
          <t>2026-07-27T01:51:58.472290Z</t>
        </is>
      </c>
      <c r="AE42" s="31" t="inlineStr">
        <is>
          <t>Learned LR call at threshold 0.5690; executable ask 0.5200 (aec-mlb-hou-cws-2026-07-26).</t>
        </is>
      </c>
      <c r="AF42" s="31" t="inlineStr">
        <is>
          <t>Learned model; promotion gate not yet open; zero-unit research until review.</t>
        </is>
      </c>
      <c r="AG42" s="24" t="inlineStr">
        <is>
          <t>not_applicable</t>
        </is>
      </c>
      <c r="AH42" s="24" t="n"/>
      <c r="AI42" s="31" t="n"/>
      <c r="AJ42" s="31" t="n"/>
      <c r="AK42" s="24" t="inlineStr">
        <is>
          <t>model_qualified</t>
        </is>
      </c>
      <c r="AL42" s="26" t="n">
        <v>3</v>
      </c>
      <c r="AM42" s="24" t="inlineStr">
        <is>
          <t>QUALIFIED_SHADOW_CALL</t>
        </is>
      </c>
      <c r="AN42" s="24" t="inlineStr">
        <is>
          <t>CALL</t>
        </is>
      </c>
      <c r="AO42" s="24" t="inlineStr">
        <is>
          <t>QUALIFIED</t>
        </is>
      </c>
      <c r="AP42" s="24" t="inlineStr">
        <is>
          <t>mlb-hou</t>
        </is>
      </c>
      <c r="AQ42" s="24" t="inlineStr">
        <is>
          <t>Houston Astros</t>
        </is>
      </c>
      <c r="AR42" s="24" t="inlineStr">
        <is>
          <t>Houston Astros</t>
        </is>
      </c>
      <c r="AS42" s="24" t="inlineStr">
        <is>
          <t>mlb-cws</t>
        </is>
      </c>
      <c r="AT42" s="24" t="inlineStr">
        <is>
          <t>Chicago White Sox</t>
        </is>
      </c>
      <c r="AU42" s="24" t="inlineStr">
        <is>
          <t>Chicago White Sox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10a412e78306d1f4d1a66590dd7cd2087ed53520bfa3bb925889a6371153732f</t>
        </is>
      </c>
      <c r="BB42" s="24" t="inlineStr">
        <is>
          <t>learned_lr</t>
        </is>
      </c>
      <c r="BC42" s="24" t="inlineStr">
        <is>
          <t>mlb-elo-trend-lr-v6</t>
        </is>
      </c>
      <c r="BD42" s="24" t="inlineStr">
        <is>
          <t>10a412e78306d1f4d1a66590dd7cd2087ed53520bfa3bb925889a6371153732f</t>
        </is>
      </c>
      <c r="BE42" s="24" t="inlineStr">
        <is>
          <t>def27f316aaee3f3</t>
        </is>
      </c>
      <c r="BF42" s="24" t="inlineStr">
        <is>
          <t>1</t>
        </is>
      </c>
      <c r="BG42" s="24" t="inlineStr">
        <is>
          <t>mlb-elo-trend-lr-v6</t>
        </is>
      </c>
      <c r="BH42" s="24" t="inlineStr">
        <is>
          <t>2026-07-26T17:53:52.943898Z</t>
        </is>
      </c>
      <c r="BI42" s="24" t="inlineStr">
        <is>
          <t>["same_event","same_team_same_day","same_league_same_day"]</t>
        </is>
      </c>
      <c r="BJ42" s="25" t="n"/>
      <c r="BK42" s="26" t="n">
        <v>-108</v>
      </c>
      <c r="BL42" s="27" t="n">
        <v>1.925926</v>
      </c>
      <c r="BM42" s="28" t="n">
        <v>0.519231</v>
      </c>
      <c r="BN42" s="28" t="n">
        <v>0.517413</v>
      </c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inlineStr">
        <is>
          <t>0.5495737644</t>
        </is>
      </c>
      <c r="CD42" s="24" t="inlineStr">
        <is>
          <t>-0.365446</t>
        </is>
      </c>
      <c r="CE42" s="24" t="inlineStr">
        <is>
          <t>0.99</t>
        </is>
      </c>
      <c r="CF42" s="24" t="n"/>
      <c r="CG42" s="24" t="n"/>
      <c r="CH42" s="24" t="inlineStr">
        <is>
          <t>-3.55</t>
        </is>
      </c>
      <c r="CI42" s="24" t="n"/>
      <c r="CJ42" s="24" t="n"/>
      <c r="CK42" s="24" t="n"/>
      <c r="CL42" s="24" t="n"/>
      <c r="CM42" s="24" t="n"/>
      <c r="CN42" s="24" t="n"/>
      <c r="CO42" s="24" t="n"/>
    </row>
    <row r="43" ht="36" customHeight="1">
      <c r="A43" s="24" t="inlineStr">
        <is>
          <t>1693f579da2c4e1b</t>
        </is>
      </c>
      <c r="B43" s="24" t="inlineStr">
        <is>
          <t>2026-07-26T17:56:02.643847Z</t>
        </is>
      </c>
      <c r="C43" s="24" t="inlineStr">
        <is>
          <t>2026-07-26T14:15:00-0400</t>
        </is>
      </c>
      <c r="D43" s="24" t="inlineStr">
        <is>
          <t>401816275</t>
        </is>
      </c>
      <c r="E43" s="24" t="inlineStr">
        <is>
          <t>MLB</t>
        </is>
      </c>
      <c r="F43" s="24" t="inlineStr">
        <is>
          <t>Cincinnati Reds</t>
        </is>
      </c>
      <c r="G43" s="24" t="inlineStr">
        <is>
          <t>St. Louis Cardinals</t>
        </is>
      </c>
      <c r="H43" s="24" t="inlineStr">
        <is>
          <t>moneyline</t>
        </is>
      </c>
      <c r="I43" s="24" t="inlineStr">
        <is>
          <t>home</t>
        </is>
      </c>
      <c r="J43" s="25" t="n"/>
      <c r="K43" s="24" t="inlineStr">
        <is>
          <t>polymarket_us</t>
        </is>
      </c>
      <c r="L43" s="26" t="n">
        <v>-122</v>
      </c>
      <c r="M43" s="27" t="n">
        <v>1.819672</v>
      </c>
      <c r="N43" s="28" t="n">
        <v>0.54955</v>
      </c>
      <c r="O43" s="28" t="n">
        <v>0.569279</v>
      </c>
      <c r="P43" s="28" t="n"/>
      <c r="Q43" s="28" t="n">
        <v>0.019729</v>
      </c>
      <c r="R43" s="26" t="n">
        <v>31</v>
      </c>
      <c r="S43" s="29" t="n">
        <v>1.25</v>
      </c>
      <c r="T43" s="24" t="inlineStr">
        <is>
          <t>mlb-elo-trend-lr-v6</t>
        </is>
      </c>
      <c r="U43" s="24" t="inlineStr">
        <is>
          <t>settled</t>
        </is>
      </c>
      <c r="V43" s="24" t="inlineStr">
        <is>
          <t>loss</t>
        </is>
      </c>
      <c r="W43" s="26" t="n">
        <v>5</v>
      </c>
      <c r="X43" s="26" t="n">
        <v>3</v>
      </c>
      <c r="Y43" s="25" t="n"/>
      <c r="Z43" s="26" t="n"/>
      <c r="AA43" s="28" t="n"/>
      <c r="AB43" s="28" t="n"/>
      <c r="AC43" s="30" t="n">
        <v>-1.25</v>
      </c>
      <c r="AD43" s="24" t="inlineStr">
        <is>
          <t>2026-07-27T01:51:58.876965Z</t>
        </is>
      </c>
      <c r="AE43" s="31" t="inlineStr">
        <is>
          <t>Learned LR call at threshold 0.5690; executable ask 0.5500 (aec-mlb-cin-stl-2026-07-26).</t>
        </is>
      </c>
      <c r="AF43" s="31" t="inlineStr">
        <is>
          <t>Learned model; promotion gate not yet open; zero-unit research until review.</t>
        </is>
      </c>
      <c r="AG43" s="24" t="inlineStr">
        <is>
          <t>review_required</t>
        </is>
      </c>
      <c r="AH43" s="24" t="n"/>
      <c r="AI43" s="31" t="n"/>
      <c r="AJ43" s="31" t="n"/>
      <c r="AK43" s="24" t="inlineStr">
        <is>
          <t>model_qualified</t>
        </is>
      </c>
      <c r="AL43" s="26" t="n">
        <v>3</v>
      </c>
      <c r="AM43" s="24" t="inlineStr">
        <is>
          <t>QUALIFIED_SHADOW_CALL</t>
        </is>
      </c>
      <c r="AN43" s="24" t="inlineStr">
        <is>
          <t>CALL</t>
        </is>
      </c>
      <c r="AO43" s="24" t="inlineStr">
        <is>
          <t>QUALIFIED</t>
        </is>
      </c>
      <c r="AP43" s="24" t="inlineStr">
        <is>
          <t>mlb-cin</t>
        </is>
      </c>
      <c r="AQ43" s="24" t="inlineStr">
        <is>
          <t>Cincinnati Reds</t>
        </is>
      </c>
      <c r="AR43" s="24" t="inlineStr">
        <is>
          <t>Cincinnati Reds</t>
        </is>
      </c>
      <c r="AS43" s="24" t="inlineStr">
        <is>
          <t>mlb-stl</t>
        </is>
      </c>
      <c r="AT43" s="24" t="inlineStr">
        <is>
          <t>St. Louis Cardinals</t>
        </is>
      </c>
      <c r="AU43" s="24" t="inlineStr">
        <is>
          <t>St. Louis Cardinals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10a412e78306d1f4d1a66590dd7cd2087ed53520bfa3bb925889a6371153732f</t>
        </is>
      </c>
      <c r="BB43" s="24" t="inlineStr">
        <is>
          <t>learned_lr</t>
        </is>
      </c>
      <c r="BC43" s="24" t="inlineStr">
        <is>
          <t>mlb-elo-trend-lr-v6</t>
        </is>
      </c>
      <c r="BD43" s="24" t="inlineStr">
        <is>
          <t>10a412e78306d1f4d1a66590dd7cd2087ed53520bfa3bb925889a6371153732f</t>
        </is>
      </c>
      <c r="BE43" s="24" t="inlineStr">
        <is>
          <t>f68c536a1cdbc8f9</t>
        </is>
      </c>
      <c r="BF43" s="24" t="inlineStr">
        <is>
          <t>1</t>
        </is>
      </c>
      <c r="BG43" s="24" t="inlineStr">
        <is>
          <t>mlb-elo-trend-lr-v6</t>
        </is>
      </c>
      <c r="BH43" s="24" t="inlineStr">
        <is>
          <t>2026-07-26T17:53:54.792406Z</t>
        </is>
      </c>
      <c r="BI43" s="24" t="inlineStr">
        <is>
          <t>["same_event","same_team_same_day","same_league_same_day"]</t>
        </is>
      </c>
      <c r="BJ43" s="25" t="n"/>
      <c r="BK43" s="26" t="n">
        <v>-122</v>
      </c>
      <c r="BL43" s="27" t="n">
        <v>1.819672</v>
      </c>
      <c r="BM43" s="28" t="n">
        <v>0.54955</v>
      </c>
      <c r="BN43" s="28" t="n">
        <v>0.547264</v>
      </c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inlineStr">
        <is>
          <t>0.5554985391</t>
        </is>
      </c>
      <c r="CD43" s="24" t="inlineStr">
        <is>
          <t>-1.066813</t>
        </is>
      </c>
      <c r="CE43" s="24" t="inlineStr">
        <is>
          <t>0.99</t>
        </is>
      </c>
      <c r="CF43" s="24" t="n"/>
      <c r="CG43" s="24" t="n"/>
      <c r="CH43" s="24" t="inlineStr">
        <is>
          <t>-0.3</t>
        </is>
      </c>
      <c r="CI43" s="24" t="n"/>
      <c r="CJ43" s="24" t="n"/>
      <c r="CK43" s="24" t="n"/>
      <c r="CL43" s="24" t="n"/>
      <c r="CM43" s="24" t="n"/>
      <c r="CN43" s="24" t="n"/>
      <c r="CO43" s="24" t="n"/>
    </row>
    <row r="44" ht="36" customHeight="1">
      <c r="A44" s="24" t="inlineStr">
        <is>
          <t>da9748108377478e</t>
        </is>
      </c>
      <c r="B44" s="24" t="inlineStr">
        <is>
          <t>2026-07-26T18:26:27.600695Z</t>
        </is>
      </c>
      <c r="C44" s="24" t="inlineStr">
        <is>
          <t>2026-07-26T14:35:00-0400</t>
        </is>
      </c>
      <c r="D44" s="24" t="inlineStr">
        <is>
          <t>401816278</t>
        </is>
      </c>
      <c r="E44" s="24" t="inlineStr">
        <is>
          <t>MLB</t>
        </is>
      </c>
      <c r="F44" s="24" t="inlineStr">
        <is>
          <t>Seattle Mariners</t>
        </is>
      </c>
      <c r="G44" s="24" t="inlineStr">
        <is>
          <t>Texas Rangers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polymarket_us</t>
        </is>
      </c>
      <c r="L44" s="26" t="n">
        <v>-102</v>
      </c>
      <c r="M44" s="27" t="n">
        <v>1.980392</v>
      </c>
      <c r="N44" s="28" t="n">
        <v>0.50495</v>
      </c>
      <c r="O44" s="28" t="n">
        <v>0.505307</v>
      </c>
      <c r="P44" s="28" t="n"/>
      <c r="Q44" s="28" t="n">
        <v>0.000357</v>
      </c>
      <c r="R44" s="26" t="n">
        <v>21</v>
      </c>
      <c r="S44" s="29" t="n">
        <v>0.5</v>
      </c>
      <c r="T44" s="24" t="inlineStr">
        <is>
          <t>mlb-elo-trend-lr-v6</t>
        </is>
      </c>
      <c r="U44" s="24" t="inlineStr">
        <is>
          <t>settled</t>
        </is>
      </c>
      <c r="V44" s="24" t="inlineStr">
        <is>
          <t>loss</t>
        </is>
      </c>
      <c r="W44" s="26" t="n">
        <v>6</v>
      </c>
      <c r="X44" s="26" t="n">
        <v>4</v>
      </c>
      <c r="Y44" s="25" t="n"/>
      <c r="Z44" s="26" t="n"/>
      <c r="AA44" s="28" t="n"/>
      <c r="AB44" s="28" t="n"/>
      <c r="AC44" s="30" t="n">
        <v>-0.5</v>
      </c>
      <c r="AD44" s="24" t="inlineStr">
        <is>
          <t>2026-07-27T01:51:59.390063Z</t>
        </is>
      </c>
      <c r="AE44" s="31" t="inlineStr">
        <is>
          <t>Learned LR call at threshold 0.5690; executable ask 0.5050 (aec-mlb-sea-tex-2026-07-26).</t>
        </is>
      </c>
      <c r="AF44" s="31" t="inlineStr">
        <is>
          <t>Learned model; promotion gate not yet open; zero-unit research until review.</t>
        </is>
      </c>
      <c r="AG44" s="24" t="inlineStr">
        <is>
          <t>review_required</t>
        </is>
      </c>
      <c r="AH44" s="24" t="n"/>
      <c r="AI44" s="31" t="n"/>
      <c r="AJ44" s="31" t="n"/>
      <c r="AK44" s="24" t="inlineStr">
        <is>
          <t>model_qualified</t>
        </is>
      </c>
      <c r="AL44" s="26" t="n">
        <v>3</v>
      </c>
      <c r="AM44" s="24" t="inlineStr">
        <is>
          <t>QUALIFIED_SHADOW_CALL</t>
        </is>
      </c>
      <c r="AN44" s="24" t="inlineStr">
        <is>
          <t>CALL</t>
        </is>
      </c>
      <c r="AO44" s="24" t="inlineStr">
        <is>
          <t>QUALIFIED</t>
        </is>
      </c>
      <c r="AP44" s="24" t="inlineStr">
        <is>
          <t>mlb-sea</t>
        </is>
      </c>
      <c r="AQ44" s="24" t="inlineStr">
        <is>
          <t>Seattle Mariners</t>
        </is>
      </c>
      <c r="AR44" s="24" t="inlineStr">
        <is>
          <t>Seattle Mariners</t>
        </is>
      </c>
      <c r="AS44" s="24" t="inlineStr">
        <is>
          <t>mlb-tex</t>
        </is>
      </c>
      <c r="AT44" s="24" t="inlineStr">
        <is>
          <t>Texas Rangers</t>
        </is>
      </c>
      <c r="AU44" s="24" t="inlineStr">
        <is>
          <t>Texas Rangers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10a412e78306d1f4d1a66590dd7cd2087ed53520bfa3bb925889a6371153732f</t>
        </is>
      </c>
      <c r="BB44" s="24" t="inlineStr">
        <is>
          <t>learned_lr</t>
        </is>
      </c>
      <c r="BC44" s="24" t="inlineStr">
        <is>
          <t>mlb-elo-trend-lr-v6</t>
        </is>
      </c>
      <c r="BD44" s="24" t="inlineStr">
        <is>
          <t>10a412e78306d1f4d1a66590dd7cd2087ed53520bfa3bb925889a6371153732f</t>
        </is>
      </c>
      <c r="BE44" s="24" t="inlineStr">
        <is>
          <t>00ba68e7dd721aff</t>
        </is>
      </c>
      <c r="BF44" s="24" t="inlineStr">
        <is>
          <t>1</t>
        </is>
      </c>
      <c r="BG44" s="24" t="inlineStr">
        <is>
          <t>mlb-elo-trend-lr-v6</t>
        </is>
      </c>
      <c r="BH44" s="24" t="inlineStr">
        <is>
          <t>2026-07-26T18:26:09.586089Z</t>
        </is>
      </c>
      <c r="BI44" s="24" t="inlineStr">
        <is>
          <t>["same_event","same_team_same_day","same_league_same_day"]</t>
        </is>
      </c>
      <c r="BJ44" s="25" t="n"/>
      <c r="BK44" s="26" t="n">
        <v>-102</v>
      </c>
      <c r="BL44" s="27" t="n">
        <v>1.980392</v>
      </c>
      <c r="BM44" s="28" t="n">
        <v>0.50495</v>
      </c>
      <c r="BN44" s="28" t="n">
        <v>0.502488</v>
      </c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inlineStr">
        <is>
          <t>0.492334675</t>
        </is>
      </c>
      <c r="CD44" s="24" t="inlineStr">
        <is>
          <t>-0.43076</t>
        </is>
      </c>
      <c r="CE44" s="24" t="inlineStr">
        <is>
          <t>1.02</t>
        </is>
      </c>
      <c r="CF44" s="24" t="n"/>
      <c r="CG44" s="24" t="n"/>
      <c r="CH44" s="24" t="inlineStr">
        <is>
          <t>0.38</t>
        </is>
      </c>
      <c r="CI44" s="24" t="n"/>
      <c r="CJ44" s="24" t="n"/>
      <c r="CK44" s="24" t="n"/>
      <c r="CL44" s="24" t="n"/>
      <c r="CM44" s="24" t="n"/>
      <c r="CN44" s="24" t="n"/>
      <c r="CO44" s="24" t="n"/>
    </row>
    <row r="45" ht="36" customHeight="1">
      <c r="A45" s="24" t="inlineStr">
        <is>
          <t>a7c37f7410524d17</t>
        </is>
      </c>
      <c r="B45" s="24" t="inlineStr">
        <is>
          <t>2026-07-26T19:31:38.876416Z</t>
        </is>
      </c>
      <c r="C45" s="24" t="inlineStr">
        <is>
          <t>2026-07-26T16:05:00-0400</t>
        </is>
      </c>
      <c r="D45" s="24" t="inlineStr">
        <is>
          <t>401816279</t>
        </is>
      </c>
      <c r="E45" s="24" t="inlineStr">
        <is>
          <t>MLB</t>
        </is>
      </c>
      <c r="F45" s="24" t="inlineStr">
        <is>
          <t>Los Angeles Angels</t>
        </is>
      </c>
      <c r="G45" s="24" t="inlineStr">
        <is>
          <t>San Francisco Giants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106</v>
      </c>
      <c r="M45" s="27" t="n">
        <v>2.06</v>
      </c>
      <c r="N45" s="28" t="n">
        <v>0.485437</v>
      </c>
      <c r="O45" s="28" t="n">
        <v>0.525689</v>
      </c>
      <c r="P45" s="28" t="n"/>
      <c r="Q45" s="28" t="n">
        <v>0.040252</v>
      </c>
      <c r="R45" s="26" t="n">
        <v>42</v>
      </c>
      <c r="S45" s="29" t="n">
        <v>0.75</v>
      </c>
      <c r="T45" s="24" t="inlineStr">
        <is>
          <t>mlb-elo-trend-lr-v6</t>
        </is>
      </c>
      <c r="U45" s="24" t="inlineStr">
        <is>
          <t>settled</t>
        </is>
      </c>
      <c r="V45" s="24" t="inlineStr">
        <is>
          <t>loss</t>
        </is>
      </c>
      <c r="W45" s="26" t="n">
        <v>4</v>
      </c>
      <c r="X45" s="26" t="n">
        <v>3</v>
      </c>
      <c r="Y45" s="25" t="n"/>
      <c r="Z45" s="26" t="n"/>
      <c r="AA45" s="28" t="n"/>
      <c r="AB45" s="28" t="n"/>
      <c r="AC45" s="30" t="n">
        <v>-0.75</v>
      </c>
      <c r="AD45" s="24" t="inlineStr">
        <is>
          <t>2026-07-27T01:51:59.904392Z</t>
        </is>
      </c>
      <c r="AE45" s="31" t="inlineStr">
        <is>
          <t>Learned LR call at threshold 0.5690; executable ask 0.4850 (aec-mlb-laa-sf-2026-07-26).</t>
        </is>
      </c>
      <c r="AF45" s="31" t="inlineStr">
        <is>
          <t>Learned model; promotion gate not yet open; zero-unit research until review.</t>
        </is>
      </c>
      <c r="AG45" s="24" t="inlineStr">
        <is>
          <t>review_required</t>
        </is>
      </c>
      <c r="AH45" s="24" t="n"/>
      <c r="AI45" s="31" t="n"/>
      <c r="AJ45" s="31" t="n"/>
      <c r="AK45" s="24" t="inlineStr">
        <is>
          <t>model_qualified</t>
        </is>
      </c>
      <c r="AL45" s="26" t="n">
        <v>3</v>
      </c>
      <c r="AM45" s="24" t="inlineStr">
        <is>
          <t>QUALIFIED_SHADOW_CALL</t>
        </is>
      </c>
      <c r="AN45" s="24" t="inlineStr">
        <is>
          <t>CALL</t>
        </is>
      </c>
      <c r="AO45" s="24" t="inlineStr">
        <is>
          <t>QUALIFIED</t>
        </is>
      </c>
      <c r="AP45" s="24" t="inlineStr">
        <is>
          <t>mlb-laa</t>
        </is>
      </c>
      <c r="AQ45" s="24" t="inlineStr">
        <is>
          <t>Los Angeles Angels</t>
        </is>
      </c>
      <c r="AR45" s="24" t="inlineStr">
        <is>
          <t>Los Angeles Angels</t>
        </is>
      </c>
      <c r="AS45" s="24" t="inlineStr">
        <is>
          <t>mlb-sf</t>
        </is>
      </c>
      <c r="AT45" s="24" t="inlineStr">
        <is>
          <t>San Francisco Giants</t>
        </is>
      </c>
      <c r="AU45" s="24" t="inlineStr">
        <is>
          <t>San Francisco Giants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10a412e78306d1f4d1a66590dd7cd2087ed53520bfa3bb925889a6371153732f</t>
        </is>
      </c>
      <c r="BB45" s="24" t="inlineStr">
        <is>
          <t>learned_lr</t>
        </is>
      </c>
      <c r="BC45" s="24" t="inlineStr">
        <is>
          <t>mlb-elo-trend-lr-v6</t>
        </is>
      </c>
      <c r="BD45" s="24" t="inlineStr">
        <is>
          <t>10a412e78306d1f4d1a66590dd7cd2087ed53520bfa3bb925889a6371153732f</t>
        </is>
      </c>
      <c r="BE45" s="24" t="inlineStr">
        <is>
          <t>187942ed70dd936a</t>
        </is>
      </c>
      <c r="BF45" s="24" t="inlineStr">
        <is>
          <t>1</t>
        </is>
      </c>
      <c r="BG45" s="24" t="inlineStr">
        <is>
          <t>mlb-elo-trend-lr-v6</t>
        </is>
      </c>
      <c r="BH45" s="24" t="inlineStr">
        <is>
          <t>2026-07-26T19:31:30.124691Z</t>
        </is>
      </c>
      <c r="BI45" s="24" t="inlineStr">
        <is>
          <t>["same_event","same_team_same_day","same_league_same_day"]</t>
        </is>
      </c>
      <c r="BJ45" s="25" t="n"/>
      <c r="BK45" s="26" t="n">
        <v>106</v>
      </c>
      <c r="BL45" s="27" t="n">
        <v>2.06</v>
      </c>
      <c r="BM45" s="28" t="n">
        <v>0.485437</v>
      </c>
      <c r="BN45" s="28" t="n">
        <v>0.482587</v>
      </c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inlineStr">
        <is>
          <t>0.5910200645</t>
        </is>
      </c>
      <c r="CD45" s="24" t="inlineStr">
        <is>
          <t>1.053308</t>
        </is>
      </c>
      <c r="CE45" s="24" t="inlineStr">
        <is>
          <t>0.96</t>
        </is>
      </c>
      <c r="CF45" s="24" t="n"/>
      <c r="CG45" s="24" t="n"/>
      <c r="CH45" s="24" t="inlineStr">
        <is>
          <t>-0.05</t>
        </is>
      </c>
      <c r="CI45" s="24" t="n"/>
      <c r="CJ45" s="24" t="n"/>
      <c r="CK45" s="24" t="n"/>
      <c r="CL45" s="24" t="n"/>
      <c r="CM45" s="24" t="n"/>
      <c r="CN45" s="24" t="n"/>
      <c r="CO45" s="24" t="n"/>
    </row>
    <row r="46" ht="36" customHeight="1">
      <c r="A46" s="24" t="inlineStr">
        <is>
          <t>f58752110dd8410b</t>
        </is>
      </c>
      <c r="B46" s="24" t="inlineStr">
        <is>
          <t>2026-07-26T20:05:35.816652Z</t>
        </is>
      </c>
      <c r="C46" s="24" t="inlineStr">
        <is>
          <t>2026-07-26T19:20:00-0400</t>
        </is>
      </c>
      <c r="D46" s="24" t="inlineStr">
        <is>
          <t>401816271</t>
        </is>
      </c>
      <c r="E46" s="24" t="inlineStr">
        <is>
          <t>MLB</t>
        </is>
      </c>
      <c r="F46" s="24" t="inlineStr">
        <is>
          <t>New York Yankees</t>
        </is>
      </c>
      <c r="G46" s="24" t="inlineStr">
        <is>
          <t>Philadelphia Phillies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-182</v>
      </c>
      <c r="M46" s="27" t="n">
        <v>1.549451</v>
      </c>
      <c r="N46" s="28" t="n">
        <v>0.64539</v>
      </c>
      <c r="O46" s="28" t="n">
        <v>0.613204</v>
      </c>
      <c r="P46" s="28" t="n"/>
      <c r="Q46" s="28" t="n">
        <v>-0.032186</v>
      </c>
      <c r="R46" s="26" t="n">
        <v>6</v>
      </c>
      <c r="S46" s="29" t="n">
        <v>1.75</v>
      </c>
      <c r="T46" s="24" t="inlineStr">
        <is>
          <t>mlb-elo-trend-lr-v6</t>
        </is>
      </c>
      <c r="U46" s="24" t="inlineStr">
        <is>
          <t>settled</t>
        </is>
      </c>
      <c r="V46" s="24" t="inlineStr">
        <is>
          <t>win</t>
        </is>
      </c>
      <c r="W46" s="26" t="n">
        <v>4</v>
      </c>
      <c r="X46" s="26" t="n">
        <v>11</v>
      </c>
      <c r="Y46" s="25" t="n"/>
      <c r="Z46" s="26" t="n"/>
      <c r="AA46" s="28" t="n"/>
      <c r="AB46" s="28" t="n"/>
      <c r="AC46" s="30" t="n">
        <v>0.9615</v>
      </c>
      <c r="AD46" s="24" t="inlineStr">
        <is>
          <t>2026-07-27T02:58:24.920727Z</t>
        </is>
      </c>
      <c r="AE46" s="31" t="inlineStr">
        <is>
          <t>Learned LR call at threshold 0.5690; executable ask 0.6450 (aec-mlb-nyy-phi-2026-07-26).</t>
        </is>
      </c>
      <c r="AF46" s="31" t="inlineStr">
        <is>
          <t>Learned model; promotion gate not yet open; zero-unit research until review.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model_qualified</t>
        </is>
      </c>
      <c r="AL46" s="26" t="n">
        <v>3</v>
      </c>
      <c r="AM46" s="24" t="inlineStr">
        <is>
          <t>QUALIFIED_SHADOW_CALL</t>
        </is>
      </c>
      <c r="AN46" s="24" t="inlineStr">
        <is>
          <t>CALL</t>
        </is>
      </c>
      <c r="AO46" s="24" t="inlineStr">
        <is>
          <t>QUALIFIED</t>
        </is>
      </c>
      <c r="AP46" s="24" t="inlineStr">
        <is>
          <t>mlb-nyy</t>
        </is>
      </c>
      <c r="AQ46" s="24" t="inlineStr">
        <is>
          <t>New York Yankees</t>
        </is>
      </c>
      <c r="AR46" s="24" t="inlineStr">
        <is>
          <t>New York Yankees</t>
        </is>
      </c>
      <c r="AS46" s="24" t="inlineStr">
        <is>
          <t>mlb-phi</t>
        </is>
      </c>
      <c r="AT46" s="24" t="inlineStr">
        <is>
          <t>Philadelphia Phillies</t>
        </is>
      </c>
      <c r="AU46" s="24" t="inlineStr">
        <is>
          <t>Philadelphia Phillies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10a412e78306d1f4d1a66590dd7cd2087ed53520bfa3bb925889a6371153732f</t>
        </is>
      </c>
      <c r="BB46" s="24" t="inlineStr">
        <is>
          <t>learned_lr</t>
        </is>
      </c>
      <c r="BC46" s="24" t="inlineStr">
        <is>
          <t>mlb-elo-trend-lr-v6</t>
        </is>
      </c>
      <c r="BD46" s="24" t="inlineStr">
        <is>
          <t>10a412e78306d1f4d1a66590dd7cd2087ed53520bfa3bb925889a6371153732f</t>
        </is>
      </c>
      <c r="BE46" s="24" t="inlineStr">
        <is>
          <t>ca9068d953d8b094</t>
        </is>
      </c>
      <c r="BF46" s="24" t="inlineStr">
        <is>
          <t>1</t>
        </is>
      </c>
      <c r="BG46" s="24" t="inlineStr">
        <is>
          <t>mlb-elo-trend-lr-v6</t>
        </is>
      </c>
      <c r="BH46" s="24" t="inlineStr">
        <is>
          <t>2026-07-26T20:05:29.450679Z</t>
        </is>
      </c>
      <c r="BI46" s="24" t="inlineStr">
        <is>
          <t>["same_event","same_team_same_day","same_league_same_day"]</t>
        </is>
      </c>
      <c r="BJ46" s="25" t="n"/>
      <c r="BK46" s="26" t="n">
        <v>-182</v>
      </c>
      <c r="BL46" s="27" t="n">
        <v>1.549451</v>
      </c>
      <c r="BM46" s="28" t="n">
        <v>0.64539</v>
      </c>
      <c r="BN46" s="28" t="n">
        <v>0.641791</v>
      </c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inlineStr">
        <is>
          <t>0.5250194834</t>
        </is>
      </c>
      <c r="CD46" s="24" t="inlineStr">
        <is>
          <t>0.764165</t>
        </is>
      </c>
      <c r="CE46" s="24" t="inlineStr">
        <is>
          <t>1.01</t>
        </is>
      </c>
      <c r="CF46" s="24" t="n"/>
      <c r="CG46" s="24" t="n"/>
      <c r="CH46" s="24" t="inlineStr">
        <is>
          <t>-1.35</t>
        </is>
      </c>
      <c r="CI46" s="24" t="n"/>
      <c r="CJ46" s="24" t="n"/>
      <c r="CK46" s="24" t="n"/>
      <c r="CL46" s="24" t="n"/>
      <c r="CM46" s="24" t="n"/>
      <c r="CN46" s="24" t="n"/>
      <c r="CO46" s="24" t="n"/>
    </row>
    <row r="47" ht="36" customHeight="1">
      <c r="A47" s="24" t="inlineStr">
        <is>
          <t>320f0723c3804b39</t>
        </is>
      </c>
      <c r="B47" s="24" t="inlineStr">
        <is>
          <t>2026-07-27T17:34:41.743446Z</t>
        </is>
      </c>
      <c r="C47" s="24" t="inlineStr">
        <is>
          <t>2026-07-27T14:35:00-0400</t>
        </is>
      </c>
      <c r="D47" s="24" t="inlineStr">
        <is>
          <t>401816288</t>
        </is>
      </c>
      <c r="E47" s="24" t="inlineStr">
        <is>
          <t>MLB</t>
        </is>
      </c>
      <c r="F47" s="24" t="inlineStr">
        <is>
          <t>Seattle Mariners</t>
        </is>
      </c>
      <c r="G47" s="24" t="inlineStr">
        <is>
          <t>Texas Rangers</t>
        </is>
      </c>
      <c r="H47" s="24" t="inlineStr">
        <is>
          <t>moneyline</t>
        </is>
      </c>
      <c r="I47" s="24" t="inlineStr">
        <is>
          <t>away</t>
        </is>
      </c>
      <c r="J47" s="25" t="n"/>
      <c r="K47" s="24" t="inlineStr">
        <is>
          <t>polymarket_us</t>
        </is>
      </c>
      <c r="L47" s="26" t="n">
        <v>-122</v>
      </c>
      <c r="M47" s="27" t="n">
        <v>1.819672</v>
      </c>
      <c r="N47" s="28" t="n">
        <v>0.54955</v>
      </c>
      <c r="O47" s="28" t="n">
        <v>0.507599</v>
      </c>
      <c r="P47" s="28" t="n"/>
      <c r="Q47" s="28" t="n">
        <v>-0.041951</v>
      </c>
      <c r="R47" s="26" t="n">
        <v>0</v>
      </c>
      <c r="S47" s="29" t="n">
        <v>0.5</v>
      </c>
      <c r="T47" s="24" t="inlineStr">
        <is>
          <t>mlb-elo-trend-lr-v6</t>
        </is>
      </c>
      <c r="U47" s="24" t="inlineStr">
        <is>
          <t>settled</t>
        </is>
      </c>
      <c r="V47" s="24" t="inlineStr">
        <is>
          <t>loss</t>
        </is>
      </c>
      <c r="W47" s="26" t="n">
        <v>3</v>
      </c>
      <c r="X47" s="26" t="n">
        <v>7</v>
      </c>
      <c r="Y47" s="25" t="n"/>
      <c r="Z47" s="26" t="n">
        <v>-122</v>
      </c>
      <c r="AA47" s="28" t="n">
        <v>0.55</v>
      </c>
      <c r="AB47" s="28" t="n">
        <v>0.00045</v>
      </c>
      <c r="AC47" s="30" t="n">
        <v>-0.5</v>
      </c>
      <c r="AD47" s="24" t="inlineStr">
        <is>
          <t>2026-07-27T22:51:46.446979Z</t>
        </is>
      </c>
      <c r="AE47" s="31" t="inlineStr">
        <is>
          <t>Learned LR call at threshold 0.5690; executable ask 0.5500 (aec-mlb-sea-tex-2026-07-27).</t>
        </is>
      </c>
      <c r="AF47" s="31" t="inlineStr">
        <is>
          <t>Learned model; promotion gate not yet open; zero-unit research until review.</t>
        </is>
      </c>
      <c r="AG47" s="24" t="inlineStr">
        <is>
          <t>review_required</t>
        </is>
      </c>
      <c r="AH47" s="24" t="n"/>
      <c r="AI47" s="31" t="n"/>
      <c r="AJ47" s="31" t="n"/>
      <c r="AK47" s="24" t="inlineStr">
        <is>
          <t>model_qualified</t>
        </is>
      </c>
      <c r="AL47" s="26" t="n">
        <v>3</v>
      </c>
      <c r="AM47" s="24" t="inlineStr">
        <is>
          <t>QUALIFIED_SHADOW_CALL</t>
        </is>
      </c>
      <c r="AN47" s="24" t="inlineStr">
        <is>
          <t>CALL</t>
        </is>
      </c>
      <c r="AO47" s="24" t="inlineStr">
        <is>
          <t>QUALIFIED</t>
        </is>
      </c>
      <c r="AP47" s="24" t="inlineStr">
        <is>
          <t>mlb-sea</t>
        </is>
      </c>
      <c r="AQ47" s="24" t="inlineStr">
        <is>
          <t>Seattle Mariners</t>
        </is>
      </c>
      <c r="AR47" s="24" t="inlineStr">
        <is>
          <t>Seattle Mariners</t>
        </is>
      </c>
      <c r="AS47" s="24" t="inlineStr">
        <is>
          <t>mlb-tex</t>
        </is>
      </c>
      <c r="AT47" s="24" t="inlineStr">
        <is>
          <t>Texas Rangers</t>
        </is>
      </c>
      <c r="AU47" s="24" t="inlineStr">
        <is>
          <t>Texas Rangers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10a412e78306d1f4d1a66590dd7cd2087ed53520bfa3bb925889a6371153732f</t>
        </is>
      </c>
      <c r="BB47" s="24" t="inlineStr">
        <is>
          <t>learned_lr</t>
        </is>
      </c>
      <c r="BC47" s="24" t="inlineStr">
        <is>
          <t>mlb-elo-trend-lr-v6</t>
        </is>
      </c>
      <c r="BD47" s="24" t="inlineStr">
        <is>
          <t>10a412e78306d1f4d1a66590dd7cd2087ed53520bfa3bb925889a6371153732f</t>
        </is>
      </c>
      <c r="BE47" s="24" t="inlineStr">
        <is>
          <t>a37c4a50fb01129a</t>
        </is>
      </c>
      <c r="BF47" s="24" t="inlineStr">
        <is>
          <t>1</t>
        </is>
      </c>
      <c r="BG47" s="24" t="inlineStr">
        <is>
          <t>mlb-elo-trend-lr-v6</t>
        </is>
      </c>
      <c r="BH47" s="24" t="inlineStr">
        <is>
          <t>2026-07-27T17:33:59.725337Z</t>
        </is>
      </c>
      <c r="BI47" s="24" t="inlineStr">
        <is>
          <t>["same_event","same_team_same_day","same_league_same_day"]</t>
        </is>
      </c>
      <c r="BJ47" s="25" t="n"/>
      <c r="BK47" s="26" t="n">
        <v>-122</v>
      </c>
      <c r="BL47" s="27" t="n">
        <v>1.819672</v>
      </c>
      <c r="BM47" s="28" t="n">
        <v>0.54955</v>
      </c>
      <c r="BN47" s="28" t="n">
        <v>0.547264</v>
      </c>
      <c r="BO47" s="28" t="n"/>
      <c r="BP47" s="25" t="n"/>
      <c r="BQ47" s="27" t="n">
        <v>1.819672</v>
      </c>
      <c r="BR47" s="28" t="n">
        <v>0.55</v>
      </c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inlineStr">
        <is>
          <t>0.492334675</t>
        </is>
      </c>
      <c r="CD47" s="24" t="inlineStr">
        <is>
          <t>-0.43076</t>
        </is>
      </c>
      <c r="CE47" s="24" t="inlineStr">
        <is>
          <t>1.02</t>
        </is>
      </c>
      <c r="CF47" s="24" t="n"/>
      <c r="CG47" s="24" t="n"/>
      <c r="CH47" s="24" t="inlineStr">
        <is>
          <t>0.56</t>
        </is>
      </c>
      <c r="CI47" s="24" t="n"/>
      <c r="CJ47" s="24" t="n"/>
      <c r="CK47" s="24" t="n"/>
      <c r="CL47" s="24" t="n"/>
      <c r="CM47" s="24" t="n"/>
      <c r="CN47" s="24" t="n"/>
      <c r="CO47" s="24" t="n"/>
    </row>
    <row r="48" ht="36" customHeight="1">
      <c r="A48" s="24" t="inlineStr">
        <is>
          <t>a8810388228644fc</t>
        </is>
      </c>
      <c r="B48" s="24" t="inlineStr">
        <is>
          <t>2026-07-27T17:34:48.845070Z</t>
        </is>
      </c>
      <c r="C48" s="24" t="inlineStr">
        <is>
          <t>2026-07-27T18:35Z</t>
        </is>
      </c>
      <c r="D48" s="24" t="inlineStr">
        <is>
          <t>401816288</t>
        </is>
      </c>
      <c r="E48" s="24" t="inlineStr">
        <is>
          <t>MLB</t>
        </is>
      </c>
      <c r="F48" s="24" t="inlineStr">
        <is>
          <t>Seattle Mariners</t>
        </is>
      </c>
      <c r="G48" s="24" t="inlineStr">
        <is>
          <t>Texas Rangers</t>
        </is>
      </c>
      <c r="H48" s="24" t="inlineStr">
        <is>
          <t>spread</t>
        </is>
      </c>
      <c r="I48" s="24" t="inlineStr">
        <is>
          <t>away</t>
        </is>
      </c>
      <c r="J48" s="25" t="n">
        <v>-1.5</v>
      </c>
      <c r="K48" s="24" t="inlineStr">
        <is>
          <t>polymarket_us</t>
        </is>
      </c>
      <c r="L48" s="26" t="n">
        <v>141</v>
      </c>
      <c r="M48" s="27" t="n">
        <v>2.41</v>
      </c>
      <c r="N48" s="28" t="n">
        <v>0.414938</v>
      </c>
      <c r="O48" s="28" t="n">
        <v>0.433105</v>
      </c>
      <c r="P48" s="28" t="n">
        <v>0.046637</v>
      </c>
      <c r="Q48" s="28" t="n">
        <v>0.018167</v>
      </c>
      <c r="R48" s="26" t="n">
        <v>31</v>
      </c>
      <c r="S48" s="29" t="n">
        <v>0</v>
      </c>
      <c r="T48" s="24" t="inlineStr">
        <is>
          <t>measured-edge-margin-v1</t>
        </is>
      </c>
      <c r="U48" s="24" t="inlineStr">
        <is>
          <t>settled</t>
        </is>
      </c>
      <c r="V48" s="24" t="inlineStr">
        <is>
          <t>loss</t>
        </is>
      </c>
      <c r="W48" s="26" t="n">
        <v>3</v>
      </c>
      <c r="X48" s="26" t="n">
        <v>7</v>
      </c>
      <c r="Y48" s="25" t="n">
        <v>-1.5</v>
      </c>
      <c r="Z48" s="26" t="n">
        <v>141</v>
      </c>
      <c r="AA48" s="28" t="n">
        <v>0.415</v>
      </c>
      <c r="AB48" s="28" t="n">
        <v>6.2e-05</v>
      </c>
      <c r="AC48" s="30" t="n">
        <v>0</v>
      </c>
      <c r="AD48" s="24" t="inlineStr">
        <is>
          <t>2026-07-27T22:51:46.664752Z</t>
        </is>
      </c>
      <c r="AE48" s="31" t="inlineStr">
        <is>
          <t>Measured Edge Margin: Trend Engine projected 4.20-3.15; raw selected-side p=0.4213, calibrated p=0.4331.</t>
        </is>
      </c>
      <c r="AF48" s="31" t="inlineStr">
        <is>
          <t>Research-only; lineup, bullpen, park, weather, xFIP, and wRC+ may be neutral fallbacks; market availability and BBO depth may change before first pitch.</t>
        </is>
      </c>
      <c r="AG48" s="24" t="inlineStr">
        <is>
          <t>review_required</t>
        </is>
      </c>
      <c r="AH48" s="24" t="n"/>
      <c r="AI48" s="31" t="n"/>
      <c r="AJ48" s="31" t="n"/>
      <c r="AK48" s="24" t="inlineStr">
        <is>
          <t>research_observation</t>
        </is>
      </c>
      <c r="AL48" s="26" t="n">
        <v>3</v>
      </c>
      <c r="AM48" s="24" t="inlineStr">
        <is>
          <t>RESEARCH_OBSERVATION</t>
        </is>
      </c>
      <c r="AN48" s="24" t="inlineStr">
        <is>
          <t>NO_CALL</t>
        </is>
      </c>
      <c r="AO48" s="24" t="inlineStr">
        <is>
          <t>NO_CALL_MODEL_UNVALIDATED</t>
        </is>
      </c>
      <c r="AP48" s="24" t="inlineStr">
        <is>
          <t>mlb-sea</t>
        </is>
      </c>
      <c r="AQ48" s="24" t="inlineStr">
        <is>
          <t>Seattle Mariners</t>
        </is>
      </c>
      <c r="AR48" s="24" t="inlineStr">
        <is>
          <t>Seattle Mariners</t>
        </is>
      </c>
      <c r="AS48" s="24" t="inlineStr">
        <is>
          <t>mlb-tex</t>
        </is>
      </c>
      <c r="AT48" s="24" t="inlineStr">
        <is>
          <t>Texas Rangers</t>
        </is>
      </c>
      <c r="AU48" s="24" t="inlineStr">
        <is>
          <t>Texas Rangers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research</t>
        </is>
      </c>
      <c r="BA48" s="24" t="inlineStr">
        <is>
          <t>bd86494ed21c6a0389ab0efcf4b8a5bb7b9f8f8786b6d5fb9da69d8cf0a70bdc</t>
        </is>
      </c>
      <c r="BB48" s="24" t="inlineStr">
        <is>
          <t>flat_probability_shrinkage_toward_half</t>
        </is>
      </c>
      <c r="BC48" s="24" t="inlineStr">
        <is>
          <t>measured-edge-margin-v1</t>
        </is>
      </c>
      <c r="BD48" s="24" t="inlineStr">
        <is>
          <t>bd86494ed21c6a0389ab0efcf4b8a5bb7b9f8f8786b6d5fb9da69d8cf0a70bdc</t>
        </is>
      </c>
      <c r="BE48" s="24" t="inlineStr">
        <is>
          <t>v3</t>
        </is>
      </c>
      <c r="BF48" s="24" t="inlineStr">
        <is>
          <t>1</t>
        </is>
      </c>
      <c r="BG48" s="24" t="inlineStr">
        <is>
          <t>measured-edge-paired-v1</t>
        </is>
      </c>
      <c r="BH48" s="24" t="inlineStr">
        <is>
          <t>2026-07-27T17:34:48.845070Z</t>
        </is>
      </c>
      <c r="BI48" s="24" t="inlineStr">
        <is>
          <t>["same_event","same_team_same_day","same_league_same_day"]</t>
        </is>
      </c>
      <c r="BJ48" s="25" t="n">
        <v>-1.5</v>
      </c>
      <c r="BK48" s="26" t="n">
        <v>141</v>
      </c>
      <c r="BL48" s="27" t="n">
        <v>2.41</v>
      </c>
      <c r="BM48" s="28" t="n">
        <v>0.414938</v>
      </c>
      <c r="BN48" s="28" t="n">
        <v>0.412935</v>
      </c>
      <c r="BO48" s="28" t="n"/>
      <c r="BP48" s="25" t="n"/>
      <c r="BQ48" s="27" t="n">
        <v>2.41</v>
      </c>
      <c r="BR48" s="28" t="n">
        <v>0.415</v>
      </c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</row>
    <row r="49" ht="36" customHeight="1">
      <c r="A49" s="24" t="inlineStr">
        <is>
          <t>77f1301f0ce24679</t>
        </is>
      </c>
      <c r="B49" s="24" t="inlineStr">
        <is>
          <t>2026-07-27T17:34:48.845070Z</t>
        </is>
      </c>
      <c r="C49" s="24" t="inlineStr">
        <is>
          <t>2026-07-27T18:35Z</t>
        </is>
      </c>
      <c r="D49" s="24" t="inlineStr">
        <is>
          <t>401816288</t>
        </is>
      </c>
      <c r="E49" s="24" t="inlineStr">
        <is>
          <t>MLB</t>
        </is>
      </c>
      <c r="F49" s="24" t="inlineStr">
        <is>
          <t>Seattle Mariners</t>
        </is>
      </c>
      <c r="G49" s="24" t="inlineStr">
        <is>
          <t>Texas Rangers</t>
        </is>
      </c>
      <c r="H49" s="24" t="inlineStr">
        <is>
          <t>total</t>
        </is>
      </c>
      <c r="I49" s="24" t="inlineStr">
        <is>
          <t>under</t>
        </is>
      </c>
      <c r="J49" s="25" t="n">
        <v>7.5</v>
      </c>
      <c r="K49" s="24" t="inlineStr">
        <is>
          <t>polymarket_us</t>
        </is>
      </c>
      <c r="L49" s="26" t="n">
        <v>113</v>
      </c>
      <c r="M49" s="27" t="n">
        <v>2.13</v>
      </c>
      <c r="N49" s="28" t="n">
        <v>0.469484</v>
      </c>
      <c r="O49" s="28" t="n">
        <v>0.5623050000000001</v>
      </c>
      <c r="P49" s="28" t="n">
        <v>0.046637</v>
      </c>
      <c r="Q49" s="28" t="n">
        <v>0.092821</v>
      </c>
      <c r="R49" s="26" t="n">
        <v>68</v>
      </c>
      <c r="S49" s="29" t="n">
        <v>0</v>
      </c>
      <c r="T49" s="24" t="inlineStr">
        <is>
          <t>measured-edge-totals-v1</t>
        </is>
      </c>
      <c r="U49" s="24" t="inlineStr">
        <is>
          <t>settled</t>
        </is>
      </c>
      <c r="V49" s="24" t="inlineStr">
        <is>
          <t>loss</t>
        </is>
      </c>
      <c r="W49" s="26" t="n">
        <v>3</v>
      </c>
      <c r="X49" s="26" t="n">
        <v>7</v>
      </c>
      <c r="Y49" s="25" t="n">
        <v>7.5</v>
      </c>
      <c r="Z49" s="26" t="n">
        <v>113</v>
      </c>
      <c r="AA49" s="28" t="n">
        <v>0.47</v>
      </c>
      <c r="AB49" s="28" t="n">
        <v>0.000516</v>
      </c>
      <c r="AC49" s="30" t="n">
        <v>0</v>
      </c>
      <c r="AD49" s="24" t="inlineStr">
        <is>
          <t>2026-07-27T22:51:46.895854Z</t>
        </is>
      </c>
      <c r="AE49" s="31" t="inlineStr">
        <is>
          <t>Measured Edge Totals: Trend Engine projected 4.20-3.15; raw selected-side p=0.5733, calibrated p=0.5623.</t>
        </is>
      </c>
      <c r="AF49" s="31" t="inlineStr">
        <is>
          <t>Research-only; lineup, bullpen, park, weather, xFIP, and wRC+ may be neutral fallbacks; market availability and BBO depth may change before first pitch.</t>
        </is>
      </c>
      <c r="AG49" s="24" t="inlineStr">
        <is>
          <t>review_required</t>
        </is>
      </c>
      <c r="AH49" s="24" t="n"/>
      <c r="AI49" s="31" t="n"/>
      <c r="AJ49" s="31" t="n"/>
      <c r="AK49" s="24" t="inlineStr">
        <is>
          <t>research_observation</t>
        </is>
      </c>
      <c r="AL49" s="26" t="n">
        <v>3</v>
      </c>
      <c r="AM49" s="24" t="inlineStr">
        <is>
          <t>RESEARCH_OBSERVATION</t>
        </is>
      </c>
      <c r="AN49" s="24" t="inlineStr">
        <is>
          <t>NO_CALL</t>
        </is>
      </c>
      <c r="AO49" s="24" t="inlineStr">
        <is>
          <t>NO_CALL_MODEL_UNVALIDATED</t>
        </is>
      </c>
      <c r="AP49" s="24" t="inlineStr">
        <is>
          <t>mlb-sea</t>
        </is>
      </c>
      <c r="AQ49" s="24" t="inlineStr">
        <is>
          <t>Seattle Mariners</t>
        </is>
      </c>
      <c r="AR49" s="24" t="inlineStr">
        <is>
          <t>Seattle Mariners</t>
        </is>
      </c>
      <c r="AS49" s="24" t="inlineStr">
        <is>
          <t>mlb-tex</t>
        </is>
      </c>
      <c r="AT49" s="24" t="inlineStr">
        <is>
          <t>Texas Rangers</t>
        </is>
      </c>
      <c r="AU49" s="24" t="inlineStr">
        <is>
          <t>Texas Rangers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research</t>
        </is>
      </c>
      <c r="BA49" s="24" t="inlineStr">
        <is>
          <t>0aa06c0f065ec20d43901d386280174165e2b07065216b6c7ffe72c98e322706</t>
        </is>
      </c>
      <c r="BB49" s="24" t="inlineStr">
        <is>
          <t>flat_probability_shrinkage_toward_half</t>
        </is>
      </c>
      <c r="BC49" s="24" t="inlineStr">
        <is>
          <t>measured-edge-totals-v1</t>
        </is>
      </c>
      <c r="BD49" s="24" t="inlineStr">
        <is>
          <t>0aa06c0f065ec20d43901d386280174165e2b07065216b6c7ffe72c98e322706</t>
        </is>
      </c>
      <c r="BE49" s="24" t="inlineStr">
        <is>
          <t>v3</t>
        </is>
      </c>
      <c r="BF49" s="24" t="inlineStr">
        <is>
          <t>1</t>
        </is>
      </c>
      <c r="BG49" s="24" t="inlineStr">
        <is>
          <t>measured-edge-paired-v1</t>
        </is>
      </c>
      <c r="BH49" s="24" t="inlineStr">
        <is>
          <t>2026-07-27T17:34:48.845070Z</t>
        </is>
      </c>
      <c r="BI49" s="24" t="inlineStr">
        <is>
          <t>["same_event","same_team_same_day","same_league_same_day"]</t>
        </is>
      </c>
      <c r="BJ49" s="25" t="n">
        <v>7.5</v>
      </c>
      <c r="BK49" s="26" t="n">
        <v>113</v>
      </c>
      <c r="BL49" s="27" t="n">
        <v>2.13</v>
      </c>
      <c r="BM49" s="28" t="n">
        <v>0.469484</v>
      </c>
      <c r="BN49" s="28" t="n">
        <v>0.467662</v>
      </c>
      <c r="BO49" s="28" t="n"/>
      <c r="BP49" s="25" t="n"/>
      <c r="BQ49" s="27" t="n">
        <v>2.13</v>
      </c>
      <c r="BR49" s="28" t="n">
        <v>0.47</v>
      </c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</row>
    <row r="50" ht="36" customHeight="1">
      <c r="A50" s="24" t="inlineStr">
        <is>
          <t>cb6e9135d64149a8</t>
        </is>
      </c>
      <c r="B50" s="24" t="inlineStr">
        <is>
          <t>2026-07-27T19:48:45.712766Z</t>
        </is>
      </c>
      <c r="C50" s="24" t="inlineStr">
        <is>
          <t>2026-07-27T22:40Z</t>
        </is>
      </c>
      <c r="D50" s="24" t="inlineStr">
        <is>
          <t>401816280</t>
        </is>
      </c>
      <c r="E50" s="24" t="inlineStr">
        <is>
          <t>MLB</t>
        </is>
      </c>
      <c r="F50" s="24" t="inlineStr">
        <is>
          <t>Arizona Diamondbacks</t>
        </is>
      </c>
      <c r="G50" s="24" t="inlineStr">
        <is>
          <t>Pittsburgh Pirates</t>
        </is>
      </c>
      <c r="H50" s="24" t="inlineStr">
        <is>
          <t>spread</t>
        </is>
      </c>
      <c r="I50" s="24" t="inlineStr">
        <is>
          <t>away</t>
        </is>
      </c>
      <c r="J50" s="25" t="n">
        <v>-1.5</v>
      </c>
      <c r="K50" s="24" t="inlineStr">
        <is>
          <t>polymarket_us</t>
        </is>
      </c>
      <c r="L50" s="26" t="n">
        <v>170</v>
      </c>
      <c r="M50" s="27" t="n">
        <v>2.7</v>
      </c>
      <c r="N50" s="28" t="n">
        <v>0.37037</v>
      </c>
      <c r="O50" s="28" t="n">
        <v>0.500085</v>
      </c>
      <c r="P50" s="28" t="n">
        <v>0.047697</v>
      </c>
      <c r="Q50" s="28" t="n">
        <v>0.129715</v>
      </c>
      <c r="R50" s="26" t="n">
        <v>86</v>
      </c>
      <c r="S50" s="29" t="n">
        <v>0</v>
      </c>
      <c r="T50" s="24" t="inlineStr">
        <is>
          <t>measured-edge-margin-v1</t>
        </is>
      </c>
      <c r="U50" s="24" t="inlineStr">
        <is>
          <t>settled</t>
        </is>
      </c>
      <c r="V50" s="24" t="inlineStr">
        <is>
          <t>loss</t>
        </is>
      </c>
      <c r="W50" s="26" t="n">
        <v>2</v>
      </c>
      <c r="X50" s="26" t="n">
        <v>3</v>
      </c>
      <c r="Y50" s="25" t="n">
        <v>-1.5</v>
      </c>
      <c r="Z50" s="26" t="n">
        <v>170</v>
      </c>
      <c r="AA50" s="28" t="n">
        <v>0.37</v>
      </c>
      <c r="AB50" s="28" t="n">
        <v>-0.00037</v>
      </c>
      <c r="AC50" s="30" t="n">
        <v>0</v>
      </c>
      <c r="AD50" s="24" t="inlineStr">
        <is>
          <t>2026-07-28T01:57:02.360106Z</t>
        </is>
      </c>
      <c r="AE50" s="31" t="inlineStr">
        <is>
          <t>Measured Edge Margin: Trend Engine projected 6.22-4.59; raw selected-side p=0.5001, calibrated p=0.5001.</t>
        </is>
      </c>
      <c r="AF50" s="31" t="inlineStr">
        <is>
          <t>Research-only; lineup, bullpen, park, weather, xFIP, and wRC+ may be neutral fallbacks; market availability and BBO depth may change before first pitch.</t>
        </is>
      </c>
      <c r="AG50" s="24" t="inlineStr">
        <is>
          <t>review_required</t>
        </is>
      </c>
      <c r="AH50" s="24" t="n"/>
      <c r="AI50" s="31" t="n"/>
      <c r="AJ50" s="31" t="n"/>
      <c r="AK50" s="24" t="inlineStr">
        <is>
          <t>research_observation</t>
        </is>
      </c>
      <c r="AL50" s="26" t="n">
        <v>3</v>
      </c>
      <c r="AM50" s="24" t="inlineStr">
        <is>
          <t>RESEARCH_OBSERVATION</t>
        </is>
      </c>
      <c r="AN50" s="24" t="inlineStr">
        <is>
          <t>NO_CALL</t>
        </is>
      </c>
      <c r="AO50" s="24" t="inlineStr">
        <is>
          <t>NO_CALL_MODEL_UNVALIDATED</t>
        </is>
      </c>
      <c r="AP50" s="24" t="inlineStr">
        <is>
          <t>mlb-ari</t>
        </is>
      </c>
      <c r="AQ50" s="24" t="inlineStr">
        <is>
          <t>Arizona Diamondbacks</t>
        </is>
      </c>
      <c r="AR50" s="24" t="inlineStr">
        <is>
          <t>Arizona Diamondbacks</t>
        </is>
      </c>
      <c r="AS50" s="24" t="inlineStr">
        <is>
          <t>mlb-pit</t>
        </is>
      </c>
      <c r="AT50" s="24" t="inlineStr">
        <is>
          <t>Pittsburgh Pirates</t>
        </is>
      </c>
      <c r="AU50" s="24" t="inlineStr">
        <is>
          <t>Pittsburgh Pirates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research</t>
        </is>
      </c>
      <c r="BA50" s="24" t="inlineStr">
        <is>
          <t>bd86494ed21c6a0389ab0efcf4b8a5bb7b9f8f8786b6d5fb9da69d8cf0a70bdc</t>
        </is>
      </c>
      <c r="BB50" s="24" t="inlineStr">
        <is>
          <t>flat_probability_shrinkage_toward_half</t>
        </is>
      </c>
      <c r="BC50" s="24" t="inlineStr">
        <is>
          <t>measured-edge-margin-v1</t>
        </is>
      </c>
      <c r="BD50" s="24" t="inlineStr">
        <is>
          <t>bd86494ed21c6a0389ab0efcf4b8a5bb7b9f8f8786b6d5fb9da69d8cf0a70bdc</t>
        </is>
      </c>
      <c r="BE50" s="24" t="inlineStr">
        <is>
          <t>v3</t>
        </is>
      </c>
      <c r="BF50" s="24" t="inlineStr">
        <is>
          <t>1</t>
        </is>
      </c>
      <c r="BG50" s="24" t="inlineStr">
        <is>
          <t>measured-edge-paired-v1</t>
        </is>
      </c>
      <c r="BH50" s="24" t="inlineStr">
        <is>
          <t>2026-07-27T19:48:45.712766Z</t>
        </is>
      </c>
      <c r="BI50" s="24" t="inlineStr">
        <is>
          <t>["same_event","same_team_same_day","same_league_same_day"]</t>
        </is>
      </c>
      <c r="BJ50" s="25" t="n">
        <v>-1.5</v>
      </c>
      <c r="BK50" s="26" t="n">
        <v>170</v>
      </c>
      <c r="BL50" s="27" t="n">
        <v>2.7</v>
      </c>
      <c r="BM50" s="28" t="n">
        <v>0.37037</v>
      </c>
      <c r="BN50" s="28" t="n">
        <v>0.368159</v>
      </c>
      <c r="BO50" s="28" t="n"/>
      <c r="BP50" s="25" t="n"/>
      <c r="BQ50" s="27" t="n">
        <v>2.7</v>
      </c>
      <c r="BR50" s="28" t="n">
        <v>0.37</v>
      </c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</row>
    <row r="51" ht="36" customHeight="1">
      <c r="A51" s="24" t="inlineStr">
        <is>
          <t>762b31b281104edb</t>
        </is>
      </c>
      <c r="B51" s="24" t="inlineStr">
        <is>
          <t>2026-07-27T19:48:45.712766Z</t>
        </is>
      </c>
      <c r="C51" s="24" t="inlineStr">
        <is>
          <t>2026-07-27T22:40Z</t>
        </is>
      </c>
      <c r="D51" s="24" t="inlineStr">
        <is>
          <t>401816280</t>
        </is>
      </c>
      <c r="E51" s="24" t="inlineStr">
        <is>
          <t>MLB</t>
        </is>
      </c>
      <c r="F51" s="24" t="inlineStr">
        <is>
          <t>Arizona Diamondbacks</t>
        </is>
      </c>
      <c r="G51" s="24" t="inlineStr">
        <is>
          <t>Pittsburgh Pirates</t>
        </is>
      </c>
      <c r="H51" s="24" t="inlineStr">
        <is>
          <t>total</t>
        </is>
      </c>
      <c r="I51" s="24" t="inlineStr">
        <is>
          <t>over</t>
        </is>
      </c>
      <c r="J51" s="25" t="n">
        <v>9.5</v>
      </c>
      <c r="K51" s="24" t="inlineStr">
        <is>
          <t>polymarket_us</t>
        </is>
      </c>
      <c r="L51" s="26" t="n">
        <v>106</v>
      </c>
      <c r="M51" s="27" t="n">
        <v>2.06</v>
      </c>
      <c r="N51" s="28" t="n">
        <v>0.485437</v>
      </c>
      <c r="O51" s="28" t="n">
        <v>0.55015</v>
      </c>
      <c r="P51" s="28" t="n">
        <v>0.047697</v>
      </c>
      <c r="Q51" s="28" t="n">
        <v>0.06471300000000001</v>
      </c>
      <c r="R51" s="26" t="n">
        <v>54</v>
      </c>
      <c r="S51" s="29" t="n">
        <v>0</v>
      </c>
      <c r="T51" s="24" t="inlineStr">
        <is>
          <t>measured-edge-totals-v1</t>
        </is>
      </c>
      <c r="U51" s="24" t="inlineStr">
        <is>
          <t>settled</t>
        </is>
      </c>
      <c r="V51" s="24" t="inlineStr">
        <is>
          <t>loss</t>
        </is>
      </c>
      <c r="W51" s="26" t="n">
        <v>2</v>
      </c>
      <c r="X51" s="26" t="n">
        <v>3</v>
      </c>
      <c r="Y51" s="25" t="n">
        <v>9.5</v>
      </c>
      <c r="Z51" s="26" t="n">
        <v>106</v>
      </c>
      <c r="AA51" s="28" t="n">
        <v>0.485</v>
      </c>
      <c r="AB51" s="28" t="n">
        <v>-0.000437</v>
      </c>
      <c r="AC51" s="30" t="n">
        <v>0</v>
      </c>
      <c r="AD51" s="24" t="inlineStr">
        <is>
          <t>2026-07-28T01:57:02.571471Z</t>
        </is>
      </c>
      <c r="AE51" s="31" t="inlineStr">
        <is>
          <t>Measured Edge Totals: Trend Engine projected 6.22-4.59; raw selected-side p=0.5590, calibrated p=0.5502.</t>
        </is>
      </c>
      <c r="AF51" s="31" t="inlineStr">
        <is>
          <t>Research-only; lineup, bullpen, park, weather, xFIP, and wRC+ may be neutral fallbacks; market availability and BBO depth may change before first pitch.</t>
        </is>
      </c>
      <c r="AG51" s="24" t="inlineStr">
        <is>
          <t>review_required</t>
        </is>
      </c>
      <c r="AH51" s="24" t="n"/>
      <c r="AI51" s="31" t="n"/>
      <c r="AJ51" s="31" t="n"/>
      <c r="AK51" s="24" t="inlineStr">
        <is>
          <t>research_observation</t>
        </is>
      </c>
      <c r="AL51" s="26" t="n">
        <v>3</v>
      </c>
      <c r="AM51" s="24" t="inlineStr">
        <is>
          <t>RESEARCH_OBSERVATION</t>
        </is>
      </c>
      <c r="AN51" s="24" t="inlineStr">
        <is>
          <t>NO_CALL</t>
        </is>
      </c>
      <c r="AO51" s="24" t="inlineStr">
        <is>
          <t>NO_CALL_MODEL_UNVALIDATED</t>
        </is>
      </c>
      <c r="AP51" s="24" t="inlineStr">
        <is>
          <t>mlb-ari</t>
        </is>
      </c>
      <c r="AQ51" s="24" t="inlineStr">
        <is>
          <t>Arizona Diamondbacks</t>
        </is>
      </c>
      <c r="AR51" s="24" t="inlineStr">
        <is>
          <t>Arizona Diamondbacks</t>
        </is>
      </c>
      <c r="AS51" s="24" t="inlineStr">
        <is>
          <t>mlb-pit</t>
        </is>
      </c>
      <c r="AT51" s="24" t="inlineStr">
        <is>
          <t>Pittsburgh Pirates</t>
        </is>
      </c>
      <c r="AU51" s="24" t="inlineStr">
        <is>
          <t>Pittsburgh Pirates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research</t>
        </is>
      </c>
      <c r="BA51" s="24" t="inlineStr">
        <is>
          <t>0aa06c0f065ec20d43901d386280174165e2b07065216b6c7ffe72c98e322706</t>
        </is>
      </c>
      <c r="BB51" s="24" t="inlineStr">
        <is>
          <t>flat_probability_shrinkage_toward_half</t>
        </is>
      </c>
      <c r="BC51" s="24" t="inlineStr">
        <is>
          <t>measured-edge-totals-v1</t>
        </is>
      </c>
      <c r="BD51" s="24" t="inlineStr">
        <is>
          <t>0aa06c0f065ec20d43901d386280174165e2b07065216b6c7ffe72c98e322706</t>
        </is>
      </c>
      <c r="BE51" s="24" t="inlineStr">
        <is>
          <t>v3</t>
        </is>
      </c>
      <c r="BF51" s="24" t="inlineStr">
        <is>
          <t>1</t>
        </is>
      </c>
      <c r="BG51" s="24" t="inlineStr">
        <is>
          <t>measured-edge-paired-v1</t>
        </is>
      </c>
      <c r="BH51" s="24" t="inlineStr">
        <is>
          <t>2026-07-27T19:48:45.712766Z</t>
        </is>
      </c>
      <c r="BI51" s="24" t="inlineStr">
        <is>
          <t>["same_event","same_team_same_day","same_league_same_day"]</t>
        </is>
      </c>
      <c r="BJ51" s="25" t="n">
        <v>9.5</v>
      </c>
      <c r="BK51" s="26" t="n">
        <v>106</v>
      </c>
      <c r="BL51" s="27" t="n">
        <v>2.06</v>
      </c>
      <c r="BM51" s="28" t="n">
        <v>0.485437</v>
      </c>
      <c r="BN51" s="28" t="n">
        <v>0.482587</v>
      </c>
      <c r="BO51" s="28" t="n"/>
      <c r="BP51" s="25" t="n"/>
      <c r="BQ51" s="27" t="n">
        <v>2.06</v>
      </c>
      <c r="BR51" s="28" t="n">
        <v>0.485</v>
      </c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</row>
    <row r="52" ht="36" customHeight="1">
      <c r="A52" s="24" t="inlineStr">
        <is>
          <t>40bd9560905a4d7a</t>
        </is>
      </c>
      <c r="B52" s="24" t="inlineStr">
        <is>
          <t>2026-07-27T19:48:45.712766Z</t>
        </is>
      </c>
      <c r="C52" s="24" t="inlineStr">
        <is>
          <t>2026-07-27T22:40Z</t>
        </is>
      </c>
      <c r="D52" s="24" t="inlineStr">
        <is>
          <t>401816282</t>
        </is>
      </c>
      <c r="E52" s="24" t="inlineStr">
        <is>
          <t>MLB</t>
        </is>
      </c>
      <c r="F52" s="24" t="inlineStr">
        <is>
          <t>Baltimore Orioles</t>
        </is>
      </c>
      <c r="G52" s="24" t="inlineStr">
        <is>
          <t>Detroit Tigers</t>
        </is>
      </c>
      <c r="H52" s="24" t="inlineStr">
        <is>
          <t>spread</t>
        </is>
      </c>
      <c r="I52" s="24" t="inlineStr">
        <is>
          <t>home</t>
        </is>
      </c>
      <c r="J52" s="25" t="n">
        <v>1.5</v>
      </c>
      <c r="K52" s="24" t="inlineStr">
        <is>
          <t>polymarket_us</t>
        </is>
      </c>
      <c r="L52" s="26" t="n">
        <v>-182</v>
      </c>
      <c r="M52" s="27" t="n">
        <v>1.549451</v>
      </c>
      <c r="N52" s="28" t="n">
        <v>0.64539</v>
      </c>
      <c r="O52" s="28" t="n">
        <v>0.70791</v>
      </c>
      <c r="P52" s="28" t="n">
        <v>0.047697</v>
      </c>
      <c r="Q52" s="28" t="n">
        <v>0.06252000000000001</v>
      </c>
      <c r="R52" s="26" t="n">
        <v>53</v>
      </c>
      <c r="S52" s="29" t="n">
        <v>0</v>
      </c>
      <c r="T52" s="24" t="inlineStr">
        <is>
          <t>measured-edge-margin-v1</t>
        </is>
      </c>
      <c r="U52" s="24" t="inlineStr">
        <is>
          <t>settled</t>
        </is>
      </c>
      <c r="V52" s="24" t="inlineStr">
        <is>
          <t>loss</t>
        </is>
      </c>
      <c r="W52" s="26" t="n">
        <v>8</v>
      </c>
      <c r="X52" s="26" t="n">
        <v>5</v>
      </c>
      <c r="Y52" s="25" t="n">
        <v>1.5</v>
      </c>
      <c r="Z52" s="26" t="n">
        <v>-182</v>
      </c>
      <c r="AA52" s="28" t="n">
        <v>0.645</v>
      </c>
      <c r="AB52" s="28" t="n">
        <v>-0.00039</v>
      </c>
      <c r="AC52" s="30" t="n">
        <v>0</v>
      </c>
      <c r="AD52" s="24" t="inlineStr">
        <is>
          <t>2026-07-28T01:57:02.788142Z</t>
        </is>
      </c>
      <c r="AE52" s="31" t="inlineStr">
        <is>
          <t>Measured Edge Margin: Trend Engine projected 2.50-2.63; raw selected-side p=0.7446, calibrated p=0.7079.</t>
        </is>
      </c>
      <c r="AF52" s="31" t="inlineStr">
        <is>
          <t>Research-only; lineup, bullpen, park, weather, xFIP, and wRC+ may be neutral fallbacks; market availability and BBO depth may change before first pitch.</t>
        </is>
      </c>
      <c r="AG52" s="24" t="inlineStr">
        <is>
          <t>review_required</t>
        </is>
      </c>
      <c r="AH52" s="24" t="n"/>
      <c r="AI52" s="31" t="n"/>
      <c r="AJ52" s="31" t="n"/>
      <c r="AK52" s="24" t="inlineStr">
        <is>
          <t>research_observation</t>
        </is>
      </c>
      <c r="AL52" s="26" t="n">
        <v>3</v>
      </c>
      <c r="AM52" s="24" t="inlineStr">
        <is>
          <t>RESEARCH_OBSERVATION</t>
        </is>
      </c>
      <c r="AN52" s="24" t="inlineStr">
        <is>
          <t>NO_CALL</t>
        </is>
      </c>
      <c r="AO52" s="24" t="inlineStr">
        <is>
          <t>NO_CALL_MODEL_UNVALIDATED</t>
        </is>
      </c>
      <c r="AP52" s="24" t="inlineStr">
        <is>
          <t>mlb-bal</t>
        </is>
      </c>
      <c r="AQ52" s="24" t="inlineStr">
        <is>
          <t>Baltimore Orioles</t>
        </is>
      </c>
      <c r="AR52" s="24" t="inlineStr">
        <is>
          <t>Baltimore Orioles</t>
        </is>
      </c>
      <c r="AS52" s="24" t="inlineStr">
        <is>
          <t>mlb-det</t>
        </is>
      </c>
      <c r="AT52" s="24" t="inlineStr">
        <is>
          <t>Detroit Tigers</t>
        </is>
      </c>
      <c r="AU52" s="24" t="inlineStr">
        <is>
          <t>Detroit Tigers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research</t>
        </is>
      </c>
      <c r="BA52" s="24" t="inlineStr">
        <is>
          <t>bd86494ed21c6a0389ab0efcf4b8a5bb7b9f8f8786b6d5fb9da69d8cf0a70bdc</t>
        </is>
      </c>
      <c r="BB52" s="24" t="inlineStr">
        <is>
          <t>flat_probability_shrinkage_toward_half</t>
        </is>
      </c>
      <c r="BC52" s="24" t="inlineStr">
        <is>
          <t>measured-edge-margin-v1</t>
        </is>
      </c>
      <c r="BD52" s="24" t="inlineStr">
        <is>
          <t>bd86494ed21c6a0389ab0efcf4b8a5bb7b9f8f8786b6d5fb9da69d8cf0a70bdc</t>
        </is>
      </c>
      <c r="BE52" s="24" t="inlineStr">
        <is>
          <t>v3</t>
        </is>
      </c>
      <c r="BF52" s="24" t="inlineStr">
        <is>
          <t>1</t>
        </is>
      </c>
      <c r="BG52" s="24" t="inlineStr">
        <is>
          <t>measured-edge-paired-v1</t>
        </is>
      </c>
      <c r="BH52" s="24" t="inlineStr">
        <is>
          <t>2026-07-27T19:48:45.712766Z</t>
        </is>
      </c>
      <c r="BI52" s="24" t="inlineStr">
        <is>
          <t>["same_event","same_team_same_day","same_league_same_day"]</t>
        </is>
      </c>
      <c r="BJ52" s="25" t="n">
        <v>1.5</v>
      </c>
      <c r="BK52" s="26" t="n">
        <v>-182</v>
      </c>
      <c r="BL52" s="27" t="n">
        <v>1.549451</v>
      </c>
      <c r="BM52" s="28" t="n">
        <v>0.64539</v>
      </c>
      <c r="BN52" s="28" t="n">
        <v>0.641791</v>
      </c>
      <c r="BO52" s="28" t="n"/>
      <c r="BP52" s="25" t="n"/>
      <c r="BQ52" s="27" t="n">
        <v>1.549451</v>
      </c>
      <c r="BR52" s="28" t="n">
        <v>0.645</v>
      </c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</row>
    <row r="53" ht="36" customHeight="1">
      <c r="A53" s="24" t="inlineStr">
        <is>
          <t>540712300f544c47</t>
        </is>
      </c>
      <c r="B53" s="24" t="inlineStr">
        <is>
          <t>2026-07-27T19:48:45.712766Z</t>
        </is>
      </c>
      <c r="C53" s="24" t="inlineStr">
        <is>
          <t>2026-07-27T22:40Z</t>
        </is>
      </c>
      <c r="D53" s="24" t="inlineStr">
        <is>
          <t>401816282</t>
        </is>
      </c>
      <c r="E53" s="24" t="inlineStr">
        <is>
          <t>MLB</t>
        </is>
      </c>
      <c r="F53" s="24" t="inlineStr">
        <is>
          <t>Baltimore Orioles</t>
        </is>
      </c>
      <c r="G53" s="24" t="inlineStr">
        <is>
          <t>Detroit Tigers</t>
        </is>
      </c>
      <c r="H53" s="24" t="inlineStr">
        <is>
          <t>total</t>
        </is>
      </c>
      <c r="I53" s="24" t="inlineStr">
        <is>
          <t>under</t>
        </is>
      </c>
      <c r="J53" s="25" t="n">
        <v>8.5</v>
      </c>
      <c r="K53" s="24" t="inlineStr">
        <is>
          <t>polymarket_us</t>
        </is>
      </c>
      <c r="L53" s="26" t="n">
        <v>-102</v>
      </c>
      <c r="M53" s="27" t="n">
        <v>1.980392</v>
      </c>
      <c r="N53" s="28" t="n">
        <v>0.50495</v>
      </c>
      <c r="O53" s="28" t="n">
        <v>0.807275</v>
      </c>
      <c r="P53" s="28" t="n">
        <v>0.047697</v>
      </c>
      <c r="Q53" s="28" t="n">
        <v>0.302325</v>
      </c>
      <c r="R53" s="26" t="n">
        <v>100</v>
      </c>
      <c r="S53" s="29" t="n">
        <v>0</v>
      </c>
      <c r="T53" s="24" t="inlineStr">
        <is>
          <t>measured-edge-totals-v1</t>
        </is>
      </c>
      <c r="U53" s="24" t="inlineStr">
        <is>
          <t>settled</t>
        </is>
      </c>
      <c r="V53" s="24" t="inlineStr">
        <is>
          <t>loss</t>
        </is>
      </c>
      <c r="W53" s="26" t="n">
        <v>8</v>
      </c>
      <c r="X53" s="26" t="n">
        <v>5</v>
      </c>
      <c r="Y53" s="25" t="n">
        <v>8.5</v>
      </c>
      <c r="Z53" s="26" t="n">
        <v>-102</v>
      </c>
      <c r="AA53" s="28" t="n">
        <v>0.505</v>
      </c>
      <c r="AB53" s="28" t="n">
        <v>5e-05</v>
      </c>
      <c r="AC53" s="30" t="n">
        <v>0</v>
      </c>
      <c r="AD53" s="24" t="inlineStr">
        <is>
          <t>2026-07-28T01:57:03.004692Z</t>
        </is>
      </c>
      <c r="AE53" s="31" t="inlineStr">
        <is>
          <t>Measured Edge Totals: Trend Engine projected 2.50-2.63; raw selected-side p=0.8615, calibrated p=0.8073.</t>
        </is>
      </c>
      <c r="AF53" s="31" t="inlineStr">
        <is>
          <t>Research-only; lineup, bullpen, park, weather, xFIP, and wRC+ may be neutral fallbacks; market availability and BBO depth may change before first pitch.</t>
        </is>
      </c>
      <c r="AG53" s="24" t="inlineStr">
        <is>
          <t>review_required</t>
        </is>
      </c>
      <c r="AH53" s="24" t="n"/>
      <c r="AI53" s="31" t="n"/>
      <c r="AJ53" s="31" t="n"/>
      <c r="AK53" s="24" t="inlineStr">
        <is>
          <t>research_observation</t>
        </is>
      </c>
      <c r="AL53" s="26" t="n">
        <v>3</v>
      </c>
      <c r="AM53" s="24" t="inlineStr">
        <is>
          <t>RESEARCH_OBSERVATION</t>
        </is>
      </c>
      <c r="AN53" s="24" t="inlineStr">
        <is>
          <t>NO_CALL</t>
        </is>
      </c>
      <c r="AO53" s="24" t="inlineStr">
        <is>
          <t>NO_CALL_MODEL_UNVALIDATED</t>
        </is>
      </c>
      <c r="AP53" s="24" t="inlineStr">
        <is>
          <t>mlb-bal</t>
        </is>
      </c>
      <c r="AQ53" s="24" t="inlineStr">
        <is>
          <t>Baltimore Orioles</t>
        </is>
      </c>
      <c r="AR53" s="24" t="inlineStr">
        <is>
          <t>Baltimore Orioles</t>
        </is>
      </c>
      <c r="AS53" s="24" t="inlineStr">
        <is>
          <t>mlb-det</t>
        </is>
      </c>
      <c r="AT53" s="24" t="inlineStr">
        <is>
          <t>Detroit Tigers</t>
        </is>
      </c>
      <c r="AU53" s="24" t="inlineStr">
        <is>
          <t>Detroit Tigers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research</t>
        </is>
      </c>
      <c r="BA53" s="24" t="inlineStr">
        <is>
          <t>0aa06c0f065ec20d43901d386280174165e2b07065216b6c7ffe72c98e322706</t>
        </is>
      </c>
      <c r="BB53" s="24" t="inlineStr">
        <is>
          <t>flat_probability_shrinkage_toward_half</t>
        </is>
      </c>
      <c r="BC53" s="24" t="inlineStr">
        <is>
          <t>measured-edge-totals-v1</t>
        </is>
      </c>
      <c r="BD53" s="24" t="inlineStr">
        <is>
          <t>0aa06c0f065ec20d43901d386280174165e2b07065216b6c7ffe72c98e322706</t>
        </is>
      </c>
      <c r="BE53" s="24" t="inlineStr">
        <is>
          <t>v3</t>
        </is>
      </c>
      <c r="BF53" s="24" t="inlineStr">
        <is>
          <t>1</t>
        </is>
      </c>
      <c r="BG53" s="24" t="inlineStr">
        <is>
          <t>measured-edge-paired-v1</t>
        </is>
      </c>
      <c r="BH53" s="24" t="inlineStr">
        <is>
          <t>2026-07-27T19:48:45.712766Z</t>
        </is>
      </c>
      <c r="BI53" s="24" t="inlineStr">
        <is>
          <t>["same_event","same_team_same_day","same_league_same_day"]</t>
        </is>
      </c>
      <c r="BJ53" s="25" t="n">
        <v>8.5</v>
      </c>
      <c r="BK53" s="26" t="n">
        <v>-102</v>
      </c>
      <c r="BL53" s="27" t="n">
        <v>1.980392</v>
      </c>
      <c r="BM53" s="28" t="n">
        <v>0.50495</v>
      </c>
      <c r="BN53" s="28" t="n">
        <v>0.502488</v>
      </c>
      <c r="BO53" s="28" t="n"/>
      <c r="BP53" s="25" t="n"/>
      <c r="BQ53" s="27" t="n">
        <v>1.980392</v>
      </c>
      <c r="BR53" s="28" t="n">
        <v>0.505</v>
      </c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</row>
    <row r="54" ht="36" customHeight="1">
      <c r="A54" s="24" t="inlineStr">
        <is>
          <t>2c97360a59024819</t>
        </is>
      </c>
      <c r="B54" s="24" t="inlineStr">
        <is>
          <t>2026-07-27T19:48:45.712766Z</t>
        </is>
      </c>
      <c r="C54" s="24" t="inlineStr">
        <is>
          <t>2026-07-27T22:40Z</t>
        </is>
      </c>
      <c r="D54" s="24" t="inlineStr">
        <is>
          <t>401816284</t>
        </is>
      </c>
      <c r="E54" s="24" t="inlineStr">
        <is>
          <t>MLB</t>
        </is>
      </c>
      <c r="F54" s="24" t="inlineStr">
        <is>
          <t>Philadelphia Phillies</t>
        </is>
      </c>
      <c r="G54" s="24" t="inlineStr">
        <is>
          <t>Miami Marlins</t>
        </is>
      </c>
      <c r="H54" s="24" t="inlineStr">
        <is>
          <t>spread</t>
        </is>
      </c>
      <c r="I54" s="24" t="inlineStr">
        <is>
          <t>away</t>
        </is>
      </c>
      <c r="J54" s="25" t="n">
        <v>-1.5</v>
      </c>
      <c r="K54" s="24" t="inlineStr">
        <is>
          <t>polymarket_us</t>
        </is>
      </c>
      <c r="L54" s="26" t="n">
        <v>-102</v>
      </c>
      <c r="M54" s="27" t="n">
        <v>1.980392</v>
      </c>
      <c r="N54" s="28" t="n">
        <v>0.50495</v>
      </c>
      <c r="O54" s="28" t="n">
        <v>0.596135</v>
      </c>
      <c r="P54" s="28" t="n">
        <v>0.046637</v>
      </c>
      <c r="Q54" s="28" t="n">
        <v>0.091185</v>
      </c>
      <c r="R54" s="26" t="n">
        <v>68</v>
      </c>
      <c r="S54" s="29" t="n">
        <v>0</v>
      </c>
      <c r="T54" s="24" t="inlineStr">
        <is>
          <t>measured-edge-margin-v1</t>
        </is>
      </c>
      <c r="U54" s="24" t="inlineStr">
        <is>
          <t>settled</t>
        </is>
      </c>
      <c r="V54" s="24" t="inlineStr">
        <is>
          <t>loss</t>
        </is>
      </c>
      <c r="W54" s="26" t="n">
        <v>7</v>
      </c>
      <c r="X54" s="26" t="n">
        <v>8</v>
      </c>
      <c r="Y54" s="25" t="n">
        <v>-1.5</v>
      </c>
      <c r="Z54" s="26" t="n">
        <v>-102</v>
      </c>
      <c r="AA54" s="28" t="n">
        <v>0.505</v>
      </c>
      <c r="AB54" s="28" t="n">
        <v>5e-05</v>
      </c>
      <c r="AC54" s="30" t="n">
        <v>0</v>
      </c>
      <c r="AD54" s="24" t="inlineStr">
        <is>
          <t>2026-07-28T01:57:03.208930Z</t>
        </is>
      </c>
      <c r="AE54" s="31" t="inlineStr">
        <is>
          <t>Measured Edge Margin: Trend Engine projected 4.56-1.96; raw selected-side p=0.6131, calibrated p=0.5961.</t>
        </is>
      </c>
      <c r="AF54" s="31" t="inlineStr">
        <is>
          <t>Research-only; lineup, bullpen, park, weather, xFIP, and wRC+ may be neutral fallbacks; market availability and BBO depth may change before first pitch.</t>
        </is>
      </c>
      <c r="AG54" s="24" t="inlineStr">
        <is>
          <t>review_required</t>
        </is>
      </c>
      <c r="AH54" s="24" t="n"/>
      <c r="AI54" s="31" t="n"/>
      <c r="AJ54" s="31" t="n"/>
      <c r="AK54" s="24" t="inlineStr">
        <is>
          <t>research_observation</t>
        </is>
      </c>
      <c r="AL54" s="26" t="n">
        <v>3</v>
      </c>
      <c r="AM54" s="24" t="inlineStr">
        <is>
          <t>RESEARCH_OBSERVATION</t>
        </is>
      </c>
      <c r="AN54" s="24" t="inlineStr">
        <is>
          <t>NO_CALL</t>
        </is>
      </c>
      <c r="AO54" s="24" t="inlineStr">
        <is>
          <t>NO_CALL_MODEL_UNVALIDATED</t>
        </is>
      </c>
      <c r="AP54" s="24" t="inlineStr">
        <is>
          <t>mlb-phi</t>
        </is>
      </c>
      <c r="AQ54" s="24" t="inlineStr">
        <is>
          <t>Philadelphia Phillies</t>
        </is>
      </c>
      <c r="AR54" s="24" t="inlineStr">
        <is>
          <t>Philadelphia Phillies</t>
        </is>
      </c>
      <c r="AS54" s="24" t="inlineStr">
        <is>
          <t>mlb-mia</t>
        </is>
      </c>
      <c r="AT54" s="24" t="inlineStr">
        <is>
          <t>Miami Marlins</t>
        </is>
      </c>
      <c r="AU54" s="24" t="inlineStr">
        <is>
          <t>Miami Marlins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research</t>
        </is>
      </c>
      <c r="BA54" s="24" t="inlineStr">
        <is>
          <t>bd86494ed21c6a0389ab0efcf4b8a5bb7b9f8f8786b6d5fb9da69d8cf0a70bdc</t>
        </is>
      </c>
      <c r="BB54" s="24" t="inlineStr">
        <is>
          <t>flat_probability_shrinkage_toward_half</t>
        </is>
      </c>
      <c r="BC54" s="24" t="inlineStr">
        <is>
          <t>measured-edge-margin-v1</t>
        </is>
      </c>
      <c r="BD54" s="24" t="inlineStr">
        <is>
          <t>bd86494ed21c6a0389ab0efcf4b8a5bb7b9f8f8786b6d5fb9da69d8cf0a70bdc</t>
        </is>
      </c>
      <c r="BE54" s="24" t="inlineStr">
        <is>
          <t>v3</t>
        </is>
      </c>
      <c r="BF54" s="24" t="inlineStr">
        <is>
          <t>1</t>
        </is>
      </c>
      <c r="BG54" s="24" t="inlineStr">
        <is>
          <t>measured-edge-paired-v1</t>
        </is>
      </c>
      <c r="BH54" s="24" t="inlineStr">
        <is>
          <t>2026-07-27T19:48:45.712766Z</t>
        </is>
      </c>
      <c r="BI54" s="24" t="inlineStr">
        <is>
          <t>["same_event","same_team_same_day","same_league_same_day"]</t>
        </is>
      </c>
      <c r="BJ54" s="25" t="n">
        <v>-1.5</v>
      </c>
      <c r="BK54" s="26" t="n">
        <v>-102</v>
      </c>
      <c r="BL54" s="27" t="n">
        <v>1.980392</v>
      </c>
      <c r="BM54" s="28" t="n">
        <v>0.50495</v>
      </c>
      <c r="BN54" s="28" t="n">
        <v>0.502488</v>
      </c>
      <c r="BO54" s="28" t="n"/>
      <c r="BP54" s="25" t="n"/>
      <c r="BQ54" s="27" t="n">
        <v>1.980392</v>
      </c>
      <c r="BR54" s="28" t="n">
        <v>0.505</v>
      </c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</row>
    <row r="55" ht="36" customHeight="1">
      <c r="A55" s="24" t="inlineStr">
        <is>
          <t>ce9ad08fa9224c02</t>
        </is>
      </c>
      <c r="B55" s="24" t="inlineStr">
        <is>
          <t>2026-07-27T19:48:45.712766Z</t>
        </is>
      </c>
      <c r="C55" s="24" t="inlineStr">
        <is>
          <t>2026-07-27T22:40Z</t>
        </is>
      </c>
      <c r="D55" s="24" t="inlineStr">
        <is>
          <t>401816284</t>
        </is>
      </c>
      <c r="E55" s="24" t="inlineStr">
        <is>
          <t>MLB</t>
        </is>
      </c>
      <c r="F55" s="24" t="inlineStr">
        <is>
          <t>Philadelphia Phillies</t>
        </is>
      </c>
      <c r="G55" s="24" t="inlineStr">
        <is>
          <t>Miami Marlins</t>
        </is>
      </c>
      <c r="H55" s="24" t="inlineStr">
        <is>
          <t>total</t>
        </is>
      </c>
      <c r="I55" s="24" t="inlineStr">
        <is>
          <t>under</t>
        </is>
      </c>
      <c r="J55" s="25" t="n">
        <v>7.5</v>
      </c>
      <c r="K55" s="24" t="inlineStr">
        <is>
          <t>polymarket_us</t>
        </is>
      </c>
      <c r="L55" s="26" t="n">
        <v>104</v>
      </c>
      <c r="M55" s="27" t="n">
        <v>2.04</v>
      </c>
      <c r="N55" s="28" t="n">
        <v>0.490196</v>
      </c>
      <c r="O55" s="28" t="n">
        <v>0.63685</v>
      </c>
      <c r="P55" s="28" t="n">
        <v>0.046637</v>
      </c>
      <c r="Q55" s="28" t="n">
        <v>0.146654</v>
      </c>
      <c r="R55" s="26" t="n">
        <v>95</v>
      </c>
      <c r="S55" s="29" t="n">
        <v>0</v>
      </c>
      <c r="T55" s="24" t="inlineStr">
        <is>
          <t>measured-edge-totals-v1</t>
        </is>
      </c>
      <c r="U55" s="24" t="inlineStr">
        <is>
          <t>settled</t>
        </is>
      </c>
      <c r="V55" s="24" t="inlineStr">
        <is>
          <t>loss</t>
        </is>
      </c>
      <c r="W55" s="26" t="n">
        <v>7</v>
      </c>
      <c r="X55" s="26" t="n">
        <v>8</v>
      </c>
      <c r="Y55" s="25" t="n">
        <v>7.5</v>
      </c>
      <c r="Z55" s="26" t="n">
        <v>104</v>
      </c>
      <c r="AA55" s="28" t="n">
        <v>0.49</v>
      </c>
      <c r="AB55" s="28" t="n">
        <v>-0.000196</v>
      </c>
      <c r="AC55" s="30" t="n">
        <v>0</v>
      </c>
      <c r="AD55" s="24" t="inlineStr">
        <is>
          <t>2026-07-28T01:57:03.415540Z</t>
        </is>
      </c>
      <c r="AE55" s="31" t="inlineStr">
        <is>
          <t>Measured Edge Totals: Trend Engine projected 4.56-1.96; raw selected-side p=0.6610, calibrated p=0.6368.</t>
        </is>
      </c>
      <c r="AF55" s="31" t="inlineStr">
        <is>
          <t>Research-only; lineup, bullpen, park, weather, xFIP, and wRC+ may be neutral fallbacks; market availability and BBO depth may change before first pitch.</t>
        </is>
      </c>
      <c r="AG55" s="24" t="inlineStr">
        <is>
          <t>review_required</t>
        </is>
      </c>
      <c r="AH55" s="24" t="n"/>
      <c r="AI55" s="31" t="n"/>
      <c r="AJ55" s="31" t="n"/>
      <c r="AK55" s="24" t="inlineStr">
        <is>
          <t>research_observation</t>
        </is>
      </c>
      <c r="AL55" s="26" t="n">
        <v>3</v>
      </c>
      <c r="AM55" s="24" t="inlineStr">
        <is>
          <t>RESEARCH_OBSERVATION</t>
        </is>
      </c>
      <c r="AN55" s="24" t="inlineStr">
        <is>
          <t>NO_CALL</t>
        </is>
      </c>
      <c r="AO55" s="24" t="inlineStr">
        <is>
          <t>NO_CALL_MODEL_UNVALIDATED</t>
        </is>
      </c>
      <c r="AP55" s="24" t="inlineStr">
        <is>
          <t>mlb-phi</t>
        </is>
      </c>
      <c r="AQ55" s="24" t="inlineStr">
        <is>
          <t>Philadelphia Phillies</t>
        </is>
      </c>
      <c r="AR55" s="24" t="inlineStr">
        <is>
          <t>Philadelphia Phillies</t>
        </is>
      </c>
      <c r="AS55" s="24" t="inlineStr">
        <is>
          <t>mlb-mia</t>
        </is>
      </c>
      <c r="AT55" s="24" t="inlineStr">
        <is>
          <t>Miami Marlins</t>
        </is>
      </c>
      <c r="AU55" s="24" t="inlineStr">
        <is>
          <t>Miami Marlins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research</t>
        </is>
      </c>
      <c r="BA55" s="24" t="inlineStr">
        <is>
          <t>0aa06c0f065ec20d43901d386280174165e2b07065216b6c7ffe72c98e322706</t>
        </is>
      </c>
      <c r="BB55" s="24" t="inlineStr">
        <is>
          <t>flat_probability_shrinkage_toward_half</t>
        </is>
      </c>
      <c r="BC55" s="24" t="inlineStr">
        <is>
          <t>measured-edge-totals-v1</t>
        </is>
      </c>
      <c r="BD55" s="24" t="inlineStr">
        <is>
          <t>0aa06c0f065ec20d43901d386280174165e2b07065216b6c7ffe72c98e322706</t>
        </is>
      </c>
      <c r="BE55" s="24" t="inlineStr">
        <is>
          <t>v3</t>
        </is>
      </c>
      <c r="BF55" s="24" t="inlineStr">
        <is>
          <t>1</t>
        </is>
      </c>
      <c r="BG55" s="24" t="inlineStr">
        <is>
          <t>measured-edge-paired-v1</t>
        </is>
      </c>
      <c r="BH55" s="24" t="inlineStr">
        <is>
          <t>2026-07-27T19:48:45.712766Z</t>
        </is>
      </c>
      <c r="BI55" s="24" t="inlineStr">
        <is>
          <t>["same_event","same_team_same_day","same_league_same_day"]</t>
        </is>
      </c>
      <c r="BJ55" s="25" t="n">
        <v>7.5</v>
      </c>
      <c r="BK55" s="26" t="n">
        <v>104</v>
      </c>
      <c r="BL55" s="27" t="n">
        <v>2.04</v>
      </c>
      <c r="BM55" s="28" t="n">
        <v>0.490196</v>
      </c>
      <c r="BN55" s="28" t="n">
        <v>0.487562</v>
      </c>
      <c r="BO55" s="28" t="n"/>
      <c r="BP55" s="25" t="n"/>
      <c r="BQ55" s="27" t="n">
        <v>2.04</v>
      </c>
      <c r="BR55" s="28" t="n">
        <v>0.49</v>
      </c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</row>
    <row r="56" ht="36" customHeight="1">
      <c r="A56" s="24" t="inlineStr">
        <is>
          <t>877b620fd32748cd</t>
        </is>
      </c>
      <c r="B56" s="24" t="inlineStr">
        <is>
          <t>2026-07-27T19:48:45.712766Z</t>
        </is>
      </c>
      <c r="C56" s="24" t="inlineStr">
        <is>
          <t>2026-07-27T22:45Z</t>
        </is>
      </c>
      <c r="D56" s="24" t="inlineStr">
        <is>
          <t>401816285</t>
        </is>
      </c>
      <c r="E56" s="24" t="inlineStr">
        <is>
          <t>MLB</t>
        </is>
      </c>
      <c r="F56" s="24" t="inlineStr">
        <is>
          <t>Toronto Blue Jays</t>
        </is>
      </c>
      <c r="G56" s="24" t="inlineStr">
        <is>
          <t>Washington Nationals</t>
        </is>
      </c>
      <c r="H56" s="24" t="inlineStr">
        <is>
          <t>spread</t>
        </is>
      </c>
      <c r="I56" s="24" t="inlineStr">
        <is>
          <t>home</t>
        </is>
      </c>
      <c r="J56" s="25" t="n">
        <v>-1.5</v>
      </c>
      <c r="K56" s="24" t="inlineStr">
        <is>
          <t>polymarket_us</t>
        </is>
      </c>
      <c r="L56" s="26" t="n">
        <v>167</v>
      </c>
      <c r="M56" s="27" t="n">
        <v>2.67</v>
      </c>
      <c r="N56" s="28" t="n">
        <v>0.374532</v>
      </c>
      <c r="O56" s="28" t="n">
        <v>0.885475</v>
      </c>
      <c r="P56" s="28" t="n">
        <v>0.056347</v>
      </c>
      <c r="Q56" s="28" t="n">
        <v>0.510943</v>
      </c>
      <c r="R56" s="26" t="n">
        <v>100</v>
      </c>
      <c r="S56" s="29" t="n">
        <v>0</v>
      </c>
      <c r="T56" s="24" t="inlineStr">
        <is>
          <t>measured-edge-margin-v1</t>
        </is>
      </c>
      <c r="U56" s="24" t="inlineStr">
        <is>
          <t>settled</t>
        </is>
      </c>
      <c r="V56" s="24" t="inlineStr">
        <is>
          <t>loss</t>
        </is>
      </c>
      <c r="W56" s="26" t="n">
        <v>3</v>
      </c>
      <c r="X56" s="26" t="n">
        <v>2</v>
      </c>
      <c r="Y56" s="25" t="n">
        <v>-1.5</v>
      </c>
      <c r="Z56" s="26" t="n">
        <v>167</v>
      </c>
      <c r="AA56" s="28" t="n">
        <v>0.375</v>
      </c>
      <c r="AB56" s="28" t="n">
        <v>0.000468</v>
      </c>
      <c r="AC56" s="30" t="n">
        <v>0</v>
      </c>
      <c r="AD56" s="24" t="inlineStr">
        <is>
          <t>2026-07-28T01:57:03.621887Z</t>
        </is>
      </c>
      <c r="AE56" s="31" t="inlineStr">
        <is>
          <t>Measured Edge Margin: Trend Engine projected 1.80-11.68; raw selected-side p=0.9535, calibrated p=0.8855.</t>
        </is>
      </c>
      <c r="AF56" s="31" t="inlineStr">
        <is>
          <t>Research-only; lineup, bullpen, park, weather, xFIP, and wRC+ may be neutral fallbacks; market availability and BBO depth may change before first pitch.</t>
        </is>
      </c>
      <c r="AG56" s="24" t="inlineStr">
        <is>
          <t>review_required</t>
        </is>
      </c>
      <c r="AH56" s="24" t="n"/>
      <c r="AI56" s="31" t="n"/>
      <c r="AJ56" s="31" t="n"/>
      <c r="AK56" s="24" t="inlineStr">
        <is>
          <t>research_observation</t>
        </is>
      </c>
      <c r="AL56" s="26" t="n">
        <v>3</v>
      </c>
      <c r="AM56" s="24" t="inlineStr">
        <is>
          <t>RESEARCH_OBSERVATION</t>
        </is>
      </c>
      <c r="AN56" s="24" t="inlineStr">
        <is>
          <t>NO_CALL</t>
        </is>
      </c>
      <c r="AO56" s="24" t="inlineStr">
        <is>
          <t>NO_CALL_MODEL_UNVALIDATED</t>
        </is>
      </c>
      <c r="AP56" s="24" t="inlineStr">
        <is>
          <t>mlb-tor</t>
        </is>
      </c>
      <c r="AQ56" s="24" t="inlineStr">
        <is>
          <t>Toronto Blue Jays</t>
        </is>
      </c>
      <c r="AR56" s="24" t="inlineStr">
        <is>
          <t>Toronto Blue Jays</t>
        </is>
      </c>
      <c r="AS56" s="24" t="inlineStr">
        <is>
          <t>mlb-wsh</t>
        </is>
      </c>
      <c r="AT56" s="24" t="inlineStr">
        <is>
          <t>Washington Nationals</t>
        </is>
      </c>
      <c r="AU56" s="24" t="inlineStr">
        <is>
          <t>Washington Nationals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research</t>
        </is>
      </c>
      <c r="BA56" s="24" t="inlineStr">
        <is>
          <t>bd86494ed21c6a0389ab0efcf4b8a5bb7b9f8f8786b6d5fb9da69d8cf0a70bdc</t>
        </is>
      </c>
      <c r="BB56" s="24" t="inlineStr">
        <is>
          <t>flat_probability_shrinkage_toward_half</t>
        </is>
      </c>
      <c r="BC56" s="24" t="inlineStr">
        <is>
          <t>measured-edge-margin-v1</t>
        </is>
      </c>
      <c r="BD56" s="24" t="inlineStr">
        <is>
          <t>bd86494ed21c6a0389ab0efcf4b8a5bb7b9f8f8786b6d5fb9da69d8cf0a70bdc</t>
        </is>
      </c>
      <c r="BE56" s="24" t="inlineStr">
        <is>
          <t>v3</t>
        </is>
      </c>
      <c r="BF56" s="24" t="inlineStr">
        <is>
          <t>1</t>
        </is>
      </c>
      <c r="BG56" s="24" t="inlineStr">
        <is>
          <t>measured-edge-paired-v1</t>
        </is>
      </c>
      <c r="BH56" s="24" t="inlineStr">
        <is>
          <t>2026-07-27T19:48:45.712766Z</t>
        </is>
      </c>
      <c r="BI56" s="24" t="inlineStr">
        <is>
          <t>["same_event","same_team_same_day","same_league_same_day"]</t>
        </is>
      </c>
      <c r="BJ56" s="25" t="n">
        <v>-1.5</v>
      </c>
      <c r="BK56" s="26" t="n">
        <v>167</v>
      </c>
      <c r="BL56" s="27" t="n">
        <v>2.67</v>
      </c>
      <c r="BM56" s="28" t="n">
        <v>0.374532</v>
      </c>
      <c r="BN56" s="28" t="n">
        <v>0.373134</v>
      </c>
      <c r="BO56" s="28" t="n"/>
      <c r="BP56" s="25" t="n"/>
      <c r="BQ56" s="27" t="n">
        <v>2.67</v>
      </c>
      <c r="BR56" s="28" t="n">
        <v>0.375</v>
      </c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</row>
    <row r="57" ht="36" customHeight="1">
      <c r="A57" s="24" t="inlineStr">
        <is>
          <t>f062b6989f244acb</t>
        </is>
      </c>
      <c r="B57" s="24" t="inlineStr">
        <is>
          <t>2026-07-27T19:48:45.712766Z</t>
        </is>
      </c>
      <c r="C57" s="24" t="inlineStr">
        <is>
          <t>2026-07-27T22:45Z</t>
        </is>
      </c>
      <c r="D57" s="24" t="inlineStr">
        <is>
          <t>401816285</t>
        </is>
      </c>
      <c r="E57" s="24" t="inlineStr">
        <is>
          <t>MLB</t>
        </is>
      </c>
      <c r="F57" s="24" t="inlineStr">
        <is>
          <t>Toronto Blue Jays</t>
        </is>
      </c>
      <c r="G57" s="24" t="inlineStr">
        <is>
          <t>Washington Nationals</t>
        </is>
      </c>
      <c r="H57" s="24" t="inlineStr">
        <is>
          <t>total</t>
        </is>
      </c>
      <c r="I57" s="24" t="inlineStr">
        <is>
          <t>over</t>
        </is>
      </c>
      <c r="J57" s="25" t="n">
        <v>9.5</v>
      </c>
      <c r="K57" s="24" t="inlineStr">
        <is>
          <t>polymarket_us</t>
        </is>
      </c>
      <c r="L57" s="26" t="n">
        <v>-113</v>
      </c>
      <c r="M57" s="27" t="n">
        <v>1.884956</v>
      </c>
      <c r="N57" s="28" t="n">
        <v>0.530516</v>
      </c>
      <c r="O57" s="28" t="n">
        <v>0.673655</v>
      </c>
      <c r="P57" s="28" t="n">
        <v>0.056347</v>
      </c>
      <c r="Q57" s="28" t="n">
        <v>0.143139</v>
      </c>
      <c r="R57" s="26" t="n">
        <v>88</v>
      </c>
      <c r="S57" s="29" t="n">
        <v>0</v>
      </c>
      <c r="T57" s="24" t="inlineStr">
        <is>
          <t>measured-edge-totals-v1</t>
        </is>
      </c>
      <c r="U57" s="24" t="inlineStr">
        <is>
          <t>settled</t>
        </is>
      </c>
      <c r="V57" s="24" t="inlineStr">
        <is>
          <t>loss</t>
        </is>
      </c>
      <c r="W57" s="26" t="n">
        <v>3</v>
      </c>
      <c r="X57" s="26" t="n">
        <v>2</v>
      </c>
      <c r="Y57" s="25" t="n">
        <v>9.5</v>
      </c>
      <c r="Z57" s="26" t="n">
        <v>-113</v>
      </c>
      <c r="AA57" s="28" t="n">
        <v>0.53</v>
      </c>
      <c r="AB57" s="28" t="n">
        <v>-0.000516</v>
      </c>
      <c r="AC57" s="30" t="n">
        <v>0</v>
      </c>
      <c r="AD57" s="24" t="inlineStr">
        <is>
          <t>2026-07-28T01:57:03.827901Z</t>
        </is>
      </c>
      <c r="AE57" s="31" t="inlineStr">
        <is>
          <t>Measured Edge Totals: Trend Engine projected 1.80-11.68; raw selected-side p=0.7043, calibrated p=0.6737.</t>
        </is>
      </c>
      <c r="AF57" s="31" t="inlineStr">
        <is>
          <t>Research-only; lineup, bullpen, park, weather, xFIP, and wRC+ may be neutral fallbacks; market availability and BBO depth may change before first pitch.</t>
        </is>
      </c>
      <c r="AG57" s="24" t="inlineStr">
        <is>
          <t>review_required</t>
        </is>
      </c>
      <c r="AH57" s="24" t="n"/>
      <c r="AI57" s="31" t="n"/>
      <c r="AJ57" s="31" t="n"/>
      <c r="AK57" s="24" t="inlineStr">
        <is>
          <t>research_observation</t>
        </is>
      </c>
      <c r="AL57" s="26" t="n">
        <v>3</v>
      </c>
      <c r="AM57" s="24" t="inlineStr">
        <is>
          <t>RESEARCH_OBSERVATION</t>
        </is>
      </c>
      <c r="AN57" s="24" t="inlineStr">
        <is>
          <t>NO_CALL</t>
        </is>
      </c>
      <c r="AO57" s="24" t="inlineStr">
        <is>
          <t>NO_CALL_MODEL_UNVALIDATED</t>
        </is>
      </c>
      <c r="AP57" s="24" t="inlineStr">
        <is>
          <t>mlb-tor</t>
        </is>
      </c>
      <c r="AQ57" s="24" t="inlineStr">
        <is>
          <t>Toronto Blue Jays</t>
        </is>
      </c>
      <c r="AR57" s="24" t="inlineStr">
        <is>
          <t>Toronto Blue Jays</t>
        </is>
      </c>
      <c r="AS57" s="24" t="inlineStr">
        <is>
          <t>mlb-wsh</t>
        </is>
      </c>
      <c r="AT57" s="24" t="inlineStr">
        <is>
          <t>Washington Nationals</t>
        </is>
      </c>
      <c r="AU57" s="24" t="inlineStr">
        <is>
          <t>Washington Nationals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research</t>
        </is>
      </c>
      <c r="BA57" s="24" t="inlineStr">
        <is>
          <t>0aa06c0f065ec20d43901d386280174165e2b07065216b6c7ffe72c98e322706</t>
        </is>
      </c>
      <c r="BB57" s="24" t="inlineStr">
        <is>
          <t>flat_probability_shrinkage_toward_half</t>
        </is>
      </c>
      <c r="BC57" s="24" t="inlineStr">
        <is>
          <t>measured-edge-totals-v1</t>
        </is>
      </c>
      <c r="BD57" s="24" t="inlineStr">
        <is>
          <t>0aa06c0f065ec20d43901d386280174165e2b07065216b6c7ffe72c98e322706</t>
        </is>
      </c>
      <c r="BE57" s="24" t="inlineStr">
        <is>
          <t>v3</t>
        </is>
      </c>
      <c r="BF57" s="24" t="inlineStr">
        <is>
          <t>1</t>
        </is>
      </c>
      <c r="BG57" s="24" t="inlineStr">
        <is>
          <t>measured-edge-paired-v1</t>
        </is>
      </c>
      <c r="BH57" s="24" t="inlineStr">
        <is>
          <t>2026-07-27T19:48:45.712766Z</t>
        </is>
      </c>
      <c r="BI57" s="24" t="inlineStr">
        <is>
          <t>["same_event","same_team_same_day","same_league_same_day"]</t>
        </is>
      </c>
      <c r="BJ57" s="25" t="n">
        <v>9.5</v>
      </c>
      <c r="BK57" s="26" t="n">
        <v>-113</v>
      </c>
      <c r="BL57" s="27" t="n">
        <v>1.884956</v>
      </c>
      <c r="BM57" s="28" t="n">
        <v>0.530516</v>
      </c>
      <c r="BN57" s="28" t="n">
        <v>0.527363</v>
      </c>
      <c r="BO57" s="28" t="n"/>
      <c r="BP57" s="25" t="n"/>
      <c r="BQ57" s="27" t="n">
        <v>1.884956</v>
      </c>
      <c r="BR57" s="28" t="n">
        <v>0.53</v>
      </c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</row>
    <row r="58" ht="36" customHeight="1">
      <c r="A58" s="24" t="inlineStr">
        <is>
          <t>09314dc6b46e4fcf</t>
        </is>
      </c>
      <c r="B58" s="24" t="inlineStr">
        <is>
          <t>2026-07-27T22:53:10.309584Z</t>
        </is>
      </c>
      <c r="C58" s="24" t="inlineStr">
        <is>
          <t>2026-07-27T23:00Z</t>
        </is>
      </c>
      <c r="D58" s="24" t="inlineStr">
        <is>
          <t>401816283</t>
        </is>
      </c>
      <c r="E58" s="24" t="inlineStr">
        <is>
          <t>MLB</t>
        </is>
      </c>
      <c r="F58" s="24" t="inlineStr">
        <is>
          <t>Cleveland Guardians</t>
        </is>
      </c>
      <c r="G58" s="24" t="inlineStr">
        <is>
          <t>Cincinnati Reds</t>
        </is>
      </c>
      <c r="H58" s="24" t="inlineStr">
        <is>
          <t>spread</t>
        </is>
      </c>
      <c r="I58" s="24" t="inlineStr">
        <is>
          <t>home</t>
        </is>
      </c>
      <c r="J58" s="25" t="n">
        <v>-1.5</v>
      </c>
      <c r="K58" s="24" t="inlineStr">
        <is>
          <t>polymarket_us</t>
        </is>
      </c>
      <c r="L58" s="26" t="n">
        <v>135</v>
      </c>
      <c r="M58" s="27" t="n">
        <v>2.35</v>
      </c>
      <c r="N58" s="28" t="n">
        <v>0.425532</v>
      </c>
      <c r="O58" s="28" t="n">
        <v>0.520145</v>
      </c>
      <c r="P58" s="28" t="n">
        <v>0.047697</v>
      </c>
      <c r="Q58" s="28" t="n">
        <v>0.094613</v>
      </c>
      <c r="R58" s="26" t="n">
        <v>69</v>
      </c>
      <c r="S58" s="29" t="n">
        <v>0</v>
      </c>
      <c r="T58" s="24" t="inlineStr">
        <is>
          <t>measured-edge-margin-v1</t>
        </is>
      </c>
      <c r="U58" s="24" t="inlineStr">
        <is>
          <t>settled</t>
        </is>
      </c>
      <c r="V58" s="24" t="inlineStr">
        <is>
          <t>push</t>
        </is>
      </c>
      <c r="W58" s="26" t="n"/>
      <c r="X58" s="26" t="n"/>
      <c r="Y58" s="25" t="n"/>
      <c r="Z58" s="26" t="n"/>
      <c r="AA58" s="28" t="n"/>
      <c r="AB58" s="28" t="n"/>
      <c r="AC58" s="30" t="n">
        <v>0</v>
      </c>
      <c r="AD58" s="24" t="inlineStr">
        <is>
          <t>2026-07-28T16:23:01.670428Z</t>
        </is>
      </c>
      <c r="AE58" s="31" t="inlineStr">
        <is>
          <t>Measured Edge Margin: Trend Engine projected 3.23-5.16; raw selected-side p=0.5237, calibrated p=0.5201.</t>
        </is>
      </c>
      <c r="AF58" s="31" t="inlineStr">
        <is>
          <t>Research-only; lineup, bullpen, park, weather, xFIP, and wRC+ may be neutral fallbacks; market availability and BBO depth may change before first pitch.</t>
        </is>
      </c>
      <c r="AG58" s="24" t="inlineStr">
        <is>
          <t>not_applicable</t>
        </is>
      </c>
      <c r="AH58" s="24" t="n"/>
      <c r="AI58" s="31" t="n"/>
      <c r="AJ58" s="31" t="n"/>
      <c r="AK58" s="24" t="inlineStr">
        <is>
          <t>research_observation</t>
        </is>
      </c>
      <c r="AL58" s="26" t="n">
        <v>3</v>
      </c>
      <c r="AM58" s="24" t="inlineStr">
        <is>
          <t>RESEARCH_OBSERVATION</t>
        </is>
      </c>
      <c r="AN58" s="24" t="inlineStr">
        <is>
          <t>NO_CALL</t>
        </is>
      </c>
      <c r="AO58" s="24" t="inlineStr">
        <is>
          <t>NO_CALL_MODEL_UNVALIDATED</t>
        </is>
      </c>
      <c r="AP58" s="24" t="inlineStr">
        <is>
          <t>mlb-cle</t>
        </is>
      </c>
      <c r="AQ58" s="24" t="inlineStr">
        <is>
          <t>Cleveland Guardians</t>
        </is>
      </c>
      <c r="AR58" s="24" t="inlineStr">
        <is>
          <t>Cleveland Guardians</t>
        </is>
      </c>
      <c r="AS58" s="24" t="inlineStr">
        <is>
          <t>mlb-cin</t>
        </is>
      </c>
      <c r="AT58" s="24" t="inlineStr">
        <is>
          <t>Cincinnati Reds</t>
        </is>
      </c>
      <c r="AU58" s="24" t="inlineStr">
        <is>
          <t>Cincinnati Reds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research</t>
        </is>
      </c>
      <c r="BA58" s="24" t="inlineStr">
        <is>
          <t>bd86494ed21c6a0389ab0efcf4b8a5bb7b9f8f8786b6d5fb9da69d8cf0a70bdc</t>
        </is>
      </c>
      <c r="BB58" s="24" t="inlineStr">
        <is>
          <t>flat_probability_shrinkage_toward_half</t>
        </is>
      </c>
      <c r="BC58" s="24" t="inlineStr">
        <is>
          <t>measured-edge-margin-v1</t>
        </is>
      </c>
      <c r="BD58" s="24" t="inlineStr">
        <is>
          <t>bd86494ed21c6a0389ab0efcf4b8a5bb7b9f8f8786b6d5fb9da69d8cf0a70bdc</t>
        </is>
      </c>
      <c r="BE58" s="24" t="inlineStr">
        <is>
          <t>v3</t>
        </is>
      </c>
      <c r="BF58" s="24" t="inlineStr">
        <is>
          <t>1</t>
        </is>
      </c>
      <c r="BG58" s="24" t="inlineStr">
        <is>
          <t>measured-edge-paired-v1</t>
        </is>
      </c>
      <c r="BH58" s="24" t="inlineStr">
        <is>
          <t>2026-07-27T22:53:10.309584Z</t>
        </is>
      </c>
      <c r="BI58" s="24" t="inlineStr">
        <is>
          <t>["same_event","same_team_same_day","same_league_same_day"]</t>
        </is>
      </c>
      <c r="BJ58" s="25" t="n">
        <v>-1.5</v>
      </c>
      <c r="BK58" s="26" t="n">
        <v>135</v>
      </c>
      <c r="BL58" s="27" t="n">
        <v>2.35</v>
      </c>
      <c r="BM58" s="28" t="n">
        <v>0.425532</v>
      </c>
      <c r="BN58" s="28" t="n">
        <v>0.422886</v>
      </c>
      <c r="BO58" s="28" t="n"/>
      <c r="BP58" s="25" t="n"/>
      <c r="BQ58" s="27" t="n"/>
      <c r="BR58" s="28" t="n"/>
      <c r="BS58" s="28" t="n"/>
      <c r="BT58" s="28" t="n"/>
      <c r="BU58" s="25" t="n"/>
      <c r="BV58" s="29" t="n"/>
      <c r="BW58" s="24" t="inlineStr">
        <is>
          <t>event status_postponed</t>
        </is>
      </c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</row>
    <row r="59" ht="36" customHeight="1">
      <c r="A59" s="24" t="inlineStr">
        <is>
          <t>d756fd6b7dae48b5</t>
        </is>
      </c>
      <c r="B59" s="24" t="inlineStr">
        <is>
          <t>2026-07-27T22:53:10.309584Z</t>
        </is>
      </c>
      <c r="C59" s="24" t="inlineStr">
        <is>
          <t>2026-07-27T23:00Z</t>
        </is>
      </c>
      <c r="D59" s="24" t="inlineStr">
        <is>
          <t>401816283</t>
        </is>
      </c>
      <c r="E59" s="24" t="inlineStr">
        <is>
          <t>MLB</t>
        </is>
      </c>
      <c r="F59" s="24" t="inlineStr">
        <is>
          <t>Cleveland Guardians</t>
        </is>
      </c>
      <c r="G59" s="24" t="inlineStr">
        <is>
          <t>Cincinnati Reds</t>
        </is>
      </c>
      <c r="H59" s="24" t="inlineStr">
        <is>
          <t>total</t>
        </is>
      </c>
      <c r="I59" s="24" t="inlineStr">
        <is>
          <t>under</t>
        </is>
      </c>
      <c r="J59" s="25" t="n">
        <v>8.5</v>
      </c>
      <c r="K59" s="24" t="inlineStr">
        <is>
          <t>polymarket_us</t>
        </is>
      </c>
      <c r="L59" s="26" t="n">
        <v>115</v>
      </c>
      <c r="M59" s="27" t="n">
        <v>2.15</v>
      </c>
      <c r="N59" s="28" t="n">
        <v>0.465116</v>
      </c>
      <c r="O59" s="28" t="n">
        <v>0.54692</v>
      </c>
      <c r="P59" s="28" t="n">
        <v>0.047697</v>
      </c>
      <c r="Q59" s="28" t="n">
        <v>0.081804</v>
      </c>
      <c r="R59" s="26" t="n">
        <v>62</v>
      </c>
      <c r="S59" s="29" t="n">
        <v>0</v>
      </c>
      <c r="T59" s="24" t="inlineStr">
        <is>
          <t>measured-edge-totals-v1</t>
        </is>
      </c>
      <c r="U59" s="24" t="inlineStr">
        <is>
          <t>settled</t>
        </is>
      </c>
      <c r="V59" s="24" t="inlineStr">
        <is>
          <t>push</t>
        </is>
      </c>
      <c r="W59" s="26" t="n"/>
      <c r="X59" s="26" t="n"/>
      <c r="Y59" s="25" t="n"/>
      <c r="Z59" s="26" t="n"/>
      <c r="AA59" s="28" t="n"/>
      <c r="AB59" s="28" t="n"/>
      <c r="AC59" s="30" t="n">
        <v>0</v>
      </c>
      <c r="AD59" s="24" t="inlineStr">
        <is>
          <t>2026-07-28T16:23:02.098518Z</t>
        </is>
      </c>
      <c r="AE59" s="31" t="inlineStr">
        <is>
          <t>Measured Edge Totals: Trend Engine projected 3.23-5.16; raw selected-side p=0.5552, calibrated p=0.5469.</t>
        </is>
      </c>
      <c r="AF59" s="31" t="inlineStr">
        <is>
          <t>Research-only; lineup, bullpen, park, weather, xFIP, and wRC+ may be neutral fallbacks; market availability and BBO depth may change before first pitch.</t>
        </is>
      </c>
      <c r="AG59" s="24" t="inlineStr">
        <is>
          <t>not_applicable</t>
        </is>
      </c>
      <c r="AH59" s="24" t="n"/>
      <c r="AI59" s="31" t="n"/>
      <c r="AJ59" s="31" t="n"/>
      <c r="AK59" s="24" t="inlineStr">
        <is>
          <t>research_observation</t>
        </is>
      </c>
      <c r="AL59" s="26" t="n">
        <v>3</v>
      </c>
      <c r="AM59" s="24" t="inlineStr">
        <is>
          <t>RESEARCH_OBSERVATION</t>
        </is>
      </c>
      <c r="AN59" s="24" t="inlineStr">
        <is>
          <t>NO_CALL</t>
        </is>
      </c>
      <c r="AO59" s="24" t="inlineStr">
        <is>
          <t>NO_CALL_MODEL_UNVALIDATED</t>
        </is>
      </c>
      <c r="AP59" s="24" t="inlineStr">
        <is>
          <t>mlb-cle</t>
        </is>
      </c>
      <c r="AQ59" s="24" t="inlineStr">
        <is>
          <t>Cleveland Guardians</t>
        </is>
      </c>
      <c r="AR59" s="24" t="inlineStr">
        <is>
          <t>Cleveland Guardians</t>
        </is>
      </c>
      <c r="AS59" s="24" t="inlineStr">
        <is>
          <t>mlb-cin</t>
        </is>
      </c>
      <c r="AT59" s="24" t="inlineStr">
        <is>
          <t>Cincinnati Reds</t>
        </is>
      </c>
      <c r="AU59" s="24" t="inlineStr">
        <is>
          <t>Cincinnati Reds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research</t>
        </is>
      </c>
      <c r="BA59" s="24" t="inlineStr">
        <is>
          <t>0aa06c0f065ec20d43901d386280174165e2b07065216b6c7ffe72c98e322706</t>
        </is>
      </c>
      <c r="BB59" s="24" t="inlineStr">
        <is>
          <t>flat_probability_shrinkage_toward_half</t>
        </is>
      </c>
      <c r="BC59" s="24" t="inlineStr">
        <is>
          <t>measured-edge-totals-v1</t>
        </is>
      </c>
      <c r="BD59" s="24" t="inlineStr">
        <is>
          <t>0aa06c0f065ec20d43901d386280174165e2b07065216b6c7ffe72c98e322706</t>
        </is>
      </c>
      <c r="BE59" s="24" t="inlineStr">
        <is>
          <t>v3</t>
        </is>
      </c>
      <c r="BF59" s="24" t="inlineStr">
        <is>
          <t>1</t>
        </is>
      </c>
      <c r="BG59" s="24" t="inlineStr">
        <is>
          <t>measured-edge-paired-v1</t>
        </is>
      </c>
      <c r="BH59" s="24" t="inlineStr">
        <is>
          <t>2026-07-27T22:53:10.309584Z</t>
        </is>
      </c>
      <c r="BI59" s="24" t="inlineStr">
        <is>
          <t>["same_event","same_team_same_day","same_league_same_day"]</t>
        </is>
      </c>
      <c r="BJ59" s="25" t="n">
        <v>8.5</v>
      </c>
      <c r="BK59" s="26" t="n">
        <v>115</v>
      </c>
      <c r="BL59" s="27" t="n">
        <v>2.15</v>
      </c>
      <c r="BM59" s="28" t="n">
        <v>0.465116</v>
      </c>
      <c r="BN59" s="28" t="n">
        <v>0.462687</v>
      </c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inlineStr">
        <is>
          <t>event status_postponed</t>
        </is>
      </c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</row>
    <row r="60" ht="36" customHeight="1">
      <c r="A60" s="24" t="inlineStr">
        <is>
          <t>771f572c758e4ad3</t>
        </is>
      </c>
      <c r="B60" s="24" t="inlineStr">
        <is>
          <t>2026-07-27T22:53:10.309584Z</t>
        </is>
      </c>
      <c r="C60" s="24" t="inlineStr">
        <is>
          <t>2026-07-27T23:10Z</t>
        </is>
      </c>
      <c r="D60" s="24" t="inlineStr">
        <is>
          <t>401816281</t>
        </is>
      </c>
      <c r="E60" s="24" t="inlineStr">
        <is>
          <t>MLB</t>
        </is>
      </c>
      <c r="F60" s="24" t="inlineStr">
        <is>
          <t>Atlanta Braves</t>
        </is>
      </c>
      <c r="G60" s="24" t="inlineStr">
        <is>
          <t>New York Mets</t>
        </is>
      </c>
      <c r="H60" s="24" t="inlineStr">
        <is>
          <t>spread</t>
        </is>
      </c>
      <c r="I60" s="24" t="inlineStr">
        <is>
          <t>home</t>
        </is>
      </c>
      <c r="J60" s="25" t="n">
        <v>1.5</v>
      </c>
      <c r="K60" s="24" t="inlineStr">
        <is>
          <t>polymarket_us</t>
        </is>
      </c>
      <c r="L60" s="26" t="n">
        <v>-170</v>
      </c>
      <c r="M60" s="27" t="n">
        <v>1.588235</v>
      </c>
      <c r="N60" s="28" t="n">
        <v>0.62963</v>
      </c>
      <c r="O60" s="28" t="n">
        <v>0.821045</v>
      </c>
      <c r="P60" s="28" t="n">
        <v>0.056347</v>
      </c>
      <c r="Q60" s="28" t="n">
        <v>0.191415</v>
      </c>
      <c r="R60" s="26" t="n">
        <v>100</v>
      </c>
      <c r="S60" s="29" t="n">
        <v>0</v>
      </c>
      <c r="T60" s="24" t="inlineStr">
        <is>
          <t>measured-edge-margin-v1</t>
        </is>
      </c>
      <c r="U60" s="24" t="inlineStr">
        <is>
          <t>settled</t>
        </is>
      </c>
      <c r="V60" s="24" t="inlineStr">
        <is>
          <t>win</t>
        </is>
      </c>
      <c r="W60" s="26" t="n">
        <v>3</v>
      </c>
      <c r="X60" s="26" t="n">
        <v>14</v>
      </c>
      <c r="Y60" s="25" t="n">
        <v>1.5</v>
      </c>
      <c r="Z60" s="26" t="n">
        <v>-170</v>
      </c>
      <c r="AA60" s="28" t="n">
        <v>0.63</v>
      </c>
      <c r="AB60" s="28" t="n">
        <v>0.00037</v>
      </c>
      <c r="AC60" s="30" t="n">
        <v>0</v>
      </c>
      <c r="AD60" s="24" t="inlineStr">
        <is>
          <t>2026-07-28T01:57:04.036530Z</t>
        </is>
      </c>
      <c r="AE60" s="31" t="inlineStr">
        <is>
          <t>Measured Edge Margin: Trend Engine projected 2.42-4.34; raw selected-side p=0.8777, calibrated p=0.8210.</t>
        </is>
      </c>
      <c r="AF60" s="31" t="inlineStr">
        <is>
          <t>Research-only; lineup, bullpen, park, weather, xFIP, and wRC+ may be neutral fallbacks; market availability and BBO depth may change before first pitch.</t>
        </is>
      </c>
      <c r="AG60" s="24" t="inlineStr">
        <is>
          <t>not_applicable</t>
        </is>
      </c>
      <c r="AH60" s="24" t="n"/>
      <c r="AI60" s="31" t="n"/>
      <c r="AJ60" s="31" t="n"/>
      <c r="AK60" s="24" t="inlineStr">
        <is>
          <t>research_observation</t>
        </is>
      </c>
      <c r="AL60" s="26" t="n">
        <v>3</v>
      </c>
      <c r="AM60" s="24" t="inlineStr">
        <is>
          <t>RESEARCH_OBSERVATION</t>
        </is>
      </c>
      <c r="AN60" s="24" t="inlineStr">
        <is>
          <t>NO_CALL</t>
        </is>
      </c>
      <c r="AO60" s="24" t="inlineStr">
        <is>
          <t>NO_CALL_MODEL_UNVALIDATED</t>
        </is>
      </c>
      <c r="AP60" s="24" t="inlineStr">
        <is>
          <t>mlb-atl</t>
        </is>
      </c>
      <c r="AQ60" s="24" t="inlineStr">
        <is>
          <t>Atlanta Braves</t>
        </is>
      </c>
      <c r="AR60" s="24" t="inlineStr">
        <is>
          <t>Atlanta Braves</t>
        </is>
      </c>
      <c r="AS60" s="24" t="inlineStr">
        <is>
          <t>mlb-nym</t>
        </is>
      </c>
      <c r="AT60" s="24" t="inlineStr">
        <is>
          <t>New York Mets</t>
        </is>
      </c>
      <c r="AU60" s="24" t="inlineStr">
        <is>
          <t>New York Mets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research</t>
        </is>
      </c>
      <c r="BA60" s="24" t="inlineStr">
        <is>
          <t>bd86494ed21c6a0389ab0efcf4b8a5bb7b9f8f8786b6d5fb9da69d8cf0a70bdc</t>
        </is>
      </c>
      <c r="BB60" s="24" t="inlineStr">
        <is>
          <t>flat_probability_shrinkage_toward_half</t>
        </is>
      </c>
      <c r="BC60" s="24" t="inlineStr">
        <is>
          <t>measured-edge-margin-v1</t>
        </is>
      </c>
      <c r="BD60" s="24" t="inlineStr">
        <is>
          <t>bd86494ed21c6a0389ab0efcf4b8a5bb7b9f8f8786b6d5fb9da69d8cf0a70bdc</t>
        </is>
      </c>
      <c r="BE60" s="24" t="inlineStr">
        <is>
          <t>v3</t>
        </is>
      </c>
      <c r="BF60" s="24" t="inlineStr">
        <is>
          <t>1</t>
        </is>
      </c>
      <c r="BG60" s="24" t="inlineStr">
        <is>
          <t>measured-edge-paired-v1</t>
        </is>
      </c>
      <c r="BH60" s="24" t="inlineStr">
        <is>
          <t>2026-07-27T22:53:10.309584Z</t>
        </is>
      </c>
      <c r="BI60" s="24" t="inlineStr">
        <is>
          <t>["same_event","same_team_same_day","same_league_same_day"]</t>
        </is>
      </c>
      <c r="BJ60" s="25" t="n">
        <v>1.5</v>
      </c>
      <c r="BK60" s="26" t="n">
        <v>-170</v>
      </c>
      <c r="BL60" s="27" t="n">
        <v>1.588235</v>
      </c>
      <c r="BM60" s="28" t="n">
        <v>0.62963</v>
      </c>
      <c r="BN60" s="28" t="n">
        <v>0.626866</v>
      </c>
      <c r="BO60" s="28" t="n"/>
      <c r="BP60" s="25" t="n"/>
      <c r="BQ60" s="27" t="n">
        <v>1.588235</v>
      </c>
      <c r="BR60" s="28" t="n">
        <v>0.63</v>
      </c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</row>
    <row r="61" ht="36" customHeight="1">
      <c r="A61" s="24" t="inlineStr">
        <is>
          <t>2716ffebc32645ad</t>
        </is>
      </c>
      <c r="B61" s="24" t="inlineStr">
        <is>
          <t>2026-07-27T22:53:10.309584Z</t>
        </is>
      </c>
      <c r="C61" s="24" t="inlineStr">
        <is>
          <t>2026-07-27T23:10Z</t>
        </is>
      </c>
      <c r="D61" s="24" t="inlineStr">
        <is>
          <t>401816281</t>
        </is>
      </c>
      <c r="E61" s="24" t="inlineStr">
        <is>
          <t>MLB</t>
        </is>
      </c>
      <c r="F61" s="24" t="inlineStr">
        <is>
          <t>Atlanta Braves</t>
        </is>
      </c>
      <c r="G61" s="24" t="inlineStr">
        <is>
          <t>New York Mets</t>
        </is>
      </c>
      <c r="H61" s="24" t="inlineStr">
        <is>
          <t>total</t>
        </is>
      </c>
      <c r="I61" s="24" t="inlineStr">
        <is>
          <t>under</t>
        </is>
      </c>
      <c r="J61" s="25" t="n">
        <v>8.5</v>
      </c>
      <c r="K61" s="24" t="inlineStr">
        <is>
          <t>polymarket_us</t>
        </is>
      </c>
      <c r="L61" s="26" t="n">
        <v>113</v>
      </c>
      <c r="M61" s="27" t="n">
        <v>2.13</v>
      </c>
      <c r="N61" s="28" t="n">
        <v>0.469484</v>
      </c>
      <c r="O61" s="28" t="n">
        <v>0.67918</v>
      </c>
      <c r="P61" s="28" t="n">
        <v>0.056347</v>
      </c>
      <c r="Q61" s="28" t="n">
        <v>0.209696</v>
      </c>
      <c r="R61" s="26" t="n">
        <v>100</v>
      </c>
      <c r="S61" s="29" t="n">
        <v>0</v>
      </c>
      <c r="T61" s="24" t="inlineStr">
        <is>
          <t>measured-edge-totals-v1</t>
        </is>
      </c>
      <c r="U61" s="24" t="inlineStr">
        <is>
          <t>settled</t>
        </is>
      </c>
      <c r="V61" s="24" t="inlineStr">
        <is>
          <t>loss</t>
        </is>
      </c>
      <c r="W61" s="26" t="n">
        <v>3</v>
      </c>
      <c r="X61" s="26" t="n">
        <v>14</v>
      </c>
      <c r="Y61" s="25" t="n">
        <v>8.5</v>
      </c>
      <c r="Z61" s="26" t="n">
        <v>113</v>
      </c>
      <c r="AA61" s="28" t="n">
        <v>0.47</v>
      </c>
      <c r="AB61" s="28" t="n">
        <v>0.000516</v>
      </c>
      <c r="AC61" s="30" t="n">
        <v>0</v>
      </c>
      <c r="AD61" s="24" t="inlineStr">
        <is>
          <t>2026-07-28T01:57:04.276906Z</t>
        </is>
      </c>
      <c r="AE61" s="31" t="inlineStr">
        <is>
          <t>Measured Edge Totals: Trend Engine projected 2.42-4.34; raw selected-side p=0.7108, calibrated p=0.6792.</t>
        </is>
      </c>
      <c r="AF61" s="31" t="inlineStr">
        <is>
          <t>Research-only; lineup, bullpen, park, weather, xFIP, and wRC+ may be neutral fallbacks; market availability and BBO depth may change before first pitch.</t>
        </is>
      </c>
      <c r="AG61" s="24" t="inlineStr">
        <is>
          <t>review_required</t>
        </is>
      </c>
      <c r="AH61" s="24" t="n"/>
      <c r="AI61" s="31" t="n"/>
      <c r="AJ61" s="31" t="n"/>
      <c r="AK61" s="24" t="inlineStr">
        <is>
          <t>research_observation</t>
        </is>
      </c>
      <c r="AL61" s="26" t="n">
        <v>3</v>
      </c>
      <c r="AM61" s="24" t="inlineStr">
        <is>
          <t>RESEARCH_OBSERVATION</t>
        </is>
      </c>
      <c r="AN61" s="24" t="inlineStr">
        <is>
          <t>NO_CALL</t>
        </is>
      </c>
      <c r="AO61" s="24" t="inlineStr">
        <is>
          <t>NO_CALL_MODEL_UNVALIDATED</t>
        </is>
      </c>
      <c r="AP61" s="24" t="inlineStr">
        <is>
          <t>mlb-atl</t>
        </is>
      </c>
      <c r="AQ61" s="24" t="inlineStr">
        <is>
          <t>Atlanta Braves</t>
        </is>
      </c>
      <c r="AR61" s="24" t="inlineStr">
        <is>
          <t>Atlanta Braves</t>
        </is>
      </c>
      <c r="AS61" s="24" t="inlineStr">
        <is>
          <t>mlb-nym</t>
        </is>
      </c>
      <c r="AT61" s="24" t="inlineStr">
        <is>
          <t>New York Mets</t>
        </is>
      </c>
      <c r="AU61" s="24" t="inlineStr">
        <is>
          <t>New York Mets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research</t>
        </is>
      </c>
      <c r="BA61" s="24" t="inlineStr">
        <is>
          <t>0aa06c0f065ec20d43901d386280174165e2b07065216b6c7ffe72c98e322706</t>
        </is>
      </c>
      <c r="BB61" s="24" t="inlineStr">
        <is>
          <t>flat_probability_shrinkage_toward_half</t>
        </is>
      </c>
      <c r="BC61" s="24" t="inlineStr">
        <is>
          <t>measured-edge-totals-v1</t>
        </is>
      </c>
      <c r="BD61" s="24" t="inlineStr">
        <is>
          <t>0aa06c0f065ec20d43901d386280174165e2b07065216b6c7ffe72c98e322706</t>
        </is>
      </c>
      <c r="BE61" s="24" t="inlineStr">
        <is>
          <t>v3</t>
        </is>
      </c>
      <c r="BF61" s="24" t="inlineStr">
        <is>
          <t>1</t>
        </is>
      </c>
      <c r="BG61" s="24" t="inlineStr">
        <is>
          <t>measured-edge-paired-v1</t>
        </is>
      </c>
      <c r="BH61" s="24" t="inlineStr">
        <is>
          <t>2026-07-27T22:53:10.309584Z</t>
        </is>
      </c>
      <c r="BI61" s="24" t="inlineStr">
        <is>
          <t>["same_event","same_team_same_day","same_league_same_day"]</t>
        </is>
      </c>
      <c r="BJ61" s="25" t="n">
        <v>8.5</v>
      </c>
      <c r="BK61" s="26" t="n">
        <v>113</v>
      </c>
      <c r="BL61" s="27" t="n">
        <v>2.13</v>
      </c>
      <c r="BM61" s="28" t="n">
        <v>0.469484</v>
      </c>
      <c r="BN61" s="28" t="n">
        <v>0.467662</v>
      </c>
      <c r="BO61" s="28" t="n"/>
      <c r="BP61" s="25" t="n"/>
      <c r="BQ61" s="27" t="n">
        <v>2.13</v>
      </c>
      <c r="BR61" s="28" t="n">
        <v>0.47</v>
      </c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</row>
    <row r="62" ht="36" customHeight="1">
      <c r="A62" s="24" t="inlineStr">
        <is>
          <t>da228f3da9cb4e93</t>
        </is>
      </c>
      <c r="B62" s="24" t="inlineStr">
        <is>
          <t>2026-07-27T22:53:10.309584Z</t>
        </is>
      </c>
      <c r="C62" s="24" t="inlineStr">
        <is>
          <t>2026-07-27T23:40Z</t>
        </is>
      </c>
      <c r="D62" s="24" t="inlineStr">
        <is>
          <t>401816287</t>
        </is>
      </c>
      <c r="E62" s="24" t="inlineStr">
        <is>
          <t>MLB</t>
        </is>
      </c>
      <c r="F62" s="24" t="inlineStr">
        <is>
          <t>New York Yankees</t>
        </is>
      </c>
      <c r="G62" s="24" t="inlineStr">
        <is>
          <t>Chicago White Sox</t>
        </is>
      </c>
      <c r="H62" s="24" t="inlineStr">
        <is>
          <t>spread</t>
        </is>
      </c>
      <c r="I62" s="24" t="inlineStr">
        <is>
          <t>away</t>
        </is>
      </c>
      <c r="J62" s="25" t="n">
        <v>-1.5</v>
      </c>
      <c r="K62" s="24" t="inlineStr">
        <is>
          <t>polymarket_us</t>
        </is>
      </c>
      <c r="L62" s="26" t="n">
        <v>125</v>
      </c>
      <c r="M62" s="27" t="n">
        <v>2.25</v>
      </c>
      <c r="N62" s="28" t="n">
        <v>0.444444</v>
      </c>
      <c r="O62" s="28" t="n">
        <v>0.542585</v>
      </c>
      <c r="P62" s="28" t="n">
        <v>0.047697</v>
      </c>
      <c r="Q62" s="28" t="n">
        <v>0.09814100000000001</v>
      </c>
      <c r="R62" s="26" t="n">
        <v>70</v>
      </c>
      <c r="S62" s="29" t="n">
        <v>0</v>
      </c>
      <c r="T62" s="24" t="inlineStr">
        <is>
          <t>measured-edge-margin-v1</t>
        </is>
      </c>
      <c r="U62" s="24" t="inlineStr">
        <is>
          <t>settled</t>
        </is>
      </c>
      <c r="V62" s="24" t="inlineStr">
        <is>
          <t>win</t>
        </is>
      </c>
      <c r="W62" s="26" t="n">
        <v>9</v>
      </c>
      <c r="X62" s="26" t="n">
        <v>5</v>
      </c>
      <c r="Y62" s="25" t="n">
        <v>-1.5</v>
      </c>
      <c r="Z62" s="26" t="n">
        <v>125</v>
      </c>
      <c r="AA62" s="28" t="n">
        <v>0.445</v>
      </c>
      <c r="AB62" s="28" t="n">
        <v>0.000556</v>
      </c>
      <c r="AC62" s="30" t="n">
        <v>0</v>
      </c>
      <c r="AD62" s="24" t="inlineStr">
        <is>
          <t>2026-07-28T05:00:23.083295Z</t>
        </is>
      </c>
      <c r="AE62" s="31" t="inlineStr">
        <is>
          <t>Measured Edge Margin: Trend Engine projected 6.65-4.41; raw selected-side p=0.5501, calibrated p=0.5426.</t>
        </is>
      </c>
      <c r="AF62" s="31" t="inlineStr">
        <is>
          <t>Research-only; lineup, bullpen, park, weather, xFIP, and wRC+ may be neutral fallbacks; market availability and BBO depth may change before first pitch.</t>
        </is>
      </c>
      <c r="AG62" s="24" t="inlineStr">
        <is>
          <t>not_applicable</t>
        </is>
      </c>
      <c r="AH62" s="24" t="n"/>
      <c r="AI62" s="31" t="n"/>
      <c r="AJ62" s="31" t="n"/>
      <c r="AK62" s="24" t="inlineStr">
        <is>
          <t>research_observation</t>
        </is>
      </c>
      <c r="AL62" s="26" t="n">
        <v>3</v>
      </c>
      <c r="AM62" s="24" t="inlineStr">
        <is>
          <t>RESEARCH_OBSERVATION</t>
        </is>
      </c>
      <c r="AN62" s="24" t="inlineStr">
        <is>
          <t>NO_CALL</t>
        </is>
      </c>
      <c r="AO62" s="24" t="inlineStr">
        <is>
          <t>NO_CALL_MODEL_UNVALIDATED</t>
        </is>
      </c>
      <c r="AP62" s="24" t="inlineStr">
        <is>
          <t>mlb-nyy</t>
        </is>
      </c>
      <c r="AQ62" s="24" t="inlineStr">
        <is>
          <t>New York Yankees</t>
        </is>
      </c>
      <c r="AR62" s="24" t="inlineStr">
        <is>
          <t>New York Yankees</t>
        </is>
      </c>
      <c r="AS62" s="24" t="inlineStr">
        <is>
          <t>mlb-cws</t>
        </is>
      </c>
      <c r="AT62" s="24" t="inlineStr">
        <is>
          <t>Chicago White Sox</t>
        </is>
      </c>
      <c r="AU62" s="24" t="inlineStr">
        <is>
          <t>Chicago White Sox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research</t>
        </is>
      </c>
      <c r="BA62" s="24" t="inlineStr">
        <is>
          <t>bd86494ed21c6a0389ab0efcf4b8a5bb7b9f8f8786b6d5fb9da69d8cf0a70bdc</t>
        </is>
      </c>
      <c r="BB62" s="24" t="inlineStr">
        <is>
          <t>flat_probability_shrinkage_toward_half</t>
        </is>
      </c>
      <c r="BC62" s="24" t="inlineStr">
        <is>
          <t>measured-edge-margin-v1</t>
        </is>
      </c>
      <c r="BD62" s="24" t="inlineStr">
        <is>
          <t>bd86494ed21c6a0389ab0efcf4b8a5bb7b9f8f8786b6d5fb9da69d8cf0a70bdc</t>
        </is>
      </c>
      <c r="BE62" s="24" t="inlineStr">
        <is>
          <t>v3</t>
        </is>
      </c>
      <c r="BF62" s="24" t="inlineStr">
        <is>
          <t>1</t>
        </is>
      </c>
      <c r="BG62" s="24" t="inlineStr">
        <is>
          <t>measured-edge-paired-v1</t>
        </is>
      </c>
      <c r="BH62" s="24" t="inlineStr">
        <is>
          <t>2026-07-27T22:53:10.309584Z</t>
        </is>
      </c>
      <c r="BI62" s="24" t="inlineStr">
        <is>
          <t>["same_event","same_team_same_day","same_league_same_day"]</t>
        </is>
      </c>
      <c r="BJ62" s="25" t="n">
        <v>-1.5</v>
      </c>
      <c r="BK62" s="26" t="n">
        <v>125</v>
      </c>
      <c r="BL62" s="27" t="n">
        <v>2.25</v>
      </c>
      <c r="BM62" s="28" t="n">
        <v>0.444444</v>
      </c>
      <c r="BN62" s="28" t="n">
        <v>0.442786</v>
      </c>
      <c r="BO62" s="28" t="n"/>
      <c r="BP62" s="25" t="n"/>
      <c r="BQ62" s="27" t="n">
        <v>2.25</v>
      </c>
      <c r="BR62" s="28" t="n">
        <v>0.445</v>
      </c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</row>
    <row r="63" ht="36" customHeight="1">
      <c r="A63" s="24" t="inlineStr">
        <is>
          <t>94ff64733f4d41e6</t>
        </is>
      </c>
      <c r="B63" s="24" t="inlineStr">
        <is>
          <t>2026-07-27T22:53:10.309584Z</t>
        </is>
      </c>
      <c r="C63" s="24" t="inlineStr">
        <is>
          <t>2026-07-27T23:40Z</t>
        </is>
      </c>
      <c r="D63" s="24" t="inlineStr">
        <is>
          <t>401816287</t>
        </is>
      </c>
      <c r="E63" s="24" t="inlineStr">
        <is>
          <t>MLB</t>
        </is>
      </c>
      <c r="F63" s="24" t="inlineStr">
        <is>
          <t>New York Yankees</t>
        </is>
      </c>
      <c r="G63" s="24" t="inlineStr">
        <is>
          <t>Chicago White Sox</t>
        </is>
      </c>
      <c r="H63" s="24" t="inlineStr">
        <is>
          <t>total</t>
        </is>
      </c>
      <c r="I63" s="24" t="inlineStr">
        <is>
          <t>over</t>
        </is>
      </c>
      <c r="J63" s="25" t="n">
        <v>8.5</v>
      </c>
      <c r="K63" s="24" t="inlineStr">
        <is>
          <t>polymarket_us</t>
        </is>
      </c>
      <c r="L63" s="26" t="n">
        <v>106</v>
      </c>
      <c r="M63" s="27" t="n">
        <v>2.06</v>
      </c>
      <c r="N63" s="28" t="n">
        <v>0.485437</v>
      </c>
      <c r="O63" s="28" t="n">
        <v>0.64756</v>
      </c>
      <c r="P63" s="28" t="n">
        <v>0.047697</v>
      </c>
      <c r="Q63" s="28" t="n">
        <v>0.162123</v>
      </c>
      <c r="R63" s="26" t="n">
        <v>100</v>
      </c>
      <c r="S63" s="29" t="n">
        <v>0</v>
      </c>
      <c r="T63" s="24" t="inlineStr">
        <is>
          <t>measured-edge-totals-v1</t>
        </is>
      </c>
      <c r="U63" s="24" t="inlineStr">
        <is>
          <t>settled</t>
        </is>
      </c>
      <c r="V63" s="24" t="inlineStr">
        <is>
          <t>win</t>
        </is>
      </c>
      <c r="W63" s="26" t="n">
        <v>9</v>
      </c>
      <c r="X63" s="26" t="n">
        <v>5</v>
      </c>
      <c r="Y63" s="25" t="n">
        <v>8.5</v>
      </c>
      <c r="Z63" s="26" t="n">
        <v>106</v>
      </c>
      <c r="AA63" s="28" t="n">
        <v>0.485</v>
      </c>
      <c r="AB63" s="28" t="n">
        <v>-0.000437</v>
      </c>
      <c r="AC63" s="30" t="n">
        <v>0</v>
      </c>
      <c r="AD63" s="24" t="inlineStr">
        <is>
          <t>2026-07-28T05:00:23.297146Z</t>
        </is>
      </c>
      <c r="AE63" s="31" t="inlineStr">
        <is>
          <t>Measured Edge Totals: Trend Engine projected 6.65-4.41; raw selected-side p=0.6736, calibrated p=0.6476.</t>
        </is>
      </c>
      <c r="AF63" s="31" t="inlineStr">
        <is>
          <t>Research-only; lineup, bullpen, park, weather, xFIP, and wRC+ may be neutral fallbacks; market availability and BBO depth may change before first pitch.</t>
        </is>
      </c>
      <c r="AG63" s="24" t="inlineStr">
        <is>
          <t>not_applicable</t>
        </is>
      </c>
      <c r="AH63" s="24" t="n"/>
      <c r="AI63" s="31" t="n"/>
      <c r="AJ63" s="31" t="n"/>
      <c r="AK63" s="24" t="inlineStr">
        <is>
          <t>research_observation</t>
        </is>
      </c>
      <c r="AL63" s="26" t="n">
        <v>3</v>
      </c>
      <c r="AM63" s="24" t="inlineStr">
        <is>
          <t>RESEARCH_OBSERVATION</t>
        </is>
      </c>
      <c r="AN63" s="24" t="inlineStr">
        <is>
          <t>NO_CALL</t>
        </is>
      </c>
      <c r="AO63" s="24" t="inlineStr">
        <is>
          <t>NO_CALL_MODEL_UNVALIDATED</t>
        </is>
      </c>
      <c r="AP63" s="24" t="inlineStr">
        <is>
          <t>mlb-nyy</t>
        </is>
      </c>
      <c r="AQ63" s="24" t="inlineStr">
        <is>
          <t>New York Yankees</t>
        </is>
      </c>
      <c r="AR63" s="24" t="inlineStr">
        <is>
          <t>New York Yankees</t>
        </is>
      </c>
      <c r="AS63" s="24" t="inlineStr">
        <is>
          <t>mlb-cws</t>
        </is>
      </c>
      <c r="AT63" s="24" t="inlineStr">
        <is>
          <t>Chicago White Sox</t>
        </is>
      </c>
      <c r="AU63" s="24" t="inlineStr">
        <is>
          <t>Chicago White Sox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research</t>
        </is>
      </c>
      <c r="BA63" s="24" t="inlineStr">
        <is>
          <t>0aa06c0f065ec20d43901d386280174165e2b07065216b6c7ffe72c98e322706</t>
        </is>
      </c>
      <c r="BB63" s="24" t="inlineStr">
        <is>
          <t>flat_probability_shrinkage_toward_half</t>
        </is>
      </c>
      <c r="BC63" s="24" t="inlineStr">
        <is>
          <t>measured-edge-totals-v1</t>
        </is>
      </c>
      <c r="BD63" s="24" t="inlineStr">
        <is>
          <t>0aa06c0f065ec20d43901d386280174165e2b07065216b6c7ffe72c98e322706</t>
        </is>
      </c>
      <c r="BE63" s="24" t="inlineStr">
        <is>
          <t>v3</t>
        </is>
      </c>
      <c r="BF63" s="24" t="inlineStr">
        <is>
          <t>1</t>
        </is>
      </c>
      <c r="BG63" s="24" t="inlineStr">
        <is>
          <t>measured-edge-paired-v1</t>
        </is>
      </c>
      <c r="BH63" s="24" t="inlineStr">
        <is>
          <t>2026-07-27T22:53:10.309584Z</t>
        </is>
      </c>
      <c r="BI63" s="24" t="inlineStr">
        <is>
          <t>["same_event","same_team_same_day","same_league_same_day"]</t>
        </is>
      </c>
      <c r="BJ63" s="25" t="n">
        <v>8.5</v>
      </c>
      <c r="BK63" s="26" t="n">
        <v>106</v>
      </c>
      <c r="BL63" s="27" t="n">
        <v>2.06</v>
      </c>
      <c r="BM63" s="28" t="n">
        <v>0.485437</v>
      </c>
      <c r="BN63" s="28" t="n">
        <v>0.482587</v>
      </c>
      <c r="BO63" s="28" t="n"/>
      <c r="BP63" s="25" t="n"/>
      <c r="BQ63" s="27" t="n">
        <v>2.06</v>
      </c>
      <c r="BR63" s="28" t="n">
        <v>0.485</v>
      </c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</row>
    <row r="64" ht="36" customHeight="1">
      <c r="A64" s="24" t="inlineStr">
        <is>
          <t>652ff54ed34c4224</t>
        </is>
      </c>
      <c r="B64" s="24" t="inlineStr">
        <is>
          <t>2026-07-27T22:53:10.309584Z</t>
        </is>
      </c>
      <c r="C64" s="24" t="inlineStr">
        <is>
          <t>2026-07-27T23:45Z</t>
        </is>
      </c>
      <c r="D64" s="24" t="inlineStr">
        <is>
          <t>401816286</t>
        </is>
      </c>
      <c r="E64" s="24" t="inlineStr">
        <is>
          <t>MLB</t>
        </is>
      </c>
      <c r="F64" s="24" t="inlineStr">
        <is>
          <t>Chicago Cubs</t>
        </is>
      </c>
      <c r="G64" s="24" t="inlineStr">
        <is>
          <t>St. Louis Cardinals</t>
        </is>
      </c>
      <c r="H64" s="24" t="inlineStr">
        <is>
          <t>spread</t>
        </is>
      </c>
      <c r="I64" s="24" t="inlineStr">
        <is>
          <t>home</t>
        </is>
      </c>
      <c r="J64" s="25" t="n">
        <v>1.5</v>
      </c>
      <c r="K64" s="24" t="inlineStr">
        <is>
          <t>polymarket_us</t>
        </is>
      </c>
      <c r="L64" s="26" t="n">
        <v>-141</v>
      </c>
      <c r="M64" s="27" t="n">
        <v>1.70922</v>
      </c>
      <c r="N64" s="28" t="n">
        <v>0.585062</v>
      </c>
      <c r="O64" s="28" t="n">
        <v>0.587465</v>
      </c>
      <c r="P64" s="28" t="n">
        <v>0.047697</v>
      </c>
      <c r="Q64" s="28" t="n">
        <v>0.002403</v>
      </c>
      <c r="R64" s="26" t="n">
        <v>23</v>
      </c>
      <c r="S64" s="29" t="n">
        <v>0</v>
      </c>
      <c r="T64" s="24" t="inlineStr">
        <is>
          <t>measured-edge-margin-v1</t>
        </is>
      </c>
      <c r="U64" s="24" t="inlineStr">
        <is>
          <t>settled</t>
        </is>
      </c>
      <c r="V64" s="24" t="inlineStr">
        <is>
          <t>loss</t>
        </is>
      </c>
      <c r="W64" s="26" t="n">
        <v>7</v>
      </c>
      <c r="X64" s="26" t="n">
        <v>3</v>
      </c>
      <c r="Y64" s="25" t="n">
        <v>1.5</v>
      </c>
      <c r="Z64" s="26" t="n">
        <v>-141</v>
      </c>
      <c r="AA64" s="28" t="n">
        <v>0.585</v>
      </c>
      <c r="AB64" s="28" t="n">
        <v>-6.2e-05</v>
      </c>
      <c r="AC64" s="30" t="n">
        <v>0</v>
      </c>
      <c r="AD64" s="24" t="inlineStr">
        <is>
          <t>2026-07-28T05:00:23.503268Z</t>
        </is>
      </c>
      <c r="AE64" s="31" t="inlineStr">
        <is>
          <t>Measured Edge Margin: Trend Engine projected 6.53-6.24; raw selected-side p=0.6029, calibrated p=0.5875.</t>
        </is>
      </c>
      <c r="AF64" s="31" t="inlineStr">
        <is>
          <t>Research-only; lineup, bullpen, park, weather, xFIP, and wRC+ may be neutral fallbacks; market availability and BBO depth may change before first pitch.</t>
        </is>
      </c>
      <c r="AG64" s="24" t="inlineStr">
        <is>
          <t>review_required</t>
        </is>
      </c>
      <c r="AH64" s="24" t="n"/>
      <c r="AI64" s="31" t="n"/>
      <c r="AJ64" s="31" t="n"/>
      <c r="AK64" s="24" t="inlineStr">
        <is>
          <t>research_observation</t>
        </is>
      </c>
      <c r="AL64" s="26" t="n">
        <v>3</v>
      </c>
      <c r="AM64" s="24" t="inlineStr">
        <is>
          <t>RESEARCH_OBSERVATION</t>
        </is>
      </c>
      <c r="AN64" s="24" t="inlineStr">
        <is>
          <t>NO_CALL</t>
        </is>
      </c>
      <c r="AO64" s="24" t="inlineStr">
        <is>
          <t>NO_CALL_MODEL_UNVALIDATED</t>
        </is>
      </c>
      <c r="AP64" s="24" t="inlineStr">
        <is>
          <t>mlb-chc</t>
        </is>
      </c>
      <c r="AQ64" s="24" t="inlineStr">
        <is>
          <t>Chicago Cubs</t>
        </is>
      </c>
      <c r="AR64" s="24" t="inlineStr">
        <is>
          <t>Chicago Cubs</t>
        </is>
      </c>
      <c r="AS64" s="24" t="inlineStr">
        <is>
          <t>mlb-stl</t>
        </is>
      </c>
      <c r="AT64" s="24" t="inlineStr">
        <is>
          <t>St. Louis Cardinals</t>
        </is>
      </c>
      <c r="AU64" s="24" t="inlineStr">
        <is>
          <t>St. Louis Cardinals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research</t>
        </is>
      </c>
      <c r="BA64" s="24" t="inlineStr">
        <is>
          <t>bd86494ed21c6a0389ab0efcf4b8a5bb7b9f8f8786b6d5fb9da69d8cf0a70bdc</t>
        </is>
      </c>
      <c r="BB64" s="24" t="inlineStr">
        <is>
          <t>flat_probability_shrinkage_toward_half</t>
        </is>
      </c>
      <c r="BC64" s="24" t="inlineStr">
        <is>
          <t>measured-edge-margin-v1</t>
        </is>
      </c>
      <c r="BD64" s="24" t="inlineStr">
        <is>
          <t>bd86494ed21c6a0389ab0efcf4b8a5bb7b9f8f8786b6d5fb9da69d8cf0a70bdc</t>
        </is>
      </c>
      <c r="BE64" s="24" t="inlineStr">
        <is>
          <t>v3</t>
        </is>
      </c>
      <c r="BF64" s="24" t="inlineStr">
        <is>
          <t>1</t>
        </is>
      </c>
      <c r="BG64" s="24" t="inlineStr">
        <is>
          <t>measured-edge-paired-v1</t>
        </is>
      </c>
      <c r="BH64" s="24" t="inlineStr">
        <is>
          <t>2026-07-27T22:53:10.309584Z</t>
        </is>
      </c>
      <c r="BI64" s="24" t="inlineStr">
        <is>
          <t>["same_event","same_team_same_day","same_league_same_day"]</t>
        </is>
      </c>
      <c r="BJ64" s="25" t="n">
        <v>1.5</v>
      </c>
      <c r="BK64" s="26" t="n">
        <v>-141</v>
      </c>
      <c r="BL64" s="27" t="n">
        <v>1.70922</v>
      </c>
      <c r="BM64" s="28" t="n">
        <v>0.585062</v>
      </c>
      <c r="BN64" s="28" t="n">
        <v>0.58209</v>
      </c>
      <c r="BO64" s="28" t="n"/>
      <c r="BP64" s="25" t="n"/>
      <c r="BQ64" s="27" t="n">
        <v>1.70922</v>
      </c>
      <c r="BR64" s="28" t="n">
        <v>0.585</v>
      </c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</row>
    <row r="65" ht="36" customHeight="1">
      <c r="A65" s="24" t="inlineStr">
        <is>
          <t>0cc760ea24b94b9d</t>
        </is>
      </c>
      <c r="B65" s="24" t="inlineStr">
        <is>
          <t>2026-07-27T22:53:10.309584Z</t>
        </is>
      </c>
      <c r="C65" s="24" t="inlineStr">
        <is>
          <t>2026-07-27T23:45Z</t>
        </is>
      </c>
      <c r="D65" s="24" t="inlineStr">
        <is>
          <t>401816286</t>
        </is>
      </c>
      <c r="E65" s="24" t="inlineStr">
        <is>
          <t>MLB</t>
        </is>
      </c>
      <c r="F65" s="24" t="inlineStr">
        <is>
          <t>Chicago Cubs</t>
        </is>
      </c>
      <c r="G65" s="24" t="inlineStr">
        <is>
          <t>St. Louis Cardinals</t>
        </is>
      </c>
      <c r="H65" s="24" t="inlineStr">
        <is>
          <t>total</t>
        </is>
      </c>
      <c r="I65" s="24" t="inlineStr">
        <is>
          <t>over</t>
        </is>
      </c>
      <c r="J65" s="25" t="n">
        <v>9.5</v>
      </c>
      <c r="K65" s="24" t="inlineStr">
        <is>
          <t>polymarket_us</t>
        </is>
      </c>
      <c r="L65" s="26" t="n">
        <v>102</v>
      </c>
      <c r="M65" s="27" t="n">
        <v>2.02</v>
      </c>
      <c r="N65" s="28" t="n">
        <v>0.49505</v>
      </c>
      <c r="O65" s="28" t="n">
        <v>0.659375</v>
      </c>
      <c r="P65" s="28" t="n">
        <v>0.047697</v>
      </c>
      <c r="Q65" s="28" t="n">
        <v>0.164325</v>
      </c>
      <c r="R65" s="26" t="n">
        <v>100</v>
      </c>
      <c r="S65" s="29" t="n">
        <v>0</v>
      </c>
      <c r="T65" s="24" t="inlineStr">
        <is>
          <t>measured-edge-totals-v1</t>
        </is>
      </c>
      <c r="U65" s="24" t="inlineStr">
        <is>
          <t>settled</t>
        </is>
      </c>
      <c r="V65" s="24" t="inlineStr">
        <is>
          <t>win</t>
        </is>
      </c>
      <c r="W65" s="26" t="n">
        <v>7</v>
      </c>
      <c r="X65" s="26" t="n">
        <v>3</v>
      </c>
      <c r="Y65" s="25" t="n">
        <v>9.5</v>
      </c>
      <c r="Z65" s="26" t="n">
        <v>102</v>
      </c>
      <c r="AA65" s="28" t="n">
        <v>0.495</v>
      </c>
      <c r="AB65" s="28" t="n">
        <v>-5e-05</v>
      </c>
      <c r="AC65" s="30" t="n">
        <v>0</v>
      </c>
      <c r="AD65" s="24" t="inlineStr">
        <is>
          <t>2026-07-28T05:00:23.706731Z</t>
        </is>
      </c>
      <c r="AE65" s="31" t="inlineStr">
        <is>
          <t>Measured Edge Totals: Trend Engine projected 6.53-6.24; raw selected-side p=0.6875, calibrated p=0.6594.</t>
        </is>
      </c>
      <c r="AF65" s="31" t="inlineStr">
        <is>
          <t>Research-only; lineup, bullpen, park, weather, xFIP, and wRC+ may be neutral fallbacks; market availability and BBO depth may change before first pitch.</t>
        </is>
      </c>
      <c r="AG65" s="24" t="inlineStr">
        <is>
          <t>not_applicable</t>
        </is>
      </c>
      <c r="AH65" s="24" t="n"/>
      <c r="AI65" s="31" t="n"/>
      <c r="AJ65" s="31" t="n"/>
      <c r="AK65" s="24" t="inlineStr">
        <is>
          <t>research_observation</t>
        </is>
      </c>
      <c r="AL65" s="26" t="n">
        <v>3</v>
      </c>
      <c r="AM65" s="24" t="inlineStr">
        <is>
          <t>RESEARCH_OBSERVATION</t>
        </is>
      </c>
      <c r="AN65" s="24" t="inlineStr">
        <is>
          <t>NO_CALL</t>
        </is>
      </c>
      <c r="AO65" s="24" t="inlineStr">
        <is>
          <t>NO_CALL_MODEL_UNVALIDATED</t>
        </is>
      </c>
      <c r="AP65" s="24" t="inlineStr">
        <is>
          <t>mlb-chc</t>
        </is>
      </c>
      <c r="AQ65" s="24" t="inlineStr">
        <is>
          <t>Chicago Cubs</t>
        </is>
      </c>
      <c r="AR65" s="24" t="inlineStr">
        <is>
          <t>Chicago Cubs</t>
        </is>
      </c>
      <c r="AS65" s="24" t="inlineStr">
        <is>
          <t>mlb-stl</t>
        </is>
      </c>
      <c r="AT65" s="24" t="inlineStr">
        <is>
          <t>St. Louis Cardinals</t>
        </is>
      </c>
      <c r="AU65" s="24" t="inlineStr">
        <is>
          <t>St. Louis Cardinals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research</t>
        </is>
      </c>
      <c r="BA65" s="24" t="inlineStr">
        <is>
          <t>0aa06c0f065ec20d43901d386280174165e2b07065216b6c7ffe72c98e322706</t>
        </is>
      </c>
      <c r="BB65" s="24" t="inlineStr">
        <is>
          <t>flat_probability_shrinkage_toward_half</t>
        </is>
      </c>
      <c r="BC65" s="24" t="inlineStr">
        <is>
          <t>measured-edge-totals-v1</t>
        </is>
      </c>
      <c r="BD65" s="24" t="inlineStr">
        <is>
          <t>0aa06c0f065ec20d43901d386280174165e2b07065216b6c7ffe72c98e322706</t>
        </is>
      </c>
      <c r="BE65" s="24" t="inlineStr">
        <is>
          <t>v3</t>
        </is>
      </c>
      <c r="BF65" s="24" t="inlineStr">
        <is>
          <t>1</t>
        </is>
      </c>
      <c r="BG65" s="24" t="inlineStr">
        <is>
          <t>measured-edge-paired-v1</t>
        </is>
      </c>
      <c r="BH65" s="24" t="inlineStr">
        <is>
          <t>2026-07-27T22:53:10.309584Z</t>
        </is>
      </c>
      <c r="BI65" s="24" t="inlineStr">
        <is>
          <t>["same_event","same_team_same_day","same_league_same_day"]</t>
        </is>
      </c>
      <c r="BJ65" s="25" t="n">
        <v>9.5</v>
      </c>
      <c r="BK65" s="26" t="n">
        <v>102</v>
      </c>
      <c r="BL65" s="27" t="n">
        <v>2.02</v>
      </c>
      <c r="BM65" s="28" t="n">
        <v>0.49505</v>
      </c>
      <c r="BN65" s="28" t="n">
        <v>0.492537</v>
      </c>
      <c r="BO65" s="28" t="n"/>
      <c r="BP65" s="25" t="n"/>
      <c r="BQ65" s="27" t="n">
        <v>2.02</v>
      </c>
      <c r="BR65" s="28" t="n">
        <v>0.495</v>
      </c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</row>
    <row r="66" ht="36" customHeight="1">
      <c r="A66" s="24" t="inlineStr">
        <is>
          <t>1d52e2a5bf474bf5</t>
        </is>
      </c>
      <c r="B66" s="24" t="inlineStr">
        <is>
          <t>2026-07-27T22:53:10.309584Z</t>
        </is>
      </c>
      <c r="C66" s="24" t="inlineStr">
        <is>
          <t>2026-07-28T01:38Z</t>
        </is>
      </c>
      <c r="D66" s="24" t="inlineStr">
        <is>
          <t>401816290</t>
        </is>
      </c>
      <c r="E66" s="24" t="inlineStr">
        <is>
          <t>MLB</t>
        </is>
      </c>
      <c r="F66" s="24" t="inlineStr">
        <is>
          <t>Houston Astros</t>
        </is>
      </c>
      <c r="G66" s="24" t="inlineStr">
        <is>
          <t>Los Angeles Angels</t>
        </is>
      </c>
      <c r="H66" s="24" t="inlineStr">
        <is>
          <t>spread</t>
        </is>
      </c>
      <c r="I66" s="24" t="inlineStr">
        <is>
          <t>home</t>
        </is>
      </c>
      <c r="J66" s="25" t="n">
        <v>1.5</v>
      </c>
      <c r="K66" s="24" t="inlineStr">
        <is>
          <t>polymarket_us</t>
        </is>
      </c>
      <c r="L66" s="26" t="n">
        <v>-163</v>
      </c>
      <c r="M66" s="27" t="n">
        <v>1.613497</v>
      </c>
      <c r="N66" s="28" t="n">
        <v>0.619772</v>
      </c>
      <c r="O66" s="28" t="n">
        <v>0.73613</v>
      </c>
      <c r="P66" s="28" t="n">
        <v>0.047697</v>
      </c>
      <c r="Q66" s="28" t="n">
        <v>0.116358</v>
      </c>
      <c r="R66" s="26" t="n">
        <v>80</v>
      </c>
      <c r="S66" s="29" t="n">
        <v>0</v>
      </c>
      <c r="T66" s="24" t="inlineStr">
        <is>
          <t>measured-edge-margin-v1</t>
        </is>
      </c>
      <c r="U66" s="24" t="inlineStr">
        <is>
          <t>settled</t>
        </is>
      </c>
      <c r="V66" s="24" t="inlineStr">
        <is>
          <t>loss</t>
        </is>
      </c>
      <c r="W66" s="26" t="n">
        <v>6</v>
      </c>
      <c r="X66" s="26" t="n">
        <v>4</v>
      </c>
      <c r="Y66" s="25" t="n">
        <v>1.5</v>
      </c>
      <c r="Z66" s="26" t="n">
        <v>-163</v>
      </c>
      <c r="AA66" s="28" t="n">
        <v>0.62</v>
      </c>
      <c r="AB66" s="28" t="n">
        <v>0.000228</v>
      </c>
      <c r="AC66" s="30" t="n">
        <v>0</v>
      </c>
      <c r="AD66" s="24" t="inlineStr">
        <is>
          <t>2026-07-28T08:06:24.047294Z</t>
        </is>
      </c>
      <c r="AE66" s="31" t="inlineStr">
        <is>
          <t>Measured Edge Margin: Trend Engine projected 3.40-4.29; raw selected-side p=0.7778, calibrated p=0.7361.</t>
        </is>
      </c>
      <c r="AF66" s="31" t="inlineStr">
        <is>
          <t>Research-only; lineup, bullpen, park, weather, xFIP, and wRC+ may be neutral fallbacks; market availability and BBO depth may change before first pitch.</t>
        </is>
      </c>
      <c r="AG66" s="24" t="inlineStr">
        <is>
          <t>review_required</t>
        </is>
      </c>
      <c r="AH66" s="24" t="n"/>
      <c r="AI66" s="31" t="n"/>
      <c r="AJ66" s="31" t="n"/>
      <c r="AK66" s="24" t="inlineStr">
        <is>
          <t>research_observation</t>
        </is>
      </c>
      <c r="AL66" s="26" t="n">
        <v>3</v>
      </c>
      <c r="AM66" s="24" t="inlineStr">
        <is>
          <t>RESEARCH_OBSERVATION</t>
        </is>
      </c>
      <c r="AN66" s="24" t="inlineStr">
        <is>
          <t>NO_CALL</t>
        </is>
      </c>
      <c r="AO66" s="24" t="inlineStr">
        <is>
          <t>NO_CALL_MODEL_UNVALIDATED</t>
        </is>
      </c>
      <c r="AP66" s="24" t="inlineStr">
        <is>
          <t>mlb-hou</t>
        </is>
      </c>
      <c r="AQ66" s="24" t="inlineStr">
        <is>
          <t>Houston Astros</t>
        </is>
      </c>
      <c r="AR66" s="24" t="inlineStr">
        <is>
          <t>Houston Astros</t>
        </is>
      </c>
      <c r="AS66" s="24" t="inlineStr">
        <is>
          <t>mlb-laa</t>
        </is>
      </c>
      <c r="AT66" s="24" t="inlineStr">
        <is>
          <t>Los Angeles Angels</t>
        </is>
      </c>
      <c r="AU66" s="24" t="inlineStr">
        <is>
          <t>Los Angeles Angels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research</t>
        </is>
      </c>
      <c r="BA66" s="24" t="inlineStr">
        <is>
          <t>bd86494ed21c6a0389ab0efcf4b8a5bb7b9f8f8786b6d5fb9da69d8cf0a70bdc</t>
        </is>
      </c>
      <c r="BB66" s="24" t="inlineStr">
        <is>
          <t>flat_probability_shrinkage_toward_half</t>
        </is>
      </c>
      <c r="BC66" s="24" t="inlineStr">
        <is>
          <t>measured-edge-margin-v1</t>
        </is>
      </c>
      <c r="BD66" s="24" t="inlineStr">
        <is>
          <t>bd86494ed21c6a0389ab0efcf4b8a5bb7b9f8f8786b6d5fb9da69d8cf0a70bdc</t>
        </is>
      </c>
      <c r="BE66" s="24" t="inlineStr">
        <is>
          <t>v3</t>
        </is>
      </c>
      <c r="BF66" s="24" t="inlineStr">
        <is>
          <t>1</t>
        </is>
      </c>
      <c r="BG66" s="24" t="inlineStr">
        <is>
          <t>measured-edge-paired-v1</t>
        </is>
      </c>
      <c r="BH66" s="24" t="inlineStr">
        <is>
          <t>2026-07-27T22:53:10.309584Z</t>
        </is>
      </c>
      <c r="BI66" s="24" t="inlineStr">
        <is>
          <t>["same_event","same_team_same_day","same_league_same_day"]</t>
        </is>
      </c>
      <c r="BJ66" s="25" t="n">
        <v>1.5</v>
      </c>
      <c r="BK66" s="26" t="n">
        <v>-163</v>
      </c>
      <c r="BL66" s="27" t="n">
        <v>1.613497</v>
      </c>
      <c r="BM66" s="28" t="n">
        <v>0.619772</v>
      </c>
      <c r="BN66" s="28" t="n">
        <v>0.616915</v>
      </c>
      <c r="BO66" s="28" t="n"/>
      <c r="BP66" s="25" t="n"/>
      <c r="BQ66" s="27" t="n">
        <v>1.613497</v>
      </c>
      <c r="BR66" s="28" t="n">
        <v>0.62</v>
      </c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</row>
    <row r="67" ht="36" customHeight="1">
      <c r="A67" s="24" t="inlineStr">
        <is>
          <t>e26cc806976f477f</t>
        </is>
      </c>
      <c r="B67" s="24" t="inlineStr">
        <is>
          <t>2026-07-27T22:53:10.309584Z</t>
        </is>
      </c>
      <c r="C67" s="24" t="inlineStr">
        <is>
          <t>2026-07-28T01:38Z</t>
        </is>
      </c>
      <c r="D67" s="24" t="inlineStr">
        <is>
          <t>401816290</t>
        </is>
      </c>
      <c r="E67" s="24" t="inlineStr">
        <is>
          <t>MLB</t>
        </is>
      </c>
      <c r="F67" s="24" t="inlineStr">
        <is>
          <t>Houston Astros</t>
        </is>
      </c>
      <c r="G67" s="24" t="inlineStr">
        <is>
          <t>Los Angeles Angels</t>
        </is>
      </c>
      <c r="H67" s="24" t="inlineStr">
        <is>
          <t>total</t>
        </is>
      </c>
      <c r="I67" s="24" t="inlineStr">
        <is>
          <t>under</t>
        </is>
      </c>
      <c r="J67" s="25" t="n">
        <v>8.5</v>
      </c>
      <c r="K67" s="24" t="inlineStr">
        <is>
          <t>polymarket_us</t>
        </is>
      </c>
      <c r="L67" s="26" t="n">
        <v>106</v>
      </c>
      <c r="M67" s="27" t="n">
        <v>2.06</v>
      </c>
      <c r="N67" s="28" t="n">
        <v>0.485437</v>
      </c>
      <c r="O67" s="28" t="n">
        <v>0.59197</v>
      </c>
      <c r="P67" s="28" t="n">
        <v>0.047697</v>
      </c>
      <c r="Q67" s="28" t="n">
        <v>0.106533</v>
      </c>
      <c r="R67" s="26" t="n">
        <v>75</v>
      </c>
      <c r="S67" s="29" t="n">
        <v>0</v>
      </c>
      <c r="T67" s="24" t="inlineStr">
        <is>
          <t>measured-edge-totals-v1</t>
        </is>
      </c>
      <c r="U67" s="24" t="inlineStr">
        <is>
          <t>settled</t>
        </is>
      </c>
      <c r="V67" s="24" t="inlineStr">
        <is>
          <t>loss</t>
        </is>
      </c>
      <c r="W67" s="26" t="n">
        <v>6</v>
      </c>
      <c r="X67" s="26" t="n">
        <v>4</v>
      </c>
      <c r="Y67" s="25" t="n">
        <v>8.5</v>
      </c>
      <c r="Z67" s="26" t="n">
        <v>106</v>
      </c>
      <c r="AA67" s="28" t="n">
        <v>0.485</v>
      </c>
      <c r="AB67" s="28" t="n">
        <v>-0.000437</v>
      </c>
      <c r="AC67" s="30" t="n">
        <v>0</v>
      </c>
      <c r="AD67" s="24" t="inlineStr">
        <is>
          <t>2026-07-28T08:06:24.385087Z</t>
        </is>
      </c>
      <c r="AE67" s="31" t="inlineStr">
        <is>
          <t>Measured Edge Totals: Trend Engine projected 3.40-4.29; raw selected-side p=0.6082, calibrated p=0.5920.</t>
        </is>
      </c>
      <c r="AF67" s="31" t="inlineStr">
        <is>
          <t>Research-only; lineup, bullpen, park, weather, xFIP, and wRC+ may be neutral fallbacks; market availability and BBO depth may change before first pitch.</t>
        </is>
      </c>
      <c r="AG67" s="24" t="inlineStr">
        <is>
          <t>review_required</t>
        </is>
      </c>
      <c r="AH67" s="24" t="n"/>
      <c r="AI67" s="31" t="n"/>
      <c r="AJ67" s="31" t="n"/>
      <c r="AK67" s="24" t="inlineStr">
        <is>
          <t>research_observation</t>
        </is>
      </c>
      <c r="AL67" s="26" t="n">
        <v>3</v>
      </c>
      <c r="AM67" s="24" t="inlineStr">
        <is>
          <t>RESEARCH_OBSERVATION</t>
        </is>
      </c>
      <c r="AN67" s="24" t="inlineStr">
        <is>
          <t>NO_CALL</t>
        </is>
      </c>
      <c r="AO67" s="24" t="inlineStr">
        <is>
          <t>NO_CALL_MODEL_UNVALIDATED</t>
        </is>
      </c>
      <c r="AP67" s="24" t="inlineStr">
        <is>
          <t>mlb-hou</t>
        </is>
      </c>
      <c r="AQ67" s="24" t="inlineStr">
        <is>
          <t>Houston Astros</t>
        </is>
      </c>
      <c r="AR67" s="24" t="inlineStr">
        <is>
          <t>Houston Astros</t>
        </is>
      </c>
      <c r="AS67" s="24" t="inlineStr">
        <is>
          <t>mlb-laa</t>
        </is>
      </c>
      <c r="AT67" s="24" t="inlineStr">
        <is>
          <t>Los Angeles Angels</t>
        </is>
      </c>
      <c r="AU67" s="24" t="inlineStr">
        <is>
          <t>Los Angeles Angels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research</t>
        </is>
      </c>
      <c r="BA67" s="24" t="inlineStr">
        <is>
          <t>0aa06c0f065ec20d43901d386280174165e2b07065216b6c7ffe72c98e322706</t>
        </is>
      </c>
      <c r="BB67" s="24" t="inlineStr">
        <is>
          <t>flat_probability_shrinkage_toward_half</t>
        </is>
      </c>
      <c r="BC67" s="24" t="inlineStr">
        <is>
          <t>measured-edge-totals-v1</t>
        </is>
      </c>
      <c r="BD67" s="24" t="inlineStr">
        <is>
          <t>0aa06c0f065ec20d43901d386280174165e2b07065216b6c7ffe72c98e322706</t>
        </is>
      </c>
      <c r="BE67" s="24" t="inlineStr">
        <is>
          <t>v3</t>
        </is>
      </c>
      <c r="BF67" s="24" t="inlineStr">
        <is>
          <t>1</t>
        </is>
      </c>
      <c r="BG67" s="24" t="inlineStr">
        <is>
          <t>measured-edge-paired-v1</t>
        </is>
      </c>
      <c r="BH67" s="24" t="inlineStr">
        <is>
          <t>2026-07-27T22:53:10.309584Z</t>
        </is>
      </c>
      <c r="BI67" s="24" t="inlineStr">
        <is>
          <t>["same_event","same_team_same_day","same_league_same_day"]</t>
        </is>
      </c>
      <c r="BJ67" s="25" t="n">
        <v>8.5</v>
      </c>
      <c r="BK67" s="26" t="n">
        <v>106</v>
      </c>
      <c r="BL67" s="27" t="n">
        <v>2.06</v>
      </c>
      <c r="BM67" s="28" t="n">
        <v>0.485437</v>
      </c>
      <c r="BN67" s="28" t="n">
        <v>0.482587</v>
      </c>
      <c r="BO67" s="28" t="n"/>
      <c r="BP67" s="25" t="n"/>
      <c r="BQ67" s="27" t="n">
        <v>2.06</v>
      </c>
      <c r="BR67" s="28" t="n">
        <v>0.485</v>
      </c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</row>
    <row r="68" ht="36" customHeight="1">
      <c r="A68" s="24" t="inlineStr">
        <is>
          <t>68406b09150b40b6</t>
        </is>
      </c>
      <c r="B68" s="24" t="inlineStr">
        <is>
          <t>2026-07-27T22:53:10.309584Z</t>
        </is>
      </c>
      <c r="C68" s="24" t="inlineStr">
        <is>
          <t>2026-07-28T01:40Z</t>
        </is>
      </c>
      <c r="D68" s="24" t="inlineStr">
        <is>
          <t>401816289</t>
        </is>
      </c>
      <c r="E68" s="24" t="inlineStr">
        <is>
          <t>MLB</t>
        </is>
      </c>
      <c r="F68" s="24" t="inlineStr">
        <is>
          <t>Boston Red Sox</t>
        </is>
      </c>
      <c r="G68" s="24" t="inlineStr">
        <is>
          <t>Athletics</t>
        </is>
      </c>
      <c r="H68" s="24" t="inlineStr">
        <is>
          <t>spread</t>
        </is>
      </c>
      <c r="I68" s="24" t="inlineStr">
        <is>
          <t>away</t>
        </is>
      </c>
      <c r="J68" s="25" t="n">
        <v>-1.5</v>
      </c>
      <c r="K68" s="24" t="inlineStr">
        <is>
          <t>polymarket_us</t>
        </is>
      </c>
      <c r="L68" s="26" t="n">
        <v>-108</v>
      </c>
      <c r="M68" s="27" t="n">
        <v>1.925926</v>
      </c>
      <c r="N68" s="28" t="n">
        <v>0.519231</v>
      </c>
      <c r="O68" s="28" t="n">
        <v>0.67255</v>
      </c>
      <c r="P68" s="28" t="n">
        <v>0.047697</v>
      </c>
      <c r="Q68" s="28" t="n">
        <v>0.153319</v>
      </c>
      <c r="R68" s="26" t="n">
        <v>98</v>
      </c>
      <c r="S68" s="29" t="n">
        <v>0</v>
      </c>
      <c r="T68" s="24" t="inlineStr">
        <is>
          <t>measured-edge-margin-v1</t>
        </is>
      </c>
      <c r="U68" s="24" t="inlineStr">
        <is>
          <t>settled</t>
        </is>
      </c>
      <c r="V68" s="24" t="inlineStr">
        <is>
          <t>win</t>
        </is>
      </c>
      <c r="W68" s="26" t="n">
        <v>4</v>
      </c>
      <c r="X68" s="26" t="n">
        <v>2</v>
      </c>
      <c r="Y68" s="25" t="n">
        <v>-1.5</v>
      </c>
      <c r="Z68" s="26" t="n">
        <v>-108</v>
      </c>
      <c r="AA68" s="28" t="n">
        <v>0.52</v>
      </c>
      <c r="AB68" s="28" t="n">
        <v>0.000769</v>
      </c>
      <c r="AC68" s="30" t="n">
        <v>0</v>
      </c>
      <c r="AD68" s="24" t="inlineStr">
        <is>
          <t>2026-07-28T05:00:23.910139Z</t>
        </is>
      </c>
      <c r="AE68" s="31" t="inlineStr">
        <is>
          <t>Measured Edge Margin: Trend Engine projected 8.28-4.06; raw selected-side p=0.7030, calibrated p=0.6725.</t>
        </is>
      </c>
      <c r="AF68" s="31" t="inlineStr">
        <is>
          <t>Research-only; lineup, bullpen, park, weather, xFIP, and wRC+ may be neutral fallbacks; market availability and BBO depth may change before first pitch.</t>
        </is>
      </c>
      <c r="AG68" s="24" t="inlineStr">
        <is>
          <t>not_applicable</t>
        </is>
      </c>
      <c r="AH68" s="24" t="n"/>
      <c r="AI68" s="31" t="n"/>
      <c r="AJ68" s="31" t="n"/>
      <c r="AK68" s="24" t="inlineStr">
        <is>
          <t>research_observation</t>
        </is>
      </c>
      <c r="AL68" s="26" t="n">
        <v>3</v>
      </c>
      <c r="AM68" s="24" t="inlineStr">
        <is>
          <t>RESEARCH_OBSERVATION</t>
        </is>
      </c>
      <c r="AN68" s="24" t="inlineStr">
        <is>
          <t>NO_CALL</t>
        </is>
      </c>
      <c r="AO68" s="24" t="inlineStr">
        <is>
          <t>NO_CALL_MODEL_UNVALIDATED</t>
        </is>
      </c>
      <c r="AP68" s="24" t="inlineStr">
        <is>
          <t>mlb-bos</t>
        </is>
      </c>
      <c r="AQ68" s="24" t="inlineStr">
        <is>
          <t>Boston Red Sox</t>
        </is>
      </c>
      <c r="AR68" s="24" t="inlineStr">
        <is>
          <t>Boston Red Sox</t>
        </is>
      </c>
      <c r="AS68" s="24" t="inlineStr">
        <is>
          <t>mlb-ath</t>
        </is>
      </c>
      <c r="AT68" s="24" t="inlineStr">
        <is>
          <t>Athletics</t>
        </is>
      </c>
      <c r="AU68" s="24" t="inlineStr">
        <is>
          <t>Athletics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research</t>
        </is>
      </c>
      <c r="BA68" s="24" t="inlineStr">
        <is>
          <t>bd86494ed21c6a0389ab0efcf4b8a5bb7b9f8f8786b6d5fb9da69d8cf0a70bdc</t>
        </is>
      </c>
      <c r="BB68" s="24" t="inlineStr">
        <is>
          <t>flat_probability_shrinkage_toward_half</t>
        </is>
      </c>
      <c r="BC68" s="24" t="inlineStr">
        <is>
          <t>measured-edge-margin-v1</t>
        </is>
      </c>
      <c r="BD68" s="24" t="inlineStr">
        <is>
          <t>bd86494ed21c6a0389ab0efcf4b8a5bb7b9f8f8786b6d5fb9da69d8cf0a70bdc</t>
        </is>
      </c>
      <c r="BE68" s="24" t="inlineStr">
        <is>
          <t>v3</t>
        </is>
      </c>
      <c r="BF68" s="24" t="inlineStr">
        <is>
          <t>1</t>
        </is>
      </c>
      <c r="BG68" s="24" t="inlineStr">
        <is>
          <t>measured-edge-paired-v1</t>
        </is>
      </c>
      <c r="BH68" s="24" t="inlineStr">
        <is>
          <t>2026-07-27T22:53:10.309584Z</t>
        </is>
      </c>
      <c r="BI68" s="24" t="inlineStr">
        <is>
          <t>["same_event","same_team_same_day","same_league_same_day"]</t>
        </is>
      </c>
      <c r="BJ68" s="25" t="n">
        <v>-1.5</v>
      </c>
      <c r="BK68" s="26" t="n">
        <v>-108</v>
      </c>
      <c r="BL68" s="27" t="n">
        <v>1.925926</v>
      </c>
      <c r="BM68" s="28" t="n">
        <v>0.519231</v>
      </c>
      <c r="BN68" s="28" t="n">
        <v>0.517413</v>
      </c>
      <c r="BO68" s="28" t="n"/>
      <c r="BP68" s="25" t="n"/>
      <c r="BQ68" s="27" t="n">
        <v>1.925926</v>
      </c>
      <c r="BR68" s="28" t="n">
        <v>0.52</v>
      </c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</row>
    <row r="69" ht="36" customHeight="1">
      <c r="A69" s="24" t="inlineStr">
        <is>
          <t>285487976b264717</t>
        </is>
      </c>
      <c r="B69" s="24" t="inlineStr">
        <is>
          <t>2026-07-27T22:53:10.309584Z</t>
        </is>
      </c>
      <c r="C69" s="24" t="inlineStr">
        <is>
          <t>2026-07-28T01:40Z</t>
        </is>
      </c>
      <c r="D69" s="24" t="inlineStr">
        <is>
          <t>401816289</t>
        </is>
      </c>
      <c r="E69" s="24" t="inlineStr">
        <is>
          <t>MLB</t>
        </is>
      </c>
      <c r="F69" s="24" t="inlineStr">
        <is>
          <t>Boston Red Sox</t>
        </is>
      </c>
      <c r="G69" s="24" t="inlineStr">
        <is>
          <t>Athletics</t>
        </is>
      </c>
      <c r="H69" s="24" t="inlineStr">
        <is>
          <t>total</t>
        </is>
      </c>
      <c r="I69" s="24" t="inlineStr">
        <is>
          <t>over</t>
        </is>
      </c>
      <c r="J69" s="25" t="n">
        <v>9.5</v>
      </c>
      <c r="K69" s="24" t="inlineStr">
        <is>
          <t>polymarket_us</t>
        </is>
      </c>
      <c r="L69" s="26" t="n">
        <v>100</v>
      </c>
      <c r="M69" s="27" t="n">
        <v>2</v>
      </c>
      <c r="N69" s="28" t="n">
        <v>0.5</v>
      </c>
      <c r="O69" s="28" t="n">
        <v>0.638975</v>
      </c>
      <c r="P69" s="28" t="n">
        <v>0.047697</v>
      </c>
      <c r="Q69" s="28" t="n">
        <v>0.138975</v>
      </c>
      <c r="R69" s="26" t="n">
        <v>91</v>
      </c>
      <c r="S69" s="29" t="n">
        <v>0</v>
      </c>
      <c r="T69" s="24" t="inlineStr">
        <is>
          <t>measured-edge-totals-v1</t>
        </is>
      </c>
      <c r="U69" s="24" t="inlineStr">
        <is>
          <t>settled</t>
        </is>
      </c>
      <c r="V69" s="24" t="inlineStr">
        <is>
          <t>loss</t>
        </is>
      </c>
      <c r="W69" s="26" t="n">
        <v>4</v>
      </c>
      <c r="X69" s="26" t="n">
        <v>2</v>
      </c>
      <c r="Y69" s="25" t="n">
        <v>9.5</v>
      </c>
      <c r="Z69" s="26" t="n">
        <v>100</v>
      </c>
      <c r="AA69" s="28" t="n">
        <v>0.5</v>
      </c>
      <c r="AB69" s="28" t="n">
        <v>0</v>
      </c>
      <c r="AC69" s="30" t="n">
        <v>0</v>
      </c>
      <c r="AD69" s="24" t="inlineStr">
        <is>
          <t>2026-07-28T05:00:24.117686Z</t>
        </is>
      </c>
      <c r="AE69" s="31" t="inlineStr">
        <is>
          <t>Measured Edge Totals: Trend Engine projected 8.28-4.06; raw selected-side p=0.6635, calibrated p=0.6390.</t>
        </is>
      </c>
      <c r="AF69" s="31" t="inlineStr">
        <is>
          <t>Research-only; lineup, bullpen, park, weather, xFIP, and wRC+ may be neutral fallbacks; market availability and BBO depth may change before first pitch.</t>
        </is>
      </c>
      <c r="AG69" s="24" t="inlineStr">
        <is>
          <t>review_required</t>
        </is>
      </c>
      <c r="AH69" s="24" t="n"/>
      <c r="AI69" s="31" t="n"/>
      <c r="AJ69" s="31" t="n"/>
      <c r="AK69" s="24" t="inlineStr">
        <is>
          <t>research_observation</t>
        </is>
      </c>
      <c r="AL69" s="26" t="n">
        <v>3</v>
      </c>
      <c r="AM69" s="24" t="inlineStr">
        <is>
          <t>RESEARCH_OBSERVATION</t>
        </is>
      </c>
      <c r="AN69" s="24" t="inlineStr">
        <is>
          <t>NO_CALL</t>
        </is>
      </c>
      <c r="AO69" s="24" t="inlineStr">
        <is>
          <t>NO_CALL_MODEL_UNVALIDATED</t>
        </is>
      </c>
      <c r="AP69" s="24" t="inlineStr">
        <is>
          <t>mlb-bos</t>
        </is>
      </c>
      <c r="AQ69" s="24" t="inlineStr">
        <is>
          <t>Boston Red Sox</t>
        </is>
      </c>
      <c r="AR69" s="24" t="inlineStr">
        <is>
          <t>Boston Red Sox</t>
        </is>
      </c>
      <c r="AS69" s="24" t="inlineStr">
        <is>
          <t>mlb-ath</t>
        </is>
      </c>
      <c r="AT69" s="24" t="inlineStr">
        <is>
          <t>Athletics</t>
        </is>
      </c>
      <c r="AU69" s="24" t="inlineStr">
        <is>
          <t>Athletics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research</t>
        </is>
      </c>
      <c r="BA69" s="24" t="inlineStr">
        <is>
          <t>0aa06c0f065ec20d43901d386280174165e2b07065216b6c7ffe72c98e322706</t>
        </is>
      </c>
      <c r="BB69" s="24" t="inlineStr">
        <is>
          <t>flat_probability_shrinkage_toward_half</t>
        </is>
      </c>
      <c r="BC69" s="24" t="inlineStr">
        <is>
          <t>measured-edge-totals-v1</t>
        </is>
      </c>
      <c r="BD69" s="24" t="inlineStr">
        <is>
          <t>0aa06c0f065ec20d43901d386280174165e2b07065216b6c7ffe72c98e322706</t>
        </is>
      </c>
      <c r="BE69" s="24" t="inlineStr">
        <is>
          <t>v3</t>
        </is>
      </c>
      <c r="BF69" s="24" t="inlineStr">
        <is>
          <t>1</t>
        </is>
      </c>
      <c r="BG69" s="24" t="inlineStr">
        <is>
          <t>measured-edge-paired-v1</t>
        </is>
      </c>
      <c r="BH69" s="24" t="inlineStr">
        <is>
          <t>2026-07-27T22:53:10.309584Z</t>
        </is>
      </c>
      <c r="BI69" s="24" t="inlineStr">
        <is>
          <t>["same_event","same_team_same_day","same_league_same_day"]</t>
        </is>
      </c>
      <c r="BJ69" s="25" t="n">
        <v>9.5</v>
      </c>
      <c r="BK69" s="26" t="n">
        <v>100</v>
      </c>
      <c r="BL69" s="27" t="n">
        <v>2</v>
      </c>
      <c r="BM69" s="28" t="n">
        <v>0.5</v>
      </c>
      <c r="BN69" s="28" t="n">
        <v>0.497512</v>
      </c>
      <c r="BO69" s="28" t="n"/>
      <c r="BP69" s="25" t="n"/>
      <c r="BQ69" s="27" t="n">
        <v>2</v>
      </c>
      <c r="BR69" s="28" t="n">
        <v>0.5</v>
      </c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</row>
    <row r="70" ht="36" customHeight="1">
      <c r="A70" s="24" t="inlineStr">
        <is>
          <t>1159f2f1948e42de</t>
        </is>
      </c>
      <c r="B70" s="24" t="inlineStr">
        <is>
          <t>2026-07-27T22:53:10.309584Z</t>
        </is>
      </c>
      <c r="C70" s="24" t="inlineStr">
        <is>
          <t>2026-07-28T01:45Z</t>
        </is>
      </c>
      <c r="D70" s="24" t="inlineStr">
        <is>
          <t>401816291</t>
        </is>
      </c>
      <c r="E70" s="24" t="inlineStr">
        <is>
          <t>MLB</t>
        </is>
      </c>
      <c r="F70" s="24" t="inlineStr">
        <is>
          <t>Milwaukee Brewers</t>
        </is>
      </c>
      <c r="G70" s="24" t="inlineStr">
        <is>
          <t>San Francisco Giants</t>
        </is>
      </c>
      <c r="H70" s="24" t="inlineStr">
        <is>
          <t>spread</t>
        </is>
      </c>
      <c r="I70" s="24" t="inlineStr">
        <is>
          <t>home</t>
        </is>
      </c>
      <c r="J70" s="25" t="n">
        <v>1.5</v>
      </c>
      <c r="K70" s="24" t="inlineStr">
        <is>
          <t>polymarket_us</t>
        </is>
      </c>
      <c r="L70" s="26" t="n">
        <v>-130</v>
      </c>
      <c r="M70" s="27" t="n">
        <v>1.769231</v>
      </c>
      <c r="N70" s="28" t="n">
        <v>0.565217</v>
      </c>
      <c r="O70" s="28" t="n">
        <v>0.55287</v>
      </c>
      <c r="P70" s="28" t="n">
        <v>0.047697</v>
      </c>
      <c r="Q70" s="28" t="n">
        <v>-0.012347</v>
      </c>
      <c r="R70" s="26" t="n">
        <v>15</v>
      </c>
      <c r="S70" s="29" t="n">
        <v>0</v>
      </c>
      <c r="T70" s="24" t="inlineStr">
        <is>
          <t>measured-edge-margin-v1</t>
        </is>
      </c>
      <c r="U70" s="24" t="inlineStr">
        <is>
          <t>settled</t>
        </is>
      </c>
      <c r="V70" s="24" t="inlineStr">
        <is>
          <t>win</t>
        </is>
      </c>
      <c r="W70" s="26" t="n">
        <v>0</v>
      </c>
      <c r="X70" s="26" t="n">
        <v>3</v>
      </c>
      <c r="Y70" s="25" t="n">
        <v>1.5</v>
      </c>
      <c r="Z70" s="26" t="n">
        <v>-130</v>
      </c>
      <c r="AA70" s="28" t="n">
        <v>0.5649999999999999</v>
      </c>
      <c r="AB70" s="28" t="n">
        <v>-0.000217</v>
      </c>
      <c r="AC70" s="30" t="n">
        <v>0</v>
      </c>
      <c r="AD70" s="24" t="inlineStr">
        <is>
          <t>2026-07-28T05:00:24.320948Z</t>
        </is>
      </c>
      <c r="AE70" s="31" t="inlineStr">
        <is>
          <t>Measured Edge Margin: Trend Engine projected 4.74-3.67; raw selected-side p=0.5622, calibrated p=0.5529.</t>
        </is>
      </c>
      <c r="AF70" s="31" t="inlineStr">
        <is>
          <t>Research-only; lineup, bullpen, park, weather, xFIP, and wRC+ may be neutral fallbacks; market availability and BBO depth may change before first pitch.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research_observation</t>
        </is>
      </c>
      <c r="AL70" s="26" t="n">
        <v>3</v>
      </c>
      <c r="AM70" s="24" t="inlineStr">
        <is>
          <t>RESEARCH_OBSERVATION</t>
        </is>
      </c>
      <c r="AN70" s="24" t="inlineStr">
        <is>
          <t>NO_CALL</t>
        </is>
      </c>
      <c r="AO70" s="24" t="inlineStr">
        <is>
          <t>NO_CALL_MODEL_UNVALIDATED</t>
        </is>
      </c>
      <c r="AP70" s="24" t="inlineStr">
        <is>
          <t>mlb-mil</t>
        </is>
      </c>
      <c r="AQ70" s="24" t="inlineStr">
        <is>
          <t>Milwaukee Brewers</t>
        </is>
      </c>
      <c r="AR70" s="24" t="inlineStr">
        <is>
          <t>Milwaukee Brewers</t>
        </is>
      </c>
      <c r="AS70" s="24" t="inlineStr">
        <is>
          <t>mlb-sf</t>
        </is>
      </c>
      <c r="AT70" s="24" t="inlineStr">
        <is>
          <t>San Francisco Giants</t>
        </is>
      </c>
      <c r="AU70" s="24" t="inlineStr">
        <is>
          <t>San Francisco Giants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research</t>
        </is>
      </c>
      <c r="BA70" s="24" t="inlineStr">
        <is>
          <t>bd86494ed21c6a0389ab0efcf4b8a5bb7b9f8f8786b6d5fb9da69d8cf0a70bdc</t>
        </is>
      </c>
      <c r="BB70" s="24" t="inlineStr">
        <is>
          <t>flat_probability_shrinkage_toward_half</t>
        </is>
      </c>
      <c r="BC70" s="24" t="inlineStr">
        <is>
          <t>measured-edge-margin-v1</t>
        </is>
      </c>
      <c r="BD70" s="24" t="inlineStr">
        <is>
          <t>bd86494ed21c6a0389ab0efcf4b8a5bb7b9f8f8786b6d5fb9da69d8cf0a70bdc</t>
        </is>
      </c>
      <c r="BE70" s="24" t="inlineStr">
        <is>
          <t>v3</t>
        </is>
      </c>
      <c r="BF70" s="24" t="inlineStr">
        <is>
          <t>1</t>
        </is>
      </c>
      <c r="BG70" s="24" t="inlineStr">
        <is>
          <t>measured-edge-paired-v1</t>
        </is>
      </c>
      <c r="BH70" s="24" t="inlineStr">
        <is>
          <t>2026-07-27T22:53:10.309584Z</t>
        </is>
      </c>
      <c r="BI70" s="24" t="inlineStr">
        <is>
          <t>["same_event","same_team_same_day","same_league_same_day"]</t>
        </is>
      </c>
      <c r="BJ70" s="25" t="n">
        <v>1.5</v>
      </c>
      <c r="BK70" s="26" t="n">
        <v>-130</v>
      </c>
      <c r="BL70" s="27" t="n">
        <v>1.769231</v>
      </c>
      <c r="BM70" s="28" t="n">
        <v>0.565217</v>
      </c>
      <c r="BN70" s="28" t="n">
        <v>0.562189</v>
      </c>
      <c r="BO70" s="28" t="n"/>
      <c r="BP70" s="25" t="n"/>
      <c r="BQ70" s="27" t="n">
        <v>1.769231</v>
      </c>
      <c r="BR70" s="28" t="n">
        <v>0.5649999999999999</v>
      </c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</row>
    <row r="71" ht="36" customHeight="1">
      <c r="A71" s="24" t="inlineStr">
        <is>
          <t>fea58fa1dfe0422d</t>
        </is>
      </c>
      <c r="B71" s="24" t="inlineStr">
        <is>
          <t>2026-07-27T22:53:10.309584Z</t>
        </is>
      </c>
      <c r="C71" s="24" t="inlineStr">
        <is>
          <t>2026-07-28T01:45Z</t>
        </is>
      </c>
      <c r="D71" s="24" t="inlineStr">
        <is>
          <t>401816291</t>
        </is>
      </c>
      <c r="E71" s="24" t="inlineStr">
        <is>
          <t>MLB</t>
        </is>
      </c>
      <c r="F71" s="24" t="inlineStr">
        <is>
          <t>Milwaukee Brewers</t>
        </is>
      </c>
      <c r="G71" s="24" t="inlineStr">
        <is>
          <t>San Francisco Giants</t>
        </is>
      </c>
      <c r="H71" s="24" t="inlineStr">
        <is>
          <t>total</t>
        </is>
      </c>
      <c r="I71" s="24" t="inlineStr">
        <is>
          <t>under</t>
        </is>
      </c>
      <c r="J71" s="25" t="n">
        <v>8.5</v>
      </c>
      <c r="K71" s="24" t="inlineStr">
        <is>
          <t>polymarket_us</t>
        </is>
      </c>
      <c r="L71" s="26" t="n">
        <v>104</v>
      </c>
      <c r="M71" s="27" t="n">
        <v>2.04</v>
      </c>
      <c r="N71" s="28" t="n">
        <v>0.490196</v>
      </c>
      <c r="O71" s="28" t="n">
        <v>0.532385</v>
      </c>
      <c r="P71" s="28" t="n">
        <v>0.047697</v>
      </c>
      <c r="Q71" s="28" t="n">
        <v>0.042189</v>
      </c>
      <c r="R71" s="26" t="n">
        <v>42</v>
      </c>
      <c r="S71" s="29" t="n">
        <v>0</v>
      </c>
      <c r="T71" s="24" t="inlineStr">
        <is>
          <t>measured-edge-totals-v1</t>
        </is>
      </c>
      <c r="U71" s="24" t="inlineStr">
        <is>
          <t>settled</t>
        </is>
      </c>
      <c r="V71" s="24" t="inlineStr">
        <is>
          <t>win</t>
        </is>
      </c>
      <c r="W71" s="26" t="n">
        <v>0</v>
      </c>
      <c r="X71" s="26" t="n">
        <v>3</v>
      </c>
      <c r="Y71" s="25" t="n">
        <v>8.5</v>
      </c>
      <c r="Z71" s="26" t="n">
        <v>104</v>
      </c>
      <c r="AA71" s="28" t="n">
        <v>0.49</v>
      </c>
      <c r="AB71" s="28" t="n">
        <v>-0.000196</v>
      </c>
      <c r="AC71" s="30" t="n">
        <v>0</v>
      </c>
      <c r="AD71" s="24" t="inlineStr">
        <is>
          <t>2026-07-28T05:00:24.524581Z</t>
        </is>
      </c>
      <c r="AE71" s="31" t="inlineStr">
        <is>
          <t>Measured Edge Totals: Trend Engine projected 4.74-3.67; raw selected-side p=0.5381, calibrated p=0.5324.</t>
        </is>
      </c>
      <c r="AF71" s="31" t="inlineStr">
        <is>
          <t>Research-only; lineup, bullpen, park, weather, xFIP, and wRC+ may be neutral fallbacks; market availability and BBO depth may change before first pitch.</t>
        </is>
      </c>
      <c r="AG71" s="24" t="inlineStr">
        <is>
          <t>not_applicable</t>
        </is>
      </c>
      <c r="AH71" s="24" t="n"/>
      <c r="AI71" s="31" t="n"/>
      <c r="AJ71" s="31" t="n"/>
      <c r="AK71" s="24" t="inlineStr">
        <is>
          <t>research_observation</t>
        </is>
      </c>
      <c r="AL71" s="26" t="n">
        <v>3</v>
      </c>
      <c r="AM71" s="24" t="inlineStr">
        <is>
          <t>RESEARCH_OBSERVATION</t>
        </is>
      </c>
      <c r="AN71" s="24" t="inlineStr">
        <is>
          <t>NO_CALL</t>
        </is>
      </c>
      <c r="AO71" s="24" t="inlineStr">
        <is>
          <t>NO_CALL_MODEL_UNVALIDATED</t>
        </is>
      </c>
      <c r="AP71" s="24" t="inlineStr">
        <is>
          <t>mlb-mil</t>
        </is>
      </c>
      <c r="AQ71" s="24" t="inlineStr">
        <is>
          <t>Milwaukee Brewers</t>
        </is>
      </c>
      <c r="AR71" s="24" t="inlineStr">
        <is>
          <t>Milwaukee Brewers</t>
        </is>
      </c>
      <c r="AS71" s="24" t="inlineStr">
        <is>
          <t>mlb-sf</t>
        </is>
      </c>
      <c r="AT71" s="24" t="inlineStr">
        <is>
          <t>San Francisco Giants</t>
        </is>
      </c>
      <c r="AU71" s="24" t="inlineStr">
        <is>
          <t>San Francisco Giants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research</t>
        </is>
      </c>
      <c r="BA71" s="24" t="inlineStr">
        <is>
          <t>0aa06c0f065ec20d43901d386280174165e2b07065216b6c7ffe72c98e322706</t>
        </is>
      </c>
      <c r="BB71" s="24" t="inlineStr">
        <is>
          <t>flat_probability_shrinkage_toward_half</t>
        </is>
      </c>
      <c r="BC71" s="24" t="inlineStr">
        <is>
          <t>measured-edge-totals-v1</t>
        </is>
      </c>
      <c r="BD71" s="24" t="inlineStr">
        <is>
          <t>0aa06c0f065ec20d43901d386280174165e2b07065216b6c7ffe72c98e322706</t>
        </is>
      </c>
      <c r="BE71" s="24" t="inlineStr">
        <is>
          <t>v3</t>
        </is>
      </c>
      <c r="BF71" s="24" t="inlineStr">
        <is>
          <t>1</t>
        </is>
      </c>
      <c r="BG71" s="24" t="inlineStr">
        <is>
          <t>measured-edge-paired-v1</t>
        </is>
      </c>
      <c r="BH71" s="24" t="inlineStr">
        <is>
          <t>2026-07-27T22:53:10.309584Z</t>
        </is>
      </c>
      <c r="BI71" s="24" t="inlineStr">
        <is>
          <t>["same_event","same_team_same_day","same_league_same_day"]</t>
        </is>
      </c>
      <c r="BJ71" s="25" t="n">
        <v>8.5</v>
      </c>
      <c r="BK71" s="26" t="n">
        <v>104</v>
      </c>
      <c r="BL71" s="27" t="n">
        <v>2.04</v>
      </c>
      <c r="BM71" s="28" t="n">
        <v>0.490196</v>
      </c>
      <c r="BN71" s="28" t="n">
        <v>0.487562</v>
      </c>
      <c r="BO71" s="28" t="n"/>
      <c r="BP71" s="25" t="n"/>
      <c r="BQ71" s="27" t="n">
        <v>2.04</v>
      </c>
      <c r="BR71" s="28" t="n">
        <v>0.49</v>
      </c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</row>
    <row r="72" ht="36" customHeight="1">
      <c r="A72" s="24" t="inlineStr">
        <is>
          <t>ad72817fb7064337</t>
        </is>
      </c>
      <c r="B72" s="24" t="inlineStr">
        <is>
          <t>2026-07-27T22:39:59Z</t>
        </is>
      </c>
      <c r="C72" s="24" t="inlineStr">
        <is>
          <t>2026-07-27T18:40:00-0400</t>
        </is>
      </c>
      <c r="D72" s="24" t="inlineStr">
        <is>
          <t>401816280</t>
        </is>
      </c>
      <c r="E72" s="24" t="inlineStr">
        <is>
          <t>MLB</t>
        </is>
      </c>
      <c r="F72" s="24" t="inlineStr">
        <is>
          <t>Arizona Diamondbacks</t>
        </is>
      </c>
      <c r="G72" s="24" t="inlineStr">
        <is>
          <t>Pittsburgh Pirates</t>
        </is>
      </c>
      <c r="H72" s="24" t="inlineStr">
        <is>
          <t>moneyline</t>
        </is>
      </c>
      <c r="I72" s="24" t="inlineStr">
        <is>
          <t>home</t>
        </is>
      </c>
      <c r="J72" s="25" t="n"/>
      <c r="K72" s="24" t="inlineStr">
        <is>
          <t>polymarket_us</t>
        </is>
      </c>
      <c r="L72" s="26" t="n">
        <v>-111</v>
      </c>
      <c r="M72" s="27" t="n">
        <v>1.900901</v>
      </c>
      <c r="N72" s="28" t="n">
        <v>0.526066</v>
      </c>
      <c r="O72" s="28" t="n">
        <v>0.5618379999999999</v>
      </c>
      <c r="P72" s="28" t="n"/>
      <c r="Q72" s="28" t="n">
        <v>0.035772</v>
      </c>
      <c r="R72" s="26" t="n">
        <v>40</v>
      </c>
      <c r="S72" s="29" t="n">
        <v>1</v>
      </c>
      <c r="T72" s="24" t="inlineStr">
        <is>
          <t>mlb-elo-trend-lr-v6</t>
        </is>
      </c>
      <c r="U72" s="24" t="inlineStr">
        <is>
          <t>settled</t>
        </is>
      </c>
      <c r="V72" s="24" t="inlineStr">
        <is>
          <t>win</t>
        </is>
      </c>
      <c r="W72" s="26" t="n">
        <v>2</v>
      </c>
      <c r="X72" s="26" t="n">
        <v>3</v>
      </c>
      <c r="Y72" s="25" t="n"/>
      <c r="Z72" s="26" t="n">
        <v>-111</v>
      </c>
      <c r="AA72" s="28" t="n">
        <v>0.525</v>
      </c>
      <c r="AB72" s="28" t="n">
        <v>-0.001066</v>
      </c>
      <c r="AC72" s="30" t="n">
        <v>0.9009</v>
      </c>
      <c r="AD72" s="24" t="inlineStr">
        <is>
          <t>2026-07-28T16:01:58.952093Z</t>
        </is>
      </c>
      <c r="AE72" s="31" t="inlineStr">
        <is>
          <t>Learned LR call at threshold 0.5690; executable ask 0.5250 (aec-mlb-az-pit-2026-07-27).</t>
        </is>
      </c>
      <c r="AF72" s="31" t="inlineStr">
        <is>
          <t>Learned model; shadow-qualified via operator override.</t>
        </is>
      </c>
      <c r="AG72" s="24" t="inlineStr">
        <is>
          <t>not_applicable</t>
        </is>
      </c>
      <c r="AH72" s="24" t="n"/>
      <c r="AI72" s="31" t="n"/>
      <c r="AJ72" s="31" t="n"/>
      <c r="AK72" s="24" t="inlineStr">
        <is>
          <t>model_qualified</t>
        </is>
      </c>
      <c r="AL72" s="26" t="n">
        <v>3</v>
      </c>
      <c r="AM72" s="24" t="inlineStr">
        <is>
          <t>QUALIFIED_SHADOW_CALL</t>
        </is>
      </c>
      <c r="AN72" s="24" t="inlineStr">
        <is>
          <t>CALL</t>
        </is>
      </c>
      <c r="AO72" s="24" t="inlineStr">
        <is>
          <t>QUALIFIED</t>
        </is>
      </c>
      <c r="AP72" s="24" t="inlineStr">
        <is>
          <t>mlb-ari</t>
        </is>
      </c>
      <c r="AQ72" s="24" t="inlineStr">
        <is>
          <t>Arizona Diamondbacks</t>
        </is>
      </c>
      <c r="AR72" s="24" t="inlineStr">
        <is>
          <t>Arizona Diamondbacks</t>
        </is>
      </c>
      <c r="AS72" s="24" t="inlineStr">
        <is>
          <t>mlb-pit</t>
        </is>
      </c>
      <c r="AT72" s="24" t="inlineStr">
        <is>
          <t>Pittsburgh Pirates</t>
        </is>
      </c>
      <c r="AU72" s="24" t="inlineStr">
        <is>
          <t>Pittsburgh Pirates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0633355b1144e4205ca6d08e3f328d99cab0970358846bd77228f3bcbfcd70ee</t>
        </is>
      </c>
      <c r="BB72" s="24" t="inlineStr">
        <is>
          <t>learned_lr</t>
        </is>
      </c>
      <c r="BC72" s="24" t="inlineStr">
        <is>
          <t>mlb-elo-trend-lr-v6</t>
        </is>
      </c>
      <c r="BD72" s="24" t="inlineStr">
        <is>
          <t>0633355b1144e4205ca6d08e3f328d99cab0970358846bd77228f3bcbfcd70ee</t>
        </is>
      </c>
      <c r="BE72" s="24" t="inlineStr">
        <is>
          <t>f150919c7cff83b2</t>
        </is>
      </c>
      <c r="BF72" s="24" t="inlineStr">
        <is>
          <t>1</t>
        </is>
      </c>
      <c r="BG72" s="24" t="inlineStr">
        <is>
          <t>mlb-elo-trend-lr-v6</t>
        </is>
      </c>
      <c r="BH72" s="24" t="inlineStr">
        <is>
          <t>2026-07-27T19:48:05.872666Z</t>
        </is>
      </c>
      <c r="BI72" s="24" t="inlineStr">
        <is>
          <t>["same_event","same_team_same_day","same_league_same_day"]</t>
        </is>
      </c>
      <c r="BJ72" s="25" t="n"/>
      <c r="BK72" s="26" t="n">
        <v>-111</v>
      </c>
      <c r="BL72" s="27" t="n">
        <v>1.900901</v>
      </c>
      <c r="BM72" s="28" t="n">
        <v>0.526066</v>
      </c>
      <c r="BN72" s="28" t="n">
        <v>0.522388</v>
      </c>
      <c r="BO72" s="28" t="n"/>
      <c r="BP72" s="25" t="n"/>
      <c r="BQ72" s="27" t="n">
        <v>1.900901</v>
      </c>
      <c r="BR72" s="28" t="n">
        <v>0.525</v>
      </c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inlineStr">
        <is>
          <t>0.5377279767</t>
        </is>
      </c>
      <c r="CD72" s="24" t="inlineStr">
        <is>
          <t>-2.019377</t>
        </is>
      </c>
      <c r="CE72" s="24" t="inlineStr">
        <is>
          <t>1.0</t>
        </is>
      </c>
      <c r="CF72" s="24" t="n"/>
      <c r="CG72" s="24" t="n"/>
      <c r="CH72" s="24" t="inlineStr">
        <is>
          <t>-0.03</t>
        </is>
      </c>
      <c r="CI72" s="24" t="n"/>
      <c r="CJ72" s="24" t="n"/>
      <c r="CK72" s="24" t="n"/>
      <c r="CL72" s="24" t="n"/>
      <c r="CM72" s="24" t="n"/>
      <c r="CN72" s="24" t="n"/>
      <c r="CO72" s="24" t="n"/>
    </row>
    <row r="73" ht="36" customHeight="1">
      <c r="A73" s="24" t="inlineStr">
        <is>
          <t>f72b0b3e5a4c4739</t>
        </is>
      </c>
      <c r="B73" s="24" t="inlineStr">
        <is>
          <t>2026-07-27T22:39:59Z</t>
        </is>
      </c>
      <c r="C73" s="24" t="inlineStr">
        <is>
          <t>2026-07-27T18:40:00-0400</t>
        </is>
      </c>
      <c r="D73" s="24" t="inlineStr">
        <is>
          <t>401816282</t>
        </is>
      </c>
      <c r="E73" s="24" t="inlineStr">
        <is>
          <t>MLB</t>
        </is>
      </c>
      <c r="F73" s="24" t="inlineStr">
        <is>
          <t>Baltimore Orioles</t>
        </is>
      </c>
      <c r="G73" s="24" t="inlineStr">
        <is>
          <t>Detroit Tigers</t>
        </is>
      </c>
      <c r="H73" s="24" t="inlineStr">
        <is>
          <t>moneyline</t>
        </is>
      </c>
      <c r="I73" s="24" t="inlineStr">
        <is>
          <t>home</t>
        </is>
      </c>
      <c r="J73" s="25" t="n"/>
      <c r="K73" s="24" t="inlineStr">
        <is>
          <t>polymarket_us</t>
        </is>
      </c>
      <c r="L73" s="26" t="n">
        <v>-111</v>
      </c>
      <c r="M73" s="27" t="n">
        <v>1.900901</v>
      </c>
      <c r="N73" s="28" t="n">
        <v>0.526066</v>
      </c>
      <c r="O73" s="28" t="n">
        <v>0.569464</v>
      </c>
      <c r="P73" s="28" t="n"/>
      <c r="Q73" s="28" t="n">
        <v>0.043398</v>
      </c>
      <c r="R73" s="26" t="n">
        <v>44</v>
      </c>
      <c r="S73" s="29" t="n">
        <v>1.25</v>
      </c>
      <c r="T73" s="24" t="inlineStr">
        <is>
          <t>mlb-elo-trend-lr-v6</t>
        </is>
      </c>
      <c r="U73" s="24" t="inlineStr">
        <is>
          <t>settled</t>
        </is>
      </c>
      <c r="V73" s="24" t="inlineStr">
        <is>
          <t>loss</t>
        </is>
      </c>
      <c r="W73" s="26" t="n">
        <v>8</v>
      </c>
      <c r="X73" s="26" t="n">
        <v>5</v>
      </c>
      <c r="Y73" s="25" t="n"/>
      <c r="Z73" s="26" t="n">
        <v>-111</v>
      </c>
      <c r="AA73" s="28" t="n">
        <v>0.525</v>
      </c>
      <c r="AB73" s="28" t="n">
        <v>-0.001066</v>
      </c>
      <c r="AC73" s="30" t="n">
        <v>-1.25</v>
      </c>
      <c r="AD73" s="24" t="inlineStr">
        <is>
          <t>2026-07-28T16:01:59.352359Z</t>
        </is>
      </c>
      <c r="AE73" s="31" t="inlineStr">
        <is>
          <t>Learned LR call at threshold 0.5690; executable ask 0.5250 (aec-mlb-bal-det-2026-07-27).</t>
        </is>
      </c>
      <c r="AF73" s="31" t="inlineStr">
        <is>
          <t>Learned model; shadow-qualified via operator override.</t>
        </is>
      </c>
      <c r="AG73" s="24" t="inlineStr">
        <is>
          <t>review_required</t>
        </is>
      </c>
      <c r="AH73" s="24" t="n"/>
      <c r="AI73" s="31" t="n"/>
      <c r="AJ73" s="31" t="n"/>
      <c r="AK73" s="24" t="inlineStr">
        <is>
          <t>model_qualified</t>
        </is>
      </c>
      <c r="AL73" s="26" t="n">
        <v>3</v>
      </c>
      <c r="AM73" s="24" t="inlineStr">
        <is>
          <t>QUALIFIED_SHADOW_CALL</t>
        </is>
      </c>
      <c r="AN73" s="24" t="inlineStr">
        <is>
          <t>CALL</t>
        </is>
      </c>
      <c r="AO73" s="24" t="inlineStr">
        <is>
          <t>QUALIFIED</t>
        </is>
      </c>
      <c r="AP73" s="24" t="inlineStr">
        <is>
          <t>mlb-bal</t>
        </is>
      </c>
      <c r="AQ73" s="24" t="inlineStr">
        <is>
          <t>Baltimore Orioles</t>
        </is>
      </c>
      <c r="AR73" s="24" t="inlineStr">
        <is>
          <t>Baltimore Orioles</t>
        </is>
      </c>
      <c r="AS73" s="24" t="inlineStr">
        <is>
          <t>mlb-det</t>
        </is>
      </c>
      <c r="AT73" s="24" t="inlineStr">
        <is>
          <t>Detroit Tigers</t>
        </is>
      </c>
      <c r="AU73" s="24" t="inlineStr">
        <is>
          <t>Detroit Tigers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shadow_qualified</t>
        </is>
      </c>
      <c r="BA73" s="24" t="inlineStr">
        <is>
          <t>0633355b1144e4205ca6d08e3f328d99cab0970358846bd77228f3bcbfcd70ee</t>
        </is>
      </c>
      <c r="BB73" s="24" t="inlineStr">
        <is>
          <t>learned_lr</t>
        </is>
      </c>
      <c r="BC73" s="24" t="inlineStr">
        <is>
          <t>mlb-elo-trend-lr-v6</t>
        </is>
      </c>
      <c r="BD73" s="24" t="inlineStr">
        <is>
          <t>0633355b1144e4205ca6d08e3f328d99cab0970358846bd77228f3bcbfcd70ee</t>
        </is>
      </c>
      <c r="BE73" s="24" t="inlineStr">
        <is>
          <t>59409a7dc9cee4e0</t>
        </is>
      </c>
      <c r="BF73" s="24" t="inlineStr">
        <is>
          <t>1</t>
        </is>
      </c>
      <c r="BG73" s="24" t="inlineStr">
        <is>
          <t>mlb-elo-trend-lr-v6</t>
        </is>
      </c>
      <c r="BH73" s="24" t="inlineStr">
        <is>
          <t>2026-07-27T19:48:04.828944Z</t>
        </is>
      </c>
      <c r="BI73" s="24" t="inlineStr">
        <is>
          <t>["same_event","same_team_same_day","same_league_same_day"]</t>
        </is>
      </c>
      <c r="BJ73" s="25" t="n"/>
      <c r="BK73" s="26" t="n">
        <v>-111</v>
      </c>
      <c r="BL73" s="27" t="n">
        <v>1.900901</v>
      </c>
      <c r="BM73" s="28" t="n">
        <v>0.526066</v>
      </c>
      <c r="BN73" s="28" t="n">
        <v>0.522388</v>
      </c>
      <c r="BO73" s="28" t="n"/>
      <c r="BP73" s="25" t="n"/>
      <c r="BQ73" s="27" t="n">
        <v>1.900901</v>
      </c>
      <c r="BR73" s="28" t="n">
        <v>0.525</v>
      </c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inlineStr">
        <is>
          <t>0.5578182793</t>
        </is>
      </c>
      <c r="CD73" s="24" t="inlineStr">
        <is>
          <t>-0.528912</t>
        </is>
      </c>
      <c r="CE73" s="24" t="inlineStr">
        <is>
          <t>0.98</t>
        </is>
      </c>
      <c r="CF73" s="24" t="n"/>
      <c r="CG73" s="24" t="n"/>
      <c r="CH73" s="24" t="inlineStr">
        <is>
          <t>-0.4</t>
        </is>
      </c>
      <c r="CI73" s="24" t="n"/>
      <c r="CJ73" s="24" t="n"/>
      <c r="CK73" s="24" t="n"/>
      <c r="CL73" s="24" t="n"/>
      <c r="CM73" s="24" t="n"/>
      <c r="CN73" s="24" t="n"/>
      <c r="CO73" s="24" t="n"/>
    </row>
    <row r="74" ht="36" customHeight="1">
      <c r="A74" s="24" t="inlineStr">
        <is>
          <t>e335d49e68c94ce9</t>
        </is>
      </c>
      <c r="B74" s="24" t="inlineStr">
        <is>
          <t>2026-07-27T22:39:59Z</t>
        </is>
      </c>
      <c r="C74" s="24" t="inlineStr">
        <is>
          <t>2026-07-27T18:40:00-0400</t>
        </is>
      </c>
      <c r="D74" s="24" t="inlineStr">
        <is>
          <t>401816284</t>
        </is>
      </c>
      <c r="E74" s="24" t="inlineStr">
        <is>
          <t>MLB</t>
        </is>
      </c>
      <c r="F74" s="24" t="inlineStr">
        <is>
          <t>Philadelphia Phillies</t>
        </is>
      </c>
      <c r="G74" s="24" t="inlineStr">
        <is>
          <t>Miami Marlins</t>
        </is>
      </c>
      <c r="H74" s="24" t="inlineStr">
        <is>
          <t>moneyline</t>
        </is>
      </c>
      <c r="I74" s="24" t="inlineStr">
        <is>
          <t>away</t>
        </is>
      </c>
      <c r="J74" s="25" t="n"/>
      <c r="K74" s="24" t="inlineStr">
        <is>
          <t>polymarket_us</t>
        </is>
      </c>
      <c r="L74" s="26" t="n">
        <v>-174</v>
      </c>
      <c r="M74" s="27" t="n">
        <v>1.574713</v>
      </c>
      <c r="N74" s="28" t="n">
        <v>0.635036</v>
      </c>
      <c r="O74" s="28" t="n">
        <v>0.534637</v>
      </c>
      <c r="P74" s="28" t="n"/>
      <c r="Q74" s="28" t="n">
        <v>-0.100399</v>
      </c>
      <c r="R74" s="26" t="n">
        <v>0</v>
      </c>
      <c r="S74" s="29" t="n">
        <v>0.75</v>
      </c>
      <c r="T74" s="24" t="inlineStr">
        <is>
          <t>mlb-elo-trend-lr-v6</t>
        </is>
      </c>
      <c r="U74" s="24" t="inlineStr">
        <is>
          <t>settled</t>
        </is>
      </c>
      <c r="V74" s="24" t="inlineStr">
        <is>
          <t>loss</t>
        </is>
      </c>
      <c r="W74" s="26" t="n">
        <v>7</v>
      </c>
      <c r="X74" s="26" t="n">
        <v>8</v>
      </c>
      <c r="Y74" s="25" t="n"/>
      <c r="Z74" s="26" t="n">
        <v>-174</v>
      </c>
      <c r="AA74" s="28" t="n">
        <v>0.635</v>
      </c>
      <c r="AB74" s="28" t="n">
        <v>-3.6e-05</v>
      </c>
      <c r="AC74" s="30" t="n">
        <v>-0.75</v>
      </c>
      <c r="AD74" s="24" t="inlineStr">
        <is>
          <t>2026-07-28T16:01:59.742087Z</t>
        </is>
      </c>
      <c r="AE74" s="31" t="inlineStr">
        <is>
          <t>Learned LR call at threshold 0.5690; executable ask 0.6350 (aec-mlb-phi-mia-2026-07-27).</t>
        </is>
      </c>
      <c r="AF74" s="31" t="inlineStr">
        <is>
          <t>Learned model; shadow-qualified via operator override.</t>
        </is>
      </c>
      <c r="AG74" s="24" t="inlineStr">
        <is>
          <t>review_required</t>
        </is>
      </c>
      <c r="AH74" s="24" t="n"/>
      <c r="AI74" s="31" t="n"/>
      <c r="AJ74" s="31" t="n"/>
      <c r="AK74" s="24" t="inlineStr">
        <is>
          <t>model_qualified</t>
        </is>
      </c>
      <c r="AL74" s="26" t="n">
        <v>3</v>
      </c>
      <c r="AM74" s="24" t="inlineStr">
        <is>
          <t>QUALIFIED_SHADOW_CALL</t>
        </is>
      </c>
      <c r="AN74" s="24" t="inlineStr">
        <is>
          <t>CALL</t>
        </is>
      </c>
      <c r="AO74" s="24" t="inlineStr">
        <is>
          <t>QUALIFIED</t>
        </is>
      </c>
      <c r="AP74" s="24" t="inlineStr">
        <is>
          <t>mlb-phi</t>
        </is>
      </c>
      <c r="AQ74" s="24" t="inlineStr">
        <is>
          <t>Philadelphia Phillies</t>
        </is>
      </c>
      <c r="AR74" s="24" t="inlineStr">
        <is>
          <t>Philadelphia Phillies</t>
        </is>
      </c>
      <c r="AS74" s="24" t="inlineStr">
        <is>
          <t>mlb-mia</t>
        </is>
      </c>
      <c r="AT74" s="24" t="inlineStr">
        <is>
          <t>Miami Marlins</t>
        </is>
      </c>
      <c r="AU74" s="24" t="inlineStr">
        <is>
          <t>Miami Marlins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0633355b1144e4205ca6d08e3f328d99cab0970358846bd77228f3bcbfcd70ee</t>
        </is>
      </c>
      <c r="BB74" s="24" t="inlineStr">
        <is>
          <t>learned_lr</t>
        </is>
      </c>
      <c r="BC74" s="24" t="inlineStr">
        <is>
          <t>mlb-elo-trend-lr-v6</t>
        </is>
      </c>
      <c r="BD74" s="24" t="inlineStr">
        <is>
          <t>0633355b1144e4205ca6d08e3f328d99cab0970358846bd77228f3bcbfcd70ee</t>
        </is>
      </c>
      <c r="BE74" s="24" t="inlineStr">
        <is>
          <t>5c232793b362e155</t>
        </is>
      </c>
      <c r="BF74" s="24" t="inlineStr">
        <is>
          <t>1</t>
        </is>
      </c>
      <c r="BG74" s="24" t="inlineStr">
        <is>
          <t>mlb-elo-trend-lr-v6</t>
        </is>
      </c>
      <c r="BH74" s="24" t="inlineStr">
        <is>
          <t>2026-07-27T19:48:03.771186Z</t>
        </is>
      </c>
      <c r="BI74" s="24" t="inlineStr">
        <is>
          <t>["same_event","same_team_same_day","same_league_same_day"]</t>
        </is>
      </c>
      <c r="BJ74" s="25" t="n"/>
      <c r="BK74" s="26" t="n">
        <v>-174</v>
      </c>
      <c r="BL74" s="27" t="n">
        <v>1.574713</v>
      </c>
      <c r="BM74" s="28" t="n">
        <v>0.635036</v>
      </c>
      <c r="BN74" s="28" t="n">
        <v>0.631841</v>
      </c>
      <c r="BO74" s="28" t="n"/>
      <c r="BP74" s="25" t="n"/>
      <c r="BQ74" s="27" t="n">
        <v>1.574713</v>
      </c>
      <c r="BR74" s="28" t="n">
        <v>0.635</v>
      </c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inlineStr">
        <is>
          <t>0.477817603</t>
        </is>
      </c>
      <c r="CD74" s="24" t="inlineStr">
        <is>
          <t>-0.644046</t>
        </is>
      </c>
      <c r="CE74" s="24" t="inlineStr">
        <is>
          <t>0.99</t>
        </is>
      </c>
      <c r="CF74" s="24" t="n"/>
      <c r="CG74" s="24" t="n"/>
      <c r="CH74" s="24" t="inlineStr">
        <is>
          <t>0.99</t>
        </is>
      </c>
      <c r="CI74" s="24" t="n"/>
      <c r="CJ74" s="24" t="n"/>
      <c r="CK74" s="24" t="n"/>
      <c r="CL74" s="24" t="n"/>
      <c r="CM74" s="24" t="n"/>
      <c r="CN74" s="24" t="n"/>
      <c r="CO74" s="24" t="n"/>
    </row>
    <row r="75" ht="36" customHeight="1">
      <c r="A75" s="24" t="inlineStr">
        <is>
          <t>bcd818cd77c04b50</t>
        </is>
      </c>
      <c r="B75" s="24" t="inlineStr">
        <is>
          <t>2026-07-27T22:44:59Z</t>
        </is>
      </c>
      <c r="C75" s="24" t="inlineStr">
        <is>
          <t>2026-07-27T18:45:00-0400</t>
        </is>
      </c>
      <c r="D75" s="24" t="inlineStr">
        <is>
          <t>401816285</t>
        </is>
      </c>
      <c r="E75" s="24" t="inlineStr">
        <is>
          <t>MLB</t>
        </is>
      </c>
      <c r="F75" s="24" t="inlineStr">
        <is>
          <t>Toronto Blue Jays</t>
        </is>
      </c>
      <c r="G75" s="24" t="inlineStr">
        <is>
          <t>Washington Nationals</t>
        </is>
      </c>
      <c r="H75" s="24" t="inlineStr">
        <is>
          <t>moneyline</t>
        </is>
      </c>
      <c r="I75" s="24" t="inlineStr">
        <is>
          <t>home</t>
        </is>
      </c>
      <c r="J75" s="25" t="n"/>
      <c r="K75" s="24" t="inlineStr">
        <is>
          <t>polymarket_us</t>
        </is>
      </c>
      <c r="L75" s="26" t="n">
        <v>-115</v>
      </c>
      <c r="M75" s="27" t="n">
        <v>1.869565</v>
      </c>
      <c r="N75" s="28" t="n">
        <v>0.534884</v>
      </c>
      <c r="O75" s="28" t="n">
        <v>0.893765</v>
      </c>
      <c r="P75" s="28" t="n"/>
      <c r="Q75" s="28" t="n">
        <v>0.358881</v>
      </c>
      <c r="R75" s="26" t="n">
        <v>100</v>
      </c>
      <c r="S75" s="29" t="n">
        <v>2</v>
      </c>
      <c r="T75" s="24" t="inlineStr">
        <is>
          <t>mlb-elo-trend-lr-v6</t>
        </is>
      </c>
      <c r="U75" s="24" t="inlineStr">
        <is>
          <t>settled</t>
        </is>
      </c>
      <c r="V75" s="24" t="inlineStr">
        <is>
          <t>loss</t>
        </is>
      </c>
      <c r="W75" s="26" t="n">
        <v>3</v>
      </c>
      <c r="X75" s="26" t="n">
        <v>2</v>
      </c>
      <c r="Y75" s="25" t="n"/>
      <c r="Z75" s="26" t="n">
        <v>-115</v>
      </c>
      <c r="AA75" s="28" t="n">
        <v>0.535</v>
      </c>
      <c r="AB75" s="28" t="n">
        <v>0.000116</v>
      </c>
      <c r="AC75" s="30" t="n">
        <v>-2</v>
      </c>
      <c r="AD75" s="24" t="inlineStr">
        <is>
          <t>2026-07-28T16:02:00.164460Z</t>
        </is>
      </c>
      <c r="AE75" s="31" t="inlineStr">
        <is>
          <t>Learned LR call at threshold 0.5690; executable ask 0.5350 (aec-mlb-tor-wsh-2026-07-27).</t>
        </is>
      </c>
      <c r="AF75" s="31" t="inlineStr">
        <is>
          <t>Learned model; shadow-qualified via operator override.</t>
        </is>
      </c>
      <c r="AG75" s="24" t="inlineStr">
        <is>
          <t>review_required</t>
        </is>
      </c>
      <c r="AH75" s="24" t="n"/>
      <c r="AI75" s="31" t="n"/>
      <c r="AJ75" s="31" t="n"/>
      <c r="AK75" s="24" t="inlineStr">
        <is>
          <t>model_qualified</t>
        </is>
      </c>
      <c r="AL75" s="26" t="n">
        <v>3</v>
      </c>
      <c r="AM75" s="24" t="inlineStr">
        <is>
          <t>QUALIFIED_SHADOW_CALL</t>
        </is>
      </c>
      <c r="AN75" s="24" t="inlineStr">
        <is>
          <t>CALL</t>
        </is>
      </c>
      <c r="AO75" s="24" t="inlineStr">
        <is>
          <t>QUALIFIED</t>
        </is>
      </c>
      <c r="AP75" s="24" t="inlineStr">
        <is>
          <t>mlb-tor</t>
        </is>
      </c>
      <c r="AQ75" s="24" t="inlineStr">
        <is>
          <t>Toronto Blue Jays</t>
        </is>
      </c>
      <c r="AR75" s="24" t="inlineStr">
        <is>
          <t>Toronto Blue Jays</t>
        </is>
      </c>
      <c r="AS75" s="24" t="inlineStr">
        <is>
          <t>mlb-wsh</t>
        </is>
      </c>
      <c r="AT75" s="24" t="inlineStr">
        <is>
          <t>Washington Nationals</t>
        </is>
      </c>
      <c r="AU75" s="24" t="inlineStr">
        <is>
          <t>Washington Nationals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0633355b1144e4205ca6d08e3f328d99cab0970358846bd77228f3bcbfcd70ee</t>
        </is>
      </c>
      <c r="BB75" s="24" t="inlineStr">
        <is>
          <t>learned_lr</t>
        </is>
      </c>
      <c r="BC75" s="24" t="inlineStr">
        <is>
          <t>mlb-elo-trend-lr-v6</t>
        </is>
      </c>
      <c r="BD75" s="24" t="inlineStr">
        <is>
          <t>0633355b1144e4205ca6d08e3f328d99cab0970358846bd77228f3bcbfcd70ee</t>
        </is>
      </c>
      <c r="BE75" s="24" t="inlineStr">
        <is>
          <t>c6e1a409809dfa96</t>
        </is>
      </c>
      <c r="BF75" s="24" t="inlineStr">
        <is>
          <t>1</t>
        </is>
      </c>
      <c r="BG75" s="24" t="inlineStr">
        <is>
          <t>mlb-elo-trend-lr-v6</t>
        </is>
      </c>
      <c r="BH75" s="24" t="inlineStr">
        <is>
          <t>2026-07-27T19:48:06.913287Z</t>
        </is>
      </c>
      <c r="BI75" s="24" t="inlineStr">
        <is>
          <t>["same_event","same_team_same_day","same_league_same_day"]</t>
        </is>
      </c>
      <c r="BJ75" s="25" t="n"/>
      <c r="BK75" s="26" t="n">
        <v>-115</v>
      </c>
      <c r="BL75" s="27" t="n">
        <v>1.869565</v>
      </c>
      <c r="BM75" s="28" t="n">
        <v>0.534884</v>
      </c>
      <c r="BN75" s="28" t="n">
        <v>0.532338</v>
      </c>
      <c r="BO75" s="28" t="n"/>
      <c r="BP75" s="25" t="n"/>
      <c r="BQ75" s="27" t="n">
        <v>1.869565</v>
      </c>
      <c r="BR75" s="28" t="n">
        <v>0.535</v>
      </c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inlineStr">
        <is>
          <t>0.5019196627</t>
        </is>
      </c>
      <c r="CD75" s="24" t="inlineStr">
        <is>
          <t>0.540593</t>
        </is>
      </c>
      <c r="CE75" s="24" t="inlineStr">
        <is>
          <t>1.0</t>
        </is>
      </c>
      <c r="CF75" s="24" t="n"/>
      <c r="CG75" s="24" t="n"/>
      <c r="CH75" s="24" t="inlineStr">
        <is>
          <t>-7.14</t>
        </is>
      </c>
      <c r="CI75" s="24" t="n"/>
      <c r="CJ75" s="24" t="n"/>
      <c r="CK75" s="24" t="n"/>
      <c r="CL75" s="24" t="n"/>
      <c r="CM75" s="24" t="n"/>
      <c r="CN75" s="24" t="n"/>
      <c r="CO75" s="24" t="n"/>
    </row>
    <row r="76" ht="36" customHeight="1">
      <c r="A76" s="24" t="inlineStr">
        <is>
          <t>ac93e73b97bf4eb0</t>
        </is>
      </c>
      <c r="B76" s="24" t="inlineStr">
        <is>
          <t>2026-07-27T22:59:59Z</t>
        </is>
      </c>
      <c r="C76" s="24" t="inlineStr">
        <is>
          <t>2026-07-27T19:00:00-0400</t>
        </is>
      </c>
      <c r="D76" s="24" t="inlineStr">
        <is>
          <t>401816283</t>
        </is>
      </c>
      <c r="E76" s="24" t="inlineStr">
        <is>
          <t>MLB</t>
        </is>
      </c>
      <c r="F76" s="24" t="inlineStr">
        <is>
          <t>Cleveland Guardians</t>
        </is>
      </c>
      <c r="G76" s="24" t="inlineStr">
        <is>
          <t>Cincinnati Reds</t>
        </is>
      </c>
      <c r="H76" s="24" t="inlineStr">
        <is>
          <t>moneyline</t>
        </is>
      </c>
      <c r="I76" s="24" t="inlineStr">
        <is>
          <t>home</t>
        </is>
      </c>
      <c r="J76" s="25" t="n"/>
      <c r="K76" s="24" t="inlineStr">
        <is>
          <t>polymarket_us</t>
        </is>
      </c>
      <c r="L76" s="26" t="n">
        <v>-147</v>
      </c>
      <c r="M76" s="27" t="n">
        <v>1.680272</v>
      </c>
      <c r="N76" s="28" t="n">
        <v>0.5951419999999999</v>
      </c>
      <c r="O76" s="28" t="n">
        <v>0.684329</v>
      </c>
      <c r="P76" s="28" t="n"/>
      <c r="Q76" s="28" t="n">
        <v>0.089187</v>
      </c>
      <c r="R76" s="26" t="n">
        <v>66</v>
      </c>
      <c r="S76" s="29" t="n">
        <v>2</v>
      </c>
      <c r="T76" s="24" t="inlineStr">
        <is>
          <t>mlb-elo-trend-lr-v6</t>
        </is>
      </c>
      <c r="U76" s="24" t="inlineStr">
        <is>
          <t>settled</t>
        </is>
      </c>
      <c r="V76" s="24" t="inlineStr">
        <is>
          <t>push</t>
        </is>
      </c>
      <c r="W76" s="26" t="n"/>
      <c r="X76" s="26" t="n"/>
      <c r="Y76" s="25" t="n"/>
      <c r="Z76" s="26" t="n"/>
      <c r="AA76" s="28" t="n"/>
      <c r="AB76" s="28" t="n"/>
      <c r="AC76" s="30" t="n">
        <v>0</v>
      </c>
      <c r="AD76" s="24" t="inlineStr">
        <is>
          <t>2026-07-28T16:23:02.493203Z</t>
        </is>
      </c>
      <c r="AE76" s="31" t="inlineStr">
        <is>
          <t>Learned LR call at threshold 0.5690; executable ask 0.5950 (aec-mlb-cle-cin-2026-07-27).</t>
        </is>
      </c>
      <c r="AF76" s="31" t="inlineStr">
        <is>
          <t>Learned model; shadow-qualified via operator override.</t>
        </is>
      </c>
      <c r="AG76" s="24" t="inlineStr">
        <is>
          <t>not_applicable</t>
        </is>
      </c>
      <c r="AH76" s="24" t="n"/>
      <c r="AI76" s="31" t="n"/>
      <c r="AJ76" s="31" t="n"/>
      <c r="AK76" s="24" t="inlineStr">
        <is>
          <t>model_qualified</t>
        </is>
      </c>
      <c r="AL76" s="26" t="n">
        <v>3</v>
      </c>
      <c r="AM76" s="24" t="inlineStr">
        <is>
          <t>QUALIFIED_SHADOW_CALL</t>
        </is>
      </c>
      <c r="AN76" s="24" t="inlineStr">
        <is>
          <t>CALL</t>
        </is>
      </c>
      <c r="AO76" s="24" t="inlineStr">
        <is>
          <t>QUALIFIED</t>
        </is>
      </c>
      <c r="AP76" s="24" t="inlineStr">
        <is>
          <t>mlb-cle</t>
        </is>
      </c>
      <c r="AQ76" s="24" t="inlineStr">
        <is>
          <t>Cleveland Guardians</t>
        </is>
      </c>
      <c r="AR76" s="24" t="inlineStr">
        <is>
          <t>Cleveland Guardians</t>
        </is>
      </c>
      <c r="AS76" s="24" t="inlineStr">
        <is>
          <t>mlb-cin</t>
        </is>
      </c>
      <c r="AT76" s="24" t="inlineStr">
        <is>
          <t>Cincinnati Reds</t>
        </is>
      </c>
      <c r="AU76" s="24" t="inlineStr">
        <is>
          <t>Cincinnati Reds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0633355b1144e4205ca6d08e3f328d99cab0970358846bd77228f3bcbfcd70ee</t>
        </is>
      </c>
      <c r="BB76" s="24" t="inlineStr">
        <is>
          <t>learned_lr</t>
        </is>
      </c>
      <c r="BC76" s="24" t="inlineStr">
        <is>
          <t>mlb-elo-trend-lr-v6</t>
        </is>
      </c>
      <c r="BD76" s="24" t="inlineStr">
        <is>
          <t>0633355b1144e4205ca6d08e3f328d99cab0970358846bd77228f3bcbfcd70ee</t>
        </is>
      </c>
      <c r="BE76" s="24" t="inlineStr">
        <is>
          <t>bd6f2b0e9ab44b21</t>
        </is>
      </c>
      <c r="BF76" s="24" t="inlineStr">
        <is>
          <t>1</t>
        </is>
      </c>
      <c r="BG76" s="24" t="inlineStr">
        <is>
          <t>mlb-elo-trend-lr-v6</t>
        </is>
      </c>
      <c r="BH76" s="24" t="inlineStr">
        <is>
          <t>2026-07-27T22:52:40.069101Z</t>
        </is>
      </c>
      <c r="BI76" s="24" t="inlineStr">
        <is>
          <t>["same_event","same_team_same_day","same_league_same_day"]</t>
        </is>
      </c>
      <c r="BJ76" s="25" t="n"/>
      <c r="BK76" s="26" t="n">
        <v>-147</v>
      </c>
      <c r="BL76" s="27" t="n">
        <v>1.680272</v>
      </c>
      <c r="BM76" s="28" t="n">
        <v>0.5951419999999999</v>
      </c>
      <c r="BN76" s="28" t="n">
        <v>0.59204</v>
      </c>
      <c r="BO76" s="28" t="n"/>
      <c r="BP76" s="25" t="n"/>
      <c r="BQ76" s="27" t="n"/>
      <c r="BR76" s="28" t="n"/>
      <c r="BS76" s="28" t="n"/>
      <c r="BT76" s="28" t="n"/>
      <c r="BU76" s="25" t="n"/>
      <c r="BV76" s="29" t="n"/>
      <c r="BW76" s="24" t="inlineStr">
        <is>
          <t>event status_postponed</t>
        </is>
      </c>
      <c r="BX76" s="30" t="n"/>
      <c r="BY76" s="27" t="n"/>
      <c r="BZ76" s="24" t="n"/>
      <c r="CA76" s="31" t="n"/>
      <c r="CB76" s="24" t="n"/>
      <c r="CC76" s="24" t="inlineStr">
        <is>
          <t>0.4926827475</t>
        </is>
      </c>
      <c r="CD76" s="24" t="inlineStr">
        <is>
          <t>-0.86802</t>
        </is>
      </c>
      <c r="CE76" s="24" t="inlineStr">
        <is>
          <t>1.05</t>
        </is>
      </c>
      <c r="CF76" s="24" t="n"/>
      <c r="CG76" s="24" t="n"/>
      <c r="CH76" s="24" t="inlineStr">
        <is>
          <t>-2.18</t>
        </is>
      </c>
      <c r="CI76" s="24" t="n"/>
      <c r="CJ76" s="24" t="n"/>
      <c r="CK76" s="24" t="n"/>
      <c r="CL76" s="24" t="n"/>
      <c r="CM76" s="24" t="n"/>
      <c r="CN76" s="24" t="n"/>
      <c r="CO76" s="24" t="n"/>
    </row>
    <row r="77" ht="36" customHeight="1">
      <c r="A77" s="24" t="inlineStr">
        <is>
          <t>efaa774d60cc4d1c</t>
        </is>
      </c>
      <c r="B77" s="24" t="inlineStr">
        <is>
          <t>2026-07-27T23:09:59Z</t>
        </is>
      </c>
      <c r="C77" s="24" t="inlineStr">
        <is>
          <t>2026-07-27T19:10:00-0400</t>
        </is>
      </c>
      <c r="D77" s="24" t="inlineStr">
        <is>
          <t>401816281</t>
        </is>
      </c>
      <c r="E77" s="24" t="inlineStr">
        <is>
          <t>MLB</t>
        </is>
      </c>
      <c r="F77" s="24" t="inlineStr">
        <is>
          <t>Atlanta Braves</t>
        </is>
      </c>
      <c r="G77" s="24" t="inlineStr">
        <is>
          <t>New York Mets</t>
        </is>
      </c>
      <c r="H77" s="24" t="inlineStr">
        <is>
          <t>moneyline</t>
        </is>
      </c>
      <c r="I77" s="24" t="inlineStr">
        <is>
          <t>home</t>
        </is>
      </c>
      <c r="J77" s="25" t="n"/>
      <c r="K77" s="24" t="inlineStr">
        <is>
          <t>polymarket_us</t>
        </is>
      </c>
      <c r="L77" s="26" t="n">
        <v>-102</v>
      </c>
      <c r="M77" s="27" t="n">
        <v>1.980392</v>
      </c>
      <c r="N77" s="28" t="n">
        <v>0.50495</v>
      </c>
      <c r="O77" s="28" t="n">
        <v>0.629264</v>
      </c>
      <c r="P77" s="28" t="n"/>
      <c r="Q77" s="28" t="n">
        <v>0.124314</v>
      </c>
      <c r="R77" s="26" t="n">
        <v>83</v>
      </c>
      <c r="S77" s="29" t="n">
        <v>1.75</v>
      </c>
      <c r="T77" s="24" t="inlineStr">
        <is>
          <t>mlb-elo-trend-lr-v6</t>
        </is>
      </c>
      <c r="U77" s="24" t="inlineStr">
        <is>
          <t>settled</t>
        </is>
      </c>
      <c r="V77" s="24" t="inlineStr">
        <is>
          <t>win</t>
        </is>
      </c>
      <c r="W77" s="26" t="n">
        <v>3</v>
      </c>
      <c r="X77" s="26" t="n">
        <v>14</v>
      </c>
      <c r="Y77" s="25" t="n"/>
      <c r="Z77" s="26" t="n">
        <v>-102</v>
      </c>
      <c r="AA77" s="28" t="n">
        <v>0.505</v>
      </c>
      <c r="AB77" s="28" t="n">
        <v>5e-05</v>
      </c>
      <c r="AC77" s="30" t="n">
        <v>1.7157</v>
      </c>
      <c r="AD77" s="24" t="inlineStr">
        <is>
          <t>2026-07-28T16:02:00.605673Z</t>
        </is>
      </c>
      <c r="AE77" s="31" t="inlineStr">
        <is>
          <t>Learned LR call at threshold 0.5690; executable ask 0.5050 (aec-mlb-atl-nym-2026-07-27).</t>
        </is>
      </c>
      <c r="AF77" s="31" t="inlineStr">
        <is>
          <t>Learned model; shadow-qualified via operator override.</t>
        </is>
      </c>
      <c r="AG77" s="24" t="inlineStr">
        <is>
          <t>not_applicable</t>
        </is>
      </c>
      <c r="AH77" s="24" t="n"/>
      <c r="AI77" s="31" t="n"/>
      <c r="AJ77" s="31" t="n"/>
      <c r="AK77" s="24" t="inlineStr">
        <is>
          <t>model_qualified</t>
        </is>
      </c>
      <c r="AL77" s="26" t="n">
        <v>3</v>
      </c>
      <c r="AM77" s="24" t="inlineStr">
        <is>
          <t>QUALIFIED_SHADOW_CALL</t>
        </is>
      </c>
      <c r="AN77" s="24" t="inlineStr">
        <is>
          <t>CALL</t>
        </is>
      </c>
      <c r="AO77" s="24" t="inlineStr">
        <is>
          <t>QUALIFIED</t>
        </is>
      </c>
      <c r="AP77" s="24" t="inlineStr">
        <is>
          <t>mlb-atl</t>
        </is>
      </c>
      <c r="AQ77" s="24" t="inlineStr">
        <is>
          <t>Atlanta Braves</t>
        </is>
      </c>
      <c r="AR77" s="24" t="inlineStr">
        <is>
          <t>Atlanta Braves</t>
        </is>
      </c>
      <c r="AS77" s="24" t="inlineStr">
        <is>
          <t>mlb-nym</t>
        </is>
      </c>
      <c r="AT77" s="24" t="inlineStr">
        <is>
          <t>New York Mets</t>
        </is>
      </c>
      <c r="AU77" s="24" t="inlineStr">
        <is>
          <t>New York Mets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shadow_qualified</t>
        </is>
      </c>
      <c r="BA77" s="24" t="inlineStr">
        <is>
          <t>0633355b1144e4205ca6d08e3f328d99cab0970358846bd77228f3bcbfcd70ee</t>
        </is>
      </c>
      <c r="BB77" s="24" t="inlineStr">
        <is>
          <t>learned_lr</t>
        </is>
      </c>
      <c r="BC77" s="24" t="inlineStr">
        <is>
          <t>mlb-elo-trend-lr-v6</t>
        </is>
      </c>
      <c r="BD77" s="24" t="inlineStr">
        <is>
          <t>0633355b1144e4205ca6d08e3f328d99cab0970358846bd77228f3bcbfcd70ee</t>
        </is>
      </c>
      <c r="BE77" s="24" t="inlineStr">
        <is>
          <t>3ef0103e6db8ea51</t>
        </is>
      </c>
      <c r="BF77" s="24" t="inlineStr">
        <is>
          <t>1</t>
        </is>
      </c>
      <c r="BG77" s="24" t="inlineStr">
        <is>
          <t>mlb-elo-trend-lr-v6</t>
        </is>
      </c>
      <c r="BH77" s="24" t="inlineStr">
        <is>
          <t>2026-07-27T22:52:39.124210Z</t>
        </is>
      </c>
      <c r="BI77" s="24" t="inlineStr">
        <is>
          <t>["same_event","same_team_same_day","same_league_same_day"]</t>
        </is>
      </c>
      <c r="BJ77" s="25" t="n"/>
      <c r="BK77" s="26" t="n">
        <v>-102</v>
      </c>
      <c r="BL77" s="27" t="n">
        <v>1.980392</v>
      </c>
      <c r="BM77" s="28" t="n">
        <v>0.50495</v>
      </c>
      <c r="BN77" s="28" t="n">
        <v>0.502488</v>
      </c>
      <c r="BO77" s="28" t="n"/>
      <c r="BP77" s="25" t="n"/>
      <c r="BQ77" s="27" t="n">
        <v>1.980392</v>
      </c>
      <c r="BR77" s="28" t="n">
        <v>0.505</v>
      </c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inlineStr">
        <is>
          <t>0.4315693087</t>
        </is>
      </c>
      <c r="CD77" s="24" t="inlineStr">
        <is>
          <t>-2.190624</t>
        </is>
      </c>
      <c r="CE77" s="24" t="inlineStr">
        <is>
          <t>0.97</t>
        </is>
      </c>
      <c r="CF77" s="24" t="n"/>
      <c r="CG77" s="24" t="n"/>
      <c r="CH77" s="24" t="inlineStr">
        <is>
          <t>-1.06</t>
        </is>
      </c>
      <c r="CI77" s="24" t="n"/>
      <c r="CJ77" s="24" t="n"/>
      <c r="CK77" s="24" t="n"/>
      <c r="CL77" s="24" t="n"/>
      <c r="CM77" s="24" t="n"/>
      <c r="CN77" s="24" t="n"/>
      <c r="CO77" s="24" t="n"/>
    </row>
    <row r="78" ht="36" customHeight="1">
      <c r="A78" s="24" t="inlineStr">
        <is>
          <t>79a642e33e354169</t>
        </is>
      </c>
      <c r="B78" s="24" t="inlineStr">
        <is>
          <t>2026-07-27T23:39:59Z</t>
        </is>
      </c>
      <c r="C78" s="24" t="inlineStr">
        <is>
          <t>2026-07-27T19:40:00-0400</t>
        </is>
      </c>
      <c r="D78" s="24" t="inlineStr">
        <is>
          <t>401816287</t>
        </is>
      </c>
      <c r="E78" s="24" t="inlineStr">
        <is>
          <t>MLB</t>
        </is>
      </c>
      <c r="F78" s="24" t="inlineStr">
        <is>
          <t>New York Yankees</t>
        </is>
      </c>
      <c r="G78" s="24" t="inlineStr">
        <is>
          <t>Chicago White Sox</t>
        </is>
      </c>
      <c r="H78" s="24" t="inlineStr">
        <is>
          <t>moneyline</t>
        </is>
      </c>
      <c r="I78" s="24" t="inlineStr">
        <is>
          <t>away</t>
        </is>
      </c>
      <c r="J78" s="25" t="n"/>
      <c r="K78" s="24" t="inlineStr">
        <is>
          <t>polymarket_us</t>
        </is>
      </c>
      <c r="L78" s="26" t="n">
        <v>-133</v>
      </c>
      <c r="M78" s="27" t="n">
        <v>1.75188</v>
      </c>
      <c r="N78" s="28" t="n">
        <v>0.570815</v>
      </c>
      <c r="O78" s="28" t="n">
        <v>0.693452</v>
      </c>
      <c r="P78" s="28" t="n"/>
      <c r="Q78" s="28" t="n">
        <v>0.122637</v>
      </c>
      <c r="R78" s="26" t="n">
        <v>83</v>
      </c>
      <c r="S78" s="29" t="n">
        <v>2</v>
      </c>
      <c r="T78" s="24" t="inlineStr">
        <is>
          <t>mlb-elo-trend-lr-v6</t>
        </is>
      </c>
      <c r="U78" s="24" t="inlineStr">
        <is>
          <t>settled</t>
        </is>
      </c>
      <c r="V78" s="24" t="inlineStr">
        <is>
          <t>win</t>
        </is>
      </c>
      <c r="W78" s="26" t="n">
        <v>9</v>
      </c>
      <c r="X78" s="26" t="n">
        <v>5</v>
      </c>
      <c r="Y78" s="25" t="n"/>
      <c r="Z78" s="26" t="n">
        <v>-133</v>
      </c>
      <c r="AA78" s="28" t="n">
        <v>0.57</v>
      </c>
      <c r="AB78" s="28" t="n">
        <v>-0.000815</v>
      </c>
      <c r="AC78" s="30" t="n">
        <v>1.5038</v>
      </c>
      <c r="AD78" s="24" t="inlineStr">
        <is>
          <t>2026-07-28T16:02:00.991463Z</t>
        </is>
      </c>
      <c r="AE78" s="31" t="inlineStr">
        <is>
          <t>Learned LR call at threshold 0.5690; executable ask 0.5700 (aec-mlb-nyy-cws-2026-07-27).</t>
        </is>
      </c>
      <c r="AF78" s="31" t="inlineStr">
        <is>
          <t>Learned model; shadow-qualified via operator override.</t>
        </is>
      </c>
      <c r="AG78" s="24" t="inlineStr">
        <is>
          <t>not_applicable</t>
        </is>
      </c>
      <c r="AH78" s="24" t="n"/>
      <c r="AI78" s="31" t="n"/>
      <c r="AJ78" s="31" t="n"/>
      <c r="AK78" s="24" t="inlineStr">
        <is>
          <t>model_qualified</t>
        </is>
      </c>
      <c r="AL78" s="26" t="n">
        <v>3</v>
      </c>
      <c r="AM78" s="24" t="inlineStr">
        <is>
          <t>QUALIFIED_SHADOW_CALL</t>
        </is>
      </c>
      <c r="AN78" s="24" t="inlineStr">
        <is>
          <t>CALL</t>
        </is>
      </c>
      <c r="AO78" s="24" t="inlineStr">
        <is>
          <t>QUALIFIED</t>
        </is>
      </c>
      <c r="AP78" s="24" t="inlineStr">
        <is>
          <t>mlb-nyy</t>
        </is>
      </c>
      <c r="AQ78" s="24" t="inlineStr">
        <is>
          <t>New York Yankees</t>
        </is>
      </c>
      <c r="AR78" s="24" t="inlineStr">
        <is>
          <t>New York Yankees</t>
        </is>
      </c>
      <c r="AS78" s="24" t="inlineStr">
        <is>
          <t>mlb-cws</t>
        </is>
      </c>
      <c r="AT78" s="24" t="inlineStr">
        <is>
          <t>Chicago White Sox</t>
        </is>
      </c>
      <c r="AU78" s="24" t="inlineStr">
        <is>
          <t>Chicago White Sox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shadow_qualified</t>
        </is>
      </c>
      <c r="BA78" s="24" t="inlineStr">
        <is>
          <t>0633355b1144e4205ca6d08e3f328d99cab0970358846bd77228f3bcbfcd70ee</t>
        </is>
      </c>
      <c r="BB78" s="24" t="inlineStr">
        <is>
          <t>learned_lr</t>
        </is>
      </c>
      <c r="BC78" s="24" t="inlineStr">
        <is>
          <t>mlb-elo-trend-lr-v6</t>
        </is>
      </c>
      <c r="BD78" s="24" t="inlineStr">
        <is>
          <t>0633355b1144e4205ca6d08e3f328d99cab0970358846bd77228f3bcbfcd70ee</t>
        </is>
      </c>
      <c r="BE78" s="24" t="inlineStr">
        <is>
          <t>240c7cb854526226</t>
        </is>
      </c>
      <c r="BF78" s="24" t="inlineStr">
        <is>
          <t>1</t>
        </is>
      </c>
      <c r="BG78" s="24" t="inlineStr">
        <is>
          <t>mlb-elo-trend-lr-v6</t>
        </is>
      </c>
      <c r="BH78" s="24" t="inlineStr">
        <is>
          <t>2026-07-27T22:52:40.563303Z</t>
        </is>
      </c>
      <c r="BI78" s="24" t="inlineStr">
        <is>
          <t>["same_event","same_team_same_day","same_league_same_day"]</t>
        </is>
      </c>
      <c r="BJ78" s="25" t="n"/>
      <c r="BK78" s="26" t="n">
        <v>-133</v>
      </c>
      <c r="BL78" s="27" t="n">
        <v>1.75188</v>
      </c>
      <c r="BM78" s="28" t="n">
        <v>0.570815</v>
      </c>
      <c r="BN78" s="28" t="n">
        <v>0.567164</v>
      </c>
      <c r="BO78" s="28" t="n"/>
      <c r="BP78" s="25" t="n"/>
      <c r="BQ78" s="27" t="n">
        <v>1.75188</v>
      </c>
      <c r="BR78" s="28" t="n">
        <v>0.57</v>
      </c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inlineStr">
        <is>
          <t>0.4761494151</t>
        </is>
      </c>
      <c r="CD78" s="24" t="inlineStr">
        <is>
          <t>1.500354</t>
        </is>
      </c>
      <c r="CE78" s="24" t="inlineStr">
        <is>
          <t>0.99</t>
        </is>
      </c>
      <c r="CF78" s="24" t="n"/>
      <c r="CG78" s="24" t="n"/>
      <c r="CH78" s="24" t="inlineStr">
        <is>
          <t>2.92</t>
        </is>
      </c>
      <c r="CI78" s="24" t="n"/>
      <c r="CJ78" s="24" t="n"/>
      <c r="CK78" s="24" t="n"/>
      <c r="CL78" s="24" t="n"/>
      <c r="CM78" s="24" t="n"/>
      <c r="CN78" s="24" t="n"/>
      <c r="CO78" s="24" t="n"/>
    </row>
    <row r="79" ht="36" customHeight="1">
      <c r="A79" s="24" t="inlineStr">
        <is>
          <t>cc1ab745702b445f</t>
        </is>
      </c>
      <c r="B79" s="24" t="inlineStr">
        <is>
          <t>2026-07-27T23:44:59Z</t>
        </is>
      </c>
      <c r="C79" s="24" t="inlineStr">
        <is>
          <t>2026-07-27T19:45:00-0400</t>
        </is>
      </c>
      <c r="D79" s="24" t="inlineStr">
        <is>
          <t>401816286</t>
        </is>
      </c>
      <c r="E79" s="24" t="inlineStr">
        <is>
          <t>MLB</t>
        </is>
      </c>
      <c r="F79" s="24" t="inlineStr">
        <is>
          <t>Chicago Cubs</t>
        </is>
      </c>
      <c r="G79" s="24" t="inlineStr">
        <is>
          <t>St. Louis Cardinals</t>
        </is>
      </c>
      <c r="H79" s="24" t="inlineStr">
        <is>
          <t>moneyline</t>
        </is>
      </c>
      <c r="I79" s="24" t="inlineStr">
        <is>
          <t>home</t>
        </is>
      </c>
      <c r="J79" s="25" t="n"/>
      <c r="K79" s="24" t="inlineStr">
        <is>
          <t>polymarket_us</t>
        </is>
      </c>
      <c r="L79" s="26" t="n">
        <v>111</v>
      </c>
      <c r="M79" s="27" t="n">
        <v>2.11</v>
      </c>
      <c r="N79" s="28" t="n">
        <v>0.473934</v>
      </c>
      <c r="O79" s="28" t="n">
        <v>0.574883</v>
      </c>
      <c r="P79" s="28" t="n"/>
      <c r="Q79" s="28" t="n">
        <v>0.100949</v>
      </c>
      <c r="R79" s="26" t="n">
        <v>71</v>
      </c>
      <c r="S79" s="29" t="n">
        <v>1.25</v>
      </c>
      <c r="T79" s="24" t="inlineStr">
        <is>
          <t>mlb-elo-trend-lr-v6</t>
        </is>
      </c>
      <c r="U79" s="24" t="inlineStr">
        <is>
          <t>settled</t>
        </is>
      </c>
      <c r="V79" s="24" t="inlineStr">
        <is>
          <t>loss</t>
        </is>
      </c>
      <c r="W79" s="26" t="n">
        <v>7</v>
      </c>
      <c r="X79" s="26" t="n">
        <v>3</v>
      </c>
      <c r="Y79" s="25" t="n"/>
      <c r="Z79" s="26" t="n">
        <v>111</v>
      </c>
      <c r="AA79" s="28" t="n">
        <v>0.475</v>
      </c>
      <c r="AB79" s="28" t="n">
        <v>0.001066</v>
      </c>
      <c r="AC79" s="30" t="n">
        <v>-1.25</v>
      </c>
      <c r="AD79" s="24" t="inlineStr">
        <is>
          <t>2026-07-28T16:02:01.423103Z</t>
        </is>
      </c>
      <c r="AE79" s="31" t="inlineStr">
        <is>
          <t>Learned LR call at threshold 0.5690; executable ask 0.4750 (aec-mlb-chc-stl-2026-07-27).</t>
        </is>
      </c>
      <c r="AF79" s="31" t="inlineStr">
        <is>
          <t>Learned model; shadow-qualified via operator override.</t>
        </is>
      </c>
      <c r="AG79" s="24" t="inlineStr">
        <is>
          <t>review_required</t>
        </is>
      </c>
      <c r="AH79" s="24" t="n"/>
      <c r="AI79" s="31" t="n"/>
      <c r="AJ79" s="31" t="n"/>
      <c r="AK79" s="24" t="inlineStr">
        <is>
          <t>model_qualified</t>
        </is>
      </c>
      <c r="AL79" s="26" t="n">
        <v>3</v>
      </c>
      <c r="AM79" s="24" t="inlineStr">
        <is>
          <t>QUALIFIED_SHADOW_CALL</t>
        </is>
      </c>
      <c r="AN79" s="24" t="inlineStr">
        <is>
          <t>CALL</t>
        </is>
      </c>
      <c r="AO79" s="24" t="inlineStr">
        <is>
          <t>QUALIFIED</t>
        </is>
      </c>
      <c r="AP79" s="24" t="inlineStr">
        <is>
          <t>mlb-chc</t>
        </is>
      </c>
      <c r="AQ79" s="24" t="inlineStr">
        <is>
          <t>Chicago Cubs</t>
        </is>
      </c>
      <c r="AR79" s="24" t="inlineStr">
        <is>
          <t>Chicago Cubs</t>
        </is>
      </c>
      <c r="AS79" s="24" t="inlineStr">
        <is>
          <t>mlb-stl</t>
        </is>
      </c>
      <c r="AT79" s="24" t="inlineStr">
        <is>
          <t>St. Louis Cardinals</t>
        </is>
      </c>
      <c r="AU79" s="24" t="inlineStr">
        <is>
          <t>St. Louis Cardinals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shadow_qualified</t>
        </is>
      </c>
      <c r="BA79" s="24" t="inlineStr">
        <is>
          <t>0633355b1144e4205ca6d08e3f328d99cab0970358846bd77228f3bcbfcd70ee</t>
        </is>
      </c>
      <c r="BB79" s="24" t="inlineStr">
        <is>
          <t>learned_lr</t>
        </is>
      </c>
      <c r="BC79" s="24" t="inlineStr">
        <is>
          <t>mlb-elo-trend-lr-v6</t>
        </is>
      </c>
      <c r="BD79" s="24" t="inlineStr">
        <is>
          <t>0633355b1144e4205ca6d08e3f328d99cab0970358846bd77228f3bcbfcd70ee</t>
        </is>
      </c>
      <c r="BE79" s="24" t="inlineStr">
        <is>
          <t>01075785a4cf42a4</t>
        </is>
      </c>
      <c r="BF79" s="24" t="inlineStr">
        <is>
          <t>1</t>
        </is>
      </c>
      <c r="BG79" s="24" t="inlineStr">
        <is>
          <t>mlb-elo-trend-lr-v6</t>
        </is>
      </c>
      <c r="BH79" s="24" t="inlineStr">
        <is>
          <t>2026-07-27T22:52:41.511217Z</t>
        </is>
      </c>
      <c r="BI79" s="24" t="inlineStr">
        <is>
          <t>["same_event","same_team_same_day","same_league_same_day"]</t>
        </is>
      </c>
      <c r="BJ79" s="25" t="n"/>
      <c r="BK79" s="26" t="n">
        <v>111</v>
      </c>
      <c r="BL79" s="27" t="n">
        <v>2.11</v>
      </c>
      <c r="BM79" s="28" t="n">
        <v>0.473934</v>
      </c>
      <c r="BN79" s="28" t="n">
        <v>0.472637</v>
      </c>
      <c r="BO79" s="28" t="n"/>
      <c r="BP79" s="25" t="n"/>
      <c r="BQ79" s="27" t="n">
        <v>2.11</v>
      </c>
      <c r="BR79" s="28" t="n">
        <v>0.475</v>
      </c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inlineStr">
        <is>
          <t>0.4644554475</t>
        </is>
      </c>
      <c r="CD79" s="24" t="inlineStr">
        <is>
          <t>-0.743911</t>
        </is>
      </c>
      <c r="CE79" s="24" t="inlineStr">
        <is>
          <t>0.99</t>
        </is>
      </c>
      <c r="CF79" s="24" t="n"/>
      <c r="CG79" s="24" t="n"/>
      <c r="CH79" s="24" t="inlineStr">
        <is>
          <t>-0.54</t>
        </is>
      </c>
      <c r="CI79" s="24" t="n"/>
      <c r="CJ79" s="24" t="n"/>
      <c r="CK79" s="24" t="n"/>
      <c r="CL79" s="24" t="n"/>
      <c r="CM79" s="24" t="n"/>
      <c r="CN79" s="24" t="n"/>
      <c r="CO79" s="24" t="n"/>
    </row>
    <row r="80" ht="36" customHeight="1">
      <c r="A80" s="24" t="inlineStr">
        <is>
          <t>7b2b2c79ff1d4b98</t>
        </is>
      </c>
      <c r="B80" s="24" t="inlineStr">
        <is>
          <t>2026-07-28T01:37:59Z</t>
        </is>
      </c>
      <c r="C80" s="24" t="inlineStr">
        <is>
          <t>2026-07-27T21:38:00-0400</t>
        </is>
      </c>
      <c r="D80" s="24" t="inlineStr">
        <is>
          <t>401816290</t>
        </is>
      </c>
      <c r="E80" s="24" t="inlineStr">
        <is>
          <t>MLB</t>
        </is>
      </c>
      <c r="F80" s="24" t="inlineStr">
        <is>
          <t>Houston Astros</t>
        </is>
      </c>
      <c r="G80" s="24" t="inlineStr">
        <is>
          <t>Los Angeles Angels</t>
        </is>
      </c>
      <c r="H80" s="24" t="inlineStr">
        <is>
          <t>moneyline</t>
        </is>
      </c>
      <c r="I80" s="24" t="inlineStr">
        <is>
          <t>home</t>
        </is>
      </c>
      <c r="J80" s="25" t="n"/>
      <c r="K80" s="24" t="inlineStr">
        <is>
          <t>polymarket_us</t>
        </is>
      </c>
      <c r="L80" s="26" t="n">
        <v>102</v>
      </c>
      <c r="M80" s="27" t="n">
        <v>2.02</v>
      </c>
      <c r="N80" s="28" t="n">
        <v>0.49505</v>
      </c>
      <c r="O80" s="28" t="n">
        <v>0.747572</v>
      </c>
      <c r="P80" s="28" t="n"/>
      <c r="Q80" s="28" t="n">
        <v>0.252522</v>
      </c>
      <c r="R80" s="26" t="n">
        <v>100</v>
      </c>
      <c r="S80" s="29" t="n">
        <v>2</v>
      </c>
      <c r="T80" s="24" t="inlineStr">
        <is>
          <t>mlb-elo-trend-lr-v6</t>
        </is>
      </c>
      <c r="U80" s="24" t="inlineStr">
        <is>
          <t>settled</t>
        </is>
      </c>
      <c r="V80" s="24" t="inlineStr">
        <is>
          <t>loss</t>
        </is>
      </c>
      <c r="W80" s="26" t="n">
        <v>6</v>
      </c>
      <c r="X80" s="26" t="n">
        <v>4</v>
      </c>
      <c r="Y80" s="25" t="n"/>
      <c r="Z80" s="26" t="n">
        <v>102</v>
      </c>
      <c r="AA80" s="28" t="n">
        <v>0.495</v>
      </c>
      <c r="AB80" s="28" t="n">
        <v>-5e-05</v>
      </c>
      <c r="AC80" s="30" t="n">
        <v>-2</v>
      </c>
      <c r="AD80" s="24" t="inlineStr">
        <is>
          <t>2026-07-28T16:02:01.810815Z</t>
        </is>
      </c>
      <c r="AE80" s="31" t="inlineStr">
        <is>
          <t>Learned LR call at threshold 0.5690; executable ask 0.4950 (aec-mlb-hou-laa-2026-07-27).</t>
        </is>
      </c>
      <c r="AF80" s="31" t="inlineStr">
        <is>
          <t>Learned model; shadow-qualified via operator override.</t>
        </is>
      </c>
      <c r="AG80" s="24" t="inlineStr">
        <is>
          <t>review_required</t>
        </is>
      </c>
      <c r="AH80" s="24" t="n"/>
      <c r="AI80" s="31" t="n"/>
      <c r="AJ80" s="31" t="n"/>
      <c r="AK80" s="24" t="inlineStr">
        <is>
          <t>model_qualified</t>
        </is>
      </c>
      <c r="AL80" s="26" t="n">
        <v>3</v>
      </c>
      <c r="AM80" s="24" t="inlineStr">
        <is>
          <t>QUALIFIED_SHADOW_CALL</t>
        </is>
      </c>
      <c r="AN80" s="24" t="inlineStr">
        <is>
          <t>CALL</t>
        </is>
      </c>
      <c r="AO80" s="24" t="inlineStr">
        <is>
          <t>QUALIFIED</t>
        </is>
      </c>
      <c r="AP80" s="24" t="inlineStr">
        <is>
          <t>mlb-hou</t>
        </is>
      </c>
      <c r="AQ80" s="24" t="inlineStr">
        <is>
          <t>Houston Astros</t>
        </is>
      </c>
      <c r="AR80" s="24" t="inlineStr">
        <is>
          <t>Houston Astros</t>
        </is>
      </c>
      <c r="AS80" s="24" t="inlineStr">
        <is>
          <t>mlb-laa</t>
        </is>
      </c>
      <c r="AT80" s="24" t="inlineStr">
        <is>
          <t>Los Angeles Angels</t>
        </is>
      </c>
      <c r="AU80" s="24" t="inlineStr">
        <is>
          <t>Los Angeles Angels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shadow_qualified</t>
        </is>
      </c>
      <c r="BA80" s="24" t="inlineStr">
        <is>
          <t>0633355b1144e4205ca6d08e3f328d99cab0970358846bd77228f3bcbfcd70ee</t>
        </is>
      </c>
      <c r="BB80" s="24" t="inlineStr">
        <is>
          <t>learned_lr</t>
        </is>
      </c>
      <c r="BC80" s="24" t="inlineStr">
        <is>
          <t>mlb-elo-trend-lr-v6</t>
        </is>
      </c>
      <c r="BD80" s="24" t="inlineStr">
        <is>
          <t>0633355b1144e4205ca6d08e3f328d99cab0970358846bd77228f3bcbfcd70ee</t>
        </is>
      </c>
      <c r="BE80" s="24" t="inlineStr">
        <is>
          <t>5fa6950739bd6684</t>
        </is>
      </c>
      <c r="BF80" s="24" t="inlineStr">
        <is>
          <t>1</t>
        </is>
      </c>
      <c r="BG80" s="24" t="inlineStr">
        <is>
          <t>mlb-elo-trend-lr-v6</t>
        </is>
      </c>
      <c r="BH80" s="24" t="inlineStr">
        <is>
          <t>2026-07-27T22:52:42.458048Z</t>
        </is>
      </c>
      <c r="BI80" s="24" t="inlineStr">
        <is>
          <t>["same_event","same_team_same_day","same_league_same_day"]</t>
        </is>
      </c>
      <c r="BJ80" s="25" t="n"/>
      <c r="BK80" s="26" t="n">
        <v>102</v>
      </c>
      <c r="BL80" s="27" t="n">
        <v>2.02</v>
      </c>
      <c r="BM80" s="28" t="n">
        <v>0.49505</v>
      </c>
      <c r="BN80" s="28" t="n">
        <v>0.492537</v>
      </c>
      <c r="BO80" s="28" t="n"/>
      <c r="BP80" s="25" t="n"/>
      <c r="BQ80" s="27" t="n">
        <v>2.02</v>
      </c>
      <c r="BR80" s="28" t="n">
        <v>0.495</v>
      </c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inlineStr">
        <is>
          <t>0.4559426507</t>
        </is>
      </c>
      <c r="CD80" s="24" t="inlineStr">
        <is>
          <t>-1.582476</t>
        </is>
      </c>
      <c r="CE80" s="24" t="inlineStr">
        <is>
          <t>1.01</t>
        </is>
      </c>
      <c r="CF80" s="24" t="n"/>
      <c r="CG80" s="24" t="n"/>
      <c r="CH80" s="24" t="inlineStr">
        <is>
          <t>-3.13</t>
        </is>
      </c>
      <c r="CI80" s="24" t="n"/>
      <c r="CJ80" s="24" t="n"/>
      <c r="CK80" s="24" t="n"/>
      <c r="CL80" s="24" t="n"/>
      <c r="CM80" s="24" t="n"/>
      <c r="CN80" s="24" t="n"/>
      <c r="CO80" s="24" t="n"/>
    </row>
    <row r="81" ht="36" customHeight="1">
      <c r="A81" s="24" t="inlineStr">
        <is>
          <t>b974b66f092f416f</t>
        </is>
      </c>
      <c r="B81" s="24" t="inlineStr">
        <is>
          <t>2026-07-28T01:39:59Z</t>
        </is>
      </c>
      <c r="C81" s="24" t="inlineStr">
        <is>
          <t>2026-07-27T21:40:00-0400</t>
        </is>
      </c>
      <c r="D81" s="24" t="inlineStr">
        <is>
          <t>401816289</t>
        </is>
      </c>
      <c r="E81" s="24" t="inlineStr">
        <is>
          <t>MLB</t>
        </is>
      </c>
      <c r="F81" s="24" t="inlineStr">
        <is>
          <t>Boston Red Sox</t>
        </is>
      </c>
      <c r="G81" s="24" t="inlineStr">
        <is>
          <t>Athletics</t>
        </is>
      </c>
      <c r="H81" s="24" t="inlineStr">
        <is>
          <t>moneyline</t>
        </is>
      </c>
      <c r="I81" s="24" t="inlineStr">
        <is>
          <t>away</t>
        </is>
      </c>
      <c r="J81" s="25" t="n"/>
      <c r="K81" s="24" t="inlineStr">
        <is>
          <t>polymarket_us</t>
        </is>
      </c>
      <c r="L81" s="26" t="n">
        <v>-170</v>
      </c>
      <c r="M81" s="27" t="n">
        <v>1.588235</v>
      </c>
      <c r="N81" s="28" t="n">
        <v>0.62963</v>
      </c>
      <c r="O81" s="28" t="n">
        <v>0.67974</v>
      </c>
      <c r="P81" s="28" t="n"/>
      <c r="Q81" s="28" t="n">
        <v>0.05011</v>
      </c>
      <c r="R81" s="26" t="n">
        <v>46</v>
      </c>
      <c r="S81" s="29" t="n">
        <v>2</v>
      </c>
      <c r="T81" s="24" t="inlineStr">
        <is>
          <t>mlb-elo-trend-lr-v6</t>
        </is>
      </c>
      <c r="U81" s="24" t="inlineStr">
        <is>
          <t>settled</t>
        </is>
      </c>
      <c r="V81" s="24" t="inlineStr">
        <is>
          <t>win</t>
        </is>
      </c>
      <c r="W81" s="26" t="n">
        <v>4</v>
      </c>
      <c r="X81" s="26" t="n">
        <v>2</v>
      </c>
      <c r="Y81" s="25" t="n"/>
      <c r="Z81" s="26" t="n">
        <v>-170</v>
      </c>
      <c r="AA81" s="28" t="n">
        <v>0.63</v>
      </c>
      <c r="AB81" s="28" t="n">
        <v>0.00037</v>
      </c>
      <c r="AC81" s="30" t="n">
        <v>1.1765</v>
      </c>
      <c r="AD81" s="24" t="inlineStr">
        <is>
          <t>2026-07-28T16:02:02.192644Z</t>
        </is>
      </c>
      <c r="AE81" s="31" t="inlineStr">
        <is>
          <t>Learned LR call at threshold 0.5690; executable ask 0.6300 (aec-mlb-bos-ath-2026-07-27).</t>
        </is>
      </c>
      <c r="AF81" s="31" t="inlineStr">
        <is>
          <t>Learned model; shadow-qualified via operator override.</t>
        </is>
      </c>
      <c r="AG81" s="24" t="inlineStr">
        <is>
          <t>not_applicable</t>
        </is>
      </c>
      <c r="AH81" s="24" t="n"/>
      <c r="AI81" s="31" t="n"/>
      <c r="AJ81" s="31" t="n"/>
      <c r="AK81" s="24" t="inlineStr">
        <is>
          <t>model_qualified</t>
        </is>
      </c>
      <c r="AL81" s="26" t="n">
        <v>3</v>
      </c>
      <c r="AM81" s="24" t="inlineStr">
        <is>
          <t>QUALIFIED_SHADOW_CALL</t>
        </is>
      </c>
      <c r="AN81" s="24" t="inlineStr">
        <is>
          <t>CALL</t>
        </is>
      </c>
      <c r="AO81" s="24" t="inlineStr">
        <is>
          <t>QUALIFIED</t>
        </is>
      </c>
      <c r="AP81" s="24" t="inlineStr">
        <is>
          <t>mlb-bos</t>
        </is>
      </c>
      <c r="AQ81" s="24" t="inlineStr">
        <is>
          <t>Boston Red Sox</t>
        </is>
      </c>
      <c r="AR81" s="24" t="inlineStr">
        <is>
          <t>Boston Red Sox</t>
        </is>
      </c>
      <c r="AS81" s="24" t="inlineStr">
        <is>
          <t>mlb-ath</t>
        </is>
      </c>
      <c r="AT81" s="24" t="inlineStr">
        <is>
          <t>Athletics</t>
        </is>
      </c>
      <c r="AU81" s="24" t="inlineStr">
        <is>
          <t>Athletics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shadow_qualified</t>
        </is>
      </c>
      <c r="BA81" s="24" t="inlineStr">
        <is>
          <t>0633355b1144e4205ca6d08e3f328d99cab0970358846bd77228f3bcbfcd70ee</t>
        </is>
      </c>
      <c r="BB81" s="24" t="inlineStr">
        <is>
          <t>learned_lr</t>
        </is>
      </c>
      <c r="BC81" s="24" t="inlineStr">
        <is>
          <t>mlb-elo-trend-lr-v6</t>
        </is>
      </c>
      <c r="BD81" s="24" t="inlineStr">
        <is>
          <t>0633355b1144e4205ca6d08e3f328d99cab0970358846bd77228f3bcbfcd70ee</t>
        </is>
      </c>
      <c r="BE81" s="24" t="inlineStr">
        <is>
          <t>dd5973d6f0a1cad5</t>
        </is>
      </c>
      <c r="BF81" s="24" t="inlineStr">
        <is>
          <t>1</t>
        </is>
      </c>
      <c r="BG81" s="24" t="inlineStr">
        <is>
          <t>mlb-elo-trend-lr-v6</t>
        </is>
      </c>
      <c r="BH81" s="24" t="inlineStr">
        <is>
          <t>2026-07-27T22:52:43.269067Z</t>
        </is>
      </c>
      <c r="BI81" s="24" t="inlineStr">
        <is>
          <t>["same_event","same_team_same_day","same_league_same_day"]</t>
        </is>
      </c>
      <c r="BJ81" s="25" t="n"/>
      <c r="BK81" s="26" t="n">
        <v>-170</v>
      </c>
      <c r="BL81" s="27" t="n">
        <v>1.588235</v>
      </c>
      <c r="BM81" s="28" t="n">
        <v>0.62963</v>
      </c>
      <c r="BN81" s="28" t="n">
        <v>0.626866</v>
      </c>
      <c r="BO81" s="28" t="n"/>
      <c r="BP81" s="25" t="n"/>
      <c r="BQ81" s="27" t="n">
        <v>1.588235</v>
      </c>
      <c r="BR81" s="28" t="n">
        <v>0.63</v>
      </c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inlineStr">
        <is>
          <t>0.3891185316</t>
        </is>
      </c>
      <c r="CD81" s="24" t="inlineStr">
        <is>
          <t>-1.066043</t>
        </is>
      </c>
      <c r="CE81" s="24" t="inlineStr">
        <is>
          <t>0.98</t>
        </is>
      </c>
      <c r="CF81" s="24" t="n"/>
      <c r="CG81" s="24" t="n"/>
      <c r="CH81" s="24" t="inlineStr">
        <is>
          <t>3.13</t>
        </is>
      </c>
      <c r="CI81" s="24" t="n"/>
      <c r="CJ81" s="24" t="n"/>
      <c r="CK81" s="24" t="n"/>
      <c r="CL81" s="24" t="n"/>
      <c r="CM81" s="24" t="n"/>
      <c r="CN81" s="24" t="n"/>
      <c r="CO81" s="24" t="n"/>
    </row>
    <row r="82" ht="36" customHeight="1">
      <c r="A82" s="24" t="inlineStr">
        <is>
          <t>9ea507fe70864843</t>
        </is>
      </c>
      <c r="B82" s="24" t="inlineStr">
        <is>
          <t>2026-07-28T01:44:59Z</t>
        </is>
      </c>
      <c r="C82" s="24" t="inlineStr">
        <is>
          <t>2026-07-27T21:45:00-0400</t>
        </is>
      </c>
      <c r="D82" s="24" t="inlineStr">
        <is>
          <t>401816291</t>
        </is>
      </c>
      <c r="E82" s="24" t="inlineStr">
        <is>
          <t>MLB</t>
        </is>
      </c>
      <c r="F82" s="24" t="inlineStr">
        <is>
          <t>Milwaukee Brewers</t>
        </is>
      </c>
      <c r="G82" s="24" t="inlineStr">
        <is>
          <t>San Francisco Giants</t>
        </is>
      </c>
      <c r="H82" s="24" t="inlineStr">
        <is>
          <t>moneyline</t>
        </is>
      </c>
      <c r="I82" s="24" t="inlineStr">
        <is>
          <t>home</t>
        </is>
      </c>
      <c r="J82" s="25" t="n"/>
      <c r="K82" s="24" t="inlineStr">
        <is>
          <t>polymarket_us</t>
        </is>
      </c>
      <c r="L82" s="26" t="n">
        <v>125</v>
      </c>
      <c r="M82" s="27" t="n">
        <v>2.25</v>
      </c>
      <c r="N82" s="28" t="n">
        <v>0.444444</v>
      </c>
      <c r="O82" s="28" t="n">
        <v>0.517891</v>
      </c>
      <c r="P82" s="28" t="n"/>
      <c r="Q82" s="28" t="n">
        <v>0.073447</v>
      </c>
      <c r="R82" s="26" t="n">
        <v>58</v>
      </c>
      <c r="S82" s="29" t="n">
        <v>0.75</v>
      </c>
      <c r="T82" s="24" t="inlineStr">
        <is>
          <t>mlb-elo-trend-lr-v6</t>
        </is>
      </c>
      <c r="U82" s="24" t="inlineStr">
        <is>
          <t>settled</t>
        </is>
      </c>
      <c r="V82" s="24" t="inlineStr">
        <is>
          <t>win</t>
        </is>
      </c>
      <c r="W82" s="26" t="n">
        <v>0</v>
      </c>
      <c r="X82" s="26" t="n">
        <v>3</v>
      </c>
      <c r="Y82" s="25" t="n"/>
      <c r="Z82" s="26" t="n">
        <v>125</v>
      </c>
      <c r="AA82" s="28" t="n">
        <v>0.445</v>
      </c>
      <c r="AB82" s="28" t="n">
        <v>0.000556</v>
      </c>
      <c r="AC82" s="30" t="n">
        <v>0.9375</v>
      </c>
      <c r="AD82" s="24" t="inlineStr">
        <is>
          <t>2026-07-28T16:02:02.571501Z</t>
        </is>
      </c>
      <c r="AE82" s="31" t="inlineStr">
        <is>
          <t>Learned LR call at threshold 0.5690; executable ask 0.4450 (aec-mlb-mil-sf-2026-07-27).</t>
        </is>
      </c>
      <c r="AF82" s="31" t="inlineStr">
        <is>
          <t>Learned model; shadow-qualified via operator override.</t>
        </is>
      </c>
      <c r="AG82" s="24" t="inlineStr">
        <is>
          <t>not_applicable</t>
        </is>
      </c>
      <c r="AH82" s="24" t="n"/>
      <c r="AI82" s="31" t="n"/>
      <c r="AJ82" s="31" t="n"/>
      <c r="AK82" s="24" t="inlineStr">
        <is>
          <t>model_qualified</t>
        </is>
      </c>
      <c r="AL82" s="26" t="n">
        <v>3</v>
      </c>
      <c r="AM82" s="24" t="inlineStr">
        <is>
          <t>QUALIFIED_SHADOW_CALL</t>
        </is>
      </c>
      <c r="AN82" s="24" t="inlineStr">
        <is>
          <t>CALL</t>
        </is>
      </c>
      <c r="AO82" s="24" t="inlineStr">
        <is>
          <t>QUALIFIED</t>
        </is>
      </c>
      <c r="AP82" s="24" t="inlineStr">
        <is>
          <t>mlb-mil</t>
        </is>
      </c>
      <c r="AQ82" s="24" t="inlineStr">
        <is>
          <t>Milwaukee Brewers</t>
        </is>
      </c>
      <c r="AR82" s="24" t="inlineStr">
        <is>
          <t>Milwaukee Brewers</t>
        </is>
      </c>
      <c r="AS82" s="24" t="inlineStr">
        <is>
          <t>mlb-sf</t>
        </is>
      </c>
      <c r="AT82" s="24" t="inlineStr">
        <is>
          <t>San Francisco Giants</t>
        </is>
      </c>
      <c r="AU82" s="24" t="inlineStr">
        <is>
          <t>San Francisco Giants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shadow_qualified</t>
        </is>
      </c>
      <c r="BA82" s="24" t="inlineStr">
        <is>
          <t>0633355b1144e4205ca6d08e3f328d99cab0970358846bd77228f3bcbfcd70ee</t>
        </is>
      </c>
      <c r="BB82" s="24" t="inlineStr">
        <is>
          <t>learned_lr</t>
        </is>
      </c>
      <c r="BC82" s="24" t="inlineStr">
        <is>
          <t>mlb-elo-trend-lr-v6</t>
        </is>
      </c>
      <c r="BD82" s="24" t="inlineStr">
        <is>
          <t>0633355b1144e4205ca6d08e3f328d99cab0970358846bd77228f3bcbfcd70ee</t>
        </is>
      </c>
      <c r="BE82" s="24" t="inlineStr">
        <is>
          <t>af4d528d6f8875d3</t>
        </is>
      </c>
      <c r="BF82" s="24" t="inlineStr">
        <is>
          <t>1</t>
        </is>
      </c>
      <c r="BG82" s="24" t="inlineStr">
        <is>
          <t>mlb-elo-trend-lr-v6</t>
        </is>
      </c>
      <c r="BH82" s="24" t="inlineStr">
        <is>
          <t>2026-07-27T22:52:44.313382Z</t>
        </is>
      </c>
      <c r="BI82" s="24" t="inlineStr">
        <is>
          <t>["same_event","same_team_same_day","same_league_same_day"]</t>
        </is>
      </c>
      <c r="BJ82" s="25" t="n"/>
      <c r="BK82" s="26" t="n">
        <v>125</v>
      </c>
      <c r="BL82" s="27" t="n">
        <v>2.25</v>
      </c>
      <c r="BM82" s="28" t="n">
        <v>0.444444</v>
      </c>
      <c r="BN82" s="28" t="n">
        <v>0.442786</v>
      </c>
      <c r="BO82" s="28" t="n"/>
      <c r="BP82" s="25" t="n"/>
      <c r="BQ82" s="27" t="n">
        <v>2.25</v>
      </c>
      <c r="BR82" s="28" t="n">
        <v>0.445</v>
      </c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inlineStr">
        <is>
          <t>0.386809701</t>
        </is>
      </c>
      <c r="CD82" s="24" t="inlineStr">
        <is>
          <t>0.729859</t>
        </is>
      </c>
      <c r="CE82" s="24" t="inlineStr">
        <is>
          <t>0.96</t>
        </is>
      </c>
      <c r="CF82" s="24" t="n"/>
      <c r="CG82" s="24" t="n"/>
      <c r="CH82" s="24" t="inlineStr">
        <is>
          <t>-0.09</t>
        </is>
      </c>
      <c r="CI82" s="24" t="n"/>
      <c r="CJ82" s="24" t="n"/>
      <c r="CK82" s="24" t="n"/>
      <c r="CL82" s="24" t="n"/>
      <c r="CM82" s="24" t="n"/>
      <c r="CN82" s="24" t="n"/>
      <c r="CO82" s="24" t="n"/>
    </row>
    <row r="83" ht="36" customHeight="1">
      <c r="A83" s="24" t="inlineStr">
        <is>
          <t>e584982bc81f4b02</t>
        </is>
      </c>
      <c r="B83" s="24" t="inlineStr">
        <is>
          <t>2026-07-28T16:31:42.216046Z</t>
        </is>
      </c>
      <c r="C83" s="24" t="inlineStr">
        <is>
          <t>2026-07-28T19:30:00-0400</t>
        </is>
      </c>
      <c r="D83" s="24" t="inlineStr">
        <is>
          <t>401857092</t>
        </is>
      </c>
      <c r="E83" s="24" t="inlineStr">
        <is>
          <t>WNBA</t>
        </is>
      </c>
      <c r="F83" s="24" t="inlineStr">
        <is>
          <t>Connecticut Sun</t>
        </is>
      </c>
      <c r="G83" s="24" t="inlineStr">
        <is>
          <t>Washington Mystics</t>
        </is>
      </c>
      <c r="H83" s="24" t="inlineStr">
        <is>
          <t>moneyline</t>
        </is>
      </c>
      <c r="I83" s="24" t="inlineStr">
        <is>
          <t>home</t>
        </is>
      </c>
      <c r="J83" s="25" t="n"/>
      <c r="K83" s="24" t="inlineStr">
        <is>
          <t>polymarket_us</t>
        </is>
      </c>
      <c r="L83" s="26" t="n">
        <v>-233</v>
      </c>
      <c r="M83" s="27" t="n">
        <v>1.429185</v>
      </c>
      <c r="N83" s="28" t="n">
        <v>0.6997</v>
      </c>
      <c r="O83" s="28" t="n">
        <v>0.651351</v>
      </c>
      <c r="P83" s="28" t="n"/>
      <c r="Q83" s="28" t="n">
        <v>-0.048349</v>
      </c>
      <c r="R83" s="26" t="n">
        <v>0</v>
      </c>
      <c r="S83" s="29" t="n">
        <v>2</v>
      </c>
      <c r="T83" s="24" t="inlineStr">
        <is>
          <t>wnba-elo-trend-lr-v4</t>
        </is>
      </c>
      <c r="U83" s="24" t="inlineStr">
        <is>
          <t>open</t>
        </is>
      </c>
      <c r="V83" s="24" t="n"/>
      <c r="W83" s="26" t="n"/>
      <c r="X83" s="26" t="n"/>
      <c r="Y83" s="25" t="n"/>
      <c r="Z83" s="26" t="n"/>
      <c r="AA83" s="28" t="n"/>
      <c r="AB83" s="28" t="n"/>
      <c r="AC83" s="30" t="n"/>
      <c r="AD83" s="24" t="n"/>
      <c r="AE83" s="31" t="inlineStr">
        <is>
          <t>Learned LR call at threshold 0.5001; executable ask 0.7000 (aec-wnba-conn-wsh-2026-07-28). NOTE: wnba_availability_source_conflict unavailable for this game — defaulted to neutral, other features used normally.</t>
        </is>
      </c>
      <c r="AF83" s="31" t="inlineStr">
        <is>
          <t>Learned model; shadow-qualified via operator override.</t>
        </is>
      </c>
      <c r="AG83" s="24" t="inlineStr">
        <is>
          <t>not_applicable</t>
        </is>
      </c>
      <c r="AH83" s="24" t="n"/>
      <c r="AI83" s="31" t="n"/>
      <c r="AJ83" s="31" t="n"/>
      <c r="AK83" s="24" t="inlineStr">
        <is>
          <t>model_qualified</t>
        </is>
      </c>
      <c r="AL83" s="26" t="n">
        <v>3</v>
      </c>
      <c r="AM83" s="24" t="inlineStr">
        <is>
          <t>QUALIFIED_SHADOW_CALL</t>
        </is>
      </c>
      <c r="AN83" s="24" t="inlineStr">
        <is>
          <t>CALL</t>
        </is>
      </c>
      <c r="AO83" s="24" t="inlineStr">
        <is>
          <t>QUALIFIED</t>
        </is>
      </c>
      <c r="AP83" s="24" t="inlineStr">
        <is>
          <t>wnba-con</t>
        </is>
      </c>
      <c r="AQ83" s="24" t="inlineStr">
        <is>
          <t>Connecticut Sun</t>
        </is>
      </c>
      <c r="AR83" s="24" t="inlineStr">
        <is>
          <t>Connecticut Sun</t>
        </is>
      </c>
      <c r="AS83" s="24" t="inlineStr">
        <is>
          <t>wnba-was</t>
        </is>
      </c>
      <c r="AT83" s="24" t="inlineStr">
        <is>
          <t>Washington Mystics</t>
        </is>
      </c>
      <c r="AU83" s="24" t="inlineStr">
        <is>
          <t>Washington Mystics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shadow_qualified</t>
        </is>
      </c>
      <c r="BA83" s="24" t="inlineStr">
        <is>
          <t>7afd5274214b58b7efd7f7febc7be3ab33b92351cda5cc6403c0a39faea0cc8c</t>
        </is>
      </c>
      <c r="BB83" s="24" t="inlineStr">
        <is>
          <t>learned_lr</t>
        </is>
      </c>
      <c r="BC83" s="24" t="inlineStr">
        <is>
          <t>wnba-elo-trend-lr-v4</t>
        </is>
      </c>
      <c r="BD83" s="24" t="inlineStr">
        <is>
          <t>7afd5274214b58b7efd7f7febc7be3ab33b92351cda5cc6403c0a39faea0cc8c</t>
        </is>
      </c>
      <c r="BE83" s="24" t="inlineStr">
        <is>
          <t>9ff7e91f06711349</t>
        </is>
      </c>
      <c r="BF83" s="24" t="inlineStr">
        <is>
          <t>1</t>
        </is>
      </c>
      <c r="BG83" s="24" t="inlineStr">
        <is>
          <t>wnba-elo-trend-lr-v4</t>
        </is>
      </c>
      <c r="BH83" s="24" t="inlineStr">
        <is>
          <t>2026-07-28T16:30:42.913159Z</t>
        </is>
      </c>
      <c r="BI83" s="24" t="inlineStr">
        <is>
          <t>["same_event","same_team_same_day","same_league_same_day"]</t>
        </is>
      </c>
      <c r="BJ83" s="25" t="n"/>
      <c r="BK83" s="26" t="n">
        <v>-233</v>
      </c>
      <c r="BL83" s="27" t="n">
        <v>1.429185</v>
      </c>
      <c r="BM83" s="28" t="n">
        <v>0.6997</v>
      </c>
      <c r="BN83" s="28" t="n">
        <v>0.693069</v>
      </c>
      <c r="BO83" s="28" t="n"/>
      <c r="BP83" s="25" t="n"/>
      <c r="BQ83" s="27" t="n"/>
      <c r="BR83" s="28" t="n"/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  <c r="CB83" s="24" t="n"/>
      <c r="CC83" s="24" t="inlineStr">
        <is>
          <t>0.6918482186</t>
        </is>
      </c>
      <c r="CD83" s="24" t="inlineStr">
        <is>
          <t>-5.150338</t>
        </is>
      </c>
      <c r="CE83" s="24" t="n"/>
      <c r="CF83" s="24" t="n"/>
      <c r="CG83" s="24" t="n"/>
      <c r="CH83" s="24" t="n"/>
      <c r="CI83" s="24" t="inlineStr">
        <is>
          <t>wnba_availability_source_conflict</t>
        </is>
      </c>
      <c r="CJ83" s="24" t="n"/>
      <c r="CK83" s="24" t="n"/>
      <c r="CL83" s="24" t="n"/>
      <c r="CM83" s="24" t="n"/>
      <c r="CN83" s="24" t="n"/>
      <c r="CO83" s="24" t="n"/>
    </row>
    <row r="84" ht="36" customHeight="1">
      <c r="A84" s="24" t="inlineStr">
        <is>
          <t>c443b1920e7142e7</t>
        </is>
      </c>
      <c r="B84" s="24" t="inlineStr">
        <is>
          <t>2026-07-28T16:31:42.216046Z</t>
        </is>
      </c>
      <c r="C84" s="24" t="inlineStr">
        <is>
          <t>2026-07-28T13:40:00-0400</t>
        </is>
      </c>
      <c r="D84" s="24" t="inlineStr">
        <is>
          <t>401901849</t>
        </is>
      </c>
      <c r="E84" s="24" t="inlineStr">
        <is>
          <t>MLB</t>
        </is>
      </c>
      <c r="F84" s="24" t="inlineStr">
        <is>
          <t>Cleveland Guardians</t>
        </is>
      </c>
      <c r="G84" s="24" t="inlineStr">
        <is>
          <t>Cincinnati Reds</t>
        </is>
      </c>
      <c r="H84" s="24" t="inlineStr">
        <is>
          <t>moneyline</t>
        </is>
      </c>
      <c r="I84" s="24" t="inlineStr">
        <is>
          <t>home</t>
        </is>
      </c>
      <c r="J84" s="25" t="n"/>
      <c r="K84" s="24" t="inlineStr">
        <is>
          <t>espn</t>
        </is>
      </c>
      <c r="L84" s="26" t="n">
        <v>-110</v>
      </c>
      <c r="M84" s="27" t="n">
        <v>1.909091</v>
      </c>
      <c r="N84" s="28" t="n">
        <v>0.52381</v>
      </c>
      <c r="O84" s="28" t="n">
        <v>0.684329</v>
      </c>
      <c r="P84" s="28" t="n"/>
      <c r="Q84" s="28" t="n">
        <v>0.160519</v>
      </c>
      <c r="R84" s="26" t="n">
        <v>100</v>
      </c>
      <c r="S84" s="29" t="n">
        <v>0</v>
      </c>
      <c r="T84" s="24" t="inlineStr">
        <is>
          <t>mlb-elo-trend-lr-v6</t>
        </is>
      </c>
      <c r="U84" s="24" t="inlineStr">
        <is>
          <t>open</t>
        </is>
      </c>
      <c r="V84" s="24" t="n"/>
      <c r="W84" s="26" t="n"/>
      <c r="X84" s="26" t="n"/>
      <c r="Y84" s="25" t="n"/>
      <c r="Z84" s="26" t="n"/>
      <c r="AA84" s="28" t="n"/>
      <c r="AB84" s="28" t="n"/>
      <c r="AC84" s="30" t="n"/>
      <c r="AD84" s="24" t="n"/>
      <c r="AE84" s="31" t="inlineStr">
        <is>
          <t>Learned LR call at threshold 0.5690; no Polymarket quote available — using -110 default odds.</t>
        </is>
      </c>
      <c r="AF84" s="31" t="inlineStr">
        <is>
          <t>Learned model; shadow-qualified via operator override.</t>
        </is>
      </c>
      <c r="AG84" s="24" t="inlineStr">
        <is>
          <t>not_applicable</t>
        </is>
      </c>
      <c r="AH84" s="24" t="n"/>
      <c r="AI84" s="31" t="n"/>
      <c r="AJ84" s="31" t="n"/>
      <c r="AK84" s="24" t="inlineStr">
        <is>
          <t>research_observation</t>
        </is>
      </c>
      <c r="AL84" s="26" t="n">
        <v>3</v>
      </c>
      <c r="AM84" s="24" t="inlineStr">
        <is>
          <t>RESEARCH_OBSERVATION</t>
        </is>
      </c>
      <c r="AN84" s="24" t="inlineStr">
        <is>
          <t>NO_CALL</t>
        </is>
      </c>
      <c r="AO84" s="24" t="inlineStr">
        <is>
          <t>NO_CALL_MODEL_UNVALIDATED</t>
        </is>
      </c>
      <c r="AP84" s="24" t="inlineStr">
        <is>
          <t>mlb-cle</t>
        </is>
      </c>
      <c r="AQ84" s="24" t="inlineStr">
        <is>
          <t>Cleveland Guardians</t>
        </is>
      </c>
      <c r="AR84" s="24" t="inlineStr">
        <is>
          <t>Cleveland Guardians</t>
        </is>
      </c>
      <c r="AS84" s="24" t="inlineStr">
        <is>
          <t>mlb-cin</t>
        </is>
      </c>
      <c r="AT84" s="24" t="inlineStr">
        <is>
          <t>Cincinnati Reds</t>
        </is>
      </c>
      <c r="AU84" s="24" t="inlineStr">
        <is>
          <t>Cincinnati Reds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shadow_qualified</t>
        </is>
      </c>
      <c r="BA84" s="24" t="inlineStr">
        <is>
          <t>0633355b1144e4205ca6d08e3f328d99cab0970358846bd77228f3bcbfcd70ee</t>
        </is>
      </c>
      <c r="BB84" s="24" t="inlineStr">
        <is>
          <t>learned_lr</t>
        </is>
      </c>
      <c r="BC84" s="24" t="inlineStr">
        <is>
          <t>mlb-elo-trend-lr-v6</t>
        </is>
      </c>
      <c r="BD84" s="24" t="inlineStr">
        <is>
          <t>0633355b1144e4205ca6d08e3f328d99cab0970358846bd77228f3bcbfcd70ee</t>
        </is>
      </c>
      <c r="BE84" s="24" t="inlineStr">
        <is>
          <t>985793cc1b640b1d</t>
        </is>
      </c>
      <c r="BF84" s="24" t="inlineStr">
        <is>
          <t>1</t>
        </is>
      </c>
      <c r="BG84" s="24" t="inlineStr">
        <is>
          <t>mlb-elo-trend-lr-v6</t>
        </is>
      </c>
      <c r="BH84" s="24" t="inlineStr">
        <is>
          <t>2026-07-28T16:31:42.216046Z</t>
        </is>
      </c>
      <c r="BI84" s="24" t="inlineStr">
        <is>
          <t>["same_event","same_team_same_day","same_league_same_day"]</t>
        </is>
      </c>
      <c r="BJ84" s="25" t="n"/>
      <c r="BK84" s="26" t="n">
        <v>-110</v>
      </c>
      <c r="BL84" s="27" t="n">
        <v>1.909091</v>
      </c>
      <c r="BM84" s="28" t="n">
        <v>0.52381</v>
      </c>
      <c r="BN84" s="28" t="n"/>
      <c r="BO84" s="28" t="n"/>
      <c r="BP84" s="25" t="n"/>
      <c r="BQ84" s="27" t="n"/>
      <c r="BR84" s="28" t="n"/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  <c r="CC84" s="24" t="inlineStr">
        <is>
          <t>0.4926827475</t>
        </is>
      </c>
      <c r="CD84" s="24" t="inlineStr">
        <is>
          <t>-0.86802</t>
        </is>
      </c>
      <c r="CE84" s="24" t="inlineStr">
        <is>
          <t>1.05</t>
        </is>
      </c>
      <c r="CF84" s="24" t="n"/>
      <c r="CG84" s="24" t="n"/>
      <c r="CH84" s="24" t="inlineStr">
        <is>
          <t>-2.18</t>
        </is>
      </c>
      <c r="CI84" s="24" t="n"/>
      <c r="CJ84" s="24" t="n"/>
      <c r="CK84" s="24" t="n"/>
      <c r="CL84" s="24" t="n"/>
      <c r="CM84" s="24" t="n"/>
      <c r="CN84" s="24" t="n"/>
      <c r="CO84" s="24" t="n"/>
    </row>
    <row r="85" ht="36" customHeight="1">
      <c r="A85" s="24" t="inlineStr">
        <is>
          <t>444f17ffcd6b4455</t>
        </is>
      </c>
      <c r="B85" s="24" t="inlineStr">
        <is>
          <t>2026-07-28T16:31:42.216046Z</t>
        </is>
      </c>
      <c r="C85" s="24" t="inlineStr">
        <is>
          <t>2026-07-28T20:00:00-0400</t>
        </is>
      </c>
      <c r="D85" s="24" t="inlineStr">
        <is>
          <t>401857093</t>
        </is>
      </c>
      <c r="E85" s="24" t="inlineStr">
        <is>
          <t>WNBA</t>
        </is>
      </c>
      <c r="F85" s="24" t="inlineStr">
        <is>
          <t>Toronto Tempo</t>
        </is>
      </c>
      <c r="G85" s="24" t="inlineStr">
        <is>
          <t>Minnesota Lynx</t>
        </is>
      </c>
      <c r="H85" s="24" t="inlineStr">
        <is>
          <t>moneyline</t>
        </is>
      </c>
      <c r="I85" s="24" t="inlineStr">
        <is>
          <t>home</t>
        </is>
      </c>
      <c r="J85" s="25" t="n"/>
      <c r="K85" s="24" t="inlineStr">
        <is>
          <t>polymarket_us</t>
        </is>
      </c>
      <c r="L85" s="26" t="n">
        <v>-1011</v>
      </c>
      <c r="M85" s="27" t="n">
        <v>1.098912</v>
      </c>
      <c r="N85" s="28" t="n">
        <v>0.909991</v>
      </c>
      <c r="O85" s="28" t="n">
        <v>0.778885</v>
      </c>
      <c r="P85" s="28" t="n"/>
      <c r="Q85" s="28" t="n">
        <v>-0.131106</v>
      </c>
      <c r="R85" s="26" t="n">
        <v>0</v>
      </c>
      <c r="S85" s="29" t="n">
        <v>2</v>
      </c>
      <c r="T85" s="24" t="inlineStr">
        <is>
          <t>wnba-elo-trend-lr-v4</t>
        </is>
      </c>
      <c r="U85" s="24" t="inlineStr">
        <is>
          <t>open</t>
        </is>
      </c>
      <c r="V85" s="24" t="n"/>
      <c r="W85" s="26" t="n"/>
      <c r="X85" s="26" t="n"/>
      <c r="Y85" s="25" t="n"/>
      <c r="Z85" s="26" t="n"/>
      <c r="AA85" s="28" t="n"/>
      <c r="AB85" s="28" t="n"/>
      <c r="AC85" s="30" t="n"/>
      <c r="AD85" s="24" t="n"/>
      <c r="AE85" s="31" t="inlineStr">
        <is>
          <t>Learned LR call at threshold 0.5001; executable ask 0.9100 (aec-wnba-tor-min-2026-07-28). NOTE: wnba_availability_source_conflict unavailable for this game — defaulted to neutral, other features used normally.</t>
        </is>
      </c>
      <c r="AF85" s="31" t="inlineStr">
        <is>
          <t>Learned model; shadow-qualified via operator override.</t>
        </is>
      </c>
      <c r="AG85" s="24" t="inlineStr">
        <is>
          <t>not_applicable</t>
        </is>
      </c>
      <c r="AH85" s="24" t="n"/>
      <c r="AI85" s="31" t="n"/>
      <c r="AJ85" s="31" t="n"/>
      <c r="AK85" s="24" t="inlineStr">
        <is>
          <t>model_qualified</t>
        </is>
      </c>
      <c r="AL85" s="26" t="n">
        <v>3</v>
      </c>
      <c r="AM85" s="24" t="inlineStr">
        <is>
          <t>QUALIFIED_SHADOW_CALL</t>
        </is>
      </c>
      <c r="AN85" s="24" t="inlineStr">
        <is>
          <t>CALL</t>
        </is>
      </c>
      <c r="AO85" s="24" t="inlineStr">
        <is>
          <t>QUALIFIED</t>
        </is>
      </c>
      <c r="AP85" s="24" t="inlineStr">
        <is>
          <t>wnba-tor</t>
        </is>
      </c>
      <c r="AQ85" s="24" t="inlineStr">
        <is>
          <t>Toronto Tempo</t>
        </is>
      </c>
      <c r="AR85" s="24" t="inlineStr">
        <is>
          <t>Toronto Tempo</t>
        </is>
      </c>
      <c r="AS85" s="24" t="inlineStr">
        <is>
          <t>wnba-min</t>
        </is>
      </c>
      <c r="AT85" s="24" t="inlineStr">
        <is>
          <t>Minnesota Lynx</t>
        </is>
      </c>
      <c r="AU85" s="24" t="inlineStr">
        <is>
          <t>Minnesota Lynx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shadow_qualified</t>
        </is>
      </c>
      <c r="BA85" s="24" t="inlineStr">
        <is>
          <t>7afd5274214b58b7efd7f7febc7be3ab33b92351cda5cc6403c0a39faea0cc8c</t>
        </is>
      </c>
      <c r="BB85" s="24" t="inlineStr">
        <is>
          <t>learned_lr</t>
        </is>
      </c>
      <c r="BC85" s="24" t="inlineStr">
        <is>
          <t>wnba-elo-trend-lr-v4</t>
        </is>
      </c>
      <c r="BD85" s="24" t="inlineStr">
        <is>
          <t>7afd5274214b58b7efd7f7febc7be3ab33b92351cda5cc6403c0a39faea0cc8c</t>
        </is>
      </c>
      <c r="BE85" s="24" t="inlineStr">
        <is>
          <t>5d941a25079d4ddd</t>
        </is>
      </c>
      <c r="BF85" s="24" t="inlineStr">
        <is>
          <t>1</t>
        </is>
      </c>
      <c r="BG85" s="24" t="inlineStr">
        <is>
          <t>wnba-elo-trend-lr-v4</t>
        </is>
      </c>
      <c r="BH85" s="24" t="inlineStr">
        <is>
          <t>2026-07-28T16:30:44.110954Z</t>
        </is>
      </c>
      <c r="BI85" s="24" t="inlineStr">
        <is>
          <t>["same_event","same_team_same_day","same_league_same_day"]</t>
        </is>
      </c>
      <c r="BJ85" s="25" t="n"/>
      <c r="BK85" s="26" t="n">
        <v>-1011</v>
      </c>
      <c r="BL85" s="27" t="n">
        <v>1.098912</v>
      </c>
      <c r="BM85" s="28" t="n">
        <v>0.909991</v>
      </c>
      <c r="BN85" s="28" t="n">
        <v>0.90099</v>
      </c>
      <c r="BO85" s="28" t="n"/>
      <c r="BP85" s="25" t="n"/>
      <c r="BQ85" s="27" t="n"/>
      <c r="BR85" s="28" t="n"/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  <c r="CB85" s="24" t="n"/>
      <c r="CC85" s="24" t="inlineStr">
        <is>
          <t>0.9095039397</t>
        </is>
      </c>
      <c r="CD85" s="24" t="inlineStr">
        <is>
          <t>5.061789</t>
        </is>
      </c>
      <c r="CE85" s="24" t="n"/>
      <c r="CF85" s="24" t="n"/>
      <c r="CG85" s="24" t="n"/>
      <c r="CH85" s="24" t="n"/>
      <c r="CI85" s="24" t="inlineStr">
        <is>
          <t>wnba_availability_source_conflict</t>
        </is>
      </c>
      <c r="CJ85" s="24" t="n"/>
      <c r="CK85" s="24" t="n"/>
      <c r="CL85" s="24" t="n"/>
      <c r="CM85" s="24" t="n"/>
      <c r="CN85" s="24" t="n"/>
      <c r="CO85" s="24" t="n"/>
    </row>
    <row r="86" ht="36" customHeight="1">
      <c r="A86" s="24" t="inlineStr">
        <is>
          <t>b618aa4097614c3f</t>
        </is>
      </c>
      <c r="B86" s="24" t="inlineStr">
        <is>
          <t>2026-07-28T16:31:42.216046Z</t>
        </is>
      </c>
      <c r="C86" s="24" t="inlineStr">
        <is>
          <t>2026-07-28T18:40:00-0400</t>
        </is>
      </c>
      <c r="D86" s="24" t="inlineStr">
        <is>
          <t>401816292</t>
        </is>
      </c>
      <c r="E86" s="24" t="inlineStr">
        <is>
          <t>MLB</t>
        </is>
      </c>
      <c r="F86" s="24" t="inlineStr">
        <is>
          <t>Arizona Diamondbacks</t>
        </is>
      </c>
      <c r="G86" s="24" t="inlineStr">
        <is>
          <t>Pittsburgh Pirates</t>
        </is>
      </c>
      <c r="H86" s="24" t="inlineStr">
        <is>
          <t>moneyline</t>
        </is>
      </c>
      <c r="I86" s="24" t="inlineStr">
        <is>
          <t>home</t>
        </is>
      </c>
      <c r="J86" s="25" t="n"/>
      <c r="K86" s="24" t="inlineStr">
        <is>
          <t>polymarket_us</t>
        </is>
      </c>
      <c r="L86" s="26" t="n">
        <v>-106</v>
      </c>
      <c r="M86" s="27" t="n">
        <v>1.943396</v>
      </c>
      <c r="N86" s="28" t="n">
        <v>0.514563</v>
      </c>
      <c r="O86" s="28" t="n">
        <v>0.55689</v>
      </c>
      <c r="P86" s="28" t="n"/>
      <c r="Q86" s="28" t="n">
        <v>0.042327</v>
      </c>
      <c r="R86" s="26" t="n">
        <v>42</v>
      </c>
      <c r="S86" s="29" t="n">
        <v>1</v>
      </c>
      <c r="T86" s="24" t="inlineStr">
        <is>
          <t>mlb-elo-trend-lr-v6</t>
        </is>
      </c>
      <c r="U86" s="24" t="inlineStr">
        <is>
          <t>open</t>
        </is>
      </c>
      <c r="V86" s="24" t="n"/>
      <c r="W86" s="26" t="n"/>
      <c r="X86" s="26" t="n"/>
      <c r="Y86" s="25" t="n"/>
      <c r="Z86" s="26" t="n"/>
      <c r="AA86" s="28" t="n"/>
      <c r="AB86" s="28" t="n"/>
      <c r="AC86" s="30" t="n"/>
      <c r="AD86" s="24" t="n"/>
      <c r="AE86" s="31" t="inlineStr">
        <is>
          <t>Learned LR call at threshold 0.5690; executable ask 0.5150 (aec-mlb-az-pit-2026-07-28).</t>
        </is>
      </c>
      <c r="AF86" s="31" t="inlineStr">
        <is>
          <t>Learned model; shadow-qualified via operator override.</t>
        </is>
      </c>
      <c r="AG86" s="24" t="inlineStr">
        <is>
          <t>not_applicable</t>
        </is>
      </c>
      <c r="AH86" s="24" t="n"/>
      <c r="AI86" s="31" t="n"/>
      <c r="AJ86" s="31" t="n"/>
      <c r="AK86" s="24" t="inlineStr">
        <is>
          <t>model_qualified</t>
        </is>
      </c>
      <c r="AL86" s="26" t="n">
        <v>3</v>
      </c>
      <c r="AM86" s="24" t="inlineStr">
        <is>
          <t>QUALIFIED_SHADOW_CALL</t>
        </is>
      </c>
      <c r="AN86" s="24" t="inlineStr">
        <is>
          <t>CALL</t>
        </is>
      </c>
      <c r="AO86" s="24" t="inlineStr">
        <is>
          <t>QUALIFIED</t>
        </is>
      </c>
      <c r="AP86" s="24" t="inlineStr">
        <is>
          <t>mlb-ari</t>
        </is>
      </c>
      <c r="AQ86" s="24" t="inlineStr">
        <is>
          <t>Arizona Diamondbacks</t>
        </is>
      </c>
      <c r="AR86" s="24" t="inlineStr">
        <is>
          <t>Arizona Diamondbacks</t>
        </is>
      </c>
      <c r="AS86" s="24" t="inlineStr">
        <is>
          <t>mlb-pit</t>
        </is>
      </c>
      <c r="AT86" s="24" t="inlineStr">
        <is>
          <t>Pittsburgh Pirates</t>
        </is>
      </c>
      <c r="AU86" s="24" t="inlineStr">
        <is>
          <t>Pittsburgh Pirates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shadow_qualified</t>
        </is>
      </c>
      <c r="BA86" s="24" t="inlineStr">
        <is>
          <t>0633355b1144e4205ca6d08e3f328d99cab0970358846bd77228f3bcbfcd70ee</t>
        </is>
      </c>
      <c r="BB86" s="24" t="inlineStr">
        <is>
          <t>learned_lr</t>
        </is>
      </c>
      <c r="BC86" s="24" t="inlineStr">
        <is>
          <t>mlb-elo-trend-lr-v6</t>
        </is>
      </c>
      <c r="BD86" s="24" t="inlineStr">
        <is>
          <t>0633355b1144e4205ca6d08e3f328d99cab0970358846bd77228f3bcbfcd70ee</t>
        </is>
      </c>
      <c r="BE86" s="24" t="inlineStr">
        <is>
          <t>5ac7b1c7cdd622ff</t>
        </is>
      </c>
      <c r="BF86" s="24" t="inlineStr">
        <is>
          <t>1</t>
        </is>
      </c>
      <c r="BG86" s="24" t="inlineStr">
        <is>
          <t>mlb-elo-trend-lr-v6</t>
        </is>
      </c>
      <c r="BH86" s="24" t="inlineStr">
        <is>
          <t>2026-07-28T16:30:30.434179Z</t>
        </is>
      </c>
      <c r="BI86" s="24" t="inlineStr">
        <is>
          <t>["same_event","same_team_same_day","same_league_same_day"]</t>
        </is>
      </c>
      <c r="BJ86" s="25" t="n"/>
      <c r="BK86" s="26" t="n">
        <v>-106</v>
      </c>
      <c r="BL86" s="27" t="n">
        <v>1.943396</v>
      </c>
      <c r="BM86" s="28" t="n">
        <v>0.514563</v>
      </c>
      <c r="BN86" s="28" t="n">
        <v>0.5124379999999999</v>
      </c>
      <c r="BO86" s="28" t="n"/>
      <c r="BP86" s="25" t="n"/>
      <c r="BQ86" s="27" t="n"/>
      <c r="BR86" s="28" t="n"/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  <c r="CB86" s="24" t="n"/>
      <c r="CC86" s="24" t="inlineStr">
        <is>
          <t>0.5377279767</t>
        </is>
      </c>
      <c r="CD86" s="24" t="inlineStr">
        <is>
          <t>-2.019377</t>
        </is>
      </c>
      <c r="CE86" s="24" t="inlineStr">
        <is>
          <t>1.0</t>
        </is>
      </c>
      <c r="CF86" s="24" t="n"/>
      <c r="CG86" s="24" t="n"/>
      <c r="CH86" s="24" t="inlineStr">
        <is>
          <t>0.04</t>
        </is>
      </c>
      <c r="CI86" s="24" t="n"/>
      <c r="CJ86" s="24" t="n"/>
      <c r="CK86" s="24" t="n"/>
      <c r="CL86" s="24" t="n"/>
      <c r="CM86" s="24" t="n"/>
      <c r="CN86" s="24" t="n"/>
      <c r="CO86" s="24" t="n"/>
    </row>
    <row r="87" ht="36" customHeight="1">
      <c r="A87" s="24" t="inlineStr">
        <is>
          <t>16310013a30b4f9e</t>
        </is>
      </c>
      <c r="B87" s="24" t="inlineStr">
        <is>
          <t>2026-07-28T16:31:42.216046Z</t>
        </is>
      </c>
      <c r="C87" s="24" t="inlineStr">
        <is>
          <t>2026-07-28T21:30:00-0400</t>
        </is>
      </c>
      <c r="D87" s="24" t="inlineStr">
        <is>
          <t>401857094</t>
        </is>
      </c>
      <c r="E87" s="24" t="inlineStr">
        <is>
          <t>WNBA</t>
        </is>
      </c>
      <c r="F87" s="24" t="inlineStr">
        <is>
          <t>Indiana Fever</t>
        </is>
      </c>
      <c r="G87" s="24" t="inlineStr">
        <is>
          <t>Seattle Storm</t>
        </is>
      </c>
      <c r="H87" s="24" t="inlineStr">
        <is>
          <t>moneyline</t>
        </is>
      </c>
      <c r="I87" s="24" t="inlineStr">
        <is>
          <t>away</t>
        </is>
      </c>
      <c r="J87" s="25" t="n"/>
      <c r="K87" s="24" t="inlineStr">
        <is>
          <t>polymarket_us</t>
        </is>
      </c>
      <c r="L87" s="26" t="n">
        <v>-355</v>
      </c>
      <c r="M87" s="27" t="n">
        <v>1.28169</v>
      </c>
      <c r="N87" s="28" t="n">
        <v>0.78022</v>
      </c>
      <c r="O87" s="28" t="n">
        <v>0.684756</v>
      </c>
      <c r="P87" s="28" t="n"/>
      <c r="Q87" s="28" t="n">
        <v>-0.09546399999999999</v>
      </c>
      <c r="R87" s="26" t="n">
        <v>0</v>
      </c>
      <c r="S87" s="29" t="n">
        <v>2</v>
      </c>
      <c r="T87" s="24" t="inlineStr">
        <is>
          <t>wnba-elo-trend-lr-v4</t>
        </is>
      </c>
      <c r="U87" s="24" t="inlineStr">
        <is>
          <t>open</t>
        </is>
      </c>
      <c r="V87" s="24" t="n"/>
      <c r="W87" s="26" t="n"/>
      <c r="X87" s="26" t="n"/>
      <c r="Y87" s="25" t="n"/>
      <c r="Z87" s="26" t="n"/>
      <c r="AA87" s="28" t="n"/>
      <c r="AB87" s="28" t="n"/>
      <c r="AC87" s="30" t="n"/>
      <c r="AD87" s="24" t="n"/>
      <c r="AE87" s="31" t="inlineStr">
        <is>
          <t>Learned LR call at threshold 0.5001; executable ask 0.7800 (aec-wnba-ind-sea-2026-07-28). NOTE: wnba_availability_source_conflict unavailable for this game — defaulted to neutral, other features used normally.</t>
        </is>
      </c>
      <c r="AF87" s="31" t="inlineStr">
        <is>
          <t>Learned model; shadow-qualified via operator override.</t>
        </is>
      </c>
      <c r="AG87" s="24" t="inlineStr">
        <is>
          <t>not_applicable</t>
        </is>
      </c>
      <c r="AH87" s="24" t="n"/>
      <c r="AI87" s="31" t="n"/>
      <c r="AJ87" s="31" t="n"/>
      <c r="AK87" s="24" t="inlineStr">
        <is>
          <t>model_qualified</t>
        </is>
      </c>
      <c r="AL87" s="26" t="n">
        <v>3</v>
      </c>
      <c r="AM87" s="24" t="inlineStr">
        <is>
          <t>QUALIFIED_SHADOW_CALL</t>
        </is>
      </c>
      <c r="AN87" s="24" t="inlineStr">
        <is>
          <t>CALL</t>
        </is>
      </c>
      <c r="AO87" s="24" t="inlineStr">
        <is>
          <t>QUALIFIED</t>
        </is>
      </c>
      <c r="AP87" s="24" t="inlineStr">
        <is>
          <t>wnba-ind</t>
        </is>
      </c>
      <c r="AQ87" s="24" t="inlineStr">
        <is>
          <t>Indiana Fever</t>
        </is>
      </c>
      <c r="AR87" s="24" t="inlineStr">
        <is>
          <t>Indiana Fever</t>
        </is>
      </c>
      <c r="AS87" s="24" t="inlineStr">
        <is>
          <t>wnba-sea</t>
        </is>
      </c>
      <c r="AT87" s="24" t="inlineStr">
        <is>
          <t>Seattle Storm</t>
        </is>
      </c>
      <c r="AU87" s="24" t="inlineStr">
        <is>
          <t>Seattle Storm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shadow_qualified</t>
        </is>
      </c>
      <c r="BA87" s="24" t="inlineStr">
        <is>
          <t>7afd5274214b58b7efd7f7febc7be3ab33b92351cda5cc6403c0a39faea0cc8c</t>
        </is>
      </c>
      <c r="BB87" s="24" t="inlineStr">
        <is>
          <t>learned_lr</t>
        </is>
      </c>
      <c r="BC87" s="24" t="inlineStr">
        <is>
          <t>wnba-elo-trend-lr-v4</t>
        </is>
      </c>
      <c r="BD87" s="24" t="inlineStr">
        <is>
          <t>7afd5274214b58b7efd7f7febc7be3ab33b92351cda5cc6403c0a39faea0cc8c</t>
        </is>
      </c>
      <c r="BE87" s="24" t="inlineStr">
        <is>
          <t>6e0ccdfedaa12592</t>
        </is>
      </c>
      <c r="BF87" s="24" t="inlineStr">
        <is>
          <t>1</t>
        </is>
      </c>
      <c r="BG87" s="24" t="inlineStr">
        <is>
          <t>wnba-elo-trend-lr-v4</t>
        </is>
      </c>
      <c r="BH87" s="24" t="inlineStr">
        <is>
          <t>2026-07-28T16:30:44.958498Z</t>
        </is>
      </c>
      <c r="BI87" s="24" t="inlineStr">
        <is>
          <t>["same_event","same_team_same_day","same_league_same_day"]</t>
        </is>
      </c>
      <c r="BJ87" s="25" t="n"/>
      <c r="BK87" s="26" t="n">
        <v>-355</v>
      </c>
      <c r="BL87" s="27" t="n">
        <v>1.28169</v>
      </c>
      <c r="BM87" s="28" t="n">
        <v>0.78022</v>
      </c>
      <c r="BN87" s="28" t="n">
        <v>0.772277</v>
      </c>
      <c r="BO87" s="28" t="n"/>
      <c r="BP87" s="25" t="n"/>
      <c r="BQ87" s="27" t="n"/>
      <c r="BR87" s="28" t="n"/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  <c r="CC87" s="24" t="inlineStr">
        <is>
          <t>0.2416972703</t>
        </is>
      </c>
      <c r="CD87" s="24" t="inlineStr">
        <is>
          <t>-4.477657</t>
        </is>
      </c>
      <c r="CE87" s="24" t="n"/>
      <c r="CF87" s="24" t="n"/>
      <c r="CG87" s="24" t="n"/>
      <c r="CH87" s="24" t="n"/>
      <c r="CI87" s="24" t="inlineStr">
        <is>
          <t>wnba_availability_source_conflict</t>
        </is>
      </c>
      <c r="CJ87" s="24" t="n"/>
      <c r="CK87" s="24" t="n"/>
      <c r="CL87" s="24" t="n"/>
      <c r="CM87" s="24" t="n"/>
      <c r="CN87" s="24" t="n"/>
      <c r="CO87" s="24" t="n"/>
    </row>
    <row r="88" ht="36" customHeight="1">
      <c r="A88" s="24" t="inlineStr">
        <is>
          <t>16181704cbd841d7</t>
        </is>
      </c>
      <c r="B88" s="24" t="inlineStr">
        <is>
          <t>2026-07-28T16:31:42.216046Z</t>
        </is>
      </c>
      <c r="C88" s="24" t="inlineStr">
        <is>
          <t>2026-07-28T18:40:00-0400</t>
        </is>
      </c>
      <c r="D88" s="24" t="inlineStr">
        <is>
          <t>401816294</t>
        </is>
      </c>
      <c r="E88" s="24" t="inlineStr">
        <is>
          <t>MLB</t>
        </is>
      </c>
      <c r="F88" s="24" t="inlineStr">
        <is>
          <t>Baltimore Orioles</t>
        </is>
      </c>
      <c r="G88" s="24" t="inlineStr">
        <is>
          <t>Detroit Tigers</t>
        </is>
      </c>
      <c r="H88" s="24" t="inlineStr">
        <is>
          <t>moneyline</t>
        </is>
      </c>
      <c r="I88" s="24" t="inlineStr">
        <is>
          <t>home</t>
        </is>
      </c>
      <c r="J88" s="25" t="n"/>
      <c r="K88" s="24" t="inlineStr">
        <is>
          <t>polymarket_us</t>
        </is>
      </c>
      <c r="L88" s="26" t="n">
        <v>-138</v>
      </c>
      <c r="M88" s="27" t="n">
        <v>1.724638</v>
      </c>
      <c r="N88" s="28" t="n">
        <v>0.579832</v>
      </c>
      <c r="O88" s="28" t="n">
        <v>0.742108</v>
      </c>
      <c r="P88" s="28" t="n"/>
      <c r="Q88" s="28" t="n">
        <v>0.162276</v>
      </c>
      <c r="R88" s="26" t="n">
        <v>100</v>
      </c>
      <c r="S88" s="29" t="n">
        <v>2</v>
      </c>
      <c r="T88" s="24" t="inlineStr">
        <is>
          <t>mlb-elo-trend-lr-v6</t>
        </is>
      </c>
      <c r="U88" s="24" t="inlineStr">
        <is>
          <t>open</t>
        </is>
      </c>
      <c r="V88" s="24" t="n"/>
      <c r="W88" s="26" t="n"/>
      <c r="X88" s="26" t="n"/>
      <c r="Y88" s="25" t="n"/>
      <c r="Z88" s="26" t="n"/>
      <c r="AA88" s="28" t="n"/>
      <c r="AB88" s="28" t="n"/>
      <c r="AC88" s="30" t="n"/>
      <c r="AD88" s="24" t="n"/>
      <c r="AE88" s="31" t="inlineStr">
        <is>
          <t>Learned LR call at threshold 0.5690; executable ask 0.5800 (aec-mlb-bal-det-2026-07-28).</t>
        </is>
      </c>
      <c r="AF88" s="31" t="inlineStr">
        <is>
          <t>Learned model; shadow-qualified via operator override.</t>
        </is>
      </c>
      <c r="AG88" s="24" t="inlineStr">
        <is>
          <t>not_applicable</t>
        </is>
      </c>
      <c r="AH88" s="24" t="n"/>
      <c r="AI88" s="31" t="n"/>
      <c r="AJ88" s="31" t="n"/>
      <c r="AK88" s="24" t="inlineStr">
        <is>
          <t>model_qualified</t>
        </is>
      </c>
      <c r="AL88" s="26" t="n">
        <v>3</v>
      </c>
      <c r="AM88" s="24" t="inlineStr">
        <is>
          <t>QUALIFIED_SHADOW_CALL</t>
        </is>
      </c>
      <c r="AN88" s="24" t="inlineStr">
        <is>
          <t>CALL</t>
        </is>
      </c>
      <c r="AO88" s="24" t="inlineStr">
        <is>
          <t>QUALIFIED</t>
        </is>
      </c>
      <c r="AP88" s="24" t="inlineStr">
        <is>
          <t>mlb-bal</t>
        </is>
      </c>
      <c r="AQ88" s="24" t="inlineStr">
        <is>
          <t>Baltimore Orioles</t>
        </is>
      </c>
      <c r="AR88" s="24" t="inlineStr">
        <is>
          <t>Baltimore Orioles</t>
        </is>
      </c>
      <c r="AS88" s="24" t="inlineStr">
        <is>
          <t>mlb-det</t>
        </is>
      </c>
      <c r="AT88" s="24" t="inlineStr">
        <is>
          <t>Detroit Tigers</t>
        </is>
      </c>
      <c r="AU88" s="24" t="inlineStr">
        <is>
          <t>Detroit Tigers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shadow_qualified</t>
        </is>
      </c>
      <c r="BA88" s="24" t="inlineStr">
        <is>
          <t>0633355b1144e4205ca6d08e3f328d99cab0970358846bd77228f3bcbfcd70ee</t>
        </is>
      </c>
      <c r="BB88" s="24" t="inlineStr">
        <is>
          <t>learned_lr</t>
        </is>
      </c>
      <c r="BC88" s="24" t="inlineStr">
        <is>
          <t>mlb-elo-trend-lr-v6</t>
        </is>
      </c>
      <c r="BD88" s="24" t="inlineStr">
        <is>
          <t>0633355b1144e4205ca6d08e3f328d99cab0970358846bd77228f3bcbfcd70ee</t>
        </is>
      </c>
      <c r="BE88" s="24" t="inlineStr">
        <is>
          <t>1ef6dbb2275c6f7d</t>
        </is>
      </c>
      <c r="BF88" s="24" t="inlineStr">
        <is>
          <t>1</t>
        </is>
      </c>
      <c r="BG88" s="24" t="inlineStr">
        <is>
          <t>mlb-elo-trend-lr-v6</t>
        </is>
      </c>
      <c r="BH88" s="24" t="inlineStr">
        <is>
          <t>2026-07-28T16:30:28.508753Z</t>
        </is>
      </c>
      <c r="BI88" s="24" t="inlineStr">
        <is>
          <t>["same_event","same_team_same_day","same_league_same_day"]</t>
        </is>
      </c>
      <c r="BJ88" s="25" t="n"/>
      <c r="BK88" s="26" t="n">
        <v>-138</v>
      </c>
      <c r="BL88" s="27" t="n">
        <v>1.724638</v>
      </c>
      <c r="BM88" s="28" t="n">
        <v>0.579832</v>
      </c>
      <c r="BN88" s="28" t="n">
        <v>0.577114</v>
      </c>
      <c r="BO88" s="28" t="n"/>
      <c r="BP88" s="25" t="n"/>
      <c r="BQ88" s="27" t="n"/>
      <c r="BR88" s="28" t="n"/>
      <c r="BS88" s="28" t="n"/>
      <c r="BT88" s="28" t="n"/>
      <c r="BU88" s="25" t="n"/>
      <c r="BV88" s="29" t="n"/>
      <c r="BW88" s="24" t="n"/>
      <c r="BX88" s="30" t="n"/>
      <c r="BY88" s="27" t="n"/>
      <c r="BZ88" s="24" t="n"/>
      <c r="CA88" s="31" t="n"/>
      <c r="CB88" s="24" t="n"/>
      <c r="CC88" s="24" t="inlineStr">
        <is>
          <t>0.5578182793</t>
        </is>
      </c>
      <c r="CD88" s="24" t="inlineStr">
        <is>
          <t>-0.528912</t>
        </is>
      </c>
      <c r="CE88" s="24" t="inlineStr">
        <is>
          <t>0.98</t>
        </is>
      </c>
      <c r="CF88" s="24" t="n"/>
      <c r="CG88" s="24" t="n"/>
      <c r="CH88" s="24" t="inlineStr">
        <is>
          <t>-3.11</t>
        </is>
      </c>
      <c r="CI88" s="24" t="n"/>
      <c r="CJ88" s="24" t="n"/>
      <c r="CK88" s="24" t="n"/>
      <c r="CL88" s="24" t="n"/>
      <c r="CM88" s="24" t="n"/>
      <c r="CN88" s="24" t="n"/>
      <c r="CO88" s="24" t="n"/>
    </row>
    <row r="89" ht="36" customHeight="1">
      <c r="A89" s="24" t="inlineStr">
        <is>
          <t>7aa37f6aca2e48a8</t>
        </is>
      </c>
      <c r="B89" s="24" t="inlineStr">
        <is>
          <t>2026-07-28T16:31:42.216046Z</t>
        </is>
      </c>
      <c r="C89" s="24" t="inlineStr">
        <is>
          <t>2026-07-28T22:00:00-0400</t>
        </is>
      </c>
      <c r="D89" s="24" t="inlineStr">
        <is>
          <t>401857095</t>
        </is>
      </c>
      <c r="E89" s="24" t="inlineStr">
        <is>
          <t>WNBA</t>
        </is>
      </c>
      <c r="F89" s="24" t="inlineStr">
        <is>
          <t>Portland Fire</t>
        </is>
      </c>
      <c r="G89" s="24" t="inlineStr">
        <is>
          <t>Las Vegas Aces</t>
        </is>
      </c>
      <c r="H89" s="24" t="inlineStr">
        <is>
          <t>moneyline</t>
        </is>
      </c>
      <c r="I89" s="24" t="inlineStr">
        <is>
          <t>home</t>
        </is>
      </c>
      <c r="J89" s="25" t="n"/>
      <c r="K89" s="24" t="inlineStr">
        <is>
          <t>polymarket_us</t>
        </is>
      </c>
      <c r="L89" s="26" t="n">
        <v>-567</v>
      </c>
      <c r="M89" s="27" t="n">
        <v>1.176367</v>
      </c>
      <c r="N89" s="28" t="n">
        <v>0.850075</v>
      </c>
      <c r="O89" s="28" t="n">
        <v>0.70389</v>
      </c>
      <c r="P89" s="28" t="n"/>
      <c r="Q89" s="28" t="n">
        <v>-0.146185</v>
      </c>
      <c r="R89" s="26" t="n">
        <v>0</v>
      </c>
      <c r="S89" s="29" t="n">
        <v>2</v>
      </c>
      <c r="T89" s="24" t="inlineStr">
        <is>
          <t>wnba-elo-trend-lr-v4</t>
        </is>
      </c>
      <c r="U89" s="24" t="inlineStr">
        <is>
          <t>open</t>
        </is>
      </c>
      <c r="V89" s="24" t="n"/>
      <c r="W89" s="26" t="n"/>
      <c r="X89" s="26" t="n"/>
      <c r="Y89" s="25" t="n"/>
      <c r="Z89" s="26" t="n"/>
      <c r="AA89" s="28" t="n"/>
      <c r="AB89" s="28" t="n"/>
      <c r="AC89" s="30" t="n"/>
      <c r="AD89" s="24" t="n"/>
      <c r="AE89" s="31" t="inlineStr">
        <is>
          <t>Learned LR call at threshold 0.5001; executable ask 0.8500 (aec-wnba-por-lv-2026-07-28).</t>
        </is>
      </c>
      <c r="AF89" s="31" t="inlineStr">
        <is>
          <t>Learned model; shadow-qualified via operator override.</t>
        </is>
      </c>
      <c r="AG89" s="24" t="inlineStr">
        <is>
          <t>not_applicable</t>
        </is>
      </c>
      <c r="AH89" s="24" t="n"/>
      <c r="AI89" s="31" t="n"/>
      <c r="AJ89" s="31" t="n"/>
      <c r="AK89" s="24" t="inlineStr">
        <is>
          <t>model_qualified</t>
        </is>
      </c>
      <c r="AL89" s="26" t="n">
        <v>3</v>
      </c>
      <c r="AM89" s="24" t="inlineStr">
        <is>
          <t>QUALIFIED_SHADOW_CALL</t>
        </is>
      </c>
      <c r="AN89" s="24" t="inlineStr">
        <is>
          <t>CALL</t>
        </is>
      </c>
      <c r="AO89" s="24" t="inlineStr">
        <is>
          <t>QUALIFIED</t>
        </is>
      </c>
      <c r="AP89" s="24" t="inlineStr">
        <is>
          <t>wnba-por</t>
        </is>
      </c>
      <c r="AQ89" s="24" t="inlineStr">
        <is>
          <t>Portland Fire</t>
        </is>
      </c>
      <c r="AR89" s="24" t="inlineStr">
        <is>
          <t>Portland Fire</t>
        </is>
      </c>
      <c r="AS89" s="24" t="inlineStr">
        <is>
          <t>wnba-lva</t>
        </is>
      </c>
      <c r="AT89" s="24" t="inlineStr">
        <is>
          <t>Las Vegas Aces</t>
        </is>
      </c>
      <c r="AU89" s="24" t="inlineStr">
        <is>
          <t>Las Vegas Aces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shadow_qualified</t>
        </is>
      </c>
      <c r="BA89" s="24" t="inlineStr">
        <is>
          <t>7afd5274214b58b7efd7f7febc7be3ab33b92351cda5cc6403c0a39faea0cc8c</t>
        </is>
      </c>
      <c r="BB89" s="24" t="inlineStr">
        <is>
          <t>learned_lr</t>
        </is>
      </c>
      <c r="BC89" s="24" t="inlineStr">
        <is>
          <t>wnba-elo-trend-lr-v4</t>
        </is>
      </c>
      <c r="BD89" s="24" t="inlineStr">
        <is>
          <t>7afd5274214b58b7efd7f7febc7be3ab33b92351cda5cc6403c0a39faea0cc8c</t>
        </is>
      </c>
      <c r="BE89" s="24" t="inlineStr">
        <is>
          <t>b361b2a5b789ec69</t>
        </is>
      </c>
      <c r="BF89" s="24" t="inlineStr">
        <is>
          <t>1</t>
        </is>
      </c>
      <c r="BG89" s="24" t="inlineStr">
        <is>
          <t>wnba-elo-trend-lr-v4</t>
        </is>
      </c>
      <c r="BH89" s="24" t="inlineStr">
        <is>
          <t>2026-07-28T16:30:46.538038Z</t>
        </is>
      </c>
      <c r="BI89" s="24" t="inlineStr">
        <is>
          <t>["same_event","same_team_same_day","same_league_same_day"]</t>
        </is>
      </c>
      <c r="BJ89" s="25" t="n"/>
      <c r="BK89" s="26" t="n">
        <v>-567</v>
      </c>
      <c r="BL89" s="27" t="n">
        <v>1.176367</v>
      </c>
      <c r="BM89" s="28" t="n">
        <v>0.850075</v>
      </c>
      <c r="BN89" s="28" t="n">
        <v>0.841584</v>
      </c>
      <c r="BO89" s="28" t="n"/>
      <c r="BP89" s="25" t="n"/>
      <c r="BQ89" s="27" t="n"/>
      <c r="BR89" s="28" t="n"/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  <c r="CB89" s="24" t="n"/>
      <c r="CC89" s="24" t="inlineStr">
        <is>
          <t>0.7673200787</t>
        </is>
      </c>
      <c r="CD89" s="24" t="inlineStr">
        <is>
          <t>-4.164083</t>
        </is>
      </c>
      <c r="CE89" s="24" t="n"/>
      <c r="CF89" s="24" t="n"/>
      <c r="CG89" s="24" t="n"/>
      <c r="CH89" s="24" t="n"/>
      <c r="CI89" s="24" t="n"/>
      <c r="CJ89" s="24" t="n"/>
      <c r="CK89" s="24" t="n"/>
      <c r="CL89" s="24" t="n"/>
      <c r="CM89" s="24" t="n"/>
      <c r="CN89" s="24" t="n"/>
      <c r="CO89" s="24" t="n"/>
    </row>
    <row r="90" ht="36" customHeight="1">
      <c r="A90" s="24" t="inlineStr">
        <is>
          <t>429c8c12563f47c5</t>
        </is>
      </c>
      <c r="B90" s="24" t="inlineStr">
        <is>
          <t>2026-07-28T16:31:42.216046Z</t>
        </is>
      </c>
      <c r="C90" s="24" t="inlineStr">
        <is>
          <t>2026-07-28T18:40:00-0400</t>
        </is>
      </c>
      <c r="D90" s="24" t="inlineStr">
        <is>
          <t>401816296</t>
        </is>
      </c>
      <c r="E90" s="24" t="inlineStr">
        <is>
          <t>MLB</t>
        </is>
      </c>
      <c r="F90" s="24" t="inlineStr">
        <is>
          <t>Philadelphia Phillies</t>
        </is>
      </c>
      <c r="G90" s="24" t="inlineStr">
        <is>
          <t>Miami Marlins</t>
        </is>
      </c>
      <c r="H90" s="24" t="inlineStr">
        <is>
          <t>moneyline</t>
        </is>
      </c>
      <c r="I90" s="24" t="inlineStr">
        <is>
          <t>home</t>
        </is>
      </c>
      <c r="J90" s="25" t="n"/>
      <c r="K90" s="24" t="inlineStr">
        <is>
          <t>polymarket_us</t>
        </is>
      </c>
      <c r="L90" s="26" t="n">
        <v>-104</v>
      </c>
      <c r="M90" s="27" t="n">
        <v>1.961538</v>
      </c>
      <c r="N90" s="28" t="n">
        <v>0.509804</v>
      </c>
      <c r="O90" s="28" t="n">
        <v>0.660233</v>
      </c>
      <c r="P90" s="28" t="n"/>
      <c r="Q90" s="28" t="n">
        <v>0.150429</v>
      </c>
      <c r="R90" s="26" t="n">
        <v>96</v>
      </c>
      <c r="S90" s="29" t="n">
        <v>2</v>
      </c>
      <c r="T90" s="24" t="inlineStr">
        <is>
          <t>mlb-elo-trend-lr-v6</t>
        </is>
      </c>
      <c r="U90" s="24" t="inlineStr">
        <is>
          <t>open</t>
        </is>
      </c>
      <c r="V90" s="24" t="n"/>
      <c r="W90" s="26" t="n"/>
      <c r="X90" s="26" t="n"/>
      <c r="Y90" s="25" t="n"/>
      <c r="Z90" s="26" t="n"/>
      <c r="AA90" s="28" t="n"/>
      <c r="AB90" s="28" t="n"/>
      <c r="AC90" s="30" t="n"/>
      <c r="AD90" s="24" t="n"/>
      <c r="AE90" s="31" t="inlineStr">
        <is>
          <t>Learned LR call at threshold 0.5690; executable ask 0.5100 (aec-mlb-phi-mia-2026-07-28).</t>
        </is>
      </c>
      <c r="AF90" s="31" t="inlineStr">
        <is>
          <t>Learned model; shadow-qualified via operator override.</t>
        </is>
      </c>
      <c r="AG90" s="24" t="inlineStr">
        <is>
          <t>not_applicable</t>
        </is>
      </c>
      <c r="AH90" s="24" t="n"/>
      <c r="AI90" s="31" t="n"/>
      <c r="AJ90" s="31" t="n"/>
      <c r="AK90" s="24" t="inlineStr">
        <is>
          <t>model_qualified</t>
        </is>
      </c>
      <c r="AL90" s="26" t="n">
        <v>3</v>
      </c>
      <c r="AM90" s="24" t="inlineStr">
        <is>
          <t>QUALIFIED_SHADOW_CALL</t>
        </is>
      </c>
      <c r="AN90" s="24" t="inlineStr">
        <is>
          <t>CALL</t>
        </is>
      </c>
      <c r="AO90" s="24" t="inlineStr">
        <is>
          <t>QUALIFIED</t>
        </is>
      </c>
      <c r="AP90" s="24" t="inlineStr">
        <is>
          <t>mlb-phi</t>
        </is>
      </c>
      <c r="AQ90" s="24" t="inlineStr">
        <is>
          <t>Philadelphia Phillies</t>
        </is>
      </c>
      <c r="AR90" s="24" t="inlineStr">
        <is>
          <t>Philadelphia Phillies</t>
        </is>
      </c>
      <c r="AS90" s="24" t="inlineStr">
        <is>
          <t>mlb-mia</t>
        </is>
      </c>
      <c r="AT90" s="24" t="inlineStr">
        <is>
          <t>Miami Marlins</t>
        </is>
      </c>
      <c r="AU90" s="24" t="inlineStr">
        <is>
          <t>Miami Marlins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shadow_qualified</t>
        </is>
      </c>
      <c r="BA90" s="24" t="inlineStr">
        <is>
          <t>0633355b1144e4205ca6d08e3f328d99cab0970358846bd77228f3bcbfcd70ee</t>
        </is>
      </c>
      <c r="BB90" s="24" t="inlineStr">
        <is>
          <t>learned_lr</t>
        </is>
      </c>
      <c r="BC90" s="24" t="inlineStr">
        <is>
          <t>mlb-elo-trend-lr-v6</t>
        </is>
      </c>
      <c r="BD90" s="24" t="inlineStr">
        <is>
          <t>0633355b1144e4205ca6d08e3f328d99cab0970358846bd77228f3bcbfcd70ee</t>
        </is>
      </c>
      <c r="BE90" s="24" t="inlineStr">
        <is>
          <t>0ecf6d5d6b8524ff</t>
        </is>
      </c>
      <c r="BF90" s="24" t="inlineStr">
        <is>
          <t>1</t>
        </is>
      </c>
      <c r="BG90" s="24" t="inlineStr">
        <is>
          <t>mlb-elo-trend-lr-v6</t>
        </is>
      </c>
      <c r="BH90" s="24" t="inlineStr">
        <is>
          <t>2026-07-28T16:30:29.442714Z</t>
        </is>
      </c>
      <c r="BI90" s="24" t="inlineStr">
        <is>
          <t>["same_event","same_team_same_day","same_league_same_day"]</t>
        </is>
      </c>
      <c r="BJ90" s="25" t="n"/>
      <c r="BK90" s="26" t="n">
        <v>-104</v>
      </c>
      <c r="BL90" s="27" t="n">
        <v>1.961538</v>
      </c>
      <c r="BM90" s="28" t="n">
        <v>0.509804</v>
      </c>
      <c r="BN90" s="28" t="n">
        <v>0.507463</v>
      </c>
      <c r="BO90" s="28" t="n"/>
      <c r="BP90" s="25" t="n"/>
      <c r="BQ90" s="27" t="n"/>
      <c r="BR90" s="28" t="n"/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  <c r="CB90" s="24" t="n"/>
      <c r="CC90" s="24" t="inlineStr">
        <is>
          <t>0.477817603</t>
        </is>
      </c>
      <c r="CD90" s="24" t="inlineStr">
        <is>
          <t>-0.644046</t>
        </is>
      </c>
      <c r="CE90" s="24" t="inlineStr">
        <is>
          <t>0.99</t>
        </is>
      </c>
      <c r="CF90" s="24" t="n"/>
      <c r="CG90" s="24" t="n"/>
      <c r="CH90" s="24" t="inlineStr">
        <is>
          <t>-1.81</t>
        </is>
      </c>
      <c r="CI90" s="24" t="n"/>
      <c r="CJ90" s="24" t="n"/>
      <c r="CK90" s="24" t="n"/>
      <c r="CL90" s="24" t="n"/>
      <c r="CM90" s="24" t="n"/>
      <c r="CN90" s="24" t="n"/>
      <c r="CO90" s="24" t="n"/>
    </row>
    <row r="91" ht="36" customHeight="1">
      <c r="A91" s="24" t="inlineStr">
        <is>
          <t>a04eab8f45674037</t>
        </is>
      </c>
      <c r="B91" s="24" t="inlineStr">
        <is>
          <t>2026-07-28T16:31:42.216046Z</t>
        </is>
      </c>
      <c r="C91" s="24" t="inlineStr">
        <is>
          <t>2026-07-28T22:00:00-0400</t>
        </is>
      </c>
      <c r="D91" s="24" t="inlineStr">
        <is>
          <t>401857096</t>
        </is>
      </c>
      <c r="E91" s="24" t="inlineStr">
        <is>
          <t>WNBA</t>
        </is>
      </c>
      <c r="F91" s="24" t="inlineStr">
        <is>
          <t>New York Liberty</t>
        </is>
      </c>
      <c r="G91" s="24" t="inlineStr">
        <is>
          <t>Los Angeles Sparks</t>
        </is>
      </c>
      <c r="H91" s="24" t="inlineStr">
        <is>
          <t>moneyline</t>
        </is>
      </c>
      <c r="I91" s="24" t="inlineStr">
        <is>
          <t>away</t>
        </is>
      </c>
      <c r="J91" s="25" t="n"/>
      <c r="K91" s="24" t="inlineStr">
        <is>
          <t>polymarket_us</t>
        </is>
      </c>
      <c r="L91" s="26" t="n">
        <v>-178</v>
      </c>
      <c r="M91" s="27" t="n">
        <v>1.561798</v>
      </c>
      <c r="N91" s="28" t="n">
        <v>0.640288</v>
      </c>
      <c r="O91" s="28" t="n">
        <v>0.571136</v>
      </c>
      <c r="P91" s="28" t="n"/>
      <c r="Q91" s="28" t="n">
        <v>-0.06915200000000001</v>
      </c>
      <c r="R91" s="26" t="n">
        <v>0</v>
      </c>
      <c r="S91" s="29" t="n">
        <v>1.25</v>
      </c>
      <c r="T91" s="24" t="inlineStr">
        <is>
          <t>wnba-elo-trend-lr-v4</t>
        </is>
      </c>
      <c r="U91" s="24" t="inlineStr">
        <is>
          <t>open</t>
        </is>
      </c>
      <c r="V91" s="24" t="n"/>
      <c r="W91" s="26" t="n"/>
      <c r="X91" s="26" t="n"/>
      <c r="Y91" s="25" t="n"/>
      <c r="Z91" s="26" t="n"/>
      <c r="AA91" s="28" t="n"/>
      <c r="AB91" s="28" t="n"/>
      <c r="AC91" s="30" t="n"/>
      <c r="AD91" s="24" t="n"/>
      <c r="AE91" s="31" t="inlineStr">
        <is>
          <t>Learned LR call at threshold 0.5001; executable ask 0.6400 (aec-wnba-ny-la-2026-07-28). NOTE: wnba_availability_source_conflict unavailable for this game — defaulted to neutral, other features used normally.</t>
        </is>
      </c>
      <c r="AF91" s="31" t="inlineStr">
        <is>
          <t>Learned model; shadow-qualified via operator override.</t>
        </is>
      </c>
      <c r="AG91" s="24" t="inlineStr">
        <is>
          <t>not_applicable</t>
        </is>
      </c>
      <c r="AH91" s="24" t="n"/>
      <c r="AI91" s="31" t="n"/>
      <c r="AJ91" s="31" t="n"/>
      <c r="AK91" s="24" t="inlineStr">
        <is>
          <t>model_qualified</t>
        </is>
      </c>
      <c r="AL91" s="26" t="n">
        <v>3</v>
      </c>
      <c r="AM91" s="24" t="inlineStr">
        <is>
          <t>QUALIFIED_SHADOW_CALL</t>
        </is>
      </c>
      <c r="AN91" s="24" t="inlineStr">
        <is>
          <t>CALL</t>
        </is>
      </c>
      <c r="AO91" s="24" t="inlineStr">
        <is>
          <t>QUALIFIED</t>
        </is>
      </c>
      <c r="AP91" s="24" t="inlineStr">
        <is>
          <t>wnba-nyl</t>
        </is>
      </c>
      <c r="AQ91" s="24" t="inlineStr">
        <is>
          <t>New York Liberty</t>
        </is>
      </c>
      <c r="AR91" s="24" t="inlineStr">
        <is>
          <t>New York Liberty</t>
        </is>
      </c>
      <c r="AS91" s="24" t="inlineStr">
        <is>
          <t>wnba-las</t>
        </is>
      </c>
      <c r="AT91" s="24" t="inlineStr">
        <is>
          <t>Los Angeles Sparks</t>
        </is>
      </c>
      <c r="AU91" s="24" t="inlineStr">
        <is>
          <t>Los Angeles Sparks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shadow_qualified</t>
        </is>
      </c>
      <c r="BA91" s="24" t="inlineStr">
        <is>
          <t>7afd5274214b58b7efd7f7febc7be3ab33b92351cda5cc6403c0a39faea0cc8c</t>
        </is>
      </c>
      <c r="BB91" s="24" t="inlineStr">
        <is>
          <t>learned_lr</t>
        </is>
      </c>
      <c r="BC91" s="24" t="inlineStr">
        <is>
          <t>wnba-elo-trend-lr-v4</t>
        </is>
      </c>
      <c r="BD91" s="24" t="inlineStr">
        <is>
          <t>7afd5274214b58b7efd7f7febc7be3ab33b92351cda5cc6403c0a39faea0cc8c</t>
        </is>
      </c>
      <c r="BE91" s="24" t="inlineStr">
        <is>
          <t>cdebf9ad1de7512e</t>
        </is>
      </c>
      <c r="BF91" s="24" t="inlineStr">
        <is>
          <t>1</t>
        </is>
      </c>
      <c r="BG91" s="24" t="inlineStr">
        <is>
          <t>wnba-elo-trend-lr-v4</t>
        </is>
      </c>
      <c r="BH91" s="24" t="inlineStr">
        <is>
          <t>2026-07-28T16:30:47.188657Z</t>
        </is>
      </c>
      <c r="BI91" s="24" t="inlineStr">
        <is>
          <t>["same_event","same_team_same_day","same_league_same_day"]</t>
        </is>
      </c>
      <c r="BJ91" s="25" t="n"/>
      <c r="BK91" s="26" t="n">
        <v>-178</v>
      </c>
      <c r="BL91" s="27" t="n">
        <v>1.561798</v>
      </c>
      <c r="BM91" s="28" t="n">
        <v>0.640288</v>
      </c>
      <c r="BN91" s="28" t="n">
        <v>0.633663</v>
      </c>
      <c r="BO91" s="28" t="n"/>
      <c r="BP91" s="25" t="n"/>
      <c r="BQ91" s="27" t="n"/>
      <c r="BR91" s="28" t="n"/>
      <c r="BS91" s="28" t="n"/>
      <c r="BT91" s="28" t="n"/>
      <c r="BU91" s="25" t="n"/>
      <c r="BV91" s="29" t="n"/>
      <c r="BW91" s="24" t="n"/>
      <c r="BX91" s="30" t="n"/>
      <c r="BY91" s="27" t="n"/>
      <c r="BZ91" s="24" t="n"/>
      <c r="CA91" s="31" t="n"/>
      <c r="CB91" s="24" t="n"/>
      <c r="CC91" s="24" t="inlineStr">
        <is>
          <t>0.4096120487</t>
        </is>
      </c>
      <c r="CD91" s="24" t="inlineStr">
        <is>
          <t>-1.261801</t>
        </is>
      </c>
      <c r="CE91" s="24" t="n"/>
      <c r="CF91" s="24" t="n"/>
      <c r="CG91" s="24" t="n"/>
      <c r="CH91" s="24" t="n"/>
      <c r="CI91" s="24" t="inlineStr">
        <is>
          <t>wnba_availability_source_conflict</t>
        </is>
      </c>
      <c r="CJ91" s="24" t="n"/>
      <c r="CK91" s="24" t="n"/>
      <c r="CL91" s="24" t="n"/>
      <c r="CM91" s="24" t="n"/>
      <c r="CN91" s="24" t="n"/>
      <c r="CO91" s="24" t="n"/>
    </row>
    <row r="92" ht="36" customHeight="1">
      <c r="A92" s="24" t="inlineStr">
        <is>
          <t>643420440e214cdd</t>
        </is>
      </c>
      <c r="B92" s="24" t="inlineStr">
        <is>
          <t>2026-07-28T16:31:42.216046Z</t>
        </is>
      </c>
      <c r="C92" s="24" t="inlineStr">
        <is>
          <t>2026-07-28T18:40:00-0400</t>
        </is>
      </c>
      <c r="D92" s="24" t="inlineStr">
        <is>
          <t>401816297</t>
        </is>
      </c>
      <c r="E92" s="24" t="inlineStr">
        <is>
          <t>MLB</t>
        </is>
      </c>
      <c r="F92" s="24" t="inlineStr">
        <is>
          <t>Texas Rangers</t>
        </is>
      </c>
      <c r="G92" s="24" t="inlineStr">
        <is>
          <t>Tampa Bay Rays</t>
        </is>
      </c>
      <c r="H92" s="24" t="inlineStr">
        <is>
          <t>moneyline</t>
        </is>
      </c>
      <c r="I92" s="24" t="inlineStr">
        <is>
          <t>home</t>
        </is>
      </c>
      <c r="J92" s="25" t="n"/>
      <c r="K92" s="24" t="inlineStr">
        <is>
          <t>polymarket_us</t>
        </is>
      </c>
      <c r="L92" s="26" t="n">
        <v>-163</v>
      </c>
      <c r="M92" s="27" t="n">
        <v>1.613497</v>
      </c>
      <c r="N92" s="28" t="n">
        <v>0.619772</v>
      </c>
      <c r="O92" s="28" t="n">
        <v>0.5296999999999999</v>
      </c>
      <c r="P92" s="28" t="n"/>
      <c r="Q92" s="28" t="n">
        <v>-0.090072</v>
      </c>
      <c r="R92" s="26" t="n">
        <v>0</v>
      </c>
      <c r="S92" s="29" t="n">
        <v>0.75</v>
      </c>
      <c r="T92" s="24" t="inlineStr">
        <is>
          <t>mlb-elo-trend-lr-v6</t>
        </is>
      </c>
      <c r="U92" s="24" t="inlineStr">
        <is>
          <t>open</t>
        </is>
      </c>
      <c r="V92" s="24" t="n"/>
      <c r="W92" s="26" t="n"/>
      <c r="X92" s="26" t="n"/>
      <c r="Y92" s="25" t="n"/>
      <c r="Z92" s="26" t="n"/>
      <c r="AA92" s="28" t="n"/>
      <c r="AB92" s="28" t="n"/>
      <c r="AC92" s="30" t="n"/>
      <c r="AD92" s="24" t="n"/>
      <c r="AE92" s="31" t="inlineStr">
        <is>
          <t>Learned LR call at threshold 0.5690; executable ask 0.6200 (aec-mlb-tex-tb-2026-07-28).</t>
        </is>
      </c>
      <c r="AF92" s="31" t="inlineStr">
        <is>
          <t>Learned model; shadow-qualified via operator override.</t>
        </is>
      </c>
      <c r="AG92" s="24" t="inlineStr">
        <is>
          <t>not_applicable</t>
        </is>
      </c>
      <c r="AH92" s="24" t="n"/>
      <c r="AI92" s="31" t="n"/>
      <c r="AJ92" s="31" t="n"/>
      <c r="AK92" s="24" t="inlineStr">
        <is>
          <t>model_qualified</t>
        </is>
      </c>
      <c r="AL92" s="26" t="n">
        <v>3</v>
      </c>
      <c r="AM92" s="24" t="inlineStr">
        <is>
          <t>QUALIFIED_SHADOW_CALL</t>
        </is>
      </c>
      <c r="AN92" s="24" t="inlineStr">
        <is>
          <t>CALL</t>
        </is>
      </c>
      <c r="AO92" s="24" t="inlineStr">
        <is>
          <t>QUALIFIED</t>
        </is>
      </c>
      <c r="AP92" s="24" t="inlineStr">
        <is>
          <t>mlb-tex</t>
        </is>
      </c>
      <c r="AQ92" s="24" t="inlineStr">
        <is>
          <t>Texas Rangers</t>
        </is>
      </c>
      <c r="AR92" s="24" t="inlineStr">
        <is>
          <t>Texas Rangers</t>
        </is>
      </c>
      <c r="AS92" s="24" t="inlineStr">
        <is>
          <t>mlb-tb</t>
        </is>
      </c>
      <c r="AT92" s="24" t="inlineStr">
        <is>
          <t>Tampa Bay Rays</t>
        </is>
      </c>
      <c r="AU92" s="24" t="inlineStr">
        <is>
          <t>Tampa Bay Rays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shadow_qualified</t>
        </is>
      </c>
      <c r="BA92" s="24" t="inlineStr">
        <is>
          <t>0633355b1144e4205ca6d08e3f328d99cab0970358846bd77228f3bcbfcd70ee</t>
        </is>
      </c>
      <c r="BB92" s="24" t="inlineStr">
        <is>
          <t>learned_lr</t>
        </is>
      </c>
      <c r="BC92" s="24" t="inlineStr">
        <is>
          <t>mlb-elo-trend-lr-v6</t>
        </is>
      </c>
      <c r="BD92" s="24" t="inlineStr">
        <is>
          <t>0633355b1144e4205ca6d08e3f328d99cab0970358846bd77228f3bcbfcd70ee</t>
        </is>
      </c>
      <c r="BE92" s="24" t="inlineStr">
        <is>
          <t>0ce009c39529d1e9</t>
        </is>
      </c>
      <c r="BF92" s="24" t="inlineStr">
        <is>
          <t>1</t>
        </is>
      </c>
      <c r="BG92" s="24" t="inlineStr">
        <is>
          <t>mlb-elo-trend-lr-v6</t>
        </is>
      </c>
      <c r="BH92" s="24" t="inlineStr">
        <is>
          <t>2026-07-28T16:30:31.431229Z</t>
        </is>
      </c>
      <c r="BI92" s="24" t="inlineStr">
        <is>
          <t>["same_event","same_team_same_day","same_league_same_day"]</t>
        </is>
      </c>
      <c r="BJ92" s="25" t="n"/>
      <c r="BK92" s="26" t="n">
        <v>-163</v>
      </c>
      <c r="BL92" s="27" t="n">
        <v>1.613497</v>
      </c>
      <c r="BM92" s="28" t="n">
        <v>0.619772</v>
      </c>
      <c r="BN92" s="28" t="n">
        <v>0.616915</v>
      </c>
      <c r="BO92" s="28" t="n"/>
      <c r="BP92" s="25" t="n"/>
      <c r="BQ92" s="27" t="n"/>
      <c r="BR92" s="28" t="n"/>
      <c r="BS92" s="28" t="n"/>
      <c r="BT92" s="28" t="n"/>
      <c r="BU92" s="25" t="n"/>
      <c r="BV92" s="29" t="n"/>
      <c r="BW92" s="24" t="n"/>
      <c r="BX92" s="30" t="n"/>
      <c r="BY92" s="27" t="n"/>
      <c r="BZ92" s="24" t="n"/>
      <c r="CA92" s="31" t="n"/>
      <c r="CB92" s="24" t="n"/>
      <c r="CC92" s="24" t="inlineStr">
        <is>
          <t>0.5812862212</t>
        </is>
      </c>
      <c r="CD92" s="24" t="inlineStr">
        <is>
          <t>1.271016</t>
        </is>
      </c>
      <c r="CE92" s="24" t="inlineStr">
        <is>
          <t>0.96</t>
        </is>
      </c>
      <c r="CF92" s="24" t="n"/>
      <c r="CG92" s="24" t="n"/>
      <c r="CH92" s="24" t="inlineStr">
        <is>
          <t>-0.16</t>
        </is>
      </c>
      <c r="CI92" s="24" t="n"/>
      <c r="CJ92" s="24" t="n"/>
      <c r="CK92" s="24" t="n"/>
      <c r="CL92" s="24" t="n"/>
      <c r="CM92" s="24" t="n"/>
      <c r="CN92" s="24" t="n"/>
      <c r="CO92" s="24" t="n"/>
    </row>
    <row r="93" ht="36" customHeight="1">
      <c r="A93" s="24" t="inlineStr">
        <is>
          <t>64ecbcd8948840d5</t>
        </is>
      </c>
      <c r="B93" s="24" t="inlineStr">
        <is>
          <t>2026-07-28T16:31:42.216046Z</t>
        </is>
      </c>
      <c r="C93" s="24" t="inlineStr">
        <is>
          <t>2026-07-28T18:45:00-0400</t>
        </is>
      </c>
      <c r="D93" s="24" t="inlineStr">
        <is>
          <t>401816298</t>
        </is>
      </c>
      <c r="E93" s="24" t="inlineStr">
        <is>
          <t>MLB</t>
        </is>
      </c>
      <c r="F93" s="24" t="inlineStr">
        <is>
          <t>Toronto Blue Jays</t>
        </is>
      </c>
      <c r="G93" s="24" t="inlineStr">
        <is>
          <t>Washington Nationals</t>
        </is>
      </c>
      <c r="H93" s="24" t="inlineStr">
        <is>
          <t>moneyline</t>
        </is>
      </c>
      <c r="I93" s="24" t="inlineStr">
        <is>
          <t>home</t>
        </is>
      </c>
      <c r="J93" s="25" t="n"/>
      <c r="K93" s="24" t="inlineStr">
        <is>
          <t>polymarket_us</t>
        </is>
      </c>
      <c r="L93" s="26" t="n">
        <v>-130</v>
      </c>
      <c r="M93" s="27" t="n">
        <v>1.769231</v>
      </c>
      <c r="N93" s="28" t="n">
        <v>0.565217</v>
      </c>
      <c r="O93" s="28" t="n">
        <v>0.5994350000000001</v>
      </c>
      <c r="P93" s="28" t="n"/>
      <c r="Q93" s="28" t="n">
        <v>0.034218</v>
      </c>
      <c r="R93" s="26" t="n">
        <v>39</v>
      </c>
      <c r="S93" s="29" t="n">
        <v>1.5</v>
      </c>
      <c r="T93" s="24" t="inlineStr">
        <is>
          <t>mlb-elo-trend-lr-v6</t>
        </is>
      </c>
      <c r="U93" s="24" t="inlineStr">
        <is>
          <t>open</t>
        </is>
      </c>
      <c r="V93" s="24" t="n"/>
      <c r="W93" s="26" t="n"/>
      <c r="X93" s="26" t="n"/>
      <c r="Y93" s="25" t="n"/>
      <c r="Z93" s="26" t="n"/>
      <c r="AA93" s="28" t="n"/>
      <c r="AB93" s="28" t="n"/>
      <c r="AC93" s="30" t="n"/>
      <c r="AD93" s="24" t="n"/>
      <c r="AE93" s="31" t="inlineStr">
        <is>
          <t>Learned LR call at threshold 0.5690; executable ask 0.5650 (aec-mlb-tor-wsh-2026-07-28).</t>
        </is>
      </c>
      <c r="AF93" s="31" t="inlineStr">
        <is>
          <t>Learned model; shadow-qualified via operator override.</t>
        </is>
      </c>
      <c r="AG93" s="24" t="inlineStr">
        <is>
          <t>not_applicable</t>
        </is>
      </c>
      <c r="AH93" s="24" t="n"/>
      <c r="AI93" s="31" t="n"/>
      <c r="AJ93" s="31" t="n"/>
      <c r="AK93" s="24" t="inlineStr">
        <is>
          <t>model_qualified</t>
        </is>
      </c>
      <c r="AL93" s="26" t="n">
        <v>3</v>
      </c>
      <c r="AM93" s="24" t="inlineStr">
        <is>
          <t>QUALIFIED_SHADOW_CALL</t>
        </is>
      </c>
      <c r="AN93" s="24" t="inlineStr">
        <is>
          <t>CALL</t>
        </is>
      </c>
      <c r="AO93" s="24" t="inlineStr">
        <is>
          <t>QUALIFIED</t>
        </is>
      </c>
      <c r="AP93" s="24" t="inlineStr">
        <is>
          <t>mlb-tor</t>
        </is>
      </c>
      <c r="AQ93" s="24" t="inlineStr">
        <is>
          <t>Toronto Blue Jays</t>
        </is>
      </c>
      <c r="AR93" s="24" t="inlineStr">
        <is>
          <t>Toronto Blue Jays</t>
        </is>
      </c>
      <c r="AS93" s="24" t="inlineStr">
        <is>
          <t>mlb-wsh</t>
        </is>
      </c>
      <c r="AT93" s="24" t="inlineStr">
        <is>
          <t>Washington Nationals</t>
        </is>
      </c>
      <c r="AU93" s="24" t="inlineStr">
        <is>
          <t>Washington Nationals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shadow_qualified</t>
        </is>
      </c>
      <c r="BA93" s="24" t="inlineStr">
        <is>
          <t>0633355b1144e4205ca6d08e3f328d99cab0970358846bd77228f3bcbfcd70ee</t>
        </is>
      </c>
      <c r="BB93" s="24" t="inlineStr">
        <is>
          <t>learned_lr</t>
        </is>
      </c>
      <c r="BC93" s="24" t="inlineStr">
        <is>
          <t>mlb-elo-trend-lr-v6</t>
        </is>
      </c>
      <c r="BD93" s="24" t="inlineStr">
        <is>
          <t>0633355b1144e4205ca6d08e3f328d99cab0970358846bd77228f3bcbfcd70ee</t>
        </is>
      </c>
      <c r="BE93" s="24" t="inlineStr">
        <is>
          <t>8c225d14e2cc727d</t>
        </is>
      </c>
      <c r="BF93" s="24" t="inlineStr">
        <is>
          <t>1</t>
        </is>
      </c>
      <c r="BG93" s="24" t="inlineStr">
        <is>
          <t>mlb-elo-trend-lr-v6</t>
        </is>
      </c>
      <c r="BH93" s="24" t="inlineStr">
        <is>
          <t>2026-07-28T16:30:32.374964Z</t>
        </is>
      </c>
      <c r="BI93" s="24" t="inlineStr">
        <is>
          <t>["same_event","same_team_same_day","same_league_same_day"]</t>
        </is>
      </c>
      <c r="BJ93" s="25" t="n"/>
      <c r="BK93" s="26" t="n">
        <v>-130</v>
      </c>
      <c r="BL93" s="27" t="n">
        <v>1.769231</v>
      </c>
      <c r="BM93" s="28" t="n">
        <v>0.565217</v>
      </c>
      <c r="BN93" s="28" t="n">
        <v>0.562189</v>
      </c>
      <c r="BO93" s="28" t="n"/>
      <c r="BP93" s="25" t="n"/>
      <c r="BQ93" s="27" t="n"/>
      <c r="BR93" s="28" t="n"/>
      <c r="BS93" s="28" t="n"/>
      <c r="BT93" s="28" t="n"/>
      <c r="BU93" s="25" t="n"/>
      <c r="BV93" s="29" t="n"/>
      <c r="BW93" s="24" t="n"/>
      <c r="BX93" s="30" t="n"/>
      <c r="BY93" s="27" t="n"/>
      <c r="BZ93" s="24" t="n"/>
      <c r="CA93" s="31" t="n"/>
      <c r="CB93" s="24" t="n"/>
      <c r="CC93" s="24" t="inlineStr">
        <is>
          <t>0.5019196627</t>
        </is>
      </c>
      <c r="CD93" s="24" t="inlineStr">
        <is>
          <t>0.540593</t>
        </is>
      </c>
      <c r="CE93" s="24" t="inlineStr">
        <is>
          <t>1.0</t>
        </is>
      </c>
      <c r="CF93" s="24" t="n"/>
      <c r="CG93" s="24" t="n"/>
      <c r="CH93" s="24" t="inlineStr">
        <is>
          <t>-1.12</t>
        </is>
      </c>
      <c r="CI93" s="24" t="n"/>
      <c r="CJ93" s="24" t="n"/>
      <c r="CK93" s="24" t="n"/>
      <c r="CL93" s="24" t="n"/>
      <c r="CM93" s="24" t="n"/>
      <c r="CN93" s="24" t="n"/>
      <c r="CO93" s="24" t="n"/>
    </row>
    <row r="94" ht="36" customHeight="1">
      <c r="A94" s="24" t="inlineStr">
        <is>
          <t>bec8768e81c9458c</t>
        </is>
      </c>
      <c r="B94" s="24" t="inlineStr">
        <is>
          <t>2026-07-28T16:31:42.216046Z</t>
        </is>
      </c>
      <c r="C94" s="24" t="inlineStr">
        <is>
          <t>2026-07-28T19:10:00-0400</t>
        </is>
      </c>
      <c r="D94" s="24" t="inlineStr">
        <is>
          <t>401816293</t>
        </is>
      </c>
      <c r="E94" s="24" t="inlineStr">
        <is>
          <t>MLB</t>
        </is>
      </c>
      <c r="F94" s="24" t="inlineStr">
        <is>
          <t>Atlanta Braves</t>
        </is>
      </c>
      <c r="G94" s="24" t="inlineStr">
        <is>
          <t>New York Mets</t>
        </is>
      </c>
      <c r="H94" s="24" t="inlineStr">
        <is>
          <t>moneyline</t>
        </is>
      </c>
      <c r="I94" s="24" t="inlineStr">
        <is>
          <t>away</t>
        </is>
      </c>
      <c r="J94" s="25" t="n"/>
      <c r="K94" s="24" t="inlineStr">
        <is>
          <t>polymarket_us</t>
        </is>
      </c>
      <c r="L94" s="26" t="n">
        <v>-147</v>
      </c>
      <c r="M94" s="27" t="n">
        <v>1.680272</v>
      </c>
      <c r="N94" s="28" t="n">
        <v>0.5951419999999999</v>
      </c>
      <c r="O94" s="28" t="n">
        <v>0.511144</v>
      </c>
      <c r="P94" s="28" t="n"/>
      <c r="Q94" s="28" t="n">
        <v>-0.083998</v>
      </c>
      <c r="R94" s="26" t="n">
        <v>0</v>
      </c>
      <c r="S94" s="29" t="n">
        <v>0.5</v>
      </c>
      <c r="T94" s="24" t="inlineStr">
        <is>
          <t>mlb-elo-trend-lr-v6</t>
        </is>
      </c>
      <c r="U94" s="24" t="inlineStr">
        <is>
          <t>open</t>
        </is>
      </c>
      <c r="V94" s="24" t="n"/>
      <c r="W94" s="26" t="n"/>
      <c r="X94" s="26" t="n"/>
      <c r="Y94" s="25" t="n"/>
      <c r="Z94" s="26" t="n"/>
      <c r="AA94" s="28" t="n"/>
      <c r="AB94" s="28" t="n"/>
      <c r="AC94" s="30" t="n"/>
      <c r="AD94" s="24" t="n"/>
      <c r="AE94" s="31" t="inlineStr">
        <is>
          <t>Learned LR call at threshold 0.5690; executable ask 0.5950 (aec-mlb-atl-nym-2026-07-28).</t>
        </is>
      </c>
      <c r="AF94" s="31" t="inlineStr">
        <is>
          <t>Learned model; shadow-qualified via operator override.</t>
        </is>
      </c>
      <c r="AG94" s="24" t="inlineStr">
        <is>
          <t>not_applicable</t>
        </is>
      </c>
      <c r="AH94" s="24" t="n"/>
      <c r="AI94" s="31" t="n"/>
      <c r="AJ94" s="31" t="n"/>
      <c r="AK94" s="24" t="inlineStr">
        <is>
          <t>model_qualified</t>
        </is>
      </c>
      <c r="AL94" s="26" t="n">
        <v>3</v>
      </c>
      <c r="AM94" s="24" t="inlineStr">
        <is>
          <t>QUALIFIED_SHADOW_CALL</t>
        </is>
      </c>
      <c r="AN94" s="24" t="inlineStr">
        <is>
          <t>CALL</t>
        </is>
      </c>
      <c r="AO94" s="24" t="inlineStr">
        <is>
          <t>QUALIFIED</t>
        </is>
      </c>
      <c r="AP94" s="24" t="inlineStr">
        <is>
          <t>mlb-atl</t>
        </is>
      </c>
      <c r="AQ94" s="24" t="inlineStr">
        <is>
          <t>Atlanta Braves</t>
        </is>
      </c>
      <c r="AR94" s="24" t="inlineStr">
        <is>
          <t>Atlanta Braves</t>
        </is>
      </c>
      <c r="AS94" s="24" t="inlineStr">
        <is>
          <t>mlb-nym</t>
        </is>
      </c>
      <c r="AT94" s="24" t="inlineStr">
        <is>
          <t>New York Mets</t>
        </is>
      </c>
      <c r="AU94" s="24" t="inlineStr">
        <is>
          <t>New York Mets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shadow_qualified</t>
        </is>
      </c>
      <c r="BA94" s="24" t="inlineStr">
        <is>
          <t>0633355b1144e4205ca6d08e3f328d99cab0970358846bd77228f3bcbfcd70ee</t>
        </is>
      </c>
      <c r="BB94" s="24" t="inlineStr">
        <is>
          <t>learned_lr</t>
        </is>
      </c>
      <c r="BC94" s="24" t="inlineStr">
        <is>
          <t>mlb-elo-trend-lr-v6</t>
        </is>
      </c>
      <c r="BD94" s="24" t="inlineStr">
        <is>
          <t>0633355b1144e4205ca6d08e3f328d99cab0970358846bd77228f3bcbfcd70ee</t>
        </is>
      </c>
      <c r="BE94" s="24" t="inlineStr">
        <is>
          <t>861431b031a904da</t>
        </is>
      </c>
      <c r="BF94" s="24" t="inlineStr">
        <is>
          <t>1</t>
        </is>
      </c>
      <c r="BG94" s="24" t="inlineStr">
        <is>
          <t>mlb-elo-trend-lr-v6</t>
        </is>
      </c>
      <c r="BH94" s="24" t="inlineStr">
        <is>
          <t>2026-07-28T16:30:33.890303Z</t>
        </is>
      </c>
      <c r="BI94" s="24" t="inlineStr">
        <is>
          <t>["same_event","same_team_same_day","same_league_same_day"]</t>
        </is>
      </c>
      <c r="BJ94" s="25" t="n"/>
      <c r="BK94" s="26" t="n">
        <v>-147</v>
      </c>
      <c r="BL94" s="27" t="n">
        <v>1.680272</v>
      </c>
      <c r="BM94" s="28" t="n">
        <v>0.5951419999999999</v>
      </c>
      <c r="BN94" s="28" t="n">
        <v>0.59204</v>
      </c>
      <c r="BO94" s="28" t="n"/>
      <c r="BP94" s="25" t="n"/>
      <c r="BQ94" s="27" t="n"/>
      <c r="BR94" s="28" t="n"/>
      <c r="BS94" s="28" t="n"/>
      <c r="BT94" s="28" t="n"/>
      <c r="BU94" s="25" t="n"/>
      <c r="BV94" s="29" t="n"/>
      <c r="BW94" s="24" t="n"/>
      <c r="BX94" s="30" t="n"/>
      <c r="BY94" s="27" t="n"/>
      <c r="BZ94" s="24" t="n"/>
      <c r="CA94" s="31" t="n"/>
      <c r="CB94" s="24" t="n"/>
      <c r="CC94" s="24" t="inlineStr">
        <is>
          <t>0.4315693087</t>
        </is>
      </c>
      <c r="CD94" s="24" t="inlineStr">
        <is>
          <t>-2.190624</t>
        </is>
      </c>
      <c r="CE94" s="24" t="inlineStr">
        <is>
          <t>0.97</t>
        </is>
      </c>
      <c r="CF94" s="24" t="n"/>
      <c r="CG94" s="24" t="n"/>
      <c r="CH94" s="24" t="inlineStr">
        <is>
          <t>0.94</t>
        </is>
      </c>
      <c r="CI94" s="24" t="n"/>
      <c r="CJ94" s="24" t="n"/>
      <c r="CK94" s="24" t="n"/>
      <c r="CL94" s="24" t="n"/>
      <c r="CM94" s="24" t="n"/>
      <c r="CN94" s="24" t="n"/>
      <c r="CO94" s="24" t="n"/>
    </row>
    <row r="95" ht="36" customHeight="1">
      <c r="A95" s="24" t="inlineStr">
        <is>
          <t>eef7a5ef679943a3</t>
        </is>
      </c>
      <c r="B95" s="24" t="inlineStr">
        <is>
          <t>2026-07-28T16:31:42.216046Z</t>
        </is>
      </c>
      <c r="C95" s="24" t="inlineStr">
        <is>
          <t>2026-07-28T19:10:00-0400</t>
        </is>
      </c>
      <c r="D95" s="24" t="inlineStr">
        <is>
          <t>401816295</t>
        </is>
      </c>
      <c r="E95" s="24" t="inlineStr">
        <is>
          <t>MLB</t>
        </is>
      </c>
      <c r="F95" s="24" t="inlineStr">
        <is>
          <t>Cleveland Guardians</t>
        </is>
      </c>
      <c r="G95" s="24" t="inlineStr">
        <is>
          <t>Cincinnati Reds</t>
        </is>
      </c>
      <c r="H95" s="24" t="inlineStr">
        <is>
          <t>moneyline</t>
        </is>
      </c>
      <c r="I95" s="24" t="inlineStr">
        <is>
          <t>home</t>
        </is>
      </c>
      <c r="J95" s="25" t="n"/>
      <c r="K95" s="24" t="inlineStr">
        <is>
          <t>espn</t>
        </is>
      </c>
      <c r="L95" s="26" t="n">
        <v>-110</v>
      </c>
      <c r="M95" s="27" t="n">
        <v>1.909091</v>
      </c>
      <c r="N95" s="28" t="n">
        <v>0.52381</v>
      </c>
      <c r="O95" s="28" t="n">
        <v>0.5370470000000001</v>
      </c>
      <c r="P95" s="28" t="n"/>
      <c r="Q95" s="28" t="n">
        <v>0.013237</v>
      </c>
      <c r="R95" s="26" t="n">
        <v>57</v>
      </c>
      <c r="S95" s="29" t="n">
        <v>0</v>
      </c>
      <c r="T95" s="24" t="inlineStr">
        <is>
          <t>mlb-elo-trend-lr-v6</t>
        </is>
      </c>
      <c r="U95" s="24" t="inlineStr">
        <is>
          <t>open</t>
        </is>
      </c>
      <c r="V95" s="24" t="n"/>
      <c r="W95" s="26" t="n"/>
      <c r="X95" s="26" t="n"/>
      <c r="Y95" s="25" t="n"/>
      <c r="Z95" s="26" t="n"/>
      <c r="AA95" s="28" t="n"/>
      <c r="AB95" s="28" t="n"/>
      <c r="AC95" s="30" t="n"/>
      <c r="AD95" s="24" t="n"/>
      <c r="AE95" s="31" t="inlineStr">
        <is>
          <t>Learned LR call at threshold 0.5690; no Polymarket quote available — using -110 default odds. NOTE: probable_starter_era_gap unavailable for this game — defaulted to neutral, other features used normally.</t>
        </is>
      </c>
      <c r="AF95" s="31" t="inlineStr">
        <is>
          <t>Learned model; shadow-qualified via operator override.</t>
        </is>
      </c>
      <c r="AG95" s="24" t="inlineStr">
        <is>
          <t>not_applicable</t>
        </is>
      </c>
      <c r="AH95" s="24" t="n"/>
      <c r="AI95" s="31" t="n"/>
      <c r="AJ95" s="31" t="n"/>
      <c r="AK95" s="24" t="inlineStr">
        <is>
          <t>research_observation</t>
        </is>
      </c>
      <c r="AL95" s="26" t="n">
        <v>3</v>
      </c>
      <c r="AM95" s="24" t="inlineStr">
        <is>
          <t>RESEARCH_OBSERVATION</t>
        </is>
      </c>
      <c r="AN95" s="24" t="inlineStr">
        <is>
          <t>NO_CALL</t>
        </is>
      </c>
      <c r="AO95" s="24" t="inlineStr">
        <is>
          <t>NO_CALL_MODEL_UNVALIDATED</t>
        </is>
      </c>
      <c r="AP95" s="24" t="inlineStr">
        <is>
          <t>mlb-cle</t>
        </is>
      </c>
      <c r="AQ95" s="24" t="inlineStr">
        <is>
          <t>Cleveland Guardians</t>
        </is>
      </c>
      <c r="AR95" s="24" t="inlineStr">
        <is>
          <t>Cleveland Guardians</t>
        </is>
      </c>
      <c r="AS95" s="24" t="inlineStr">
        <is>
          <t>mlb-cin</t>
        </is>
      </c>
      <c r="AT95" s="24" t="inlineStr">
        <is>
          <t>Cincinnati Reds</t>
        </is>
      </c>
      <c r="AU95" s="24" t="inlineStr">
        <is>
          <t>Cincinnati Reds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shadow_qualified</t>
        </is>
      </c>
      <c r="BA95" s="24" t="inlineStr">
        <is>
          <t>0633355b1144e4205ca6d08e3f328d99cab0970358846bd77228f3bcbfcd70ee</t>
        </is>
      </c>
      <c r="BB95" s="24" t="inlineStr">
        <is>
          <t>learned_lr</t>
        </is>
      </c>
      <c r="BC95" s="24" t="inlineStr">
        <is>
          <t>mlb-elo-trend-lr-v6</t>
        </is>
      </c>
      <c r="BD95" s="24" t="inlineStr">
        <is>
          <t>0633355b1144e4205ca6d08e3f328d99cab0970358846bd77228f3bcbfcd70ee</t>
        </is>
      </c>
      <c r="BE95" s="24" t="inlineStr">
        <is>
          <t>e696dbd2e2c47015</t>
        </is>
      </c>
      <c r="BF95" s="24" t="inlineStr">
        <is>
          <t>1</t>
        </is>
      </c>
      <c r="BG95" s="24" t="inlineStr">
        <is>
          <t>mlb-elo-trend-lr-v6</t>
        </is>
      </c>
      <c r="BH95" s="24" t="inlineStr">
        <is>
          <t>2026-07-28T16:31:42.216046Z</t>
        </is>
      </c>
      <c r="BI95" s="24" t="inlineStr">
        <is>
          <t>["same_event","same_team_same_day","same_league_same_day"]</t>
        </is>
      </c>
      <c r="BJ95" s="25" t="n"/>
      <c r="BK95" s="26" t="n">
        <v>-110</v>
      </c>
      <c r="BL95" s="27" t="n">
        <v>1.909091</v>
      </c>
      <c r="BM95" s="28" t="n">
        <v>0.52381</v>
      </c>
      <c r="BN95" s="28" t="n"/>
      <c r="BO95" s="28" t="n"/>
      <c r="BP95" s="25" t="n"/>
      <c r="BQ95" s="27" t="n"/>
      <c r="BR95" s="28" t="n"/>
      <c r="BS95" s="28" t="n"/>
      <c r="BT95" s="28" t="n"/>
      <c r="BU95" s="25" t="n"/>
      <c r="BV95" s="29" t="n"/>
      <c r="BW95" s="24" t="n"/>
      <c r="BX95" s="30" t="n"/>
      <c r="BY95" s="27" t="n"/>
      <c r="BZ95" s="24" t="n"/>
      <c r="CA95" s="31" t="n"/>
      <c r="CB95" s="24" t="n"/>
      <c r="CC95" s="24" t="inlineStr">
        <is>
          <t>0.4926827475</t>
        </is>
      </c>
      <c r="CD95" s="24" t="inlineStr">
        <is>
          <t>-0.86802</t>
        </is>
      </c>
      <c r="CE95" s="24" t="inlineStr">
        <is>
          <t>1.05</t>
        </is>
      </c>
      <c r="CF95" s="24" t="n"/>
      <c r="CG95" s="24" t="n"/>
      <c r="CH95" s="24" t="inlineStr">
        <is>
          <t>0.0</t>
        </is>
      </c>
      <c r="CI95" s="24" t="inlineStr">
        <is>
          <t>probable_starter_era_gap</t>
        </is>
      </c>
      <c r="CJ95" s="24" t="n"/>
      <c r="CK95" s="24" t="n"/>
      <c r="CL95" s="24" t="n"/>
      <c r="CM95" s="24" t="n"/>
      <c r="CN95" s="24" t="n"/>
      <c r="CO95" s="24" t="n"/>
    </row>
    <row r="96" ht="36" customHeight="1">
      <c r="A96" s="24" t="inlineStr">
        <is>
          <t>a096488ac4874024</t>
        </is>
      </c>
      <c r="B96" s="24" t="inlineStr">
        <is>
          <t>2026-07-28T16:31:42.216046Z</t>
        </is>
      </c>
      <c r="C96" s="24" t="inlineStr">
        <is>
          <t>2026-07-28T19:40:00-0400</t>
        </is>
      </c>
      <c r="D96" s="24" t="inlineStr">
        <is>
          <t>401816300</t>
        </is>
      </c>
      <c r="E96" s="24" t="inlineStr">
        <is>
          <t>MLB</t>
        </is>
      </c>
      <c r="F96" s="24" t="inlineStr">
        <is>
          <t>Kansas City Royals</t>
        </is>
      </c>
      <c r="G96" s="24" t="inlineStr">
        <is>
          <t>Minnesota Twins</t>
        </is>
      </c>
      <c r="H96" s="24" t="inlineStr">
        <is>
          <t>moneyline</t>
        </is>
      </c>
      <c r="I96" s="24" t="inlineStr">
        <is>
          <t>home</t>
        </is>
      </c>
      <c r="J96" s="25" t="n"/>
      <c r="K96" s="24" t="inlineStr">
        <is>
          <t>polymarket_us</t>
        </is>
      </c>
      <c r="L96" s="26" t="n">
        <v>-156</v>
      </c>
      <c r="M96" s="27" t="n">
        <v>1.641026</v>
      </c>
      <c r="N96" s="28" t="n">
        <v>0.609375</v>
      </c>
      <c r="O96" s="28" t="n">
        <v>0.578619</v>
      </c>
      <c r="P96" s="28" t="n"/>
      <c r="Q96" s="28" t="n">
        <v>-0.030756</v>
      </c>
      <c r="R96" s="26" t="n">
        <v>6</v>
      </c>
      <c r="S96" s="29" t="n">
        <v>1.25</v>
      </c>
      <c r="T96" s="24" t="inlineStr">
        <is>
          <t>mlb-elo-trend-lr-v6</t>
        </is>
      </c>
      <c r="U96" s="24" t="inlineStr">
        <is>
          <t>open</t>
        </is>
      </c>
      <c r="V96" s="24" t="n"/>
      <c r="W96" s="26" t="n"/>
      <c r="X96" s="26" t="n"/>
      <c r="Y96" s="25" t="n"/>
      <c r="Z96" s="26" t="n"/>
      <c r="AA96" s="28" t="n"/>
      <c r="AB96" s="28" t="n"/>
      <c r="AC96" s="30" t="n"/>
      <c r="AD96" s="24" t="n"/>
      <c r="AE96" s="31" t="inlineStr">
        <is>
          <t>Learned LR call at threshold 0.5690; executable ask 0.6100 (aec-mlb-kc-min-2026-07-28).</t>
        </is>
      </c>
      <c r="AF96" s="31" t="inlineStr">
        <is>
          <t>Learned model; shadow-qualified via operator override.</t>
        </is>
      </c>
      <c r="AG96" s="24" t="inlineStr">
        <is>
          <t>not_applicable</t>
        </is>
      </c>
      <c r="AH96" s="24" t="n"/>
      <c r="AI96" s="31" t="n"/>
      <c r="AJ96" s="31" t="n"/>
      <c r="AK96" s="24" t="inlineStr">
        <is>
          <t>model_qualified</t>
        </is>
      </c>
      <c r="AL96" s="26" t="n">
        <v>3</v>
      </c>
      <c r="AM96" s="24" t="inlineStr">
        <is>
          <t>QUALIFIED_SHADOW_CALL</t>
        </is>
      </c>
      <c r="AN96" s="24" t="inlineStr">
        <is>
          <t>CALL</t>
        </is>
      </c>
      <c r="AO96" s="24" t="inlineStr">
        <is>
          <t>QUALIFIED</t>
        </is>
      </c>
      <c r="AP96" s="24" t="inlineStr">
        <is>
          <t>mlb-kc</t>
        </is>
      </c>
      <c r="AQ96" s="24" t="inlineStr">
        <is>
          <t>Kansas City Royals</t>
        </is>
      </c>
      <c r="AR96" s="24" t="inlineStr">
        <is>
          <t>Kansas City Royals</t>
        </is>
      </c>
      <c r="AS96" s="24" t="inlineStr">
        <is>
          <t>mlb-min</t>
        </is>
      </c>
      <c r="AT96" s="24" t="inlineStr">
        <is>
          <t>Minnesota Twins</t>
        </is>
      </c>
      <c r="AU96" s="24" t="inlineStr">
        <is>
          <t>Minnesota Twins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shadow_qualified</t>
        </is>
      </c>
      <c r="BA96" s="24" t="inlineStr">
        <is>
          <t>0633355b1144e4205ca6d08e3f328d99cab0970358846bd77228f3bcbfcd70ee</t>
        </is>
      </c>
      <c r="BB96" s="24" t="inlineStr">
        <is>
          <t>learned_lr</t>
        </is>
      </c>
      <c r="BC96" s="24" t="inlineStr">
        <is>
          <t>mlb-elo-trend-lr-v6</t>
        </is>
      </c>
      <c r="BD96" s="24" t="inlineStr">
        <is>
          <t>0633355b1144e4205ca6d08e3f328d99cab0970358846bd77228f3bcbfcd70ee</t>
        </is>
      </c>
      <c r="BE96" s="24" t="inlineStr">
        <is>
          <t>079b6684deb84a5e</t>
        </is>
      </c>
      <c r="BF96" s="24" t="inlineStr">
        <is>
          <t>1</t>
        </is>
      </c>
      <c r="BG96" s="24" t="inlineStr">
        <is>
          <t>mlb-elo-trend-lr-v6</t>
        </is>
      </c>
      <c r="BH96" s="24" t="inlineStr">
        <is>
          <t>2026-07-28T16:30:34.959290Z</t>
        </is>
      </c>
      <c r="BI96" s="24" t="inlineStr">
        <is>
          <t>["same_event","same_team_same_day","same_league_same_day"]</t>
        </is>
      </c>
      <c r="BJ96" s="25" t="n"/>
      <c r="BK96" s="26" t="n">
        <v>-156</v>
      </c>
      <c r="BL96" s="27" t="n">
        <v>1.641026</v>
      </c>
      <c r="BM96" s="28" t="n">
        <v>0.609375</v>
      </c>
      <c r="BN96" s="28" t="n">
        <v>0.606965</v>
      </c>
      <c r="BO96" s="28" t="n"/>
      <c r="BP96" s="25" t="n"/>
      <c r="BQ96" s="27" t="n"/>
      <c r="BR96" s="28" t="n"/>
      <c r="BS96" s="28" t="n"/>
      <c r="BT96" s="28" t="n"/>
      <c r="BU96" s="25" t="n"/>
      <c r="BV96" s="29" t="n"/>
      <c r="BW96" s="24" t="n"/>
      <c r="BX96" s="30" t="n"/>
      <c r="BY96" s="27" t="n"/>
      <c r="BZ96" s="24" t="n"/>
      <c r="CA96" s="31" t="n"/>
      <c r="CB96" s="24" t="n"/>
      <c r="CC96" s="24" t="inlineStr">
        <is>
          <t>0.5494442227</t>
        </is>
      </c>
      <c r="CD96" s="24" t="inlineStr">
        <is>
          <t>0.040618</t>
        </is>
      </c>
      <c r="CE96" s="24" t="inlineStr">
        <is>
          <t>1.0</t>
        </is>
      </c>
      <c r="CF96" s="24" t="n"/>
      <c r="CG96" s="24" t="n"/>
      <c r="CH96" s="24" t="inlineStr">
        <is>
          <t>-0.67</t>
        </is>
      </c>
      <c r="CI96" s="24" t="n"/>
      <c r="CJ96" s="24" t="n"/>
      <c r="CK96" s="24" t="n"/>
      <c r="CL96" s="24" t="n"/>
      <c r="CM96" s="24" t="n"/>
      <c r="CN96" s="24" t="n"/>
      <c r="CO96" s="24" t="n"/>
    </row>
    <row r="97" ht="36" customHeight="1">
      <c r="A97" s="24" t="inlineStr">
        <is>
          <t>e1cc6c52d0384f60</t>
        </is>
      </c>
      <c r="B97" s="24" t="inlineStr">
        <is>
          <t>2026-07-28T16:31:42.216046Z</t>
        </is>
      </c>
      <c r="C97" s="24" t="inlineStr">
        <is>
          <t>2026-07-28T19:40:00-0400</t>
        </is>
      </c>
      <c r="D97" s="24" t="inlineStr">
        <is>
          <t>401816301</t>
        </is>
      </c>
      <c r="E97" s="24" t="inlineStr">
        <is>
          <t>MLB</t>
        </is>
      </c>
      <c r="F97" s="24" t="inlineStr">
        <is>
          <t>New York Yankees</t>
        </is>
      </c>
      <c r="G97" s="24" t="inlineStr">
        <is>
          <t>Chicago White Sox</t>
        </is>
      </c>
      <c r="H97" s="24" t="inlineStr">
        <is>
          <t>moneyline</t>
        </is>
      </c>
      <c r="I97" s="24" t="inlineStr">
        <is>
          <t>away</t>
        </is>
      </c>
      <c r="J97" s="25" t="n"/>
      <c r="K97" s="24" t="inlineStr">
        <is>
          <t>polymarket_us</t>
        </is>
      </c>
      <c r="L97" s="26" t="n">
        <v>-115</v>
      </c>
      <c r="M97" s="27" t="n">
        <v>1.869565</v>
      </c>
      <c r="N97" s="28" t="n">
        <v>0.534884</v>
      </c>
      <c r="O97" s="28" t="n">
        <v>0.515486</v>
      </c>
      <c r="P97" s="28" t="n"/>
      <c r="Q97" s="28" t="n">
        <v>-0.019398</v>
      </c>
      <c r="R97" s="26" t="n">
        <v>12</v>
      </c>
      <c r="S97" s="29" t="n">
        <v>0.75</v>
      </c>
      <c r="T97" s="24" t="inlineStr">
        <is>
          <t>mlb-elo-trend-lr-v6</t>
        </is>
      </c>
      <c r="U97" s="24" t="inlineStr">
        <is>
          <t>open</t>
        </is>
      </c>
      <c r="V97" s="24" t="n"/>
      <c r="W97" s="26" t="n"/>
      <c r="X97" s="26" t="n"/>
      <c r="Y97" s="25" t="n"/>
      <c r="Z97" s="26" t="n"/>
      <c r="AA97" s="28" t="n"/>
      <c r="AB97" s="28" t="n"/>
      <c r="AC97" s="30" t="n"/>
      <c r="AD97" s="24" t="n"/>
      <c r="AE97" s="31" t="inlineStr">
        <is>
          <t>Learned LR call at threshold 0.5690; executable ask 0.5350 (aec-mlb-nyy-cws-2026-07-28).</t>
        </is>
      </c>
      <c r="AF97" s="31" t="inlineStr">
        <is>
          <t>Learned model; shadow-qualified via operator override.</t>
        </is>
      </c>
      <c r="AG97" s="24" t="inlineStr">
        <is>
          <t>not_applicable</t>
        </is>
      </c>
      <c r="AH97" s="24" t="n"/>
      <c r="AI97" s="31" t="n"/>
      <c r="AJ97" s="31" t="n"/>
      <c r="AK97" s="24" t="inlineStr">
        <is>
          <t>model_qualified</t>
        </is>
      </c>
      <c r="AL97" s="26" t="n">
        <v>3</v>
      </c>
      <c r="AM97" s="24" t="inlineStr">
        <is>
          <t>QUALIFIED_SHADOW_CALL</t>
        </is>
      </c>
      <c r="AN97" s="24" t="inlineStr">
        <is>
          <t>CALL</t>
        </is>
      </c>
      <c r="AO97" s="24" t="inlineStr">
        <is>
          <t>QUALIFIED</t>
        </is>
      </c>
      <c r="AP97" s="24" t="inlineStr">
        <is>
          <t>mlb-nyy</t>
        </is>
      </c>
      <c r="AQ97" s="24" t="inlineStr">
        <is>
          <t>New York Yankees</t>
        </is>
      </c>
      <c r="AR97" s="24" t="inlineStr">
        <is>
          <t>New York Yankees</t>
        </is>
      </c>
      <c r="AS97" s="24" t="inlineStr">
        <is>
          <t>mlb-cws</t>
        </is>
      </c>
      <c r="AT97" s="24" t="inlineStr">
        <is>
          <t>Chicago White Sox</t>
        </is>
      </c>
      <c r="AU97" s="24" t="inlineStr">
        <is>
          <t>Chicago White Sox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shadow_qualified</t>
        </is>
      </c>
      <c r="BA97" s="24" t="inlineStr">
        <is>
          <t>0633355b1144e4205ca6d08e3f328d99cab0970358846bd77228f3bcbfcd70ee</t>
        </is>
      </c>
      <c r="BB97" s="24" t="inlineStr">
        <is>
          <t>learned_lr</t>
        </is>
      </c>
      <c r="BC97" s="24" t="inlineStr">
        <is>
          <t>mlb-elo-trend-lr-v6</t>
        </is>
      </c>
      <c r="BD97" s="24" t="inlineStr">
        <is>
          <t>0633355b1144e4205ca6d08e3f328d99cab0970358846bd77228f3bcbfcd70ee</t>
        </is>
      </c>
      <c r="BE97" s="24" t="inlineStr">
        <is>
          <t>76154abedfc345eb</t>
        </is>
      </c>
      <c r="BF97" s="24" t="inlineStr">
        <is>
          <t>1</t>
        </is>
      </c>
      <c r="BG97" s="24" t="inlineStr">
        <is>
          <t>mlb-elo-trend-lr-v6</t>
        </is>
      </c>
      <c r="BH97" s="24" t="inlineStr">
        <is>
          <t>2026-07-28T16:30:35.762022Z</t>
        </is>
      </c>
      <c r="BI97" s="24" t="inlineStr">
        <is>
          <t>["same_event","same_team_same_day","same_league_same_day"]</t>
        </is>
      </c>
      <c r="BJ97" s="25" t="n"/>
      <c r="BK97" s="26" t="n">
        <v>-115</v>
      </c>
      <c r="BL97" s="27" t="n">
        <v>1.869565</v>
      </c>
      <c r="BM97" s="28" t="n">
        <v>0.534884</v>
      </c>
      <c r="BN97" s="28" t="n">
        <v>0.532338</v>
      </c>
      <c r="BO97" s="28" t="n"/>
      <c r="BP97" s="25" t="n"/>
      <c r="BQ97" s="27" t="n"/>
      <c r="BR97" s="28" t="n"/>
      <c r="BS97" s="28" t="n"/>
      <c r="BT97" s="28" t="n"/>
      <c r="BU97" s="25" t="n"/>
      <c r="BV97" s="29" t="n"/>
      <c r="BW97" s="24" t="n"/>
      <c r="BX97" s="30" t="n"/>
      <c r="BY97" s="27" t="n"/>
      <c r="BZ97" s="24" t="n"/>
      <c r="CA97" s="31" t="n"/>
      <c r="CB97" s="24" t="n"/>
      <c r="CC97" s="24" t="inlineStr">
        <is>
          <t>0.4761494151</t>
        </is>
      </c>
      <c r="CD97" s="24" t="inlineStr">
        <is>
          <t>1.500354</t>
        </is>
      </c>
      <c r="CE97" s="24" t="inlineStr">
        <is>
          <t>0.99</t>
        </is>
      </c>
      <c r="CF97" s="24" t="n"/>
      <c r="CG97" s="24" t="n"/>
      <c r="CH97" s="24" t="inlineStr">
        <is>
          <t>0.29</t>
        </is>
      </c>
      <c r="CI97" s="24" t="n"/>
      <c r="CJ97" s="24" t="n"/>
      <c r="CK97" s="24" t="n"/>
      <c r="CL97" s="24" t="n"/>
      <c r="CM97" s="24" t="n"/>
      <c r="CN97" s="24" t="n"/>
      <c r="CO97" s="24" t="n"/>
    </row>
    <row r="98" ht="36" customHeight="1">
      <c r="A98" s="24" t="inlineStr">
        <is>
          <t>dc0105c55abb4b77</t>
        </is>
      </c>
      <c r="B98" s="24" t="inlineStr">
        <is>
          <t>2026-07-28T16:31:42.216046Z</t>
        </is>
      </c>
      <c r="C98" s="24" t="inlineStr">
        <is>
          <t>2026-07-28T19:45:00-0400</t>
        </is>
      </c>
      <c r="D98" s="24" t="inlineStr">
        <is>
          <t>401816299</t>
        </is>
      </c>
      <c r="E98" s="24" t="inlineStr">
        <is>
          <t>MLB</t>
        </is>
      </c>
      <c r="F98" s="24" t="inlineStr">
        <is>
          <t>Chicago Cubs</t>
        </is>
      </c>
      <c r="G98" s="24" t="inlineStr">
        <is>
          <t>St. Louis Cardinals</t>
        </is>
      </c>
      <c r="H98" s="24" t="inlineStr">
        <is>
          <t>moneyline</t>
        </is>
      </c>
      <c r="I98" s="24" t="inlineStr">
        <is>
          <t>home</t>
        </is>
      </c>
      <c r="J98" s="25" t="n"/>
      <c r="K98" s="24" t="inlineStr">
        <is>
          <t>polymarket_us</t>
        </is>
      </c>
      <c r="L98" s="26" t="n">
        <v>104</v>
      </c>
      <c r="M98" s="27" t="n">
        <v>2.04</v>
      </c>
      <c r="N98" s="28" t="n">
        <v>0.490196</v>
      </c>
      <c r="O98" s="28" t="n">
        <v>0.658691</v>
      </c>
      <c r="P98" s="28" t="n"/>
      <c r="Q98" s="28" t="n">
        <v>0.168495</v>
      </c>
      <c r="R98" s="26" t="n">
        <v>100</v>
      </c>
      <c r="S98" s="29" t="n">
        <v>2</v>
      </c>
      <c r="T98" s="24" t="inlineStr">
        <is>
          <t>mlb-elo-trend-lr-v6</t>
        </is>
      </c>
      <c r="U98" s="24" t="inlineStr">
        <is>
          <t>open</t>
        </is>
      </c>
      <c r="V98" s="24" t="n"/>
      <c r="W98" s="26" t="n"/>
      <c r="X98" s="26" t="n"/>
      <c r="Y98" s="25" t="n"/>
      <c r="Z98" s="26" t="n"/>
      <c r="AA98" s="28" t="n"/>
      <c r="AB98" s="28" t="n"/>
      <c r="AC98" s="30" t="n"/>
      <c r="AD98" s="24" t="n"/>
      <c r="AE98" s="31" t="inlineStr">
        <is>
          <t>Learned LR call at threshold 0.5690; executable ask 0.4900 (aec-mlb-chc-stl-2026-07-28).</t>
        </is>
      </c>
      <c r="AF98" s="31" t="inlineStr">
        <is>
          <t>Learned model; shadow-qualified via operator override.</t>
        </is>
      </c>
      <c r="AG98" s="24" t="inlineStr">
        <is>
          <t>not_applicable</t>
        </is>
      </c>
      <c r="AH98" s="24" t="n"/>
      <c r="AI98" s="31" t="n"/>
      <c r="AJ98" s="31" t="n"/>
      <c r="AK98" s="24" t="inlineStr">
        <is>
          <t>model_qualified</t>
        </is>
      </c>
      <c r="AL98" s="26" t="n">
        <v>3</v>
      </c>
      <c r="AM98" s="24" t="inlineStr">
        <is>
          <t>QUALIFIED_SHADOW_CALL</t>
        </is>
      </c>
      <c r="AN98" s="24" t="inlineStr">
        <is>
          <t>CALL</t>
        </is>
      </c>
      <c r="AO98" s="24" t="inlineStr">
        <is>
          <t>QUALIFIED</t>
        </is>
      </c>
      <c r="AP98" s="24" t="inlineStr">
        <is>
          <t>mlb-chc</t>
        </is>
      </c>
      <c r="AQ98" s="24" t="inlineStr">
        <is>
          <t>Chicago Cubs</t>
        </is>
      </c>
      <c r="AR98" s="24" t="inlineStr">
        <is>
          <t>Chicago Cubs</t>
        </is>
      </c>
      <c r="AS98" s="24" t="inlineStr">
        <is>
          <t>mlb-stl</t>
        </is>
      </c>
      <c r="AT98" s="24" t="inlineStr">
        <is>
          <t>St. Louis Cardinals</t>
        </is>
      </c>
      <c r="AU98" s="24" t="inlineStr">
        <is>
          <t>St. Louis Cardinals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shadow_qualified</t>
        </is>
      </c>
      <c r="BA98" s="24" t="inlineStr">
        <is>
          <t>0633355b1144e4205ca6d08e3f328d99cab0970358846bd77228f3bcbfcd70ee</t>
        </is>
      </c>
      <c r="BB98" s="24" t="inlineStr">
        <is>
          <t>learned_lr</t>
        </is>
      </c>
      <c r="BC98" s="24" t="inlineStr">
        <is>
          <t>mlb-elo-trend-lr-v6</t>
        </is>
      </c>
      <c r="BD98" s="24" t="inlineStr">
        <is>
          <t>0633355b1144e4205ca6d08e3f328d99cab0970358846bd77228f3bcbfcd70ee</t>
        </is>
      </c>
      <c r="BE98" s="24" t="inlineStr">
        <is>
          <t>68171e0531444439</t>
        </is>
      </c>
      <c r="BF98" s="24" t="inlineStr">
        <is>
          <t>1</t>
        </is>
      </c>
      <c r="BG98" s="24" t="inlineStr">
        <is>
          <t>mlb-elo-trend-lr-v6</t>
        </is>
      </c>
      <c r="BH98" s="24" t="inlineStr">
        <is>
          <t>2026-07-28T16:30:36.724208Z</t>
        </is>
      </c>
      <c r="BI98" s="24" t="inlineStr">
        <is>
          <t>["same_event","same_team_same_day","same_league_same_day"]</t>
        </is>
      </c>
      <c r="BJ98" s="25" t="n"/>
      <c r="BK98" s="26" t="n">
        <v>104</v>
      </c>
      <c r="BL98" s="27" t="n">
        <v>2.04</v>
      </c>
      <c r="BM98" s="28" t="n">
        <v>0.490196</v>
      </c>
      <c r="BN98" s="28" t="n">
        <v>0.487562</v>
      </c>
      <c r="BO98" s="28" t="n"/>
      <c r="BP98" s="25" t="n"/>
      <c r="BQ98" s="27" t="n"/>
      <c r="BR98" s="28" t="n"/>
      <c r="BS98" s="28" t="n"/>
      <c r="BT98" s="28" t="n"/>
      <c r="BU98" s="25" t="n"/>
      <c r="BV98" s="29" t="n"/>
      <c r="BW98" s="24" t="n"/>
      <c r="BX98" s="30" t="n"/>
      <c r="BY98" s="27" t="n"/>
      <c r="BZ98" s="24" t="n"/>
      <c r="CA98" s="31" t="n"/>
      <c r="CB98" s="24" t="n"/>
      <c r="CC98" s="24" t="inlineStr">
        <is>
          <t>0.4644554475</t>
        </is>
      </c>
      <c r="CD98" s="24" t="inlineStr">
        <is>
          <t>-0.743911</t>
        </is>
      </c>
      <c r="CE98" s="24" t="inlineStr">
        <is>
          <t>0.99</t>
        </is>
      </c>
      <c r="CF98" s="24" t="n"/>
      <c r="CG98" s="24" t="n"/>
      <c r="CH98" s="24" t="inlineStr">
        <is>
          <t>-1.78</t>
        </is>
      </c>
      <c r="CI98" s="24" t="n"/>
      <c r="CJ98" s="24" t="n"/>
      <c r="CK98" s="24" t="n"/>
      <c r="CL98" s="24" t="n"/>
      <c r="CM98" s="24" t="n"/>
      <c r="CN98" s="24" t="n"/>
      <c r="CO98" s="24" t="n"/>
    </row>
    <row r="99" ht="36" customHeight="1">
      <c r="A99" s="24" t="inlineStr">
        <is>
          <t>8f13c0e31e9f4278</t>
        </is>
      </c>
      <c r="B99" s="24" t="inlineStr">
        <is>
          <t>2026-07-28T16:31:42.216046Z</t>
        </is>
      </c>
      <c r="C99" s="24" t="inlineStr">
        <is>
          <t>2026-07-28T21:38:00-0400</t>
        </is>
      </c>
      <c r="D99" s="24" t="inlineStr">
        <is>
          <t>401816304</t>
        </is>
      </c>
      <c r="E99" s="24" t="inlineStr">
        <is>
          <t>MLB</t>
        </is>
      </c>
      <c r="F99" s="24" t="inlineStr">
        <is>
          <t>Houston Astros</t>
        </is>
      </c>
      <c r="G99" s="24" t="inlineStr">
        <is>
          <t>Los Angeles Angels</t>
        </is>
      </c>
      <c r="H99" s="24" t="inlineStr">
        <is>
          <t>moneyline</t>
        </is>
      </c>
      <c r="I99" s="24" t="inlineStr">
        <is>
          <t>away</t>
        </is>
      </c>
      <c r="J99" s="25" t="n"/>
      <c r="K99" s="24" t="inlineStr">
        <is>
          <t>polymarket_us</t>
        </is>
      </c>
      <c r="L99" s="26" t="n">
        <v>-102</v>
      </c>
      <c r="M99" s="27" t="n">
        <v>1.980392</v>
      </c>
      <c r="N99" s="28" t="n">
        <v>0.50495</v>
      </c>
      <c r="O99" s="28" t="n">
        <v>0.526129</v>
      </c>
      <c r="P99" s="28" t="n"/>
      <c r="Q99" s="28" t="n">
        <v>0.021179</v>
      </c>
      <c r="R99" s="26" t="n">
        <v>32</v>
      </c>
      <c r="S99" s="29" t="n">
        <v>0.75</v>
      </c>
      <c r="T99" s="24" t="inlineStr">
        <is>
          <t>mlb-elo-trend-lr-v6</t>
        </is>
      </c>
      <c r="U99" s="24" t="inlineStr">
        <is>
          <t>open</t>
        </is>
      </c>
      <c r="V99" s="24" t="n"/>
      <c r="W99" s="26" t="n"/>
      <c r="X99" s="26" t="n"/>
      <c r="Y99" s="25" t="n"/>
      <c r="Z99" s="26" t="n"/>
      <c r="AA99" s="28" t="n"/>
      <c r="AB99" s="28" t="n"/>
      <c r="AC99" s="30" t="n"/>
      <c r="AD99" s="24" t="n"/>
      <c r="AE99" s="31" t="inlineStr">
        <is>
          <t>Learned LR call at threshold 0.5690; executable ask 0.5050 (aec-mlb-hou-laa-2026-07-28).</t>
        </is>
      </c>
      <c r="AF99" s="31" t="inlineStr">
        <is>
          <t>Learned model; shadow-qualified via operator override.</t>
        </is>
      </c>
      <c r="AG99" s="24" t="inlineStr">
        <is>
          <t>not_applicable</t>
        </is>
      </c>
      <c r="AH99" s="24" t="n"/>
      <c r="AI99" s="31" t="n"/>
      <c r="AJ99" s="31" t="n"/>
      <c r="AK99" s="24" t="inlineStr">
        <is>
          <t>model_qualified</t>
        </is>
      </c>
      <c r="AL99" s="26" t="n">
        <v>3</v>
      </c>
      <c r="AM99" s="24" t="inlineStr">
        <is>
          <t>QUALIFIED_SHADOW_CALL</t>
        </is>
      </c>
      <c r="AN99" s="24" t="inlineStr">
        <is>
          <t>CALL</t>
        </is>
      </c>
      <c r="AO99" s="24" t="inlineStr">
        <is>
          <t>QUALIFIED</t>
        </is>
      </c>
      <c r="AP99" s="24" t="inlineStr">
        <is>
          <t>mlb-hou</t>
        </is>
      </c>
      <c r="AQ99" s="24" t="inlineStr">
        <is>
          <t>Houston Astros</t>
        </is>
      </c>
      <c r="AR99" s="24" t="inlineStr">
        <is>
          <t>Houston Astros</t>
        </is>
      </c>
      <c r="AS99" s="24" t="inlineStr">
        <is>
          <t>mlb-laa</t>
        </is>
      </c>
      <c r="AT99" s="24" t="inlineStr">
        <is>
          <t>Los Angeles Angels</t>
        </is>
      </c>
      <c r="AU99" s="24" t="inlineStr">
        <is>
          <t>Los Angeles Angels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shadow_qualified</t>
        </is>
      </c>
      <c r="BA99" s="24" t="inlineStr">
        <is>
          <t>0633355b1144e4205ca6d08e3f328d99cab0970358846bd77228f3bcbfcd70ee</t>
        </is>
      </c>
      <c r="BB99" s="24" t="inlineStr">
        <is>
          <t>learned_lr</t>
        </is>
      </c>
      <c r="BC99" s="24" t="inlineStr">
        <is>
          <t>mlb-elo-trend-lr-v6</t>
        </is>
      </c>
      <c r="BD99" s="24" t="inlineStr">
        <is>
          <t>0633355b1144e4205ca6d08e3f328d99cab0970358846bd77228f3bcbfcd70ee</t>
        </is>
      </c>
      <c r="BE99" s="24" t="inlineStr">
        <is>
          <t>6339971571300259</t>
        </is>
      </c>
      <c r="BF99" s="24" t="inlineStr">
        <is>
          <t>1</t>
        </is>
      </c>
      <c r="BG99" s="24" t="inlineStr">
        <is>
          <t>mlb-elo-trend-lr-v6</t>
        </is>
      </c>
      <c r="BH99" s="24" t="inlineStr">
        <is>
          <t>2026-07-28T16:30:37.731894Z</t>
        </is>
      </c>
      <c r="BI99" s="24" t="inlineStr">
        <is>
          <t>["same_event","same_team_same_day","same_league_same_day"]</t>
        </is>
      </c>
      <c r="BJ99" s="25" t="n"/>
      <c r="BK99" s="26" t="n">
        <v>-102</v>
      </c>
      <c r="BL99" s="27" t="n">
        <v>1.980392</v>
      </c>
      <c r="BM99" s="28" t="n">
        <v>0.50495</v>
      </c>
      <c r="BN99" s="28" t="n">
        <v>0.502488</v>
      </c>
      <c r="BO99" s="28" t="n"/>
      <c r="BP99" s="25" t="n"/>
      <c r="BQ99" s="27" t="n"/>
      <c r="BR99" s="28" t="n"/>
      <c r="BS99" s="28" t="n"/>
      <c r="BT99" s="28" t="n"/>
      <c r="BU99" s="25" t="n"/>
      <c r="BV99" s="29" t="n"/>
      <c r="BW99" s="24" t="n"/>
      <c r="BX99" s="30" t="n"/>
      <c r="BY99" s="27" t="n"/>
      <c r="BZ99" s="24" t="n"/>
      <c r="CA99" s="31" t="n"/>
      <c r="CB99" s="24" t="n"/>
      <c r="CC99" s="24" t="inlineStr">
        <is>
          <t>0.4559426507</t>
        </is>
      </c>
      <c r="CD99" s="24" t="inlineStr">
        <is>
          <t>-1.582476</t>
        </is>
      </c>
      <c r="CE99" s="24" t="inlineStr">
        <is>
          <t>1.01</t>
        </is>
      </c>
      <c r="CF99" s="24" t="n"/>
      <c r="CG99" s="24" t="n"/>
      <c r="CH99" s="24" t="inlineStr">
        <is>
          <t>1.02</t>
        </is>
      </c>
      <c r="CI99" s="24" t="n"/>
      <c r="CJ99" s="24" t="n"/>
      <c r="CK99" s="24" t="n"/>
      <c r="CL99" s="24" t="n"/>
      <c r="CM99" s="24" t="n"/>
      <c r="CN99" s="24" t="n"/>
      <c r="CO99" s="24" t="n"/>
    </row>
    <row r="100" ht="36" customHeight="1">
      <c r="A100" s="24" t="inlineStr">
        <is>
          <t>32f5009010c946b6</t>
        </is>
      </c>
      <c r="B100" s="24" t="inlineStr">
        <is>
          <t>2026-07-28T16:31:42.216046Z</t>
        </is>
      </c>
      <c r="C100" s="24" t="inlineStr">
        <is>
          <t>2026-07-28T21:40:00-0400</t>
        </is>
      </c>
      <c r="D100" s="24" t="inlineStr">
        <is>
          <t>401816302</t>
        </is>
      </c>
      <c r="E100" s="24" t="inlineStr">
        <is>
          <t>MLB</t>
        </is>
      </c>
      <c r="F100" s="24" t="inlineStr">
        <is>
          <t>Boston Red Sox</t>
        </is>
      </c>
      <c r="G100" s="24" t="inlineStr">
        <is>
          <t>Athletics</t>
        </is>
      </c>
      <c r="H100" s="24" t="inlineStr">
        <is>
          <t>moneyline</t>
        </is>
      </c>
      <c r="I100" s="24" t="inlineStr">
        <is>
          <t>away</t>
        </is>
      </c>
      <c r="J100" s="25" t="n"/>
      <c r="K100" s="24" t="inlineStr">
        <is>
          <t>polymarket_us</t>
        </is>
      </c>
      <c r="L100" s="26" t="n">
        <v>-138</v>
      </c>
      <c r="M100" s="27" t="n">
        <v>1.724638</v>
      </c>
      <c r="N100" s="28" t="n">
        <v>0.579832</v>
      </c>
      <c r="O100" s="28" t="n">
        <v>0.594494</v>
      </c>
      <c r="P100" s="28" t="n"/>
      <c r="Q100" s="28" t="n">
        <v>0.014662</v>
      </c>
      <c r="R100" s="26" t="n">
        <v>29</v>
      </c>
      <c r="S100" s="29" t="n">
        <v>1.5</v>
      </c>
      <c r="T100" s="24" t="inlineStr">
        <is>
          <t>mlb-elo-trend-lr-v6</t>
        </is>
      </c>
      <c r="U100" s="24" t="inlineStr">
        <is>
          <t>open</t>
        </is>
      </c>
      <c r="V100" s="24" t="n"/>
      <c r="W100" s="26" t="n"/>
      <c r="X100" s="26" t="n"/>
      <c r="Y100" s="25" t="n"/>
      <c r="Z100" s="26" t="n"/>
      <c r="AA100" s="28" t="n"/>
      <c r="AB100" s="28" t="n"/>
      <c r="AC100" s="30" t="n"/>
      <c r="AD100" s="24" t="n"/>
      <c r="AE100" s="31" t="inlineStr">
        <is>
          <t>Learned LR call at threshold 0.5690; executable ask 0.5800 (aec-mlb-bos-ath-2026-07-28).</t>
        </is>
      </c>
      <c r="AF100" s="31" t="inlineStr">
        <is>
          <t>Learned model; shadow-qualified via operator override.</t>
        </is>
      </c>
      <c r="AG100" s="24" t="inlineStr">
        <is>
          <t>not_applicable</t>
        </is>
      </c>
      <c r="AH100" s="24" t="n"/>
      <c r="AI100" s="31" t="n"/>
      <c r="AJ100" s="31" t="n"/>
      <c r="AK100" s="24" t="inlineStr">
        <is>
          <t>model_qualified</t>
        </is>
      </c>
      <c r="AL100" s="26" t="n">
        <v>3</v>
      </c>
      <c r="AM100" s="24" t="inlineStr">
        <is>
          <t>QUALIFIED_SHADOW_CALL</t>
        </is>
      </c>
      <c r="AN100" s="24" t="inlineStr">
        <is>
          <t>CALL</t>
        </is>
      </c>
      <c r="AO100" s="24" t="inlineStr">
        <is>
          <t>QUALIFIED</t>
        </is>
      </c>
      <c r="AP100" s="24" t="inlineStr">
        <is>
          <t>mlb-bos</t>
        </is>
      </c>
      <c r="AQ100" s="24" t="inlineStr">
        <is>
          <t>Boston Red Sox</t>
        </is>
      </c>
      <c r="AR100" s="24" t="inlineStr">
        <is>
          <t>Boston Red Sox</t>
        </is>
      </c>
      <c r="AS100" s="24" t="inlineStr">
        <is>
          <t>mlb-ath</t>
        </is>
      </c>
      <c r="AT100" s="24" t="inlineStr">
        <is>
          <t>Athletics</t>
        </is>
      </c>
      <c r="AU100" s="24" t="inlineStr">
        <is>
          <t>Athletics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shadow_qualified</t>
        </is>
      </c>
      <c r="BA100" s="24" t="inlineStr">
        <is>
          <t>0633355b1144e4205ca6d08e3f328d99cab0970358846bd77228f3bcbfcd70ee</t>
        </is>
      </c>
      <c r="BB100" s="24" t="inlineStr">
        <is>
          <t>learned_lr</t>
        </is>
      </c>
      <c r="BC100" s="24" t="inlineStr">
        <is>
          <t>mlb-elo-trend-lr-v6</t>
        </is>
      </c>
      <c r="BD100" s="24" t="inlineStr">
        <is>
          <t>0633355b1144e4205ca6d08e3f328d99cab0970358846bd77228f3bcbfcd70ee</t>
        </is>
      </c>
      <c r="BE100" s="24" t="inlineStr">
        <is>
          <t>13824f8603c8d612</t>
        </is>
      </c>
      <c r="BF100" s="24" t="inlineStr">
        <is>
          <t>1</t>
        </is>
      </c>
      <c r="BG100" s="24" t="inlineStr">
        <is>
          <t>mlb-elo-trend-lr-v6</t>
        </is>
      </c>
      <c r="BH100" s="24" t="inlineStr">
        <is>
          <t>2026-07-28T16:30:38.638632Z</t>
        </is>
      </c>
      <c r="BI100" s="24" t="inlineStr">
        <is>
          <t>["same_event","same_team_same_day","same_league_same_day"]</t>
        </is>
      </c>
      <c r="BJ100" s="25" t="n"/>
      <c r="BK100" s="26" t="n">
        <v>-138</v>
      </c>
      <c r="BL100" s="27" t="n">
        <v>1.724638</v>
      </c>
      <c r="BM100" s="28" t="n">
        <v>0.579832</v>
      </c>
      <c r="BN100" s="28" t="n">
        <v>0.577114</v>
      </c>
      <c r="BO100" s="28" t="n"/>
      <c r="BP100" s="25" t="n"/>
      <c r="BQ100" s="27" t="n"/>
      <c r="BR100" s="28" t="n"/>
      <c r="BS100" s="28" t="n"/>
      <c r="BT100" s="28" t="n"/>
      <c r="BU100" s="25" t="n"/>
      <c r="BV100" s="29" t="n"/>
      <c r="BW100" s="24" t="n"/>
      <c r="BX100" s="30" t="n"/>
      <c r="BY100" s="27" t="n"/>
      <c r="BZ100" s="24" t="n"/>
      <c r="CA100" s="31" t="n"/>
      <c r="CB100" s="24" t="n"/>
      <c r="CC100" s="24" t="inlineStr">
        <is>
          <t>0.3891185316</t>
        </is>
      </c>
      <c r="CD100" s="24" t="inlineStr">
        <is>
          <t>-1.066043</t>
        </is>
      </c>
      <c r="CE100" s="24" t="inlineStr">
        <is>
          <t>0.98</t>
        </is>
      </c>
      <c r="CF100" s="24" t="n"/>
      <c r="CG100" s="24" t="n"/>
      <c r="CH100" s="24" t="inlineStr">
        <is>
          <t>1.84</t>
        </is>
      </c>
      <c r="CI100" s="24" t="n"/>
      <c r="CJ100" s="24" t="n"/>
      <c r="CK100" s="24" t="n"/>
      <c r="CL100" s="24" t="n"/>
      <c r="CM100" s="24" t="n"/>
      <c r="CN100" s="24" t="n"/>
      <c r="CO100" s="24" t="n"/>
    </row>
    <row r="101" ht="36" customHeight="1">
      <c r="A101" s="24" t="inlineStr">
        <is>
          <t>6b25b6e508214760</t>
        </is>
      </c>
      <c r="B101" s="24" t="inlineStr">
        <is>
          <t>2026-07-28T16:31:42.216046Z</t>
        </is>
      </c>
      <c r="C101" s="24" t="inlineStr">
        <is>
          <t>2026-07-28T21:40:00-0400</t>
        </is>
      </c>
      <c r="D101" s="24" t="inlineStr">
        <is>
          <t>401816303</t>
        </is>
      </c>
      <c r="E101" s="24" t="inlineStr">
        <is>
          <t>MLB</t>
        </is>
      </c>
      <c r="F101" s="24" t="inlineStr">
        <is>
          <t>Colorado Rockies</t>
        </is>
      </c>
      <c r="G101" s="24" t="inlineStr">
        <is>
          <t>San Diego Padres</t>
        </is>
      </c>
      <c r="H101" s="24" t="inlineStr">
        <is>
          <t>moneyline</t>
        </is>
      </c>
      <c r="I101" s="24" t="inlineStr">
        <is>
          <t>home</t>
        </is>
      </c>
      <c r="J101" s="25" t="n"/>
      <c r="K101" s="24" t="inlineStr">
        <is>
          <t>polymarket_us</t>
        </is>
      </c>
      <c r="L101" s="26" t="n">
        <v>-194</v>
      </c>
      <c r="M101" s="27" t="n">
        <v>1.515464</v>
      </c>
      <c r="N101" s="28" t="n">
        <v>0.659864</v>
      </c>
      <c r="O101" s="28" t="n">
        <v>0.7310950000000001</v>
      </c>
      <c r="P101" s="28" t="n"/>
      <c r="Q101" s="28" t="n">
        <v>0.071231</v>
      </c>
      <c r="R101" s="26" t="n">
        <v>57</v>
      </c>
      <c r="S101" s="29" t="n">
        <v>2</v>
      </c>
      <c r="T101" s="24" t="inlineStr">
        <is>
          <t>mlb-elo-trend-lr-v6</t>
        </is>
      </c>
      <c r="U101" s="24" t="inlineStr">
        <is>
          <t>open</t>
        </is>
      </c>
      <c r="V101" s="24" t="n"/>
      <c r="W101" s="26" t="n"/>
      <c r="X101" s="26" t="n"/>
      <c r="Y101" s="25" t="n"/>
      <c r="Z101" s="26" t="n"/>
      <c r="AA101" s="28" t="n"/>
      <c r="AB101" s="28" t="n"/>
      <c r="AC101" s="30" t="n"/>
      <c r="AD101" s="24" t="n"/>
      <c r="AE101" s="31" t="inlineStr">
        <is>
          <t>Learned LR call at threshold 0.5690; executable ask 0.6600 (aec-mlb-col-sd-2026-07-28).</t>
        </is>
      </c>
      <c r="AF101" s="31" t="inlineStr">
        <is>
          <t>Learned model; shadow-qualified via operator override.</t>
        </is>
      </c>
      <c r="AG101" s="24" t="inlineStr">
        <is>
          <t>not_applicable</t>
        </is>
      </c>
      <c r="AH101" s="24" t="n"/>
      <c r="AI101" s="31" t="n"/>
      <c r="AJ101" s="31" t="n"/>
      <c r="AK101" s="24" t="inlineStr">
        <is>
          <t>model_qualified</t>
        </is>
      </c>
      <c r="AL101" s="26" t="n">
        <v>3</v>
      </c>
      <c r="AM101" s="24" t="inlineStr">
        <is>
          <t>QUALIFIED_SHADOW_CALL</t>
        </is>
      </c>
      <c r="AN101" s="24" t="inlineStr">
        <is>
          <t>CALL</t>
        </is>
      </c>
      <c r="AO101" s="24" t="inlineStr">
        <is>
          <t>QUALIFIED</t>
        </is>
      </c>
      <c r="AP101" s="24" t="inlineStr">
        <is>
          <t>mlb-col</t>
        </is>
      </c>
      <c r="AQ101" s="24" t="inlineStr">
        <is>
          <t>Colorado Rockies</t>
        </is>
      </c>
      <c r="AR101" s="24" t="inlineStr">
        <is>
          <t>Colorado Rockies</t>
        </is>
      </c>
      <c r="AS101" s="24" t="inlineStr">
        <is>
          <t>mlb-sd</t>
        </is>
      </c>
      <c r="AT101" s="24" t="inlineStr">
        <is>
          <t>San Diego Padres</t>
        </is>
      </c>
      <c r="AU101" s="24" t="inlineStr">
        <is>
          <t>San Diego Padres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shadow_qualified</t>
        </is>
      </c>
      <c r="BA101" s="24" t="inlineStr">
        <is>
          <t>0633355b1144e4205ca6d08e3f328d99cab0970358846bd77228f3bcbfcd70ee</t>
        </is>
      </c>
      <c r="BB101" s="24" t="inlineStr">
        <is>
          <t>learned_lr</t>
        </is>
      </c>
      <c r="BC101" s="24" t="inlineStr">
        <is>
          <t>mlb-elo-trend-lr-v6</t>
        </is>
      </c>
      <c r="BD101" s="24" t="inlineStr">
        <is>
          <t>0633355b1144e4205ca6d08e3f328d99cab0970358846bd77228f3bcbfcd70ee</t>
        </is>
      </c>
      <c r="BE101" s="24" t="inlineStr">
        <is>
          <t>7af36682a5486cf7</t>
        </is>
      </c>
      <c r="BF101" s="24" t="inlineStr">
        <is>
          <t>1</t>
        </is>
      </c>
      <c r="BG101" s="24" t="inlineStr">
        <is>
          <t>mlb-elo-trend-lr-v6</t>
        </is>
      </c>
      <c r="BH101" s="24" t="inlineStr">
        <is>
          <t>2026-07-28T16:30:39.820826Z</t>
        </is>
      </c>
      <c r="BI101" s="24" t="inlineStr">
        <is>
          <t>["same_event","same_team_same_day","same_league_same_day"]</t>
        </is>
      </c>
      <c r="BJ101" s="25" t="n"/>
      <c r="BK101" s="26" t="n">
        <v>-194</v>
      </c>
      <c r="BL101" s="27" t="n">
        <v>1.515464</v>
      </c>
      <c r="BM101" s="28" t="n">
        <v>0.659864</v>
      </c>
      <c r="BN101" s="28" t="n">
        <v>0.656716</v>
      </c>
      <c r="BO101" s="28" t="n"/>
      <c r="BP101" s="25" t="n"/>
      <c r="BQ101" s="27" t="n"/>
      <c r="BR101" s="28" t="n"/>
      <c r="BS101" s="28" t="n"/>
      <c r="BT101" s="28" t="n"/>
      <c r="BU101" s="25" t="n"/>
      <c r="BV101" s="29" t="n"/>
      <c r="BW101" s="24" t="n"/>
      <c r="BX101" s="30" t="n"/>
      <c r="BY101" s="27" t="n"/>
      <c r="BZ101" s="24" t="n"/>
      <c r="CA101" s="31" t="n"/>
      <c r="CB101" s="24" t="n"/>
      <c r="CC101" s="24" t="inlineStr">
        <is>
          <t>0.6881581363</t>
        </is>
      </c>
      <c r="CD101" s="24" t="inlineStr">
        <is>
          <t>2.156212</t>
        </is>
      </c>
      <c r="CE101" s="24" t="inlineStr">
        <is>
          <t>0.95</t>
        </is>
      </c>
      <c r="CF101" s="24" t="n"/>
      <c r="CG101" s="24" t="n"/>
      <c r="CH101" s="24" t="inlineStr">
        <is>
          <t>-3.29</t>
        </is>
      </c>
      <c r="CI101" s="24" t="n"/>
      <c r="CJ101" s="24" t="n"/>
      <c r="CK101" s="24" t="n"/>
      <c r="CL101" s="24" t="n"/>
      <c r="CM101" s="24" t="n"/>
      <c r="CN101" s="24" t="n"/>
      <c r="CO101" s="24" t="n"/>
    </row>
    <row r="102" ht="36" customHeight="1">
      <c r="A102" s="24" t="inlineStr">
        <is>
          <t>6489471de4e24a7e</t>
        </is>
      </c>
      <c r="B102" s="24" t="inlineStr">
        <is>
          <t>2026-07-28T16:31:42.216046Z</t>
        </is>
      </c>
      <c r="C102" s="24" t="inlineStr">
        <is>
          <t>2026-07-28T21:45:00-0400</t>
        </is>
      </c>
      <c r="D102" s="24" t="inlineStr">
        <is>
          <t>401816305</t>
        </is>
      </c>
      <c r="E102" s="24" t="inlineStr">
        <is>
          <t>MLB</t>
        </is>
      </c>
      <c r="F102" s="24" t="inlineStr">
        <is>
          <t>Milwaukee Brewers</t>
        </is>
      </c>
      <c r="G102" s="24" t="inlineStr">
        <is>
          <t>San Francisco Giants</t>
        </is>
      </c>
      <c r="H102" s="24" t="inlineStr">
        <is>
          <t>moneyline</t>
        </is>
      </c>
      <c r="I102" s="24" t="inlineStr">
        <is>
          <t>away</t>
        </is>
      </c>
      <c r="J102" s="25" t="n"/>
      <c r="K102" s="24" t="inlineStr">
        <is>
          <t>polymarket_us</t>
        </is>
      </c>
      <c r="L102" s="26" t="n">
        <v>-144</v>
      </c>
      <c r="M102" s="27" t="n">
        <v>1.694444</v>
      </c>
      <c r="N102" s="28" t="n">
        <v>0.590164</v>
      </c>
      <c r="O102" s="28" t="n">
        <v>0.551473</v>
      </c>
      <c r="P102" s="28" t="n"/>
      <c r="Q102" s="28" t="n">
        <v>-0.038691</v>
      </c>
      <c r="R102" s="26" t="n">
        <v>2</v>
      </c>
      <c r="S102" s="29" t="n">
        <v>1</v>
      </c>
      <c r="T102" s="24" t="inlineStr">
        <is>
          <t>mlb-elo-trend-lr-v6</t>
        </is>
      </c>
      <c r="U102" s="24" t="inlineStr">
        <is>
          <t>open</t>
        </is>
      </c>
      <c r="V102" s="24" t="n"/>
      <c r="W102" s="26" t="n"/>
      <c r="X102" s="26" t="n"/>
      <c r="Y102" s="25" t="n"/>
      <c r="Z102" s="26" t="n"/>
      <c r="AA102" s="28" t="n"/>
      <c r="AB102" s="28" t="n"/>
      <c r="AC102" s="30" t="n"/>
      <c r="AD102" s="24" t="n"/>
      <c r="AE102" s="31" t="inlineStr">
        <is>
          <t>Learned LR call at threshold 0.5690; executable ask 0.5900 (aec-mlb-mil-sf-2026-07-28).</t>
        </is>
      </c>
      <c r="AF102" s="31" t="inlineStr">
        <is>
          <t>Learned model; shadow-qualified via operator override.</t>
        </is>
      </c>
      <c r="AG102" s="24" t="inlineStr">
        <is>
          <t>not_applicable</t>
        </is>
      </c>
      <c r="AH102" s="24" t="n"/>
      <c r="AI102" s="31" t="n"/>
      <c r="AJ102" s="31" t="n"/>
      <c r="AK102" s="24" t="inlineStr">
        <is>
          <t>model_qualified</t>
        </is>
      </c>
      <c r="AL102" s="26" t="n">
        <v>3</v>
      </c>
      <c r="AM102" s="24" t="inlineStr">
        <is>
          <t>QUALIFIED_SHADOW_CALL</t>
        </is>
      </c>
      <c r="AN102" s="24" t="inlineStr">
        <is>
          <t>CALL</t>
        </is>
      </c>
      <c r="AO102" s="24" t="inlineStr">
        <is>
          <t>QUALIFIED</t>
        </is>
      </c>
      <c r="AP102" s="24" t="inlineStr">
        <is>
          <t>mlb-mil</t>
        </is>
      </c>
      <c r="AQ102" s="24" t="inlineStr">
        <is>
          <t>Milwaukee Brewers</t>
        </is>
      </c>
      <c r="AR102" s="24" t="inlineStr">
        <is>
          <t>Milwaukee Brewers</t>
        </is>
      </c>
      <c r="AS102" s="24" t="inlineStr">
        <is>
          <t>mlb-sf</t>
        </is>
      </c>
      <c r="AT102" s="24" t="inlineStr">
        <is>
          <t>San Francisco Giants</t>
        </is>
      </c>
      <c r="AU102" s="24" t="inlineStr">
        <is>
          <t>San Francisco Giants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shadow_qualified</t>
        </is>
      </c>
      <c r="BA102" s="24" t="inlineStr">
        <is>
          <t>0633355b1144e4205ca6d08e3f328d99cab0970358846bd77228f3bcbfcd70ee</t>
        </is>
      </c>
      <c r="BB102" s="24" t="inlineStr">
        <is>
          <t>learned_lr</t>
        </is>
      </c>
      <c r="BC102" s="24" t="inlineStr">
        <is>
          <t>mlb-elo-trend-lr-v6</t>
        </is>
      </c>
      <c r="BD102" s="24" t="inlineStr">
        <is>
          <t>0633355b1144e4205ca6d08e3f328d99cab0970358846bd77228f3bcbfcd70ee</t>
        </is>
      </c>
      <c r="BE102" s="24" t="inlineStr">
        <is>
          <t>df15ad699cf8d76f</t>
        </is>
      </c>
      <c r="BF102" s="24" t="inlineStr">
        <is>
          <t>1</t>
        </is>
      </c>
      <c r="BG102" s="24" t="inlineStr">
        <is>
          <t>mlb-elo-trend-lr-v6</t>
        </is>
      </c>
      <c r="BH102" s="24" t="inlineStr">
        <is>
          <t>2026-07-28T16:30:40.360813Z</t>
        </is>
      </c>
      <c r="BI102" s="24" t="inlineStr">
        <is>
          <t>["same_event","same_team_same_day","same_league_same_day"]</t>
        </is>
      </c>
      <c r="BJ102" s="25" t="n"/>
      <c r="BK102" s="26" t="n">
        <v>-144</v>
      </c>
      <c r="BL102" s="27" t="n">
        <v>1.694444</v>
      </c>
      <c r="BM102" s="28" t="n">
        <v>0.590164</v>
      </c>
      <c r="BN102" s="28" t="n">
        <v>0.5870649999999999</v>
      </c>
      <c r="BO102" s="28" t="n"/>
      <c r="BP102" s="25" t="n"/>
      <c r="BQ102" s="27" t="n"/>
      <c r="BR102" s="28" t="n"/>
      <c r="BS102" s="28" t="n"/>
      <c r="BT102" s="28" t="n"/>
      <c r="BU102" s="25" t="n"/>
      <c r="BV102" s="29" t="n"/>
      <c r="BW102" s="24" t="n"/>
      <c r="BX102" s="30" t="n"/>
      <c r="BY102" s="27" t="n"/>
      <c r="BZ102" s="24" t="n"/>
      <c r="CA102" s="31" t="n"/>
      <c r="CB102" s="24" t="n"/>
      <c r="CC102" s="24" t="inlineStr">
        <is>
          <t>0.386809701</t>
        </is>
      </c>
      <c r="CD102" s="24" t="inlineStr">
        <is>
          <t>0.729859</t>
        </is>
      </c>
      <c r="CE102" s="24" t="inlineStr">
        <is>
          <t>0.96</t>
        </is>
      </c>
      <c r="CF102" s="24" t="n"/>
      <c r="CG102" s="24" t="n"/>
      <c r="CH102" s="24" t="inlineStr">
        <is>
          <t>0.88</t>
        </is>
      </c>
      <c r="CI102" s="24" t="n"/>
      <c r="CJ102" s="24" t="n"/>
      <c r="CK102" s="24" t="n"/>
      <c r="CL102" s="24" t="n"/>
      <c r="CM102" s="24" t="n"/>
      <c r="CN102" s="24" t="n"/>
      <c r="CO102" s="24" t="n"/>
    </row>
    <row r="103" ht="36" customHeight="1">
      <c r="A103" s="24" t="inlineStr">
        <is>
          <t>23e12be0b8634108</t>
        </is>
      </c>
      <c r="B103" s="24" t="inlineStr">
        <is>
          <t>2026-07-28T16:31:42.216046Z</t>
        </is>
      </c>
      <c r="C103" s="24" t="inlineStr">
        <is>
          <t>2026-07-28T22:10:00-0400</t>
        </is>
      </c>
      <c r="D103" s="24" t="inlineStr">
        <is>
          <t>401816306</t>
        </is>
      </c>
      <c r="E103" s="24" t="inlineStr">
        <is>
          <t>MLB</t>
        </is>
      </c>
      <c r="F103" s="24" t="inlineStr">
        <is>
          <t>Seattle Mariners</t>
        </is>
      </c>
      <c r="G103" s="24" t="inlineStr">
        <is>
          <t>Los Angeles Dodgers</t>
        </is>
      </c>
      <c r="H103" s="24" t="inlineStr">
        <is>
          <t>moneyline</t>
        </is>
      </c>
      <c r="I103" s="24" t="inlineStr">
        <is>
          <t>home</t>
        </is>
      </c>
      <c r="J103" s="25" t="n"/>
      <c r="K103" s="24" t="inlineStr">
        <is>
          <t>polymarket_us</t>
        </is>
      </c>
      <c r="L103" s="26" t="n">
        <v>-178</v>
      </c>
      <c r="M103" s="27" t="n">
        <v>1.561798</v>
      </c>
      <c r="N103" s="28" t="n">
        <v>0.640288</v>
      </c>
      <c r="O103" s="28" t="n">
        <v>0.690607</v>
      </c>
      <c r="P103" s="28" t="n"/>
      <c r="Q103" s="28" t="n">
        <v>0.050319</v>
      </c>
      <c r="R103" s="26" t="n">
        <v>47</v>
      </c>
      <c r="S103" s="29" t="n">
        <v>2</v>
      </c>
      <c r="T103" s="24" t="inlineStr">
        <is>
          <t>mlb-elo-trend-lr-v6</t>
        </is>
      </c>
      <c r="U103" s="24" t="inlineStr">
        <is>
          <t>open</t>
        </is>
      </c>
      <c r="V103" s="24" t="n"/>
      <c r="W103" s="26" t="n"/>
      <c r="X103" s="26" t="n"/>
      <c r="Y103" s="25" t="n"/>
      <c r="Z103" s="26" t="n"/>
      <c r="AA103" s="28" t="n"/>
      <c r="AB103" s="28" t="n"/>
      <c r="AC103" s="30" t="n"/>
      <c r="AD103" s="24" t="n"/>
      <c r="AE103" s="31" t="inlineStr">
        <is>
          <t>Learned LR call at threshold 0.5690; executable ask 0.6400 (aec-mlb-sea-lad-2026-07-28).</t>
        </is>
      </c>
      <c r="AF103" s="31" t="inlineStr">
        <is>
          <t>Learned model; shadow-qualified via operator override.</t>
        </is>
      </c>
      <c r="AG103" s="24" t="inlineStr">
        <is>
          <t>not_applicable</t>
        </is>
      </c>
      <c r="AH103" s="24" t="n"/>
      <c r="AI103" s="31" t="n"/>
      <c r="AJ103" s="31" t="n"/>
      <c r="AK103" s="24" t="inlineStr">
        <is>
          <t>model_qualified</t>
        </is>
      </c>
      <c r="AL103" s="26" t="n">
        <v>3</v>
      </c>
      <c r="AM103" s="24" t="inlineStr">
        <is>
          <t>QUALIFIED_SHADOW_CALL</t>
        </is>
      </c>
      <c r="AN103" s="24" t="inlineStr">
        <is>
          <t>CALL</t>
        </is>
      </c>
      <c r="AO103" s="24" t="inlineStr">
        <is>
          <t>QUALIFIED</t>
        </is>
      </c>
      <c r="AP103" s="24" t="inlineStr">
        <is>
          <t>mlb-sea</t>
        </is>
      </c>
      <c r="AQ103" s="24" t="inlineStr">
        <is>
          <t>Seattle Mariners</t>
        </is>
      </c>
      <c r="AR103" s="24" t="inlineStr">
        <is>
          <t>Seattle Mariners</t>
        </is>
      </c>
      <c r="AS103" s="24" t="inlineStr">
        <is>
          <t>mlb-lad</t>
        </is>
      </c>
      <c r="AT103" s="24" t="inlineStr">
        <is>
          <t>Los Angeles Dodgers</t>
        </is>
      </c>
      <c r="AU103" s="24" t="inlineStr">
        <is>
          <t>Los Angeles Dodgers</t>
        </is>
      </c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shadow_qualified</t>
        </is>
      </c>
      <c r="BA103" s="24" t="inlineStr">
        <is>
          <t>0633355b1144e4205ca6d08e3f328d99cab0970358846bd77228f3bcbfcd70ee</t>
        </is>
      </c>
      <c r="BB103" s="24" t="inlineStr">
        <is>
          <t>learned_lr</t>
        </is>
      </c>
      <c r="BC103" s="24" t="inlineStr">
        <is>
          <t>mlb-elo-trend-lr-v6</t>
        </is>
      </c>
      <c r="BD103" s="24" t="inlineStr">
        <is>
          <t>0633355b1144e4205ca6d08e3f328d99cab0970358846bd77228f3bcbfcd70ee</t>
        </is>
      </c>
      <c r="BE103" s="24" t="inlineStr">
        <is>
          <t>c0be61a1b000c85d</t>
        </is>
      </c>
      <c r="BF103" s="24" t="inlineStr">
        <is>
          <t>1</t>
        </is>
      </c>
      <c r="BG103" s="24" t="inlineStr">
        <is>
          <t>mlb-elo-trend-lr-v6</t>
        </is>
      </c>
      <c r="BH103" s="24" t="inlineStr">
        <is>
          <t>2026-07-28T16:30:41.425716Z</t>
        </is>
      </c>
      <c r="BI103" s="24" t="inlineStr">
        <is>
          <t>["same_event","same_team_same_day","same_league_same_day"]</t>
        </is>
      </c>
      <c r="BJ103" s="25" t="n"/>
      <c r="BK103" s="26" t="n">
        <v>-178</v>
      </c>
      <c r="BL103" s="27" t="n">
        <v>1.561798</v>
      </c>
      <c r="BM103" s="28" t="n">
        <v>0.640288</v>
      </c>
      <c r="BN103" s="28" t="n">
        <v>0.636816</v>
      </c>
      <c r="BO103" s="28" t="n"/>
      <c r="BP103" s="25" t="n"/>
      <c r="BQ103" s="27" t="n"/>
      <c r="BR103" s="28" t="n"/>
      <c r="BS103" s="28" t="n"/>
      <c r="BT103" s="28" t="n"/>
      <c r="BU103" s="25" t="n"/>
      <c r="BV103" s="29" t="n"/>
      <c r="BW103" s="24" t="n"/>
      <c r="BX103" s="30" t="n"/>
      <c r="BY103" s="27" t="n"/>
      <c r="BZ103" s="24" t="n"/>
      <c r="CA103" s="31" t="n"/>
      <c r="CB103" s="24" t="n"/>
      <c r="CC103" s="24" t="inlineStr">
        <is>
          <t>0.6258863376</t>
        </is>
      </c>
      <c r="CD103" s="24" t="inlineStr">
        <is>
          <t>-0.186858</t>
        </is>
      </c>
      <c r="CE103" s="24" t="inlineStr">
        <is>
          <t>0.99</t>
        </is>
      </c>
      <c r="CF103" s="24" t="n"/>
      <c r="CG103" s="24" t="n"/>
      <c r="CH103" s="24" t="inlineStr">
        <is>
          <t>-2.23</t>
        </is>
      </c>
      <c r="CI103" s="24" t="n"/>
      <c r="CJ103" s="24" t="n"/>
      <c r="CK103" s="24" t="n"/>
      <c r="CL103" s="24" t="n"/>
      <c r="CM103" s="24" t="n"/>
      <c r="CN103" s="24" t="n"/>
      <c r="CO103" s="24" t="n"/>
    </row>
    <row r="104" ht="36" customHeight="1">
      <c r="A104" s="24" t="inlineStr">
        <is>
          <t>b854487938754c14</t>
        </is>
      </c>
      <c r="B104" s="24" t="inlineStr">
        <is>
          <t>2026-07-28T16:31:55.190477Z</t>
        </is>
      </c>
      <c r="C104" s="24" t="inlineStr">
        <is>
          <t>2026-07-28T17:40Z</t>
        </is>
      </c>
      <c r="D104" s="24" t="inlineStr">
        <is>
          <t>401901849</t>
        </is>
      </c>
      <c r="E104" s="24" t="inlineStr">
        <is>
          <t>MLB</t>
        </is>
      </c>
      <c r="F104" s="24" t="inlineStr">
        <is>
          <t>Cleveland Guardians</t>
        </is>
      </c>
      <c r="G104" s="24" t="inlineStr">
        <is>
          <t>Cincinnati Reds</t>
        </is>
      </c>
      <c r="H104" s="24" t="inlineStr">
        <is>
          <t>spread</t>
        </is>
      </c>
      <c r="I104" s="24" t="inlineStr">
        <is>
          <t>home</t>
        </is>
      </c>
      <c r="J104" s="25" t="n">
        <v>-1.5</v>
      </c>
      <c r="K104" s="24" t="inlineStr">
        <is>
          <t>polymarket_us</t>
        </is>
      </c>
      <c r="L104" s="26" t="n">
        <v>133</v>
      </c>
      <c r="M104" s="27" t="n">
        <v>2.33</v>
      </c>
      <c r="N104" s="28" t="n">
        <v>0.429185</v>
      </c>
      <c r="O104" s="28" t="n">
        <v>0.51241</v>
      </c>
      <c r="P104" s="28" t="n">
        <v>0.047697</v>
      </c>
      <c r="Q104" s="28" t="n">
        <v>0.08322499999999999</v>
      </c>
      <c r="R104" s="26" t="n">
        <v>63</v>
      </c>
      <c r="S104" s="29" t="n">
        <v>0</v>
      </c>
      <c r="T104" s="24" t="inlineStr">
        <is>
          <t>measured-edge-margin-v1</t>
        </is>
      </c>
      <c r="U104" s="24" t="inlineStr">
        <is>
          <t>open</t>
        </is>
      </c>
      <c r="V104" s="24" t="n"/>
      <c r="W104" s="26" t="n"/>
      <c r="X104" s="26" t="n"/>
      <c r="Y104" s="25" t="n"/>
      <c r="Z104" s="26" t="n"/>
      <c r="AA104" s="28" t="n"/>
      <c r="AB104" s="28" t="n"/>
      <c r="AC104" s="30" t="n"/>
      <c r="AD104" s="24" t="n"/>
      <c r="AE104" s="31" t="inlineStr">
        <is>
          <t>Measured Edge Margin: Trend Engine projected 3.23-5.16; raw selected-side p=0.5146, calibrated p=0.5124.</t>
        </is>
      </c>
      <c r="AF104" s="31" t="inlineStr">
        <is>
          <t>Research-only; lineup, bullpen, park, weather, xFIP, and wRC+ may be neutral fallbacks; market availability and BBO depth may change before first pitch.</t>
        </is>
      </c>
      <c r="AG104" s="24" t="inlineStr">
        <is>
          <t>not_applicable</t>
        </is>
      </c>
      <c r="AH104" s="24" t="n"/>
      <c r="AI104" s="31" t="n"/>
      <c r="AJ104" s="31" t="n"/>
      <c r="AK104" s="24" t="inlineStr">
        <is>
          <t>research_observation</t>
        </is>
      </c>
      <c r="AL104" s="26" t="n">
        <v>3</v>
      </c>
      <c r="AM104" s="24" t="inlineStr">
        <is>
          <t>RESEARCH_OBSERVATION</t>
        </is>
      </c>
      <c r="AN104" s="24" t="inlineStr">
        <is>
          <t>NO_CALL</t>
        </is>
      </c>
      <c r="AO104" s="24" t="inlineStr">
        <is>
          <t>NO_CALL_MODEL_UNVALIDATED</t>
        </is>
      </c>
      <c r="AP104" s="24" t="inlineStr">
        <is>
          <t>mlb-cle</t>
        </is>
      </c>
      <c r="AQ104" s="24" t="inlineStr">
        <is>
          <t>Cleveland Guardians</t>
        </is>
      </c>
      <c r="AR104" s="24" t="inlineStr">
        <is>
          <t>Cleveland Guardians</t>
        </is>
      </c>
      <c r="AS104" s="24" t="inlineStr">
        <is>
          <t>mlb-cin</t>
        </is>
      </c>
      <c r="AT104" s="24" t="inlineStr">
        <is>
          <t>Cincinnati Reds</t>
        </is>
      </c>
      <c r="AU104" s="24" t="inlineStr">
        <is>
          <t>Cincinnati Reds</t>
        </is>
      </c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research</t>
        </is>
      </c>
      <c r="BA104" s="24" t="inlineStr">
        <is>
          <t>bd86494ed21c6a0389ab0efcf4b8a5bb7b9f8f8786b6d5fb9da69d8cf0a70bdc</t>
        </is>
      </c>
      <c r="BB104" s="24" t="inlineStr">
        <is>
          <t>flat_probability_shrinkage_toward_half</t>
        </is>
      </c>
      <c r="BC104" s="24" t="inlineStr">
        <is>
          <t>measured-edge-margin-v1</t>
        </is>
      </c>
      <c r="BD104" s="24" t="inlineStr">
        <is>
          <t>bd86494ed21c6a0389ab0efcf4b8a5bb7b9f8f8786b6d5fb9da69d8cf0a70bdc</t>
        </is>
      </c>
      <c r="BE104" s="24" t="inlineStr">
        <is>
          <t>v3</t>
        </is>
      </c>
      <c r="BF104" s="24" t="inlineStr">
        <is>
          <t>1</t>
        </is>
      </c>
      <c r="BG104" s="24" t="inlineStr">
        <is>
          <t>measured-edge-paired-v1</t>
        </is>
      </c>
      <c r="BH104" s="24" t="inlineStr">
        <is>
          <t>2026-07-28T16:31:55.190477Z</t>
        </is>
      </c>
      <c r="BI104" s="24" t="inlineStr">
        <is>
          <t>["same_event","same_team_same_day","same_league_same_day"]</t>
        </is>
      </c>
      <c r="BJ104" s="25" t="n">
        <v>-1.5</v>
      </c>
      <c r="BK104" s="26" t="n">
        <v>133</v>
      </c>
      <c r="BL104" s="27" t="n">
        <v>2.33</v>
      </c>
      <c r="BM104" s="28" t="n">
        <v>0.429185</v>
      </c>
      <c r="BN104" s="28" t="n">
        <v>0.427861</v>
      </c>
      <c r="BO104" s="28" t="n"/>
      <c r="BP104" s="25" t="n"/>
      <c r="BQ104" s="27" t="n"/>
      <c r="BR104" s="28" t="n"/>
      <c r="BS104" s="28" t="n"/>
      <c r="BT104" s="28" t="n"/>
      <c r="BU104" s="25" t="n"/>
      <c r="BV104" s="29" t="n"/>
      <c r="BW104" s="24" t="n"/>
      <c r="BX104" s="30" t="n"/>
      <c r="BY104" s="27" t="n"/>
      <c r="BZ104" s="24" t="n"/>
      <c r="CA104" s="31" t="n"/>
      <c r="CB104" s="24" t="n"/>
      <c r="CC104" s="24" t="n"/>
      <c r="CD104" s="24" t="n"/>
      <c r="CE104" s="24" t="n"/>
      <c r="CF104" s="24" t="n"/>
      <c r="CG104" s="24" t="n"/>
      <c r="CH104" s="24" t="n"/>
      <c r="CI104" s="24" t="n"/>
      <c r="CJ104" s="24" t="n"/>
      <c r="CK104" s="24" t="n"/>
      <c r="CL104" s="24" t="n"/>
      <c r="CM104" s="24" t="n"/>
      <c r="CN104" s="24" t="n"/>
      <c r="CO104" s="24" t="n"/>
    </row>
    <row r="105" ht="36" customHeight="1">
      <c r="A105" s="24" t="inlineStr">
        <is>
          <t>6ff349fcdf724f59</t>
        </is>
      </c>
      <c r="B105" s="24" t="inlineStr">
        <is>
          <t>2026-07-28T16:31:55.190477Z</t>
        </is>
      </c>
      <c r="C105" s="24" t="inlineStr">
        <is>
          <t>2026-07-28T17:40Z</t>
        </is>
      </c>
      <c r="D105" s="24" t="inlineStr">
        <is>
          <t>401901849</t>
        </is>
      </c>
      <c r="E105" s="24" t="inlineStr">
        <is>
          <t>MLB</t>
        </is>
      </c>
      <c r="F105" s="24" t="inlineStr">
        <is>
          <t>Cleveland Guardians</t>
        </is>
      </c>
      <c r="G105" s="24" t="inlineStr">
        <is>
          <t>Cincinnati Reds</t>
        </is>
      </c>
      <c r="H105" s="24" t="inlineStr">
        <is>
          <t>total</t>
        </is>
      </c>
      <c r="I105" s="24" t="inlineStr">
        <is>
          <t>under</t>
        </is>
      </c>
      <c r="J105" s="25" t="n">
        <v>8.5</v>
      </c>
      <c r="K105" s="24" t="inlineStr">
        <is>
          <t>polymarket_us</t>
        </is>
      </c>
      <c r="L105" s="26" t="n">
        <v>122</v>
      </c>
      <c r="M105" s="27" t="n">
        <v>2.22</v>
      </c>
      <c r="N105" s="28" t="n">
        <v>0.45045</v>
      </c>
      <c r="O105" s="28" t="n">
        <v>0.532555</v>
      </c>
      <c r="P105" s="28" t="n">
        <v>0.047697</v>
      </c>
      <c r="Q105" s="28" t="n">
        <v>0.082105</v>
      </c>
      <c r="R105" s="26" t="n">
        <v>62</v>
      </c>
      <c r="S105" s="29" t="n">
        <v>0</v>
      </c>
      <c r="T105" s="24" t="inlineStr">
        <is>
          <t>measured-edge-totals-v1</t>
        </is>
      </c>
      <c r="U105" s="24" t="inlineStr">
        <is>
          <t>open</t>
        </is>
      </c>
      <c r="V105" s="24" t="n"/>
      <c r="W105" s="26" t="n"/>
      <c r="X105" s="26" t="n"/>
      <c r="Y105" s="25" t="n"/>
      <c r="Z105" s="26" t="n"/>
      <c r="AA105" s="28" t="n"/>
      <c r="AB105" s="28" t="n"/>
      <c r="AC105" s="30" t="n"/>
      <c r="AD105" s="24" t="n"/>
      <c r="AE105" s="31" t="inlineStr">
        <is>
          <t>Measured Edge Totals: Trend Engine projected 3.23-5.16; raw selected-side p=0.5383, calibrated p=0.5326.</t>
        </is>
      </c>
      <c r="AF105" s="31" t="inlineStr">
        <is>
          <t>Research-only; lineup, bullpen, park, weather, xFIP, and wRC+ may be neutral fallbacks; market availability and BBO depth may change before first pitch.</t>
        </is>
      </c>
      <c r="AG105" s="24" t="inlineStr">
        <is>
          <t>not_applicable</t>
        </is>
      </c>
      <c r="AH105" s="24" t="n"/>
      <c r="AI105" s="31" t="n"/>
      <c r="AJ105" s="31" t="n"/>
      <c r="AK105" s="24" t="inlineStr">
        <is>
          <t>research_observation</t>
        </is>
      </c>
      <c r="AL105" s="26" t="n">
        <v>3</v>
      </c>
      <c r="AM105" s="24" t="inlineStr">
        <is>
          <t>RESEARCH_OBSERVATION</t>
        </is>
      </c>
      <c r="AN105" s="24" t="inlineStr">
        <is>
          <t>NO_CALL</t>
        </is>
      </c>
      <c r="AO105" s="24" t="inlineStr">
        <is>
          <t>NO_CALL_MODEL_UNVALIDATED</t>
        </is>
      </c>
      <c r="AP105" s="24" t="inlineStr">
        <is>
          <t>mlb-cle</t>
        </is>
      </c>
      <c r="AQ105" s="24" t="inlineStr">
        <is>
          <t>Cleveland Guardians</t>
        </is>
      </c>
      <c r="AR105" s="24" t="inlineStr">
        <is>
          <t>Cleveland Guardians</t>
        </is>
      </c>
      <c r="AS105" s="24" t="inlineStr">
        <is>
          <t>mlb-cin</t>
        </is>
      </c>
      <c r="AT105" s="24" t="inlineStr">
        <is>
          <t>Cincinnati Reds</t>
        </is>
      </c>
      <c r="AU105" s="24" t="inlineStr">
        <is>
          <t>Cincinnati Reds</t>
        </is>
      </c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research</t>
        </is>
      </c>
      <c r="BA105" s="24" t="inlineStr">
        <is>
          <t>0aa06c0f065ec20d43901d386280174165e2b07065216b6c7ffe72c98e322706</t>
        </is>
      </c>
      <c r="BB105" s="24" t="inlineStr">
        <is>
          <t>flat_probability_shrinkage_toward_half</t>
        </is>
      </c>
      <c r="BC105" s="24" t="inlineStr">
        <is>
          <t>measured-edge-totals-v1</t>
        </is>
      </c>
      <c r="BD105" s="24" t="inlineStr">
        <is>
          <t>0aa06c0f065ec20d43901d386280174165e2b07065216b6c7ffe72c98e322706</t>
        </is>
      </c>
      <c r="BE105" s="24" t="inlineStr">
        <is>
          <t>v3</t>
        </is>
      </c>
      <c r="BF105" s="24" t="inlineStr">
        <is>
          <t>1</t>
        </is>
      </c>
      <c r="BG105" s="24" t="inlineStr">
        <is>
          <t>measured-edge-paired-v1</t>
        </is>
      </c>
      <c r="BH105" s="24" t="inlineStr">
        <is>
          <t>2026-07-28T16:31:55.190477Z</t>
        </is>
      </c>
      <c r="BI105" s="24" t="inlineStr">
        <is>
          <t>["same_event","same_team_same_day","same_league_same_day"]</t>
        </is>
      </c>
      <c r="BJ105" s="25" t="n">
        <v>8.5</v>
      </c>
      <c r="BK105" s="26" t="n">
        <v>122</v>
      </c>
      <c r="BL105" s="27" t="n">
        <v>2.22</v>
      </c>
      <c r="BM105" s="28" t="n">
        <v>0.45045</v>
      </c>
      <c r="BN105" s="28" t="n">
        <v>0.447761</v>
      </c>
      <c r="BO105" s="28" t="n"/>
      <c r="BP105" s="25" t="n"/>
      <c r="BQ105" s="27" t="n"/>
      <c r="BR105" s="28" t="n"/>
      <c r="BS105" s="28" t="n"/>
      <c r="BT105" s="28" t="n"/>
      <c r="BU105" s="25" t="n"/>
      <c r="BV105" s="29" t="n"/>
      <c r="BW105" s="24" t="n"/>
      <c r="BX105" s="30" t="n"/>
      <c r="BY105" s="27" t="n"/>
      <c r="BZ105" s="24" t="n"/>
      <c r="CA105" s="31" t="n"/>
      <c r="CB105" s="24" t="n"/>
      <c r="CC105" s="24" t="n"/>
      <c r="CD105" s="24" t="n"/>
      <c r="CE105" s="24" t="n"/>
      <c r="CF105" s="24" t="n"/>
      <c r="CG105" s="24" t="n"/>
      <c r="CH105" s="24" t="n"/>
      <c r="CI105" s="24" t="n"/>
      <c r="CJ105" s="24" t="n"/>
      <c r="CK105" s="24" t="n"/>
      <c r="CL105" s="24" t="n"/>
      <c r="CM105" s="24" t="n"/>
      <c r="CN105" s="24" t="n"/>
      <c r="CO105" s="24" t="n"/>
    </row>
    <row r="106" ht="36" customHeight="1">
      <c r="A106" s="24" t="inlineStr">
        <is>
          <t>fa6a56c4251a4fc9</t>
        </is>
      </c>
      <c r="B106" s="24" t="inlineStr">
        <is>
          <t>2026-07-28T16:31:55.190477Z</t>
        </is>
      </c>
      <c r="C106" s="24" t="inlineStr">
        <is>
          <t>2026-07-28T22:40Z</t>
        </is>
      </c>
      <c r="D106" s="24" t="inlineStr">
        <is>
          <t>401816292</t>
        </is>
      </c>
      <c r="E106" s="24" t="inlineStr">
        <is>
          <t>MLB</t>
        </is>
      </c>
      <c r="F106" s="24" t="inlineStr">
        <is>
          <t>Arizona Diamondbacks</t>
        </is>
      </c>
      <c r="G106" s="24" t="inlineStr">
        <is>
          <t>Pittsburgh Pirates</t>
        </is>
      </c>
      <c r="H106" s="24" t="inlineStr">
        <is>
          <t>spread</t>
        </is>
      </c>
      <c r="I106" s="24" t="inlineStr">
        <is>
          <t>away</t>
        </is>
      </c>
      <c r="J106" s="25" t="n">
        <v>-1.5</v>
      </c>
      <c r="K106" s="24" t="inlineStr">
        <is>
          <t>polymarket_us</t>
        </is>
      </c>
      <c r="L106" s="26" t="n">
        <v>167</v>
      </c>
      <c r="M106" s="27" t="n">
        <v>2.67</v>
      </c>
      <c r="N106" s="28" t="n">
        <v>0.374532</v>
      </c>
      <c r="O106" s="28" t="n">
        <v>0.536465</v>
      </c>
      <c r="P106" s="28" t="n">
        <v>0.047697</v>
      </c>
      <c r="Q106" s="28" t="n">
        <v>0.161933</v>
      </c>
      <c r="R106" s="26" t="n">
        <v>100</v>
      </c>
      <c r="S106" s="29" t="n">
        <v>0</v>
      </c>
      <c r="T106" s="24" t="inlineStr">
        <is>
          <t>measured-edge-margin-v1</t>
        </is>
      </c>
      <c r="U106" s="24" t="inlineStr">
        <is>
          <t>open</t>
        </is>
      </c>
      <c r="V106" s="24" t="n"/>
      <c r="W106" s="26" t="n"/>
      <c r="X106" s="26" t="n"/>
      <c r="Y106" s="25" t="n"/>
      <c r="Z106" s="26" t="n"/>
      <c r="AA106" s="28" t="n"/>
      <c r="AB106" s="28" t="n"/>
      <c r="AC106" s="30" t="n"/>
      <c r="AD106" s="24" t="n"/>
      <c r="AE106" s="31" t="inlineStr">
        <is>
          <t>Measured Edge Margin: Trend Engine projected 5.17-3.11; raw selected-side p=0.5429, calibrated p=0.5365.</t>
        </is>
      </c>
      <c r="AF106" s="31" t="inlineStr">
        <is>
          <t>Research-only; lineup, bullpen, park, weather, xFIP, and wRC+ may be neutral fallbacks; market availability and BBO depth may change before first pitch.</t>
        </is>
      </c>
      <c r="AG106" s="24" t="inlineStr">
        <is>
          <t>not_applicable</t>
        </is>
      </c>
      <c r="AH106" s="24" t="n"/>
      <c r="AI106" s="31" t="n"/>
      <c r="AJ106" s="31" t="n"/>
      <c r="AK106" s="24" t="inlineStr">
        <is>
          <t>research_observation</t>
        </is>
      </c>
      <c r="AL106" s="26" t="n">
        <v>3</v>
      </c>
      <c r="AM106" s="24" t="inlineStr">
        <is>
          <t>RESEARCH_OBSERVATION</t>
        </is>
      </c>
      <c r="AN106" s="24" t="inlineStr">
        <is>
          <t>NO_CALL</t>
        </is>
      </c>
      <c r="AO106" s="24" t="inlineStr">
        <is>
          <t>NO_CALL_MODEL_UNVALIDATED</t>
        </is>
      </c>
      <c r="AP106" s="24" t="inlineStr">
        <is>
          <t>mlb-ari</t>
        </is>
      </c>
      <c r="AQ106" s="24" t="inlineStr">
        <is>
          <t>Arizona Diamondbacks</t>
        </is>
      </c>
      <c r="AR106" s="24" t="inlineStr">
        <is>
          <t>Arizona Diamondbacks</t>
        </is>
      </c>
      <c r="AS106" s="24" t="inlineStr">
        <is>
          <t>mlb-pit</t>
        </is>
      </c>
      <c r="AT106" s="24" t="inlineStr">
        <is>
          <t>Pittsburgh Pirates</t>
        </is>
      </c>
      <c r="AU106" s="24" t="inlineStr">
        <is>
          <t>Pittsburgh Pirates</t>
        </is>
      </c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research</t>
        </is>
      </c>
      <c r="BA106" s="24" t="inlineStr">
        <is>
          <t>bd86494ed21c6a0389ab0efcf4b8a5bb7b9f8f8786b6d5fb9da69d8cf0a70bdc</t>
        </is>
      </c>
      <c r="BB106" s="24" t="inlineStr">
        <is>
          <t>flat_probability_shrinkage_toward_half</t>
        </is>
      </c>
      <c r="BC106" s="24" t="inlineStr">
        <is>
          <t>measured-edge-margin-v1</t>
        </is>
      </c>
      <c r="BD106" s="24" t="inlineStr">
        <is>
          <t>bd86494ed21c6a0389ab0efcf4b8a5bb7b9f8f8786b6d5fb9da69d8cf0a70bdc</t>
        </is>
      </c>
      <c r="BE106" s="24" t="inlineStr">
        <is>
          <t>v3</t>
        </is>
      </c>
      <c r="BF106" s="24" t="inlineStr">
        <is>
          <t>1</t>
        </is>
      </c>
      <c r="BG106" s="24" t="inlineStr">
        <is>
          <t>measured-edge-paired-v1</t>
        </is>
      </c>
      <c r="BH106" s="24" t="inlineStr">
        <is>
          <t>2026-07-28T16:31:55.190477Z</t>
        </is>
      </c>
      <c r="BI106" s="24" t="inlineStr">
        <is>
          <t>["same_event","same_team_same_day","same_league_same_day"]</t>
        </is>
      </c>
      <c r="BJ106" s="25" t="n">
        <v>-1.5</v>
      </c>
      <c r="BK106" s="26" t="n">
        <v>167</v>
      </c>
      <c r="BL106" s="27" t="n">
        <v>2.67</v>
      </c>
      <c r="BM106" s="28" t="n">
        <v>0.374532</v>
      </c>
      <c r="BN106" s="28" t="n">
        <v>0.373134</v>
      </c>
      <c r="BO106" s="28" t="n"/>
      <c r="BP106" s="25" t="n"/>
      <c r="BQ106" s="27" t="n"/>
      <c r="BR106" s="28" t="n"/>
      <c r="BS106" s="28" t="n"/>
      <c r="BT106" s="28" t="n"/>
      <c r="BU106" s="25" t="n"/>
      <c r="BV106" s="29" t="n"/>
      <c r="BW106" s="24" t="n"/>
      <c r="BX106" s="30" t="n"/>
      <c r="BY106" s="27" t="n"/>
      <c r="BZ106" s="24" t="n"/>
      <c r="CA106" s="31" t="n"/>
      <c r="CB106" s="24" t="n"/>
      <c r="CC106" s="24" t="n"/>
      <c r="CD106" s="24" t="n"/>
      <c r="CE106" s="24" t="n"/>
      <c r="CF106" s="24" t="n"/>
      <c r="CG106" s="24" t="n"/>
      <c r="CH106" s="24" t="n"/>
      <c r="CI106" s="24" t="n"/>
      <c r="CJ106" s="24" t="n"/>
      <c r="CK106" s="24" t="n"/>
      <c r="CL106" s="24" t="n"/>
      <c r="CM106" s="24" t="n"/>
      <c r="CN106" s="24" t="n"/>
      <c r="CO106" s="24" t="n"/>
    </row>
    <row r="107" ht="36" customHeight="1">
      <c r="A107" s="24" t="inlineStr">
        <is>
          <t>573888ee84814e3e</t>
        </is>
      </c>
      <c r="B107" s="24" t="inlineStr">
        <is>
          <t>2026-07-28T16:31:55.190477Z</t>
        </is>
      </c>
      <c r="C107" s="24" t="inlineStr">
        <is>
          <t>2026-07-28T22:40Z</t>
        </is>
      </c>
      <c r="D107" s="24" t="inlineStr">
        <is>
          <t>401816292</t>
        </is>
      </c>
      <c r="E107" s="24" t="inlineStr">
        <is>
          <t>MLB</t>
        </is>
      </c>
      <c r="F107" s="24" t="inlineStr">
        <is>
          <t>Arizona Diamondbacks</t>
        </is>
      </c>
      <c r="G107" s="24" t="inlineStr">
        <is>
          <t>Pittsburgh Pirates</t>
        </is>
      </c>
      <c r="H107" s="24" t="inlineStr">
        <is>
          <t>total</t>
        </is>
      </c>
      <c r="I107" s="24" t="inlineStr">
        <is>
          <t>under</t>
        </is>
      </c>
      <c r="J107" s="25" t="n">
        <v>9.5</v>
      </c>
      <c r="K107" s="24" t="inlineStr">
        <is>
          <t>polymarket_us</t>
        </is>
      </c>
      <c r="L107" s="26" t="n">
        <v>-117</v>
      </c>
      <c r="M107" s="27" t="n">
        <v>1.854701</v>
      </c>
      <c r="N107" s="28" t="n">
        <v>0.539171</v>
      </c>
      <c r="O107" s="28" t="n">
        <v>0.641015</v>
      </c>
      <c r="P107" s="28" t="n">
        <v>0.047697</v>
      </c>
      <c r="Q107" s="28" t="n">
        <v>0.101844</v>
      </c>
      <c r="R107" s="26" t="n">
        <v>72</v>
      </c>
      <c r="S107" s="29" t="n">
        <v>0</v>
      </c>
      <c r="T107" s="24" t="inlineStr">
        <is>
          <t>measured-edge-totals-v1</t>
        </is>
      </c>
      <c r="U107" s="24" t="inlineStr">
        <is>
          <t>open</t>
        </is>
      </c>
      <c r="V107" s="24" t="n"/>
      <c r="W107" s="26" t="n"/>
      <c r="X107" s="26" t="n"/>
      <c r="Y107" s="25" t="n"/>
      <c r="Z107" s="26" t="n"/>
      <c r="AA107" s="28" t="n"/>
      <c r="AB107" s="28" t="n"/>
      <c r="AC107" s="30" t="n"/>
      <c r="AD107" s="24" t="n"/>
      <c r="AE107" s="31" t="inlineStr">
        <is>
          <t>Measured Edge Totals: Trend Engine projected 5.17-3.11; raw selected-side p=0.6659, calibrated p=0.6410.</t>
        </is>
      </c>
      <c r="AF107" s="31" t="inlineStr">
        <is>
          <t>Research-only; lineup, bullpen, park, weather, xFIP, and wRC+ may be neutral fallbacks; market availability and BBO depth may change before first pitch.</t>
        </is>
      </c>
      <c r="AG107" s="24" t="inlineStr">
        <is>
          <t>not_applicable</t>
        </is>
      </c>
      <c r="AH107" s="24" t="n"/>
      <c r="AI107" s="31" t="n"/>
      <c r="AJ107" s="31" t="n"/>
      <c r="AK107" s="24" t="inlineStr">
        <is>
          <t>research_observation</t>
        </is>
      </c>
      <c r="AL107" s="26" t="n">
        <v>3</v>
      </c>
      <c r="AM107" s="24" t="inlineStr">
        <is>
          <t>RESEARCH_OBSERVATION</t>
        </is>
      </c>
      <c r="AN107" s="24" t="inlineStr">
        <is>
          <t>NO_CALL</t>
        </is>
      </c>
      <c r="AO107" s="24" t="inlineStr">
        <is>
          <t>NO_CALL_MODEL_UNVALIDATED</t>
        </is>
      </c>
      <c r="AP107" s="24" t="inlineStr">
        <is>
          <t>mlb-ari</t>
        </is>
      </c>
      <c r="AQ107" s="24" t="inlineStr">
        <is>
          <t>Arizona Diamondbacks</t>
        </is>
      </c>
      <c r="AR107" s="24" t="inlineStr">
        <is>
          <t>Arizona Diamondbacks</t>
        </is>
      </c>
      <c r="AS107" s="24" t="inlineStr">
        <is>
          <t>mlb-pit</t>
        </is>
      </c>
      <c r="AT107" s="24" t="inlineStr">
        <is>
          <t>Pittsburgh Pirates</t>
        </is>
      </c>
      <c r="AU107" s="24" t="inlineStr">
        <is>
          <t>Pittsburgh Pirates</t>
        </is>
      </c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research</t>
        </is>
      </c>
      <c r="BA107" s="24" t="inlineStr">
        <is>
          <t>0aa06c0f065ec20d43901d386280174165e2b07065216b6c7ffe72c98e322706</t>
        </is>
      </c>
      <c r="BB107" s="24" t="inlineStr">
        <is>
          <t>flat_probability_shrinkage_toward_half</t>
        </is>
      </c>
      <c r="BC107" s="24" t="inlineStr">
        <is>
          <t>measured-edge-totals-v1</t>
        </is>
      </c>
      <c r="BD107" s="24" t="inlineStr">
        <is>
          <t>0aa06c0f065ec20d43901d386280174165e2b07065216b6c7ffe72c98e322706</t>
        </is>
      </c>
      <c r="BE107" s="24" t="inlineStr">
        <is>
          <t>v3</t>
        </is>
      </c>
      <c r="BF107" s="24" t="inlineStr">
        <is>
          <t>1</t>
        </is>
      </c>
      <c r="BG107" s="24" t="inlineStr">
        <is>
          <t>measured-edge-paired-v1</t>
        </is>
      </c>
      <c r="BH107" s="24" t="inlineStr">
        <is>
          <t>2026-07-28T16:31:55.190477Z</t>
        </is>
      </c>
      <c r="BI107" s="24" t="inlineStr">
        <is>
          <t>["same_event","same_team_same_day","same_league_same_day"]</t>
        </is>
      </c>
      <c r="BJ107" s="25" t="n">
        <v>9.5</v>
      </c>
      <c r="BK107" s="26" t="n">
        <v>-117</v>
      </c>
      <c r="BL107" s="27" t="n">
        <v>1.854701</v>
      </c>
      <c r="BM107" s="28" t="n">
        <v>0.539171</v>
      </c>
      <c r="BN107" s="28" t="n">
        <v>0.537313</v>
      </c>
      <c r="BO107" s="28" t="n"/>
      <c r="BP107" s="25" t="n"/>
      <c r="BQ107" s="27" t="n"/>
      <c r="BR107" s="28" t="n"/>
      <c r="BS107" s="28" t="n"/>
      <c r="BT107" s="28" t="n"/>
      <c r="BU107" s="25" t="n"/>
      <c r="BV107" s="29" t="n"/>
      <c r="BW107" s="24" t="n"/>
      <c r="BX107" s="30" t="n"/>
      <c r="BY107" s="27" t="n"/>
      <c r="BZ107" s="24" t="n"/>
      <c r="CA107" s="31" t="n"/>
      <c r="CB107" s="24" t="n"/>
      <c r="CC107" s="24" t="n"/>
      <c r="CD107" s="24" t="n"/>
      <c r="CE107" s="24" t="n"/>
      <c r="CF107" s="24" t="n"/>
      <c r="CG107" s="24" t="n"/>
      <c r="CH107" s="24" t="n"/>
      <c r="CI107" s="24" t="n"/>
      <c r="CJ107" s="24" t="n"/>
      <c r="CK107" s="24" t="n"/>
      <c r="CL107" s="24" t="n"/>
      <c r="CM107" s="24" t="n"/>
      <c r="CN107" s="24" t="n"/>
      <c r="CO107" s="24" t="n"/>
    </row>
    <row r="108" ht="36" customHeight="1">
      <c r="A108" s="24" t="inlineStr">
        <is>
          <t>8ebe4b447ae5485c</t>
        </is>
      </c>
      <c r="B108" s="24" t="inlineStr">
        <is>
          <t>2026-07-28T16:31:55.190477Z</t>
        </is>
      </c>
      <c r="C108" s="24" t="inlineStr">
        <is>
          <t>2026-07-28T22:40Z</t>
        </is>
      </c>
      <c r="D108" s="24" t="inlineStr">
        <is>
          <t>401816294</t>
        </is>
      </c>
      <c r="E108" s="24" t="inlineStr">
        <is>
          <t>MLB</t>
        </is>
      </c>
      <c r="F108" s="24" t="inlineStr">
        <is>
          <t>Baltimore Orioles</t>
        </is>
      </c>
      <c r="G108" s="24" t="inlineStr">
        <is>
          <t>Detroit Tigers</t>
        </is>
      </c>
      <c r="H108" s="24" t="inlineStr">
        <is>
          <t>spread</t>
        </is>
      </c>
      <c r="I108" s="24" t="inlineStr">
        <is>
          <t>home</t>
        </is>
      </c>
      <c r="J108" s="25" t="n">
        <v>-1.5</v>
      </c>
      <c r="K108" s="24" t="inlineStr">
        <is>
          <t>polymarket_us</t>
        </is>
      </c>
      <c r="L108" s="26" t="n">
        <v>147</v>
      </c>
      <c r="M108" s="27" t="n">
        <v>2.47</v>
      </c>
      <c r="N108" s="28" t="n">
        <v>0.404858</v>
      </c>
      <c r="O108" s="28" t="n">
        <v>0.64654</v>
      </c>
      <c r="P108" s="28" t="n">
        <v>0.056347</v>
      </c>
      <c r="Q108" s="28" t="n">
        <v>0.241682</v>
      </c>
      <c r="R108" s="26" t="n">
        <v>100</v>
      </c>
      <c r="S108" s="29" t="n">
        <v>0</v>
      </c>
      <c r="T108" s="24" t="inlineStr">
        <is>
          <t>measured-edge-margin-v1</t>
        </is>
      </c>
      <c r="U108" s="24" t="inlineStr">
        <is>
          <t>open</t>
        </is>
      </c>
      <c r="V108" s="24" t="n"/>
      <c r="W108" s="26" t="n"/>
      <c r="X108" s="26" t="n"/>
      <c r="Y108" s="25" t="n"/>
      <c r="Z108" s="26" t="n"/>
      <c r="AA108" s="28" t="n"/>
      <c r="AB108" s="28" t="n"/>
      <c r="AC108" s="30" t="n"/>
      <c r="AD108" s="24" t="n"/>
      <c r="AE108" s="31" t="inlineStr">
        <is>
          <t>Measured Edge Margin: Trend Engine projected 2.20-5.43; raw selected-side p=0.6724, calibrated p=0.6465.</t>
        </is>
      </c>
      <c r="AF108" s="31" t="inlineStr">
        <is>
          <t>Research-only; lineup, bullpen, park, weather, xFIP, and wRC+ may be neutral fallbacks; market availability and BBO depth may change before first pitch.</t>
        </is>
      </c>
      <c r="AG108" s="24" t="inlineStr">
        <is>
          <t>not_applicable</t>
        </is>
      </c>
      <c r="AH108" s="24" t="n"/>
      <c r="AI108" s="31" t="n"/>
      <c r="AJ108" s="31" t="n"/>
      <c r="AK108" s="24" t="inlineStr">
        <is>
          <t>research_observation</t>
        </is>
      </c>
      <c r="AL108" s="26" t="n">
        <v>3</v>
      </c>
      <c r="AM108" s="24" t="inlineStr">
        <is>
          <t>RESEARCH_OBSERVATION</t>
        </is>
      </c>
      <c r="AN108" s="24" t="inlineStr">
        <is>
          <t>NO_CALL</t>
        </is>
      </c>
      <c r="AO108" s="24" t="inlineStr">
        <is>
          <t>NO_CALL_MODEL_UNVALIDATED</t>
        </is>
      </c>
      <c r="AP108" s="24" t="inlineStr">
        <is>
          <t>mlb-bal</t>
        </is>
      </c>
      <c r="AQ108" s="24" t="inlineStr">
        <is>
          <t>Baltimore Orioles</t>
        </is>
      </c>
      <c r="AR108" s="24" t="inlineStr">
        <is>
          <t>Baltimore Orioles</t>
        </is>
      </c>
      <c r="AS108" s="24" t="inlineStr">
        <is>
          <t>mlb-det</t>
        </is>
      </c>
      <c r="AT108" s="24" t="inlineStr">
        <is>
          <t>Detroit Tigers</t>
        </is>
      </c>
      <c r="AU108" s="24" t="inlineStr">
        <is>
          <t>Detroit Tigers</t>
        </is>
      </c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research</t>
        </is>
      </c>
      <c r="BA108" s="24" t="inlineStr">
        <is>
          <t>bd86494ed21c6a0389ab0efcf4b8a5bb7b9f8f8786b6d5fb9da69d8cf0a70bdc</t>
        </is>
      </c>
      <c r="BB108" s="24" t="inlineStr">
        <is>
          <t>flat_probability_shrinkage_toward_half</t>
        </is>
      </c>
      <c r="BC108" s="24" t="inlineStr">
        <is>
          <t>measured-edge-margin-v1</t>
        </is>
      </c>
      <c r="BD108" s="24" t="inlineStr">
        <is>
          <t>bd86494ed21c6a0389ab0efcf4b8a5bb7b9f8f8786b6d5fb9da69d8cf0a70bdc</t>
        </is>
      </c>
      <c r="BE108" s="24" t="inlineStr">
        <is>
          <t>v3</t>
        </is>
      </c>
      <c r="BF108" s="24" t="inlineStr">
        <is>
          <t>1</t>
        </is>
      </c>
      <c r="BG108" s="24" t="inlineStr">
        <is>
          <t>measured-edge-paired-v1</t>
        </is>
      </c>
      <c r="BH108" s="24" t="inlineStr">
        <is>
          <t>2026-07-28T16:31:55.190477Z</t>
        </is>
      </c>
      <c r="BI108" s="24" t="inlineStr">
        <is>
          <t>["same_event","same_team_same_day","same_league_same_day"]</t>
        </is>
      </c>
      <c r="BJ108" s="25" t="n">
        <v>-1.5</v>
      </c>
      <c r="BK108" s="26" t="n">
        <v>147</v>
      </c>
      <c r="BL108" s="27" t="n">
        <v>2.47</v>
      </c>
      <c r="BM108" s="28" t="n">
        <v>0.404858</v>
      </c>
      <c r="BN108" s="28" t="n">
        <v>0.402985</v>
      </c>
      <c r="BO108" s="28" t="n"/>
      <c r="BP108" s="25" t="n"/>
      <c r="BQ108" s="27" t="n"/>
      <c r="BR108" s="28" t="n"/>
      <c r="BS108" s="28" t="n"/>
      <c r="BT108" s="28" t="n"/>
      <c r="BU108" s="25" t="n"/>
      <c r="BV108" s="29" t="n"/>
      <c r="BW108" s="24" t="n"/>
      <c r="BX108" s="30" t="n"/>
      <c r="BY108" s="27" t="n"/>
      <c r="BZ108" s="24" t="n"/>
      <c r="CA108" s="31" t="n"/>
      <c r="CB108" s="24" t="n"/>
      <c r="CC108" s="24" t="n"/>
      <c r="CD108" s="24" t="n"/>
      <c r="CE108" s="24" t="n"/>
      <c r="CF108" s="24" t="n"/>
      <c r="CG108" s="24" t="n"/>
      <c r="CH108" s="24" t="n"/>
      <c r="CI108" s="24" t="n"/>
      <c r="CJ108" s="24" t="n"/>
      <c r="CK108" s="24" t="n"/>
      <c r="CL108" s="24" t="n"/>
      <c r="CM108" s="24" t="n"/>
      <c r="CN108" s="24" t="n"/>
      <c r="CO108" s="24" t="n"/>
    </row>
    <row r="109" ht="36" customHeight="1">
      <c r="A109" s="24" t="inlineStr">
        <is>
          <t>ae1e08a901294cfb</t>
        </is>
      </c>
      <c r="B109" s="24" t="inlineStr">
        <is>
          <t>2026-07-28T16:31:55.190477Z</t>
        </is>
      </c>
      <c r="C109" s="24" t="inlineStr">
        <is>
          <t>2026-07-28T22:40Z</t>
        </is>
      </c>
      <c r="D109" s="24" t="inlineStr">
        <is>
          <t>401816294</t>
        </is>
      </c>
      <c r="E109" s="24" t="inlineStr">
        <is>
          <t>MLB</t>
        </is>
      </c>
      <c r="F109" s="24" t="inlineStr">
        <is>
          <t>Baltimore Orioles</t>
        </is>
      </c>
      <c r="G109" s="24" t="inlineStr">
        <is>
          <t>Detroit Tigers</t>
        </is>
      </c>
      <c r="H109" s="24" t="inlineStr">
        <is>
          <t>total</t>
        </is>
      </c>
      <c r="I109" s="24" t="inlineStr">
        <is>
          <t>under</t>
        </is>
      </c>
      <c r="J109" s="25" t="n">
        <v>9.5</v>
      </c>
      <c r="K109" s="24" t="inlineStr">
        <is>
          <t>polymarket_us</t>
        </is>
      </c>
      <c r="L109" s="26" t="n">
        <v>-117</v>
      </c>
      <c r="M109" s="27" t="n">
        <v>1.854701</v>
      </c>
      <c r="N109" s="28" t="n">
        <v>0.539171</v>
      </c>
      <c r="O109" s="28" t="n">
        <v>0.68853</v>
      </c>
      <c r="P109" s="28" t="n">
        <v>0.056347</v>
      </c>
      <c r="Q109" s="28" t="n">
        <v>0.149359</v>
      </c>
      <c r="R109" s="26" t="n">
        <v>91</v>
      </c>
      <c r="S109" s="29" t="n">
        <v>0</v>
      </c>
      <c r="T109" s="24" t="inlineStr">
        <is>
          <t>measured-edge-totals-v1</t>
        </is>
      </c>
      <c r="U109" s="24" t="inlineStr">
        <is>
          <t>open</t>
        </is>
      </c>
      <c r="V109" s="24" t="n"/>
      <c r="W109" s="26" t="n"/>
      <c r="X109" s="26" t="n"/>
      <c r="Y109" s="25" t="n"/>
      <c r="Z109" s="26" t="n"/>
      <c r="AA109" s="28" t="n"/>
      <c r="AB109" s="28" t="n"/>
      <c r="AC109" s="30" t="n"/>
      <c r="AD109" s="24" t="n"/>
      <c r="AE109" s="31" t="inlineStr">
        <is>
          <t>Measured Edge Totals: Trend Engine projected 2.20-5.43; raw selected-side p=0.7218, calibrated p=0.6885.</t>
        </is>
      </c>
      <c r="AF109" s="31" t="inlineStr">
        <is>
          <t>Research-only; lineup, bullpen, park, weather, xFIP, and wRC+ may be neutral fallbacks; market availability and BBO depth may change before first pitch.</t>
        </is>
      </c>
      <c r="AG109" s="24" t="inlineStr">
        <is>
          <t>not_applicable</t>
        </is>
      </c>
      <c r="AH109" s="24" t="n"/>
      <c r="AI109" s="31" t="n"/>
      <c r="AJ109" s="31" t="n"/>
      <c r="AK109" s="24" t="inlineStr">
        <is>
          <t>research_observation</t>
        </is>
      </c>
      <c r="AL109" s="26" t="n">
        <v>3</v>
      </c>
      <c r="AM109" s="24" t="inlineStr">
        <is>
          <t>RESEARCH_OBSERVATION</t>
        </is>
      </c>
      <c r="AN109" s="24" t="inlineStr">
        <is>
          <t>NO_CALL</t>
        </is>
      </c>
      <c r="AO109" s="24" t="inlineStr">
        <is>
          <t>NO_CALL_MODEL_UNVALIDATED</t>
        </is>
      </c>
      <c r="AP109" s="24" t="inlineStr">
        <is>
          <t>mlb-bal</t>
        </is>
      </c>
      <c r="AQ109" s="24" t="inlineStr">
        <is>
          <t>Baltimore Orioles</t>
        </is>
      </c>
      <c r="AR109" s="24" t="inlineStr">
        <is>
          <t>Baltimore Orioles</t>
        </is>
      </c>
      <c r="AS109" s="24" t="inlineStr">
        <is>
          <t>mlb-det</t>
        </is>
      </c>
      <c r="AT109" s="24" t="inlineStr">
        <is>
          <t>Detroit Tigers</t>
        </is>
      </c>
      <c r="AU109" s="24" t="inlineStr">
        <is>
          <t>Detroit Tigers</t>
        </is>
      </c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research</t>
        </is>
      </c>
      <c r="BA109" s="24" t="inlineStr">
        <is>
          <t>0aa06c0f065ec20d43901d386280174165e2b07065216b6c7ffe72c98e322706</t>
        </is>
      </c>
      <c r="BB109" s="24" t="inlineStr">
        <is>
          <t>flat_probability_shrinkage_toward_half</t>
        </is>
      </c>
      <c r="BC109" s="24" t="inlineStr">
        <is>
          <t>measured-edge-totals-v1</t>
        </is>
      </c>
      <c r="BD109" s="24" t="inlineStr">
        <is>
          <t>0aa06c0f065ec20d43901d386280174165e2b07065216b6c7ffe72c98e322706</t>
        </is>
      </c>
      <c r="BE109" s="24" t="inlineStr">
        <is>
          <t>v3</t>
        </is>
      </c>
      <c r="BF109" s="24" t="inlineStr">
        <is>
          <t>1</t>
        </is>
      </c>
      <c r="BG109" s="24" t="inlineStr">
        <is>
          <t>measured-edge-paired-v1</t>
        </is>
      </c>
      <c r="BH109" s="24" t="inlineStr">
        <is>
          <t>2026-07-28T16:31:55.190477Z</t>
        </is>
      </c>
      <c r="BI109" s="24" t="inlineStr">
        <is>
          <t>["same_event","same_team_same_day","same_league_same_day"]</t>
        </is>
      </c>
      <c r="BJ109" s="25" t="n">
        <v>9.5</v>
      </c>
      <c r="BK109" s="26" t="n">
        <v>-117</v>
      </c>
      <c r="BL109" s="27" t="n">
        <v>1.854701</v>
      </c>
      <c r="BM109" s="28" t="n">
        <v>0.539171</v>
      </c>
      <c r="BN109" s="28" t="n">
        <v>0.537313</v>
      </c>
      <c r="BO109" s="28" t="n"/>
      <c r="BP109" s="25" t="n"/>
      <c r="BQ109" s="27" t="n"/>
      <c r="BR109" s="28" t="n"/>
      <c r="BS109" s="28" t="n"/>
      <c r="BT109" s="28" t="n"/>
      <c r="BU109" s="25" t="n"/>
      <c r="BV109" s="29" t="n"/>
      <c r="BW109" s="24" t="n"/>
      <c r="BX109" s="30" t="n"/>
      <c r="BY109" s="27" t="n"/>
      <c r="BZ109" s="24" t="n"/>
      <c r="CA109" s="31" t="n"/>
      <c r="CB109" s="24" t="n"/>
      <c r="CC109" s="24" t="n"/>
      <c r="CD109" s="24" t="n"/>
      <c r="CE109" s="24" t="n"/>
      <c r="CF109" s="24" t="n"/>
      <c r="CG109" s="24" t="n"/>
      <c r="CH109" s="24" t="n"/>
      <c r="CI109" s="24" t="n"/>
      <c r="CJ109" s="24" t="n"/>
      <c r="CK109" s="24" t="n"/>
      <c r="CL109" s="24" t="n"/>
      <c r="CM109" s="24" t="n"/>
      <c r="CN109" s="24" t="n"/>
      <c r="CO109" s="24" t="n"/>
    </row>
    <row r="110" ht="36" customHeight="1">
      <c r="A110" s="24" t="inlineStr">
        <is>
          <t>1edb7e8dd2854060</t>
        </is>
      </c>
      <c r="B110" s="24" t="inlineStr">
        <is>
          <t>2026-07-28T16:31:55.190477Z</t>
        </is>
      </c>
      <c r="C110" s="24" t="inlineStr">
        <is>
          <t>2026-07-28T22:40Z</t>
        </is>
      </c>
      <c r="D110" s="24" t="inlineStr">
        <is>
          <t>401816296</t>
        </is>
      </c>
      <c r="E110" s="24" t="inlineStr">
        <is>
          <t>MLB</t>
        </is>
      </c>
      <c r="F110" s="24" t="inlineStr">
        <is>
          <t>Philadelphia Phillies</t>
        </is>
      </c>
      <c r="G110" s="24" t="inlineStr">
        <is>
          <t>Miami Marlins</t>
        </is>
      </c>
      <c r="H110" s="24" t="inlineStr">
        <is>
          <t>spread</t>
        </is>
      </c>
      <c r="I110" s="24" t="inlineStr">
        <is>
          <t>home</t>
        </is>
      </c>
      <c r="J110" s="25" t="n">
        <v>1.5</v>
      </c>
      <c r="K110" s="24" t="inlineStr">
        <is>
          <t>polymarket_us</t>
        </is>
      </c>
      <c r="L110" s="26" t="n">
        <v>-174</v>
      </c>
      <c r="M110" s="27" t="n">
        <v>1.574713</v>
      </c>
      <c r="N110" s="28" t="n">
        <v>0.635036</v>
      </c>
      <c r="O110" s="28" t="n">
        <v>0.760525</v>
      </c>
      <c r="P110" s="28" t="n">
        <v>0.046637</v>
      </c>
      <c r="Q110" s="28" t="n">
        <v>0.125489</v>
      </c>
      <c r="R110" s="26" t="n">
        <v>85</v>
      </c>
      <c r="S110" s="29" t="n">
        <v>0</v>
      </c>
      <c r="T110" s="24" t="inlineStr">
        <is>
          <t>measured-edge-margin-v1</t>
        </is>
      </c>
      <c r="U110" s="24" t="inlineStr">
        <is>
          <t>open</t>
        </is>
      </c>
      <c r="V110" s="24" t="n"/>
      <c r="W110" s="26" t="n"/>
      <c r="X110" s="26" t="n"/>
      <c r="Y110" s="25" t="n"/>
      <c r="Z110" s="26" t="n"/>
      <c r="AA110" s="28" t="n"/>
      <c r="AB110" s="28" t="n"/>
      <c r="AC110" s="30" t="n"/>
      <c r="AD110" s="24" t="n"/>
      <c r="AE110" s="31" t="inlineStr">
        <is>
          <t>Measured Edge Margin: Trend Engine projected 4.28-6.18; raw selected-side p=0.8065, calibrated p=0.7605.</t>
        </is>
      </c>
      <c r="AF110" s="31" t="inlineStr">
        <is>
          <t>Research-only; lineup, bullpen, park, weather, xFIP, and wRC+ may be neutral fallbacks; market availability and BBO depth may change before first pitch.</t>
        </is>
      </c>
      <c r="AG110" s="24" t="inlineStr">
        <is>
          <t>not_applicable</t>
        </is>
      </c>
      <c r="AH110" s="24" t="n"/>
      <c r="AI110" s="31" t="n"/>
      <c r="AJ110" s="31" t="n"/>
      <c r="AK110" s="24" t="inlineStr">
        <is>
          <t>research_observation</t>
        </is>
      </c>
      <c r="AL110" s="26" t="n">
        <v>3</v>
      </c>
      <c r="AM110" s="24" t="inlineStr">
        <is>
          <t>RESEARCH_OBSERVATION</t>
        </is>
      </c>
      <c r="AN110" s="24" t="inlineStr">
        <is>
          <t>NO_CALL</t>
        </is>
      </c>
      <c r="AO110" s="24" t="inlineStr">
        <is>
          <t>NO_CALL_MODEL_UNVALIDATED</t>
        </is>
      </c>
      <c r="AP110" s="24" t="inlineStr">
        <is>
          <t>mlb-phi</t>
        </is>
      </c>
      <c r="AQ110" s="24" t="inlineStr">
        <is>
          <t>Philadelphia Phillies</t>
        </is>
      </c>
      <c r="AR110" s="24" t="inlineStr">
        <is>
          <t>Philadelphia Phillies</t>
        </is>
      </c>
      <c r="AS110" s="24" t="inlineStr">
        <is>
          <t>mlb-mia</t>
        </is>
      </c>
      <c r="AT110" s="24" t="inlineStr">
        <is>
          <t>Miami Marlins</t>
        </is>
      </c>
      <c r="AU110" s="24" t="inlineStr">
        <is>
          <t>Miami Marlins</t>
        </is>
      </c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research</t>
        </is>
      </c>
      <c r="BA110" s="24" t="inlineStr">
        <is>
          <t>bd86494ed21c6a0389ab0efcf4b8a5bb7b9f8f8786b6d5fb9da69d8cf0a70bdc</t>
        </is>
      </c>
      <c r="BB110" s="24" t="inlineStr">
        <is>
          <t>flat_probability_shrinkage_toward_half</t>
        </is>
      </c>
      <c r="BC110" s="24" t="inlineStr">
        <is>
          <t>measured-edge-margin-v1</t>
        </is>
      </c>
      <c r="BD110" s="24" t="inlineStr">
        <is>
          <t>bd86494ed21c6a0389ab0efcf4b8a5bb7b9f8f8786b6d5fb9da69d8cf0a70bdc</t>
        </is>
      </c>
      <c r="BE110" s="24" t="inlineStr">
        <is>
          <t>v3</t>
        </is>
      </c>
      <c r="BF110" s="24" t="inlineStr">
        <is>
          <t>1</t>
        </is>
      </c>
      <c r="BG110" s="24" t="inlineStr">
        <is>
          <t>measured-edge-paired-v1</t>
        </is>
      </c>
      <c r="BH110" s="24" t="inlineStr">
        <is>
          <t>2026-07-28T16:31:55.190477Z</t>
        </is>
      </c>
      <c r="BI110" s="24" t="inlineStr">
        <is>
          <t>["same_event","same_team_same_day","same_league_same_day"]</t>
        </is>
      </c>
      <c r="BJ110" s="25" t="n">
        <v>1.5</v>
      </c>
      <c r="BK110" s="26" t="n">
        <v>-174</v>
      </c>
      <c r="BL110" s="27" t="n">
        <v>1.574713</v>
      </c>
      <c r="BM110" s="28" t="n">
        <v>0.635036</v>
      </c>
      <c r="BN110" s="28" t="n">
        <v>0.631841</v>
      </c>
      <c r="BO110" s="28" t="n"/>
      <c r="BP110" s="25" t="n"/>
      <c r="BQ110" s="27" t="n"/>
      <c r="BR110" s="28" t="n"/>
      <c r="BS110" s="28" t="n"/>
      <c r="BT110" s="28" t="n"/>
      <c r="BU110" s="25" t="n"/>
      <c r="BV110" s="29" t="n"/>
      <c r="BW110" s="24" t="n"/>
      <c r="BX110" s="30" t="n"/>
      <c r="BY110" s="27" t="n"/>
      <c r="BZ110" s="24" t="n"/>
      <c r="CA110" s="31" t="n"/>
      <c r="CB110" s="24" t="n"/>
      <c r="CC110" s="24" t="n"/>
      <c r="CD110" s="24" t="n"/>
      <c r="CE110" s="24" t="n"/>
      <c r="CF110" s="24" t="n"/>
      <c r="CG110" s="24" t="n"/>
      <c r="CH110" s="24" t="n"/>
      <c r="CI110" s="24" t="n"/>
      <c r="CJ110" s="24" t="n"/>
      <c r="CK110" s="24" t="n"/>
      <c r="CL110" s="24" t="n"/>
      <c r="CM110" s="24" t="n"/>
      <c r="CN110" s="24" t="n"/>
      <c r="CO110" s="24" t="n"/>
    </row>
    <row r="111" ht="36" customHeight="1">
      <c r="A111" s="24" t="inlineStr">
        <is>
          <t>0fb994f91214411f</t>
        </is>
      </c>
      <c r="B111" s="24" t="inlineStr">
        <is>
          <t>2026-07-28T16:31:55.190477Z</t>
        </is>
      </c>
      <c r="C111" s="24" t="inlineStr">
        <is>
          <t>2026-07-28T22:40Z</t>
        </is>
      </c>
      <c r="D111" s="24" t="inlineStr">
        <is>
          <t>401816296</t>
        </is>
      </c>
      <c r="E111" s="24" t="inlineStr">
        <is>
          <t>MLB</t>
        </is>
      </c>
      <c r="F111" s="24" t="inlineStr">
        <is>
          <t>Philadelphia Phillies</t>
        </is>
      </c>
      <c r="G111" s="24" t="inlineStr">
        <is>
          <t>Miami Marlins</t>
        </is>
      </c>
      <c r="H111" s="24" t="inlineStr">
        <is>
          <t>total</t>
        </is>
      </c>
      <c r="I111" s="24" t="inlineStr">
        <is>
          <t>over</t>
        </is>
      </c>
      <c r="J111" s="25" t="n">
        <v>8.5</v>
      </c>
      <c r="K111" s="24" t="inlineStr">
        <is>
          <t>polymarket_us</t>
        </is>
      </c>
      <c r="L111" s="26" t="n">
        <v>111</v>
      </c>
      <c r="M111" s="27" t="n">
        <v>2.11</v>
      </c>
      <c r="N111" s="28" t="n">
        <v>0.473934</v>
      </c>
      <c r="O111" s="28" t="n">
        <v>0.614155</v>
      </c>
      <c r="P111" s="28" t="n">
        <v>0.046637</v>
      </c>
      <c r="Q111" s="28" t="n">
        <v>0.140221</v>
      </c>
      <c r="R111" s="26" t="n">
        <v>92</v>
      </c>
      <c r="S111" s="29" t="n">
        <v>0</v>
      </c>
      <c r="T111" s="24" t="inlineStr">
        <is>
          <t>measured-edge-totals-v1</t>
        </is>
      </c>
      <c r="U111" s="24" t="inlineStr">
        <is>
          <t>open</t>
        </is>
      </c>
      <c r="V111" s="24" t="n"/>
      <c r="W111" s="26" t="n"/>
      <c r="X111" s="26" t="n"/>
      <c r="Y111" s="25" t="n"/>
      <c r="Z111" s="26" t="n"/>
      <c r="AA111" s="28" t="n"/>
      <c r="AB111" s="28" t="n"/>
      <c r="AC111" s="30" t="n"/>
      <c r="AD111" s="24" t="n"/>
      <c r="AE111" s="31" t="inlineStr">
        <is>
          <t>Measured Edge Totals: Trend Engine projected 4.28-6.18; raw selected-side p=0.6343, calibrated p=0.6142.</t>
        </is>
      </c>
      <c r="AF111" s="31" t="inlineStr">
        <is>
          <t>Research-only; lineup, bullpen, park, weather, xFIP, and wRC+ may be neutral fallbacks; market availability and BBO depth may change before first pitch.</t>
        </is>
      </c>
      <c r="AG111" s="24" t="inlineStr">
        <is>
          <t>not_applicable</t>
        </is>
      </c>
      <c r="AH111" s="24" t="n"/>
      <c r="AI111" s="31" t="n"/>
      <c r="AJ111" s="31" t="n"/>
      <c r="AK111" s="24" t="inlineStr">
        <is>
          <t>research_observation</t>
        </is>
      </c>
      <c r="AL111" s="26" t="n">
        <v>3</v>
      </c>
      <c r="AM111" s="24" t="inlineStr">
        <is>
          <t>RESEARCH_OBSERVATION</t>
        </is>
      </c>
      <c r="AN111" s="24" t="inlineStr">
        <is>
          <t>NO_CALL</t>
        </is>
      </c>
      <c r="AO111" s="24" t="inlineStr">
        <is>
          <t>NO_CALL_MODEL_UNVALIDATED</t>
        </is>
      </c>
      <c r="AP111" s="24" t="inlineStr">
        <is>
          <t>mlb-phi</t>
        </is>
      </c>
      <c r="AQ111" s="24" t="inlineStr">
        <is>
          <t>Philadelphia Phillies</t>
        </is>
      </c>
      <c r="AR111" s="24" t="inlineStr">
        <is>
          <t>Philadelphia Phillies</t>
        </is>
      </c>
      <c r="AS111" s="24" t="inlineStr">
        <is>
          <t>mlb-mia</t>
        </is>
      </c>
      <c r="AT111" s="24" t="inlineStr">
        <is>
          <t>Miami Marlins</t>
        </is>
      </c>
      <c r="AU111" s="24" t="inlineStr">
        <is>
          <t>Miami Marlins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research</t>
        </is>
      </c>
      <c r="BA111" s="24" t="inlineStr">
        <is>
          <t>0aa06c0f065ec20d43901d386280174165e2b07065216b6c7ffe72c98e322706</t>
        </is>
      </c>
      <c r="BB111" s="24" t="inlineStr">
        <is>
          <t>flat_probability_shrinkage_toward_half</t>
        </is>
      </c>
      <c r="BC111" s="24" t="inlineStr">
        <is>
          <t>measured-edge-totals-v1</t>
        </is>
      </c>
      <c r="BD111" s="24" t="inlineStr">
        <is>
          <t>0aa06c0f065ec20d43901d386280174165e2b07065216b6c7ffe72c98e322706</t>
        </is>
      </c>
      <c r="BE111" s="24" t="inlineStr">
        <is>
          <t>v3</t>
        </is>
      </c>
      <c r="BF111" s="24" t="inlineStr">
        <is>
          <t>1</t>
        </is>
      </c>
      <c r="BG111" s="24" t="inlineStr">
        <is>
          <t>measured-edge-paired-v1</t>
        </is>
      </c>
      <c r="BH111" s="24" t="inlineStr">
        <is>
          <t>2026-07-28T16:31:55.190477Z</t>
        </is>
      </c>
      <c r="BI111" s="24" t="inlineStr">
        <is>
          <t>["same_event","same_team_same_day","same_league_same_day"]</t>
        </is>
      </c>
      <c r="BJ111" s="25" t="n">
        <v>8.5</v>
      </c>
      <c r="BK111" s="26" t="n">
        <v>111</v>
      </c>
      <c r="BL111" s="27" t="n">
        <v>2.11</v>
      </c>
      <c r="BM111" s="28" t="n">
        <v>0.473934</v>
      </c>
      <c r="BN111" s="28" t="n">
        <v>0.472637</v>
      </c>
      <c r="BO111" s="28" t="n"/>
      <c r="BP111" s="25" t="n"/>
      <c r="BQ111" s="27" t="n"/>
      <c r="BR111" s="28" t="n"/>
      <c r="BS111" s="28" t="n"/>
      <c r="BT111" s="28" t="n"/>
      <c r="BU111" s="25" t="n"/>
      <c r="BV111" s="29" t="n"/>
      <c r="BW111" s="24" t="n"/>
      <c r="BX111" s="30" t="n"/>
      <c r="BY111" s="27" t="n"/>
      <c r="BZ111" s="24" t="n"/>
      <c r="CA111" s="31" t="n"/>
      <c r="CB111" s="24" t="n"/>
      <c r="CC111" s="24" t="n"/>
      <c r="CD111" s="24" t="n"/>
      <c r="CE111" s="24" t="n"/>
      <c r="CF111" s="24" t="n"/>
      <c r="CG111" s="24" t="n"/>
      <c r="CH111" s="24" t="n"/>
      <c r="CI111" s="24" t="n"/>
      <c r="CJ111" s="24" t="n"/>
      <c r="CK111" s="24" t="n"/>
      <c r="CL111" s="24" t="n"/>
      <c r="CM111" s="24" t="n"/>
      <c r="CN111" s="24" t="n"/>
      <c r="CO111" s="24" t="n"/>
    </row>
    <row r="112" ht="36" customHeight="1">
      <c r="A112" s="24" t="inlineStr">
        <is>
          <t>93ab06e4843e47cc</t>
        </is>
      </c>
      <c r="B112" s="24" t="inlineStr">
        <is>
          <t>2026-07-28T16:31:55.190477Z</t>
        </is>
      </c>
      <c r="C112" s="24" t="inlineStr">
        <is>
          <t>2026-07-28T22:40Z</t>
        </is>
      </c>
      <c r="D112" s="24" t="inlineStr">
        <is>
          <t>401816297</t>
        </is>
      </c>
      <c r="E112" s="24" t="inlineStr">
        <is>
          <t>MLB</t>
        </is>
      </c>
      <c r="F112" s="24" t="inlineStr">
        <is>
          <t>Texas Rangers</t>
        </is>
      </c>
      <c r="G112" s="24" t="inlineStr">
        <is>
          <t>Tampa Bay Rays</t>
        </is>
      </c>
      <c r="H112" s="24" t="inlineStr">
        <is>
          <t>spread</t>
        </is>
      </c>
      <c r="I112" s="24" t="inlineStr">
        <is>
          <t>away</t>
        </is>
      </c>
      <c r="J112" s="25" t="n">
        <v>1.5</v>
      </c>
      <c r="K112" s="24" t="inlineStr">
        <is>
          <t>polymarket_us</t>
        </is>
      </c>
      <c r="L112" s="26" t="n">
        <v>-133</v>
      </c>
      <c r="M112" s="27" t="n">
        <v>1.75188</v>
      </c>
      <c r="N112" s="28" t="n">
        <v>0.570815</v>
      </c>
      <c r="O112" s="28" t="n">
        <v>0.660905</v>
      </c>
      <c r="P112" s="28" t="n">
        <v>0.046637</v>
      </c>
      <c r="Q112" s="28" t="n">
        <v>0.09009</v>
      </c>
      <c r="R112" s="26" t="n">
        <v>67</v>
      </c>
      <c r="S112" s="29" t="n">
        <v>0</v>
      </c>
      <c r="T112" s="24" t="inlineStr">
        <is>
          <t>measured-edge-margin-v1</t>
        </is>
      </c>
      <c r="U112" s="24" t="inlineStr">
        <is>
          <t>open</t>
        </is>
      </c>
      <c r="V112" s="24" t="n"/>
      <c r="W112" s="26" t="n"/>
      <c r="X112" s="26" t="n"/>
      <c r="Y112" s="25" t="n"/>
      <c r="Z112" s="26" t="n"/>
      <c r="AA112" s="28" t="n"/>
      <c r="AB112" s="28" t="n"/>
      <c r="AC112" s="30" t="n"/>
      <c r="AD112" s="24" t="n"/>
      <c r="AE112" s="31" t="inlineStr">
        <is>
          <t>Measured Edge Margin: Trend Engine projected 5.11-4.89; raw selected-side p=0.6893, calibrated p=0.6609.</t>
        </is>
      </c>
      <c r="AF112" s="31" t="inlineStr">
        <is>
          <t>Research-only; lineup, bullpen, park, weather, xFIP, and wRC+ may be neutral fallbacks; market availability and BBO depth may change before first pitch.</t>
        </is>
      </c>
      <c r="AG112" s="24" t="inlineStr">
        <is>
          <t>not_applicable</t>
        </is>
      </c>
      <c r="AH112" s="24" t="n"/>
      <c r="AI112" s="31" t="n"/>
      <c r="AJ112" s="31" t="n"/>
      <c r="AK112" s="24" t="inlineStr">
        <is>
          <t>research_observation</t>
        </is>
      </c>
      <c r="AL112" s="26" t="n">
        <v>3</v>
      </c>
      <c r="AM112" s="24" t="inlineStr">
        <is>
          <t>RESEARCH_OBSERVATION</t>
        </is>
      </c>
      <c r="AN112" s="24" t="inlineStr">
        <is>
          <t>NO_CALL</t>
        </is>
      </c>
      <c r="AO112" s="24" t="inlineStr">
        <is>
          <t>NO_CALL_MODEL_UNVALIDATED</t>
        </is>
      </c>
      <c r="AP112" s="24" t="inlineStr">
        <is>
          <t>mlb-tex</t>
        </is>
      </c>
      <c r="AQ112" s="24" t="inlineStr">
        <is>
          <t>Texas Rangers</t>
        </is>
      </c>
      <c r="AR112" s="24" t="inlineStr">
        <is>
          <t>Texas Rangers</t>
        </is>
      </c>
      <c r="AS112" s="24" t="inlineStr">
        <is>
          <t>mlb-tb</t>
        </is>
      </c>
      <c r="AT112" s="24" t="inlineStr">
        <is>
          <t>Tampa Bay Rays</t>
        </is>
      </c>
      <c r="AU112" s="24" t="inlineStr">
        <is>
          <t>Tampa Bay Rays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research</t>
        </is>
      </c>
      <c r="BA112" s="24" t="inlineStr">
        <is>
          <t>bd86494ed21c6a0389ab0efcf4b8a5bb7b9f8f8786b6d5fb9da69d8cf0a70bdc</t>
        </is>
      </c>
      <c r="BB112" s="24" t="inlineStr">
        <is>
          <t>flat_probability_shrinkage_toward_half</t>
        </is>
      </c>
      <c r="BC112" s="24" t="inlineStr">
        <is>
          <t>measured-edge-margin-v1</t>
        </is>
      </c>
      <c r="BD112" s="24" t="inlineStr">
        <is>
          <t>bd86494ed21c6a0389ab0efcf4b8a5bb7b9f8f8786b6d5fb9da69d8cf0a70bdc</t>
        </is>
      </c>
      <c r="BE112" s="24" t="inlineStr">
        <is>
          <t>v3</t>
        </is>
      </c>
      <c r="BF112" s="24" t="inlineStr">
        <is>
          <t>1</t>
        </is>
      </c>
      <c r="BG112" s="24" t="inlineStr">
        <is>
          <t>measured-edge-paired-v1</t>
        </is>
      </c>
      <c r="BH112" s="24" t="inlineStr">
        <is>
          <t>2026-07-28T16:31:55.190477Z</t>
        </is>
      </c>
      <c r="BI112" s="24" t="inlineStr">
        <is>
          <t>["same_event","same_team_same_day","same_league_same_day"]</t>
        </is>
      </c>
      <c r="BJ112" s="25" t="n">
        <v>1.5</v>
      </c>
      <c r="BK112" s="26" t="n">
        <v>-133</v>
      </c>
      <c r="BL112" s="27" t="n">
        <v>1.75188</v>
      </c>
      <c r="BM112" s="28" t="n">
        <v>0.570815</v>
      </c>
      <c r="BN112" s="28" t="n">
        <v>0.567164</v>
      </c>
      <c r="BO112" s="28" t="n"/>
      <c r="BP112" s="25" t="n"/>
      <c r="BQ112" s="27" t="n"/>
      <c r="BR112" s="28" t="n"/>
      <c r="BS112" s="28" t="n"/>
      <c r="BT112" s="28" t="n"/>
      <c r="BU112" s="25" t="n"/>
      <c r="BV112" s="29" t="n"/>
      <c r="BW112" s="24" t="n"/>
      <c r="BX112" s="30" t="n"/>
      <c r="BY112" s="27" t="n"/>
      <c r="BZ112" s="24" t="n"/>
      <c r="CA112" s="31" t="n"/>
      <c r="CB112" s="24" t="n"/>
      <c r="CC112" s="24" t="n"/>
      <c r="CD112" s="24" t="n"/>
      <c r="CE112" s="24" t="n"/>
      <c r="CF112" s="24" t="n"/>
      <c r="CG112" s="24" t="n"/>
      <c r="CH112" s="24" t="n"/>
      <c r="CI112" s="24" t="n"/>
      <c r="CJ112" s="24" t="n"/>
      <c r="CK112" s="24" t="n"/>
      <c r="CL112" s="24" t="n"/>
      <c r="CM112" s="24" t="n"/>
      <c r="CN112" s="24" t="n"/>
      <c r="CO112" s="24" t="n"/>
    </row>
    <row r="113" ht="36" customHeight="1">
      <c r="A113" s="24" t="inlineStr">
        <is>
          <t>1ca2c6ada4be41fa</t>
        </is>
      </c>
      <c r="B113" s="24" t="inlineStr">
        <is>
          <t>2026-07-28T16:31:55.190477Z</t>
        </is>
      </c>
      <c r="C113" s="24" t="inlineStr">
        <is>
          <t>2026-07-28T22:40Z</t>
        </is>
      </c>
      <c r="D113" s="24" t="inlineStr">
        <is>
          <t>401816297</t>
        </is>
      </c>
      <c r="E113" s="24" t="inlineStr">
        <is>
          <t>MLB</t>
        </is>
      </c>
      <c r="F113" s="24" t="inlineStr">
        <is>
          <t>Texas Rangers</t>
        </is>
      </c>
      <c r="G113" s="24" t="inlineStr">
        <is>
          <t>Tampa Bay Rays</t>
        </is>
      </c>
      <c r="H113" s="24" t="inlineStr">
        <is>
          <t>total</t>
        </is>
      </c>
      <c r="I113" s="24" t="inlineStr">
        <is>
          <t>over</t>
        </is>
      </c>
      <c r="J113" s="25" t="n">
        <v>8.5</v>
      </c>
      <c r="K113" s="24" t="inlineStr">
        <is>
          <t>polymarket_us</t>
        </is>
      </c>
      <c r="L113" s="26" t="n">
        <v>115</v>
      </c>
      <c r="M113" s="27" t="n">
        <v>2.15</v>
      </c>
      <c r="N113" s="28" t="n">
        <v>0.465116</v>
      </c>
      <c r="O113" s="28" t="n">
        <v>0.58262</v>
      </c>
      <c r="P113" s="28" t="n">
        <v>0.046637</v>
      </c>
      <c r="Q113" s="28" t="n">
        <v>0.117504</v>
      </c>
      <c r="R113" s="26" t="n">
        <v>81</v>
      </c>
      <c r="S113" s="29" t="n">
        <v>0</v>
      </c>
      <c r="T113" s="24" t="inlineStr">
        <is>
          <t>measured-edge-totals-v1</t>
        </is>
      </c>
      <c r="U113" s="24" t="inlineStr">
        <is>
          <t>open</t>
        </is>
      </c>
      <c r="V113" s="24" t="n"/>
      <c r="W113" s="26" t="n"/>
      <c r="X113" s="26" t="n"/>
      <c r="Y113" s="25" t="n"/>
      <c r="Z113" s="26" t="n"/>
      <c r="AA113" s="28" t="n"/>
      <c r="AB113" s="28" t="n"/>
      <c r="AC113" s="30" t="n"/>
      <c r="AD113" s="24" t="n"/>
      <c r="AE113" s="31" t="inlineStr">
        <is>
          <t>Measured Edge Totals: Trend Engine projected 5.11-4.89; raw selected-side p=0.5972, calibrated p=0.5826.</t>
        </is>
      </c>
      <c r="AF113" s="31" t="inlineStr">
        <is>
          <t>Research-only; lineup, bullpen, park, weather, xFIP, and wRC+ may be neutral fallbacks; market availability and BBO depth may change before first pitch.</t>
        </is>
      </c>
      <c r="AG113" s="24" t="inlineStr">
        <is>
          <t>not_applicable</t>
        </is>
      </c>
      <c r="AH113" s="24" t="n"/>
      <c r="AI113" s="31" t="n"/>
      <c r="AJ113" s="31" t="n"/>
      <c r="AK113" s="24" t="inlineStr">
        <is>
          <t>research_observation</t>
        </is>
      </c>
      <c r="AL113" s="26" t="n">
        <v>3</v>
      </c>
      <c r="AM113" s="24" t="inlineStr">
        <is>
          <t>RESEARCH_OBSERVATION</t>
        </is>
      </c>
      <c r="AN113" s="24" t="inlineStr">
        <is>
          <t>NO_CALL</t>
        </is>
      </c>
      <c r="AO113" s="24" t="inlineStr">
        <is>
          <t>NO_CALL_MODEL_UNVALIDATED</t>
        </is>
      </c>
      <c r="AP113" s="24" t="inlineStr">
        <is>
          <t>mlb-tex</t>
        </is>
      </c>
      <c r="AQ113" s="24" t="inlineStr">
        <is>
          <t>Texas Rangers</t>
        </is>
      </c>
      <c r="AR113" s="24" t="inlineStr">
        <is>
          <t>Texas Rangers</t>
        </is>
      </c>
      <c r="AS113" s="24" t="inlineStr">
        <is>
          <t>mlb-tb</t>
        </is>
      </c>
      <c r="AT113" s="24" t="inlineStr">
        <is>
          <t>Tampa Bay Rays</t>
        </is>
      </c>
      <c r="AU113" s="24" t="inlineStr">
        <is>
          <t>Tampa Bay Rays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research</t>
        </is>
      </c>
      <c r="BA113" s="24" t="inlineStr">
        <is>
          <t>0aa06c0f065ec20d43901d386280174165e2b07065216b6c7ffe72c98e322706</t>
        </is>
      </c>
      <c r="BB113" s="24" t="inlineStr">
        <is>
          <t>flat_probability_shrinkage_toward_half</t>
        </is>
      </c>
      <c r="BC113" s="24" t="inlineStr">
        <is>
          <t>measured-edge-totals-v1</t>
        </is>
      </c>
      <c r="BD113" s="24" t="inlineStr">
        <is>
          <t>0aa06c0f065ec20d43901d386280174165e2b07065216b6c7ffe72c98e322706</t>
        </is>
      </c>
      <c r="BE113" s="24" t="inlineStr">
        <is>
          <t>v3</t>
        </is>
      </c>
      <c r="BF113" s="24" t="inlineStr">
        <is>
          <t>1</t>
        </is>
      </c>
      <c r="BG113" s="24" t="inlineStr">
        <is>
          <t>measured-edge-paired-v1</t>
        </is>
      </c>
      <c r="BH113" s="24" t="inlineStr">
        <is>
          <t>2026-07-28T16:31:55.190477Z</t>
        </is>
      </c>
      <c r="BI113" s="24" t="inlineStr">
        <is>
          <t>["same_event","same_team_same_day","same_league_same_day"]</t>
        </is>
      </c>
      <c r="BJ113" s="25" t="n">
        <v>8.5</v>
      </c>
      <c r="BK113" s="26" t="n">
        <v>115</v>
      </c>
      <c r="BL113" s="27" t="n">
        <v>2.15</v>
      </c>
      <c r="BM113" s="28" t="n">
        <v>0.465116</v>
      </c>
      <c r="BN113" s="28" t="n">
        <v>0.462687</v>
      </c>
      <c r="BO113" s="28" t="n"/>
      <c r="BP113" s="25" t="n"/>
      <c r="BQ113" s="27" t="n"/>
      <c r="BR113" s="28" t="n"/>
      <c r="BS113" s="28" t="n"/>
      <c r="BT113" s="28" t="n"/>
      <c r="BU113" s="25" t="n"/>
      <c r="BV113" s="29" t="n"/>
      <c r="BW113" s="24" t="n"/>
      <c r="BX113" s="30" t="n"/>
      <c r="BY113" s="27" t="n"/>
      <c r="BZ113" s="24" t="n"/>
      <c r="CA113" s="31" t="n"/>
      <c r="CB113" s="24" t="n"/>
      <c r="CC113" s="24" t="n"/>
      <c r="CD113" s="24" t="n"/>
      <c r="CE113" s="24" t="n"/>
      <c r="CF113" s="24" t="n"/>
      <c r="CG113" s="24" t="n"/>
      <c r="CH113" s="24" t="n"/>
      <c r="CI113" s="24" t="n"/>
      <c r="CJ113" s="24" t="n"/>
      <c r="CK113" s="24" t="n"/>
      <c r="CL113" s="24" t="n"/>
      <c r="CM113" s="24" t="n"/>
      <c r="CN113" s="24" t="n"/>
      <c r="CO113" s="24" t="n"/>
    </row>
    <row r="114" ht="36" customHeight="1">
      <c r="A114" s="24" t="inlineStr">
        <is>
          <t>eb698b48b6af4a66</t>
        </is>
      </c>
      <c r="B114" s="24" t="inlineStr">
        <is>
          <t>2026-07-28T16:31:55.190477Z</t>
        </is>
      </c>
      <c r="C114" s="24" t="inlineStr">
        <is>
          <t>2026-07-28T22:45Z</t>
        </is>
      </c>
      <c r="D114" s="24" t="inlineStr">
        <is>
          <t>401816298</t>
        </is>
      </c>
      <c r="E114" s="24" t="inlineStr">
        <is>
          <t>MLB</t>
        </is>
      </c>
      <c r="F114" s="24" t="inlineStr">
        <is>
          <t>Toronto Blue Jays</t>
        </is>
      </c>
      <c r="G114" s="24" t="inlineStr">
        <is>
          <t>Washington Nationals</t>
        </is>
      </c>
      <c r="H114" s="24" t="inlineStr">
        <is>
          <t>spread</t>
        </is>
      </c>
      <c r="I114" s="24" t="inlineStr">
        <is>
          <t>home</t>
        </is>
      </c>
      <c r="J114" s="25" t="n">
        <v>-1.5</v>
      </c>
      <c r="K114" s="24" t="inlineStr">
        <is>
          <t>polymarket_us</t>
        </is>
      </c>
      <c r="L114" s="26" t="n">
        <v>160</v>
      </c>
      <c r="M114" s="27" t="n">
        <v>2.6</v>
      </c>
      <c r="N114" s="28" t="n">
        <v>0.384615</v>
      </c>
      <c r="O114" s="28" t="n">
        <v>0.66456</v>
      </c>
      <c r="P114" s="28" t="n">
        <v>0.056347</v>
      </c>
      <c r="Q114" s="28" t="n">
        <v>0.279945</v>
      </c>
      <c r="R114" s="26" t="n">
        <v>100</v>
      </c>
      <c r="S114" s="29" t="n">
        <v>0</v>
      </c>
      <c r="T114" s="24" t="inlineStr">
        <is>
          <t>measured-edge-margin-v1</t>
        </is>
      </c>
      <c r="U114" s="24" t="inlineStr">
        <is>
          <t>open</t>
        </is>
      </c>
      <c r="V114" s="24" t="n"/>
      <c r="W114" s="26" t="n"/>
      <c r="X114" s="26" t="n"/>
      <c r="Y114" s="25" t="n"/>
      <c r="Z114" s="26" t="n"/>
      <c r="AA114" s="28" t="n"/>
      <c r="AB114" s="28" t="n"/>
      <c r="AC114" s="30" t="n"/>
      <c r="AD114" s="24" t="n"/>
      <c r="AE114" s="31" t="inlineStr">
        <is>
          <t>Measured Edge Margin: Trend Engine projected 2.24-5.72; raw selected-side p=0.6936, calibrated p=0.6646.</t>
        </is>
      </c>
      <c r="AF114" s="31" t="inlineStr">
        <is>
          <t>Research-only; lineup, bullpen, park, weather, xFIP, and wRC+ may be neutral fallbacks; market availability and BBO depth may change before first pitch.</t>
        </is>
      </c>
      <c r="AG114" s="24" t="inlineStr">
        <is>
          <t>not_applicable</t>
        </is>
      </c>
      <c r="AH114" s="24" t="n"/>
      <c r="AI114" s="31" t="n"/>
      <c r="AJ114" s="31" t="n"/>
      <c r="AK114" s="24" t="inlineStr">
        <is>
          <t>research_observation</t>
        </is>
      </c>
      <c r="AL114" s="26" t="n">
        <v>3</v>
      </c>
      <c r="AM114" s="24" t="inlineStr">
        <is>
          <t>RESEARCH_OBSERVATION</t>
        </is>
      </c>
      <c r="AN114" s="24" t="inlineStr">
        <is>
          <t>NO_CALL</t>
        </is>
      </c>
      <c r="AO114" s="24" t="inlineStr">
        <is>
          <t>NO_CALL_MODEL_UNVALIDATED</t>
        </is>
      </c>
      <c r="AP114" s="24" t="inlineStr">
        <is>
          <t>mlb-tor</t>
        </is>
      </c>
      <c r="AQ114" s="24" t="inlineStr">
        <is>
          <t>Toronto Blue Jays</t>
        </is>
      </c>
      <c r="AR114" s="24" t="inlineStr">
        <is>
          <t>Toronto Blue Jays</t>
        </is>
      </c>
      <c r="AS114" s="24" t="inlineStr">
        <is>
          <t>mlb-wsh</t>
        </is>
      </c>
      <c r="AT114" s="24" t="inlineStr">
        <is>
          <t>Washington Nationals</t>
        </is>
      </c>
      <c r="AU114" s="24" t="inlineStr">
        <is>
          <t>Washington Nationals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research</t>
        </is>
      </c>
      <c r="BA114" s="24" t="inlineStr">
        <is>
          <t>bd86494ed21c6a0389ab0efcf4b8a5bb7b9f8f8786b6d5fb9da69d8cf0a70bdc</t>
        </is>
      </c>
      <c r="BB114" s="24" t="inlineStr">
        <is>
          <t>flat_probability_shrinkage_toward_half</t>
        </is>
      </c>
      <c r="BC114" s="24" t="inlineStr">
        <is>
          <t>measured-edge-margin-v1</t>
        </is>
      </c>
      <c r="BD114" s="24" t="inlineStr">
        <is>
          <t>bd86494ed21c6a0389ab0efcf4b8a5bb7b9f8f8786b6d5fb9da69d8cf0a70bdc</t>
        </is>
      </c>
      <c r="BE114" s="24" t="inlineStr">
        <is>
          <t>v3</t>
        </is>
      </c>
      <c r="BF114" s="24" t="inlineStr">
        <is>
          <t>1</t>
        </is>
      </c>
      <c r="BG114" s="24" t="inlineStr">
        <is>
          <t>measured-edge-paired-v1</t>
        </is>
      </c>
      <c r="BH114" s="24" t="inlineStr">
        <is>
          <t>2026-07-28T16:31:55.190477Z</t>
        </is>
      </c>
      <c r="BI114" s="24" t="inlineStr">
        <is>
          <t>["same_event","same_team_same_day","same_league_same_day"]</t>
        </is>
      </c>
      <c r="BJ114" s="25" t="n">
        <v>-1.5</v>
      </c>
      <c r="BK114" s="26" t="n">
        <v>160</v>
      </c>
      <c r="BL114" s="27" t="n">
        <v>2.6</v>
      </c>
      <c r="BM114" s="28" t="n">
        <v>0.384615</v>
      </c>
      <c r="BN114" s="28" t="n">
        <v>0.383085</v>
      </c>
      <c r="BO114" s="28" t="n"/>
      <c r="BP114" s="25" t="n"/>
      <c r="BQ114" s="27" t="n"/>
      <c r="BR114" s="28" t="n"/>
      <c r="BS114" s="28" t="n"/>
      <c r="BT114" s="28" t="n"/>
      <c r="BU114" s="25" t="n"/>
      <c r="BV114" s="29" t="n"/>
      <c r="BW114" s="24" t="n"/>
      <c r="BX114" s="30" t="n"/>
      <c r="BY114" s="27" t="n"/>
      <c r="BZ114" s="24" t="n"/>
      <c r="CA114" s="31" t="n"/>
      <c r="CB114" s="24" t="n"/>
      <c r="CC114" s="24" t="n"/>
      <c r="CD114" s="24" t="n"/>
      <c r="CE114" s="24" t="n"/>
      <c r="CF114" s="24" t="n"/>
      <c r="CG114" s="24" t="n"/>
      <c r="CH114" s="24" t="n"/>
      <c r="CI114" s="24" t="n"/>
      <c r="CJ114" s="24" t="n"/>
      <c r="CK114" s="24" t="n"/>
      <c r="CL114" s="24" t="n"/>
      <c r="CM114" s="24" t="n"/>
      <c r="CN114" s="24" t="n"/>
      <c r="CO114" s="24" t="n"/>
    </row>
    <row r="115" ht="36" customHeight="1">
      <c r="A115" s="24" t="inlineStr">
        <is>
          <t>793828662f5946a4</t>
        </is>
      </c>
      <c r="B115" s="24" t="inlineStr">
        <is>
          <t>2026-07-28T16:31:55.190477Z</t>
        </is>
      </c>
      <c r="C115" s="24" t="inlineStr">
        <is>
          <t>2026-07-28T22:45Z</t>
        </is>
      </c>
      <c r="D115" s="24" t="inlineStr">
        <is>
          <t>401816298</t>
        </is>
      </c>
      <c r="E115" s="24" t="inlineStr">
        <is>
          <t>MLB</t>
        </is>
      </c>
      <c r="F115" s="24" t="inlineStr">
        <is>
          <t>Toronto Blue Jays</t>
        </is>
      </c>
      <c r="G115" s="24" t="inlineStr">
        <is>
          <t>Washington Nationals</t>
        </is>
      </c>
      <c r="H115" s="24" t="inlineStr">
        <is>
          <t>total</t>
        </is>
      </c>
      <c r="I115" s="24" t="inlineStr">
        <is>
          <t>under</t>
        </is>
      </c>
      <c r="J115" s="25" t="n">
        <v>8.5</v>
      </c>
      <c r="K115" s="24" t="inlineStr">
        <is>
          <t>polymarket_us</t>
        </is>
      </c>
      <c r="L115" s="26" t="n">
        <v>115</v>
      </c>
      <c r="M115" s="27" t="n">
        <v>2.15</v>
      </c>
      <c r="N115" s="28" t="n">
        <v>0.465116</v>
      </c>
      <c r="O115" s="28" t="n">
        <v>0.58109</v>
      </c>
      <c r="P115" s="28" t="n">
        <v>0.056347</v>
      </c>
      <c r="Q115" s="28" t="n">
        <v>0.115974</v>
      </c>
      <c r="R115" s="26" t="n">
        <v>74</v>
      </c>
      <c r="S115" s="29" t="n">
        <v>0</v>
      </c>
      <c r="T115" s="24" t="inlineStr">
        <is>
          <t>measured-edge-totals-v1</t>
        </is>
      </c>
      <c r="U115" s="24" t="inlineStr">
        <is>
          <t>open</t>
        </is>
      </c>
      <c r="V115" s="24" t="n"/>
      <c r="W115" s="26" t="n"/>
      <c r="X115" s="26" t="n"/>
      <c r="Y115" s="25" t="n"/>
      <c r="Z115" s="26" t="n"/>
      <c r="AA115" s="28" t="n"/>
      <c r="AB115" s="28" t="n"/>
      <c r="AC115" s="30" t="n"/>
      <c r="AD115" s="24" t="n"/>
      <c r="AE115" s="31" t="inlineStr">
        <is>
          <t>Measured Edge Totals: Trend Engine projected 2.24-5.72; raw selected-side p=0.5954, calibrated p=0.5811.</t>
        </is>
      </c>
      <c r="AF115" s="31" t="inlineStr">
        <is>
          <t>Research-only; lineup, bullpen, park, weather, xFIP, and wRC+ may be neutral fallbacks; market availability and BBO depth may change before first pitch.</t>
        </is>
      </c>
      <c r="AG115" s="24" t="inlineStr">
        <is>
          <t>not_applicable</t>
        </is>
      </c>
      <c r="AH115" s="24" t="n"/>
      <c r="AI115" s="31" t="n"/>
      <c r="AJ115" s="31" t="n"/>
      <c r="AK115" s="24" t="inlineStr">
        <is>
          <t>research_observation</t>
        </is>
      </c>
      <c r="AL115" s="26" t="n">
        <v>3</v>
      </c>
      <c r="AM115" s="24" t="inlineStr">
        <is>
          <t>RESEARCH_OBSERVATION</t>
        </is>
      </c>
      <c r="AN115" s="24" t="inlineStr">
        <is>
          <t>NO_CALL</t>
        </is>
      </c>
      <c r="AO115" s="24" t="inlineStr">
        <is>
          <t>NO_CALL_MODEL_UNVALIDATED</t>
        </is>
      </c>
      <c r="AP115" s="24" t="inlineStr">
        <is>
          <t>mlb-tor</t>
        </is>
      </c>
      <c r="AQ115" s="24" t="inlineStr">
        <is>
          <t>Toronto Blue Jays</t>
        </is>
      </c>
      <c r="AR115" s="24" t="inlineStr">
        <is>
          <t>Toronto Blue Jays</t>
        </is>
      </c>
      <c r="AS115" s="24" t="inlineStr">
        <is>
          <t>mlb-wsh</t>
        </is>
      </c>
      <c r="AT115" s="24" t="inlineStr">
        <is>
          <t>Washington Nationals</t>
        </is>
      </c>
      <c r="AU115" s="24" t="inlineStr">
        <is>
          <t>Washington Nationals</t>
        </is>
      </c>
      <c r="AV115" s="24" t="n"/>
      <c r="AW115" s="24" t="n"/>
      <c r="AX115" s="24" t="inlineStr">
        <is>
          <t>statistical_model</t>
        </is>
      </c>
      <c r="AY115" s="24" t="n"/>
      <c r="AZ115" s="24" t="inlineStr">
        <is>
          <t>research</t>
        </is>
      </c>
      <c r="BA115" s="24" t="inlineStr">
        <is>
          <t>0aa06c0f065ec20d43901d386280174165e2b07065216b6c7ffe72c98e322706</t>
        </is>
      </c>
      <c r="BB115" s="24" t="inlineStr">
        <is>
          <t>flat_probability_shrinkage_toward_half</t>
        </is>
      </c>
      <c r="BC115" s="24" t="inlineStr">
        <is>
          <t>measured-edge-totals-v1</t>
        </is>
      </c>
      <c r="BD115" s="24" t="inlineStr">
        <is>
          <t>0aa06c0f065ec20d43901d386280174165e2b07065216b6c7ffe72c98e322706</t>
        </is>
      </c>
      <c r="BE115" s="24" t="inlineStr">
        <is>
          <t>v3</t>
        </is>
      </c>
      <c r="BF115" s="24" t="inlineStr">
        <is>
          <t>1</t>
        </is>
      </c>
      <c r="BG115" s="24" t="inlineStr">
        <is>
          <t>measured-edge-paired-v1</t>
        </is>
      </c>
      <c r="BH115" s="24" t="inlineStr">
        <is>
          <t>2026-07-28T16:31:55.190477Z</t>
        </is>
      </c>
      <c r="BI115" s="24" t="inlineStr">
        <is>
          <t>["same_event","same_team_same_day","same_league_same_day"]</t>
        </is>
      </c>
      <c r="BJ115" s="25" t="n">
        <v>8.5</v>
      </c>
      <c r="BK115" s="26" t="n">
        <v>115</v>
      </c>
      <c r="BL115" s="27" t="n">
        <v>2.15</v>
      </c>
      <c r="BM115" s="28" t="n">
        <v>0.465116</v>
      </c>
      <c r="BN115" s="28" t="n">
        <v>0.462687</v>
      </c>
      <c r="BO115" s="28" t="n"/>
      <c r="BP115" s="25" t="n"/>
      <c r="BQ115" s="27" t="n"/>
      <c r="BR115" s="28" t="n"/>
      <c r="BS115" s="28" t="n"/>
      <c r="BT115" s="28" t="n"/>
      <c r="BU115" s="25" t="n"/>
      <c r="BV115" s="29" t="n"/>
      <c r="BW115" s="24" t="n"/>
      <c r="BX115" s="30" t="n"/>
      <c r="BY115" s="27" t="n"/>
      <c r="BZ115" s="24" t="n"/>
      <c r="CA115" s="31" t="n"/>
      <c r="CB115" s="24" t="n"/>
      <c r="CC115" s="24" t="n"/>
      <c r="CD115" s="24" t="n"/>
      <c r="CE115" s="24" t="n"/>
      <c r="CF115" s="24" t="n"/>
      <c r="CG115" s="24" t="n"/>
      <c r="CH115" s="24" t="n"/>
      <c r="CI115" s="24" t="n"/>
      <c r="CJ115" s="24" t="n"/>
      <c r="CK115" s="24" t="n"/>
      <c r="CL115" s="24" t="n"/>
      <c r="CM115" s="24" t="n"/>
      <c r="CN115" s="24" t="n"/>
      <c r="CO115" s="24" t="n"/>
    </row>
    <row r="116" ht="36" customHeight="1">
      <c r="A116" s="24" t="inlineStr">
        <is>
          <t>38928d638179409d</t>
        </is>
      </c>
      <c r="B116" s="24" t="inlineStr">
        <is>
          <t>2026-07-28T16:31:55.190477Z</t>
        </is>
      </c>
      <c r="C116" s="24" t="inlineStr">
        <is>
          <t>2026-07-28T23:10Z</t>
        </is>
      </c>
      <c r="D116" s="24" t="inlineStr">
        <is>
          <t>401816293</t>
        </is>
      </c>
      <c r="E116" s="24" t="inlineStr">
        <is>
          <t>MLB</t>
        </is>
      </c>
      <c r="F116" s="24" t="inlineStr">
        <is>
          <t>Atlanta Braves</t>
        </is>
      </c>
      <c r="G116" s="24" t="inlineStr">
        <is>
          <t>New York Mets</t>
        </is>
      </c>
      <c r="H116" s="24" t="inlineStr">
        <is>
          <t>spread</t>
        </is>
      </c>
      <c r="I116" s="24" t="inlineStr">
        <is>
          <t>home</t>
        </is>
      </c>
      <c r="J116" s="25" t="n">
        <v>1.5</v>
      </c>
      <c r="K116" s="24" t="inlineStr">
        <is>
          <t>polymarket_us</t>
        </is>
      </c>
      <c r="L116" s="26" t="n">
        <v>-122</v>
      </c>
      <c r="M116" s="27" t="n">
        <v>1.819672</v>
      </c>
      <c r="N116" s="28" t="n">
        <v>0.54955</v>
      </c>
      <c r="O116" s="28" t="n">
        <v>0.611435</v>
      </c>
      <c r="P116" s="28" t="n">
        <v>0.047697</v>
      </c>
      <c r="Q116" s="28" t="n">
        <v>0.061885</v>
      </c>
      <c r="R116" s="26" t="n">
        <v>52</v>
      </c>
      <c r="S116" s="29" t="n">
        <v>0</v>
      </c>
      <c r="T116" s="24" t="inlineStr">
        <is>
          <t>measured-edge-margin-v1</t>
        </is>
      </c>
      <c r="U116" s="24" t="inlineStr">
        <is>
          <t>open</t>
        </is>
      </c>
      <c r="V116" s="24" t="n"/>
      <c r="W116" s="26" t="n"/>
      <c r="X116" s="26" t="n"/>
      <c r="Y116" s="25" t="n"/>
      <c r="Z116" s="26" t="n"/>
      <c r="AA116" s="28" t="n"/>
      <c r="AB116" s="28" t="n"/>
      <c r="AC116" s="30" t="n"/>
      <c r="AD116" s="24" t="n"/>
      <c r="AE116" s="31" t="inlineStr">
        <is>
          <t>Measured Edge Margin: Trend Engine projected 3.27-2.61; raw selected-side p=0.6311, calibrated p=0.6114.</t>
        </is>
      </c>
      <c r="AF116" s="31" t="inlineStr">
        <is>
          <t>Research-only; lineup, bullpen, park, weather, xFIP, and wRC+ may be neutral fallbacks; market availability and BBO depth may change before first pitch.</t>
        </is>
      </c>
      <c r="AG116" s="24" t="inlineStr">
        <is>
          <t>not_applicable</t>
        </is>
      </c>
      <c r="AH116" s="24" t="n"/>
      <c r="AI116" s="31" t="n"/>
      <c r="AJ116" s="31" t="n"/>
      <c r="AK116" s="24" t="inlineStr">
        <is>
          <t>research_observation</t>
        </is>
      </c>
      <c r="AL116" s="26" t="n">
        <v>3</v>
      </c>
      <c r="AM116" s="24" t="inlineStr">
        <is>
          <t>RESEARCH_OBSERVATION</t>
        </is>
      </c>
      <c r="AN116" s="24" t="inlineStr">
        <is>
          <t>NO_CALL</t>
        </is>
      </c>
      <c r="AO116" s="24" t="inlineStr">
        <is>
          <t>NO_CALL_MODEL_UNVALIDATED</t>
        </is>
      </c>
      <c r="AP116" s="24" t="inlineStr">
        <is>
          <t>mlb-atl</t>
        </is>
      </c>
      <c r="AQ116" s="24" t="inlineStr">
        <is>
          <t>Atlanta Braves</t>
        </is>
      </c>
      <c r="AR116" s="24" t="inlineStr">
        <is>
          <t>Atlanta Braves</t>
        </is>
      </c>
      <c r="AS116" s="24" t="inlineStr">
        <is>
          <t>mlb-nym</t>
        </is>
      </c>
      <c r="AT116" s="24" t="inlineStr">
        <is>
          <t>New York Mets</t>
        </is>
      </c>
      <c r="AU116" s="24" t="inlineStr">
        <is>
          <t>New York Mets</t>
        </is>
      </c>
      <c r="AV116" s="24" t="n"/>
      <c r="AW116" s="24" t="n"/>
      <c r="AX116" s="24" t="inlineStr">
        <is>
          <t>statistical_model</t>
        </is>
      </c>
      <c r="AY116" s="24" t="n"/>
      <c r="AZ116" s="24" t="inlineStr">
        <is>
          <t>research</t>
        </is>
      </c>
      <c r="BA116" s="24" t="inlineStr">
        <is>
          <t>bd86494ed21c6a0389ab0efcf4b8a5bb7b9f8f8786b6d5fb9da69d8cf0a70bdc</t>
        </is>
      </c>
      <c r="BB116" s="24" t="inlineStr">
        <is>
          <t>flat_probability_shrinkage_toward_half</t>
        </is>
      </c>
      <c r="BC116" s="24" t="inlineStr">
        <is>
          <t>measured-edge-margin-v1</t>
        </is>
      </c>
      <c r="BD116" s="24" t="inlineStr">
        <is>
          <t>bd86494ed21c6a0389ab0efcf4b8a5bb7b9f8f8786b6d5fb9da69d8cf0a70bdc</t>
        </is>
      </c>
      <c r="BE116" s="24" t="inlineStr">
        <is>
          <t>v3</t>
        </is>
      </c>
      <c r="BF116" s="24" t="inlineStr">
        <is>
          <t>1</t>
        </is>
      </c>
      <c r="BG116" s="24" t="inlineStr">
        <is>
          <t>measured-edge-paired-v1</t>
        </is>
      </c>
      <c r="BH116" s="24" t="inlineStr">
        <is>
          <t>2026-07-28T16:31:55.190477Z</t>
        </is>
      </c>
      <c r="BI116" s="24" t="inlineStr">
        <is>
          <t>["same_event","same_team_same_day","same_league_same_day"]</t>
        </is>
      </c>
      <c r="BJ116" s="25" t="n">
        <v>1.5</v>
      </c>
      <c r="BK116" s="26" t="n">
        <v>-122</v>
      </c>
      <c r="BL116" s="27" t="n">
        <v>1.819672</v>
      </c>
      <c r="BM116" s="28" t="n">
        <v>0.54955</v>
      </c>
      <c r="BN116" s="28" t="n">
        <v>0.547264</v>
      </c>
      <c r="BO116" s="28" t="n"/>
      <c r="BP116" s="25" t="n"/>
      <c r="BQ116" s="27" t="n"/>
      <c r="BR116" s="28" t="n"/>
      <c r="BS116" s="28" t="n"/>
      <c r="BT116" s="28" t="n"/>
      <c r="BU116" s="25" t="n"/>
      <c r="BV116" s="29" t="n"/>
      <c r="BW116" s="24" t="n"/>
      <c r="BX116" s="30" t="n"/>
      <c r="BY116" s="27" t="n"/>
      <c r="BZ116" s="24" t="n"/>
      <c r="CA116" s="31" t="n"/>
      <c r="CB116" s="24" t="n"/>
      <c r="CC116" s="24" t="n"/>
      <c r="CD116" s="24" t="n"/>
      <c r="CE116" s="24" t="n"/>
      <c r="CF116" s="24" t="n"/>
      <c r="CG116" s="24" t="n"/>
      <c r="CH116" s="24" t="n"/>
      <c r="CI116" s="24" t="n"/>
      <c r="CJ116" s="24" t="n"/>
      <c r="CK116" s="24" t="n"/>
      <c r="CL116" s="24" t="n"/>
      <c r="CM116" s="24" t="n"/>
      <c r="CN116" s="24" t="n"/>
      <c r="CO116" s="24" t="n"/>
    </row>
    <row r="117" ht="36" customHeight="1">
      <c r="A117" s="24" t="inlineStr">
        <is>
          <t>88b207956fb94d39</t>
        </is>
      </c>
      <c r="B117" s="24" t="inlineStr">
        <is>
          <t>2026-07-28T16:31:55.190477Z</t>
        </is>
      </c>
      <c r="C117" s="24" t="inlineStr">
        <is>
          <t>2026-07-28T23:10Z</t>
        </is>
      </c>
      <c r="D117" s="24" t="inlineStr">
        <is>
          <t>401816293</t>
        </is>
      </c>
      <c r="E117" s="24" t="inlineStr">
        <is>
          <t>MLB</t>
        </is>
      </c>
      <c r="F117" s="24" t="inlineStr">
        <is>
          <t>Atlanta Braves</t>
        </is>
      </c>
      <c r="G117" s="24" t="inlineStr">
        <is>
          <t>New York Mets</t>
        </is>
      </c>
      <c r="H117" s="24" t="inlineStr">
        <is>
          <t>total</t>
        </is>
      </c>
      <c r="I117" s="24" t="inlineStr">
        <is>
          <t>under</t>
        </is>
      </c>
      <c r="J117" s="25" t="n">
        <v>7.5</v>
      </c>
      <c r="K117" s="24" t="inlineStr">
        <is>
          <t>polymarket_us</t>
        </is>
      </c>
      <c r="L117" s="26" t="n">
        <v>-111</v>
      </c>
      <c r="M117" s="27" t="n">
        <v>1.900901</v>
      </c>
      <c r="N117" s="28" t="n">
        <v>0.526066</v>
      </c>
      <c r="O117" s="28" t="n">
        <v>0.690995</v>
      </c>
      <c r="P117" s="28" t="n">
        <v>0.047697</v>
      </c>
      <c r="Q117" s="28" t="n">
        <v>0.164929</v>
      </c>
      <c r="R117" s="26" t="n">
        <v>100</v>
      </c>
      <c r="S117" s="29" t="n">
        <v>0</v>
      </c>
      <c r="T117" s="24" t="inlineStr">
        <is>
          <t>measured-edge-totals-v1</t>
        </is>
      </c>
      <c r="U117" s="24" t="inlineStr">
        <is>
          <t>open</t>
        </is>
      </c>
      <c r="V117" s="24" t="n"/>
      <c r="W117" s="26" t="n"/>
      <c r="X117" s="26" t="n"/>
      <c r="Y117" s="25" t="n"/>
      <c r="Z117" s="26" t="n"/>
      <c r="AA117" s="28" t="n"/>
      <c r="AB117" s="28" t="n"/>
      <c r="AC117" s="30" t="n"/>
      <c r="AD117" s="24" t="n"/>
      <c r="AE117" s="31" t="inlineStr">
        <is>
          <t>Measured Edge Totals: Trend Engine projected 3.27-2.61; raw selected-side p=0.7247, calibrated p=0.6910.</t>
        </is>
      </c>
      <c r="AF117" s="31" t="inlineStr">
        <is>
          <t>Research-only; lineup, bullpen, park, weather, xFIP, and wRC+ may be neutral fallbacks; market availability and BBO depth may change before first pitch.</t>
        </is>
      </c>
      <c r="AG117" s="24" t="inlineStr">
        <is>
          <t>not_applicable</t>
        </is>
      </c>
      <c r="AH117" s="24" t="n"/>
      <c r="AI117" s="31" t="n"/>
      <c r="AJ117" s="31" t="n"/>
      <c r="AK117" s="24" t="inlineStr">
        <is>
          <t>research_observation</t>
        </is>
      </c>
      <c r="AL117" s="26" t="n">
        <v>3</v>
      </c>
      <c r="AM117" s="24" t="inlineStr">
        <is>
          <t>RESEARCH_OBSERVATION</t>
        </is>
      </c>
      <c r="AN117" s="24" t="inlineStr">
        <is>
          <t>NO_CALL</t>
        </is>
      </c>
      <c r="AO117" s="24" t="inlineStr">
        <is>
          <t>NO_CALL_MODEL_UNVALIDATED</t>
        </is>
      </c>
      <c r="AP117" s="24" t="inlineStr">
        <is>
          <t>mlb-atl</t>
        </is>
      </c>
      <c r="AQ117" s="24" t="inlineStr">
        <is>
          <t>Atlanta Braves</t>
        </is>
      </c>
      <c r="AR117" s="24" t="inlineStr">
        <is>
          <t>Atlanta Braves</t>
        </is>
      </c>
      <c r="AS117" s="24" t="inlineStr">
        <is>
          <t>mlb-nym</t>
        </is>
      </c>
      <c r="AT117" s="24" t="inlineStr">
        <is>
          <t>New York Mets</t>
        </is>
      </c>
      <c r="AU117" s="24" t="inlineStr">
        <is>
          <t>New York Mets</t>
        </is>
      </c>
      <c r="AV117" s="24" t="n"/>
      <c r="AW117" s="24" t="n"/>
      <c r="AX117" s="24" t="inlineStr">
        <is>
          <t>statistical_model</t>
        </is>
      </c>
      <c r="AY117" s="24" t="n"/>
      <c r="AZ117" s="24" t="inlineStr">
        <is>
          <t>research</t>
        </is>
      </c>
      <c r="BA117" s="24" t="inlineStr">
        <is>
          <t>0aa06c0f065ec20d43901d386280174165e2b07065216b6c7ffe72c98e322706</t>
        </is>
      </c>
      <c r="BB117" s="24" t="inlineStr">
        <is>
          <t>flat_probability_shrinkage_toward_half</t>
        </is>
      </c>
      <c r="BC117" s="24" t="inlineStr">
        <is>
          <t>measured-edge-totals-v1</t>
        </is>
      </c>
      <c r="BD117" s="24" t="inlineStr">
        <is>
          <t>0aa06c0f065ec20d43901d386280174165e2b07065216b6c7ffe72c98e322706</t>
        </is>
      </c>
      <c r="BE117" s="24" t="inlineStr">
        <is>
          <t>v3</t>
        </is>
      </c>
      <c r="BF117" s="24" t="inlineStr">
        <is>
          <t>1</t>
        </is>
      </c>
      <c r="BG117" s="24" t="inlineStr">
        <is>
          <t>measured-edge-paired-v1</t>
        </is>
      </c>
      <c r="BH117" s="24" t="inlineStr">
        <is>
          <t>2026-07-28T16:31:55.190477Z</t>
        </is>
      </c>
      <c r="BI117" s="24" t="inlineStr">
        <is>
          <t>["same_event","same_team_same_day","same_league_same_day"]</t>
        </is>
      </c>
      <c r="BJ117" s="25" t="n">
        <v>7.5</v>
      </c>
      <c r="BK117" s="26" t="n">
        <v>-111</v>
      </c>
      <c r="BL117" s="27" t="n">
        <v>1.900901</v>
      </c>
      <c r="BM117" s="28" t="n">
        <v>0.526066</v>
      </c>
      <c r="BN117" s="28" t="n">
        <v>0.522388</v>
      </c>
      <c r="BO117" s="28" t="n"/>
      <c r="BP117" s="25" t="n"/>
      <c r="BQ117" s="27" t="n"/>
      <c r="BR117" s="28" t="n"/>
      <c r="BS117" s="28" t="n"/>
      <c r="BT117" s="28" t="n"/>
      <c r="BU117" s="25" t="n"/>
      <c r="BV117" s="29" t="n"/>
      <c r="BW117" s="24" t="n"/>
      <c r="BX117" s="30" t="n"/>
      <c r="BY117" s="27" t="n"/>
      <c r="BZ117" s="24" t="n"/>
      <c r="CA117" s="31" t="n"/>
      <c r="CB117" s="24" t="n"/>
      <c r="CC117" s="24" t="n"/>
      <c r="CD117" s="24" t="n"/>
      <c r="CE117" s="24" t="n"/>
      <c r="CF117" s="24" t="n"/>
      <c r="CG117" s="24" t="n"/>
      <c r="CH117" s="24" t="n"/>
      <c r="CI117" s="24" t="n"/>
      <c r="CJ117" s="24" t="n"/>
      <c r="CK117" s="24" t="n"/>
      <c r="CL117" s="24" t="n"/>
      <c r="CM117" s="24" t="n"/>
      <c r="CN117" s="24" t="n"/>
      <c r="CO117" s="24" t="n"/>
    </row>
    <row r="118" ht="36" customHeight="1">
      <c r="A118" s="24" t="inlineStr">
        <is>
          <t>af63d2def92f4087</t>
        </is>
      </c>
      <c r="B118" s="24" t="inlineStr">
        <is>
          <t>2026-07-28T16:31:55.190477Z</t>
        </is>
      </c>
      <c r="C118" s="24" t="inlineStr">
        <is>
          <t>2026-07-28T23:40Z</t>
        </is>
      </c>
      <c r="D118" s="24" t="inlineStr">
        <is>
          <t>401816300</t>
        </is>
      </c>
      <c r="E118" s="24" t="inlineStr">
        <is>
          <t>MLB</t>
        </is>
      </c>
      <c r="F118" s="24" t="inlineStr">
        <is>
          <t>Kansas City Royals</t>
        </is>
      </c>
      <c r="G118" s="24" t="inlineStr">
        <is>
          <t>Minnesota Twins</t>
        </is>
      </c>
      <c r="H118" s="24" t="inlineStr">
        <is>
          <t>spread</t>
        </is>
      </c>
      <c r="I118" s="24" t="inlineStr">
        <is>
          <t>home</t>
        </is>
      </c>
      <c r="J118" s="25" t="n">
        <v>-1.5</v>
      </c>
      <c r="K118" s="24" t="inlineStr">
        <is>
          <t>polymarket_us</t>
        </is>
      </c>
      <c r="L118" s="26" t="n">
        <v>130</v>
      </c>
      <c r="M118" s="27" t="n">
        <v>2.3</v>
      </c>
      <c r="N118" s="28" t="n">
        <v>0.434783</v>
      </c>
      <c r="O118" s="28" t="n">
        <v>0.53553</v>
      </c>
      <c r="P118" s="28" t="n">
        <v>0.047697</v>
      </c>
      <c r="Q118" s="28" t="n">
        <v>0.100747</v>
      </c>
      <c r="R118" s="26" t="n">
        <v>72</v>
      </c>
      <c r="S118" s="29" t="n">
        <v>0</v>
      </c>
      <c r="T118" s="24" t="inlineStr">
        <is>
          <t>measured-edge-margin-v1</t>
        </is>
      </c>
      <c r="U118" s="24" t="inlineStr">
        <is>
          <t>open</t>
        </is>
      </c>
      <c r="V118" s="24" t="n"/>
      <c r="W118" s="26" t="n"/>
      <c r="X118" s="26" t="n"/>
      <c r="Y118" s="25" t="n"/>
      <c r="Z118" s="26" t="n"/>
      <c r="AA118" s="28" t="n"/>
      <c r="AB118" s="28" t="n"/>
      <c r="AC118" s="30" t="n"/>
      <c r="AD118" s="24" t="n"/>
      <c r="AE118" s="31" t="inlineStr">
        <is>
          <t>Measured Edge Margin: Trend Engine projected 3.08-5.15; raw selected-side p=0.5418, calibrated p=0.5355.</t>
        </is>
      </c>
      <c r="AF118" s="31" t="inlineStr">
        <is>
          <t>Research-only; lineup, bullpen, park, weather, xFIP, and wRC+ may be neutral fallbacks; market availability and BBO depth may change before first pitch.</t>
        </is>
      </c>
      <c r="AG118" s="24" t="inlineStr">
        <is>
          <t>not_applicable</t>
        </is>
      </c>
      <c r="AH118" s="24" t="n"/>
      <c r="AI118" s="31" t="n"/>
      <c r="AJ118" s="31" t="n"/>
      <c r="AK118" s="24" t="inlineStr">
        <is>
          <t>research_observation</t>
        </is>
      </c>
      <c r="AL118" s="26" t="n">
        <v>3</v>
      </c>
      <c r="AM118" s="24" t="inlineStr">
        <is>
          <t>RESEARCH_OBSERVATION</t>
        </is>
      </c>
      <c r="AN118" s="24" t="inlineStr">
        <is>
          <t>NO_CALL</t>
        </is>
      </c>
      <c r="AO118" s="24" t="inlineStr">
        <is>
          <t>NO_CALL_MODEL_UNVALIDATED</t>
        </is>
      </c>
      <c r="AP118" s="24" t="inlineStr">
        <is>
          <t>mlb-kc</t>
        </is>
      </c>
      <c r="AQ118" s="24" t="inlineStr">
        <is>
          <t>Kansas City Royals</t>
        </is>
      </c>
      <c r="AR118" s="24" t="inlineStr">
        <is>
          <t>Kansas City Royals</t>
        </is>
      </c>
      <c r="AS118" s="24" t="inlineStr">
        <is>
          <t>mlb-min</t>
        </is>
      </c>
      <c r="AT118" s="24" t="inlineStr">
        <is>
          <t>Minnesota Twins</t>
        </is>
      </c>
      <c r="AU118" s="24" t="inlineStr">
        <is>
          <t>Minnesota Twins</t>
        </is>
      </c>
      <c r="AV118" s="24" t="n"/>
      <c r="AW118" s="24" t="n"/>
      <c r="AX118" s="24" t="inlineStr">
        <is>
          <t>statistical_model</t>
        </is>
      </c>
      <c r="AY118" s="24" t="n"/>
      <c r="AZ118" s="24" t="inlineStr">
        <is>
          <t>research</t>
        </is>
      </c>
      <c r="BA118" s="24" t="inlineStr">
        <is>
          <t>bd86494ed21c6a0389ab0efcf4b8a5bb7b9f8f8786b6d5fb9da69d8cf0a70bdc</t>
        </is>
      </c>
      <c r="BB118" s="24" t="inlineStr">
        <is>
          <t>flat_probability_shrinkage_toward_half</t>
        </is>
      </c>
      <c r="BC118" s="24" t="inlineStr">
        <is>
          <t>measured-edge-margin-v1</t>
        </is>
      </c>
      <c r="BD118" s="24" t="inlineStr">
        <is>
          <t>bd86494ed21c6a0389ab0efcf4b8a5bb7b9f8f8786b6d5fb9da69d8cf0a70bdc</t>
        </is>
      </c>
      <c r="BE118" s="24" t="inlineStr">
        <is>
          <t>v3</t>
        </is>
      </c>
      <c r="BF118" s="24" t="inlineStr">
        <is>
          <t>1</t>
        </is>
      </c>
      <c r="BG118" s="24" t="inlineStr">
        <is>
          <t>measured-edge-paired-v1</t>
        </is>
      </c>
      <c r="BH118" s="24" t="inlineStr">
        <is>
          <t>2026-07-28T16:31:55.190477Z</t>
        </is>
      </c>
      <c r="BI118" s="24" t="inlineStr">
        <is>
          <t>["same_event","same_team_same_day","same_league_same_day"]</t>
        </is>
      </c>
      <c r="BJ118" s="25" t="n">
        <v>-1.5</v>
      </c>
      <c r="BK118" s="26" t="n">
        <v>130</v>
      </c>
      <c r="BL118" s="27" t="n">
        <v>2.3</v>
      </c>
      <c r="BM118" s="28" t="n">
        <v>0.434783</v>
      </c>
      <c r="BN118" s="28" t="n">
        <v>0.432836</v>
      </c>
      <c r="BO118" s="28" t="n"/>
      <c r="BP118" s="25" t="n"/>
      <c r="BQ118" s="27" t="n"/>
      <c r="BR118" s="28" t="n"/>
      <c r="BS118" s="28" t="n"/>
      <c r="BT118" s="28" t="n"/>
      <c r="BU118" s="25" t="n"/>
      <c r="BV118" s="29" t="n"/>
      <c r="BW118" s="24" t="n"/>
      <c r="BX118" s="30" t="n"/>
      <c r="BY118" s="27" t="n"/>
      <c r="BZ118" s="24" t="n"/>
      <c r="CA118" s="31" t="n"/>
      <c r="CB118" s="24" t="n"/>
      <c r="CC118" s="24" t="n"/>
      <c r="CD118" s="24" t="n"/>
      <c r="CE118" s="24" t="n"/>
      <c r="CF118" s="24" t="n"/>
      <c r="CG118" s="24" t="n"/>
      <c r="CH118" s="24" t="n"/>
      <c r="CI118" s="24" t="n"/>
      <c r="CJ118" s="24" t="n"/>
      <c r="CK118" s="24" t="n"/>
      <c r="CL118" s="24" t="n"/>
      <c r="CM118" s="24" t="n"/>
      <c r="CN118" s="24" t="n"/>
      <c r="CO118" s="24" t="n"/>
    </row>
    <row r="119" ht="36" customHeight="1">
      <c r="A119" s="24" t="inlineStr">
        <is>
          <t>590770fe29de42eb</t>
        </is>
      </c>
      <c r="B119" s="24" t="inlineStr">
        <is>
          <t>2026-07-28T16:31:55.190477Z</t>
        </is>
      </c>
      <c r="C119" s="24" t="inlineStr">
        <is>
          <t>2026-07-28T23:40Z</t>
        </is>
      </c>
      <c r="D119" s="24" t="inlineStr">
        <is>
          <t>401816300</t>
        </is>
      </c>
      <c r="E119" s="24" t="inlineStr">
        <is>
          <t>MLB</t>
        </is>
      </c>
      <c r="F119" s="24" t="inlineStr">
        <is>
          <t>Kansas City Royals</t>
        </is>
      </c>
      <c r="G119" s="24" t="inlineStr">
        <is>
          <t>Minnesota Twins</t>
        </is>
      </c>
      <c r="H119" s="24" t="inlineStr">
        <is>
          <t>total</t>
        </is>
      </c>
      <c r="I119" s="24" t="inlineStr">
        <is>
          <t>under</t>
        </is>
      </c>
      <c r="J119" s="25" t="n">
        <v>9.5</v>
      </c>
      <c r="K119" s="24" t="inlineStr">
        <is>
          <t>polymarket_us</t>
        </is>
      </c>
      <c r="L119" s="26" t="n">
        <v>-122</v>
      </c>
      <c r="M119" s="27" t="n">
        <v>1.819672</v>
      </c>
      <c r="N119" s="28" t="n">
        <v>0.54955</v>
      </c>
      <c r="O119" s="28" t="n">
        <v>0.64671</v>
      </c>
      <c r="P119" s="28" t="n">
        <v>0.047697</v>
      </c>
      <c r="Q119" s="28" t="n">
        <v>0.09716</v>
      </c>
      <c r="R119" s="26" t="n">
        <v>70</v>
      </c>
      <c r="S119" s="29" t="n">
        <v>0</v>
      </c>
      <c r="T119" s="24" t="inlineStr">
        <is>
          <t>measured-edge-totals-v1</t>
        </is>
      </c>
      <c r="U119" s="24" t="inlineStr">
        <is>
          <t>open</t>
        </is>
      </c>
      <c r="V119" s="24" t="n"/>
      <c r="W119" s="26" t="n"/>
      <c r="X119" s="26" t="n"/>
      <c r="Y119" s="25" t="n"/>
      <c r="Z119" s="26" t="n"/>
      <c r="AA119" s="28" t="n"/>
      <c r="AB119" s="28" t="n"/>
      <c r="AC119" s="30" t="n"/>
      <c r="AD119" s="24" t="n"/>
      <c r="AE119" s="31" t="inlineStr">
        <is>
          <t>Measured Edge Totals: Trend Engine projected 3.08-5.15; raw selected-side p=0.6726, calibrated p=0.6467.</t>
        </is>
      </c>
      <c r="AF119" s="31" t="inlineStr">
        <is>
          <t>Research-only; lineup, bullpen, park, weather, xFIP, and wRC+ may be neutral fallbacks; market availability and BBO depth may change before first pitch.</t>
        </is>
      </c>
      <c r="AG119" s="24" t="inlineStr">
        <is>
          <t>not_applicable</t>
        </is>
      </c>
      <c r="AH119" s="24" t="n"/>
      <c r="AI119" s="31" t="n"/>
      <c r="AJ119" s="31" t="n"/>
      <c r="AK119" s="24" t="inlineStr">
        <is>
          <t>research_observation</t>
        </is>
      </c>
      <c r="AL119" s="26" t="n">
        <v>3</v>
      </c>
      <c r="AM119" s="24" t="inlineStr">
        <is>
          <t>RESEARCH_OBSERVATION</t>
        </is>
      </c>
      <c r="AN119" s="24" t="inlineStr">
        <is>
          <t>NO_CALL</t>
        </is>
      </c>
      <c r="AO119" s="24" t="inlineStr">
        <is>
          <t>NO_CALL_MODEL_UNVALIDATED</t>
        </is>
      </c>
      <c r="AP119" s="24" t="inlineStr">
        <is>
          <t>mlb-kc</t>
        </is>
      </c>
      <c r="AQ119" s="24" t="inlineStr">
        <is>
          <t>Kansas City Royals</t>
        </is>
      </c>
      <c r="AR119" s="24" t="inlineStr">
        <is>
          <t>Kansas City Royals</t>
        </is>
      </c>
      <c r="AS119" s="24" t="inlineStr">
        <is>
          <t>mlb-min</t>
        </is>
      </c>
      <c r="AT119" s="24" t="inlineStr">
        <is>
          <t>Minnesota Twins</t>
        </is>
      </c>
      <c r="AU119" s="24" t="inlineStr">
        <is>
          <t>Minnesota Twins</t>
        </is>
      </c>
      <c r="AV119" s="24" t="n"/>
      <c r="AW119" s="24" t="n"/>
      <c r="AX119" s="24" t="inlineStr">
        <is>
          <t>statistical_model</t>
        </is>
      </c>
      <c r="AY119" s="24" t="n"/>
      <c r="AZ119" s="24" t="inlineStr">
        <is>
          <t>research</t>
        </is>
      </c>
      <c r="BA119" s="24" t="inlineStr">
        <is>
          <t>0aa06c0f065ec20d43901d386280174165e2b07065216b6c7ffe72c98e322706</t>
        </is>
      </c>
      <c r="BB119" s="24" t="inlineStr">
        <is>
          <t>flat_probability_shrinkage_toward_half</t>
        </is>
      </c>
      <c r="BC119" s="24" t="inlineStr">
        <is>
          <t>measured-edge-totals-v1</t>
        </is>
      </c>
      <c r="BD119" s="24" t="inlineStr">
        <is>
          <t>0aa06c0f065ec20d43901d386280174165e2b07065216b6c7ffe72c98e322706</t>
        </is>
      </c>
      <c r="BE119" s="24" t="inlineStr">
        <is>
          <t>v3</t>
        </is>
      </c>
      <c r="BF119" s="24" t="inlineStr">
        <is>
          <t>1</t>
        </is>
      </c>
      <c r="BG119" s="24" t="inlineStr">
        <is>
          <t>measured-edge-paired-v1</t>
        </is>
      </c>
      <c r="BH119" s="24" t="inlineStr">
        <is>
          <t>2026-07-28T16:31:55.190477Z</t>
        </is>
      </c>
      <c r="BI119" s="24" t="inlineStr">
        <is>
          <t>["same_event","same_team_same_day","same_league_same_day"]</t>
        </is>
      </c>
      <c r="BJ119" s="25" t="n">
        <v>9.5</v>
      </c>
      <c r="BK119" s="26" t="n">
        <v>-122</v>
      </c>
      <c r="BL119" s="27" t="n">
        <v>1.819672</v>
      </c>
      <c r="BM119" s="28" t="n">
        <v>0.54955</v>
      </c>
      <c r="BN119" s="28" t="n">
        <v>0.547264</v>
      </c>
      <c r="BO119" s="28" t="n"/>
      <c r="BP119" s="25" t="n"/>
      <c r="BQ119" s="27" t="n"/>
      <c r="BR119" s="28" t="n"/>
      <c r="BS119" s="28" t="n"/>
      <c r="BT119" s="28" t="n"/>
      <c r="BU119" s="25" t="n"/>
      <c r="BV119" s="29" t="n"/>
      <c r="BW119" s="24" t="n"/>
      <c r="BX119" s="30" t="n"/>
      <c r="BY119" s="27" t="n"/>
      <c r="BZ119" s="24" t="n"/>
      <c r="CA119" s="31" t="n"/>
      <c r="CB119" s="24" t="n"/>
      <c r="CC119" s="24" t="n"/>
      <c r="CD119" s="24" t="n"/>
      <c r="CE119" s="24" t="n"/>
      <c r="CF119" s="24" t="n"/>
      <c r="CG119" s="24" t="n"/>
      <c r="CH119" s="24" t="n"/>
      <c r="CI119" s="24" t="n"/>
      <c r="CJ119" s="24" t="n"/>
      <c r="CK119" s="24" t="n"/>
      <c r="CL119" s="24" t="n"/>
      <c r="CM119" s="24" t="n"/>
      <c r="CN119" s="24" t="n"/>
      <c r="CO119" s="24" t="n"/>
    </row>
    <row r="120" ht="36" customHeight="1">
      <c r="A120" s="24" t="inlineStr">
        <is>
          <t>046eaf9c2f004ee7</t>
        </is>
      </c>
      <c r="B120" s="24" t="inlineStr">
        <is>
          <t>2026-07-28T16:31:55.190477Z</t>
        </is>
      </c>
      <c r="C120" s="24" t="inlineStr">
        <is>
          <t>2026-07-28T23:40Z</t>
        </is>
      </c>
      <c r="D120" s="24" t="inlineStr">
        <is>
          <t>401816301</t>
        </is>
      </c>
      <c r="E120" s="24" t="inlineStr">
        <is>
          <t>MLB</t>
        </is>
      </c>
      <c r="F120" s="24" t="inlineStr">
        <is>
          <t>New York Yankees</t>
        </is>
      </c>
      <c r="G120" s="24" t="inlineStr">
        <is>
          <t>Chicago White Sox</t>
        </is>
      </c>
      <c r="H120" s="24" t="inlineStr">
        <is>
          <t>spread</t>
        </is>
      </c>
      <c r="I120" s="24" t="inlineStr">
        <is>
          <t>home</t>
        </is>
      </c>
      <c r="J120" s="25" t="n">
        <v>1.5</v>
      </c>
      <c r="K120" s="24" t="inlineStr">
        <is>
          <t>polymarket_us</t>
        </is>
      </c>
      <c r="L120" s="26" t="n">
        <v>-153</v>
      </c>
      <c r="M120" s="27" t="n">
        <v>1.653595</v>
      </c>
      <c r="N120" s="28" t="n">
        <v>0.604743</v>
      </c>
      <c r="O120" s="28" t="n">
        <v>0.705275</v>
      </c>
      <c r="P120" s="28" t="n">
        <v>0.047697</v>
      </c>
      <c r="Q120" s="28" t="n">
        <v>0.100532</v>
      </c>
      <c r="R120" s="26" t="n">
        <v>72</v>
      </c>
      <c r="S120" s="29" t="n">
        <v>0</v>
      </c>
      <c r="T120" s="24" t="inlineStr">
        <is>
          <t>measured-edge-margin-v1</t>
        </is>
      </c>
      <c r="U120" s="24" t="inlineStr">
        <is>
          <t>open</t>
        </is>
      </c>
      <c r="V120" s="24" t="n"/>
      <c r="W120" s="26" t="n"/>
      <c r="X120" s="26" t="n"/>
      <c r="Y120" s="25" t="n"/>
      <c r="Z120" s="26" t="n"/>
      <c r="AA120" s="28" t="n"/>
      <c r="AB120" s="28" t="n"/>
      <c r="AC120" s="30" t="n"/>
      <c r="AD120" s="24" t="n"/>
      <c r="AE120" s="31" t="inlineStr">
        <is>
          <t>Measured Edge Margin: Trend Engine projected 4.08-4.82; raw selected-side p=0.7415, calibrated p=0.7053.</t>
        </is>
      </c>
      <c r="AF120" s="31" t="inlineStr">
        <is>
          <t>Research-only; lineup, bullpen, park, weather, xFIP, and wRC+ may be neutral fallbacks; market availability and BBO depth may change before first pitch.</t>
        </is>
      </c>
      <c r="AG120" s="24" t="inlineStr">
        <is>
          <t>not_applicable</t>
        </is>
      </c>
      <c r="AH120" s="24" t="n"/>
      <c r="AI120" s="31" t="n"/>
      <c r="AJ120" s="31" t="n"/>
      <c r="AK120" s="24" t="inlineStr">
        <is>
          <t>research_observation</t>
        </is>
      </c>
      <c r="AL120" s="26" t="n">
        <v>3</v>
      </c>
      <c r="AM120" s="24" t="inlineStr">
        <is>
          <t>RESEARCH_OBSERVATION</t>
        </is>
      </c>
      <c r="AN120" s="24" t="inlineStr">
        <is>
          <t>NO_CALL</t>
        </is>
      </c>
      <c r="AO120" s="24" t="inlineStr">
        <is>
          <t>NO_CALL_MODEL_UNVALIDATED</t>
        </is>
      </c>
      <c r="AP120" s="24" t="inlineStr">
        <is>
          <t>mlb-nyy</t>
        </is>
      </c>
      <c r="AQ120" s="24" t="inlineStr">
        <is>
          <t>New York Yankees</t>
        </is>
      </c>
      <c r="AR120" s="24" t="inlineStr">
        <is>
          <t>New York Yankees</t>
        </is>
      </c>
      <c r="AS120" s="24" t="inlineStr">
        <is>
          <t>mlb-cws</t>
        </is>
      </c>
      <c r="AT120" s="24" t="inlineStr">
        <is>
          <t>Chicago White Sox</t>
        </is>
      </c>
      <c r="AU120" s="24" t="inlineStr">
        <is>
          <t>Chicago White Sox</t>
        </is>
      </c>
      <c r="AV120" s="24" t="n"/>
      <c r="AW120" s="24" t="n"/>
      <c r="AX120" s="24" t="inlineStr">
        <is>
          <t>statistical_model</t>
        </is>
      </c>
      <c r="AY120" s="24" t="n"/>
      <c r="AZ120" s="24" t="inlineStr">
        <is>
          <t>research</t>
        </is>
      </c>
      <c r="BA120" s="24" t="inlineStr">
        <is>
          <t>bd86494ed21c6a0389ab0efcf4b8a5bb7b9f8f8786b6d5fb9da69d8cf0a70bdc</t>
        </is>
      </c>
      <c r="BB120" s="24" t="inlineStr">
        <is>
          <t>flat_probability_shrinkage_toward_half</t>
        </is>
      </c>
      <c r="BC120" s="24" t="inlineStr">
        <is>
          <t>measured-edge-margin-v1</t>
        </is>
      </c>
      <c r="BD120" s="24" t="inlineStr">
        <is>
          <t>bd86494ed21c6a0389ab0efcf4b8a5bb7b9f8f8786b6d5fb9da69d8cf0a70bdc</t>
        </is>
      </c>
      <c r="BE120" s="24" t="inlineStr">
        <is>
          <t>v3</t>
        </is>
      </c>
      <c r="BF120" s="24" t="inlineStr">
        <is>
          <t>1</t>
        </is>
      </c>
      <c r="BG120" s="24" t="inlineStr">
        <is>
          <t>measured-edge-paired-v1</t>
        </is>
      </c>
      <c r="BH120" s="24" t="inlineStr">
        <is>
          <t>2026-07-28T16:31:55.190477Z</t>
        </is>
      </c>
      <c r="BI120" s="24" t="inlineStr">
        <is>
          <t>["same_event","same_team_same_day","same_league_same_day"]</t>
        </is>
      </c>
      <c r="BJ120" s="25" t="n">
        <v>1.5</v>
      </c>
      <c r="BK120" s="26" t="n">
        <v>-153</v>
      </c>
      <c r="BL120" s="27" t="n">
        <v>1.653595</v>
      </c>
      <c r="BM120" s="28" t="n">
        <v>0.604743</v>
      </c>
      <c r="BN120" s="28" t="n">
        <v>0.60199</v>
      </c>
      <c r="BO120" s="28" t="n"/>
      <c r="BP120" s="25" t="n"/>
      <c r="BQ120" s="27" t="n"/>
      <c r="BR120" s="28" t="n"/>
      <c r="BS120" s="28" t="n"/>
      <c r="BT120" s="28" t="n"/>
      <c r="BU120" s="25" t="n"/>
      <c r="BV120" s="29" t="n"/>
      <c r="BW120" s="24" t="n"/>
      <c r="BX120" s="30" t="n"/>
      <c r="BY120" s="27" t="n"/>
      <c r="BZ120" s="24" t="n"/>
      <c r="CA120" s="31" t="n"/>
      <c r="CB120" s="24" t="n"/>
      <c r="CC120" s="24" t="n"/>
      <c r="CD120" s="24" t="n"/>
      <c r="CE120" s="24" t="n"/>
      <c r="CF120" s="24" t="n"/>
      <c r="CG120" s="24" t="n"/>
      <c r="CH120" s="24" t="n"/>
      <c r="CI120" s="24" t="n"/>
      <c r="CJ120" s="24" t="n"/>
      <c r="CK120" s="24" t="n"/>
      <c r="CL120" s="24" t="n"/>
      <c r="CM120" s="24" t="n"/>
      <c r="CN120" s="24" t="n"/>
      <c r="CO120" s="24" t="n"/>
    </row>
    <row r="121" ht="36" customHeight="1">
      <c r="A121" s="24" t="inlineStr">
        <is>
          <t>e8a39d32f39c428d</t>
        </is>
      </c>
      <c r="B121" s="24" t="inlineStr">
        <is>
          <t>2026-07-28T16:31:55.190477Z</t>
        </is>
      </c>
      <c r="C121" s="24" t="inlineStr">
        <is>
          <t>2026-07-28T23:40Z</t>
        </is>
      </c>
      <c r="D121" s="24" t="inlineStr">
        <is>
          <t>401816301</t>
        </is>
      </c>
      <c r="E121" s="24" t="inlineStr">
        <is>
          <t>MLB</t>
        </is>
      </c>
      <c r="F121" s="24" t="inlineStr">
        <is>
          <t>New York Yankees</t>
        </is>
      </c>
      <c r="G121" s="24" t="inlineStr">
        <is>
          <t>Chicago White Sox</t>
        </is>
      </c>
      <c r="H121" s="24" t="inlineStr">
        <is>
          <t>total</t>
        </is>
      </c>
      <c r="I121" s="24" t="inlineStr">
        <is>
          <t>over</t>
        </is>
      </c>
      <c r="J121" s="25" t="n">
        <v>7.5</v>
      </c>
      <c r="K121" s="24" t="inlineStr">
        <is>
          <t>polymarket_us</t>
        </is>
      </c>
      <c r="L121" s="26" t="n">
        <v>-115</v>
      </c>
      <c r="M121" s="27" t="n">
        <v>1.869565</v>
      </c>
      <c r="N121" s="28" t="n">
        <v>0.534884</v>
      </c>
      <c r="O121" s="28" t="n">
        <v>0.5677450000000001</v>
      </c>
      <c r="P121" s="28" t="n">
        <v>0.047697</v>
      </c>
      <c r="Q121" s="28" t="n">
        <v>0.032861</v>
      </c>
      <c r="R121" s="26" t="n">
        <v>38</v>
      </c>
      <c r="S121" s="29" t="n">
        <v>0</v>
      </c>
      <c r="T121" s="24" t="inlineStr">
        <is>
          <t>measured-edge-totals-v1</t>
        </is>
      </c>
      <c r="U121" s="24" t="inlineStr">
        <is>
          <t>open</t>
        </is>
      </c>
      <c r="V121" s="24" t="n"/>
      <c r="W121" s="26" t="n"/>
      <c r="X121" s="26" t="n"/>
      <c r="Y121" s="25" t="n"/>
      <c r="Z121" s="26" t="n"/>
      <c r="AA121" s="28" t="n"/>
      <c r="AB121" s="28" t="n"/>
      <c r="AC121" s="30" t="n"/>
      <c r="AD121" s="24" t="n"/>
      <c r="AE121" s="31" t="inlineStr">
        <is>
          <t>Measured Edge Totals: Trend Engine projected 4.08-4.82; raw selected-side p=0.5797, calibrated p=0.5677.</t>
        </is>
      </c>
      <c r="AF121" s="31" t="inlineStr">
        <is>
          <t>Research-only; lineup, bullpen, park, weather, xFIP, and wRC+ may be neutral fallbacks; market availability and BBO depth may change before first pitch.</t>
        </is>
      </c>
      <c r="AG121" s="24" t="inlineStr">
        <is>
          <t>not_applicable</t>
        </is>
      </c>
      <c r="AH121" s="24" t="n"/>
      <c r="AI121" s="31" t="n"/>
      <c r="AJ121" s="31" t="n"/>
      <c r="AK121" s="24" t="inlineStr">
        <is>
          <t>research_observation</t>
        </is>
      </c>
      <c r="AL121" s="26" t="n">
        <v>3</v>
      </c>
      <c r="AM121" s="24" t="inlineStr">
        <is>
          <t>RESEARCH_OBSERVATION</t>
        </is>
      </c>
      <c r="AN121" s="24" t="inlineStr">
        <is>
          <t>NO_CALL</t>
        </is>
      </c>
      <c r="AO121" s="24" t="inlineStr">
        <is>
          <t>NO_CALL_MODEL_UNVALIDATED</t>
        </is>
      </c>
      <c r="AP121" s="24" t="inlineStr">
        <is>
          <t>mlb-nyy</t>
        </is>
      </c>
      <c r="AQ121" s="24" t="inlineStr">
        <is>
          <t>New York Yankees</t>
        </is>
      </c>
      <c r="AR121" s="24" t="inlineStr">
        <is>
          <t>New York Yankees</t>
        </is>
      </c>
      <c r="AS121" s="24" t="inlineStr">
        <is>
          <t>mlb-cws</t>
        </is>
      </c>
      <c r="AT121" s="24" t="inlineStr">
        <is>
          <t>Chicago White Sox</t>
        </is>
      </c>
      <c r="AU121" s="24" t="inlineStr">
        <is>
          <t>Chicago White Sox</t>
        </is>
      </c>
      <c r="AV121" s="24" t="n"/>
      <c r="AW121" s="24" t="n"/>
      <c r="AX121" s="24" t="inlineStr">
        <is>
          <t>statistical_model</t>
        </is>
      </c>
      <c r="AY121" s="24" t="n"/>
      <c r="AZ121" s="24" t="inlineStr">
        <is>
          <t>research</t>
        </is>
      </c>
      <c r="BA121" s="24" t="inlineStr">
        <is>
          <t>0aa06c0f065ec20d43901d386280174165e2b07065216b6c7ffe72c98e322706</t>
        </is>
      </c>
      <c r="BB121" s="24" t="inlineStr">
        <is>
          <t>flat_probability_shrinkage_toward_half</t>
        </is>
      </c>
      <c r="BC121" s="24" t="inlineStr">
        <is>
          <t>measured-edge-totals-v1</t>
        </is>
      </c>
      <c r="BD121" s="24" t="inlineStr">
        <is>
          <t>0aa06c0f065ec20d43901d386280174165e2b07065216b6c7ffe72c98e322706</t>
        </is>
      </c>
      <c r="BE121" s="24" t="inlineStr">
        <is>
          <t>v3</t>
        </is>
      </c>
      <c r="BF121" s="24" t="inlineStr">
        <is>
          <t>1</t>
        </is>
      </c>
      <c r="BG121" s="24" t="inlineStr">
        <is>
          <t>measured-edge-paired-v1</t>
        </is>
      </c>
      <c r="BH121" s="24" t="inlineStr">
        <is>
          <t>2026-07-28T16:31:55.190477Z</t>
        </is>
      </c>
      <c r="BI121" s="24" t="inlineStr">
        <is>
          <t>["same_event","same_team_same_day","same_league_same_day"]</t>
        </is>
      </c>
      <c r="BJ121" s="25" t="n">
        <v>7.5</v>
      </c>
      <c r="BK121" s="26" t="n">
        <v>-115</v>
      </c>
      <c r="BL121" s="27" t="n">
        <v>1.869565</v>
      </c>
      <c r="BM121" s="28" t="n">
        <v>0.534884</v>
      </c>
      <c r="BN121" s="28" t="n">
        <v>0.532338</v>
      </c>
      <c r="BO121" s="28" t="n"/>
      <c r="BP121" s="25" t="n"/>
      <c r="BQ121" s="27" t="n"/>
      <c r="BR121" s="28" t="n"/>
      <c r="BS121" s="28" t="n"/>
      <c r="BT121" s="28" t="n"/>
      <c r="BU121" s="25" t="n"/>
      <c r="BV121" s="29" t="n"/>
      <c r="BW121" s="24" t="n"/>
      <c r="BX121" s="30" t="n"/>
      <c r="BY121" s="27" t="n"/>
      <c r="BZ121" s="24" t="n"/>
      <c r="CA121" s="31" t="n"/>
      <c r="CB121" s="24" t="n"/>
      <c r="CC121" s="24" t="n"/>
      <c r="CD121" s="24" t="n"/>
      <c r="CE121" s="24" t="n"/>
      <c r="CF121" s="24" t="n"/>
      <c r="CG121" s="24" t="n"/>
      <c r="CH121" s="24" t="n"/>
      <c r="CI121" s="24" t="n"/>
      <c r="CJ121" s="24" t="n"/>
      <c r="CK121" s="24" t="n"/>
      <c r="CL121" s="24" t="n"/>
      <c r="CM121" s="24" t="n"/>
      <c r="CN121" s="24" t="n"/>
      <c r="CO121" s="24" t="n"/>
    </row>
    <row r="122" ht="36" customHeight="1">
      <c r="A122" s="24" t="inlineStr">
        <is>
          <t>1f9f7560effb4728</t>
        </is>
      </c>
      <c r="B122" s="24" t="inlineStr">
        <is>
          <t>2026-07-28T16:31:55.190477Z</t>
        </is>
      </c>
      <c r="C122" s="24" t="inlineStr">
        <is>
          <t>2026-07-28T23:45Z</t>
        </is>
      </c>
      <c r="D122" s="24" t="inlineStr">
        <is>
          <t>401816299</t>
        </is>
      </c>
      <c r="E122" s="24" t="inlineStr">
        <is>
          <t>MLB</t>
        </is>
      </c>
      <c r="F122" s="24" t="inlineStr">
        <is>
          <t>Chicago Cubs</t>
        </is>
      </c>
      <c r="G122" s="24" t="inlineStr">
        <is>
          <t>St. Louis Cardinals</t>
        </is>
      </c>
      <c r="H122" s="24" t="inlineStr">
        <is>
          <t>spread</t>
        </is>
      </c>
      <c r="I122" s="24" t="inlineStr">
        <is>
          <t>home</t>
        </is>
      </c>
      <c r="J122" s="25" t="n">
        <v>1.5</v>
      </c>
      <c r="K122" s="24" t="inlineStr">
        <is>
          <t>polymarket_us</t>
        </is>
      </c>
      <c r="L122" s="26" t="n">
        <v>-160</v>
      </c>
      <c r="M122" s="27" t="n">
        <v>1.625</v>
      </c>
      <c r="N122" s="28" t="n">
        <v>0.615385</v>
      </c>
      <c r="O122" s="28" t="n">
        <v>0.753555</v>
      </c>
      <c r="P122" s="28" t="n">
        <v>0.047697</v>
      </c>
      <c r="Q122" s="28" t="n">
        <v>0.13817</v>
      </c>
      <c r="R122" s="26" t="n">
        <v>90</v>
      </c>
      <c r="S122" s="29" t="n">
        <v>0</v>
      </c>
      <c r="T122" s="24" t="inlineStr">
        <is>
          <t>measured-edge-margin-v1</t>
        </is>
      </c>
      <c r="U122" s="24" t="inlineStr">
        <is>
          <t>open</t>
        </is>
      </c>
      <c r="V122" s="24" t="n"/>
      <c r="W122" s="26" t="n"/>
      <c r="X122" s="26" t="n"/>
      <c r="Y122" s="25" t="n"/>
      <c r="Z122" s="26" t="n"/>
      <c r="AA122" s="28" t="n"/>
      <c r="AB122" s="28" t="n"/>
      <c r="AC122" s="30" t="n"/>
      <c r="AD122" s="24" t="n"/>
      <c r="AE122" s="31" t="inlineStr">
        <is>
          <t>Measured Edge Margin: Trend Engine projected 3.27-4.56; raw selected-side p=0.7983, calibrated p=0.7536.</t>
        </is>
      </c>
      <c r="AF122" s="31" t="inlineStr">
        <is>
          <t>Research-only; lineup, bullpen, park, weather, xFIP, and wRC+ may be neutral fallbacks; market availability and BBO depth may change before first pitch.</t>
        </is>
      </c>
      <c r="AG122" s="24" t="inlineStr">
        <is>
          <t>not_applicable</t>
        </is>
      </c>
      <c r="AH122" s="24" t="n"/>
      <c r="AI122" s="31" t="n"/>
      <c r="AJ122" s="31" t="n"/>
      <c r="AK122" s="24" t="inlineStr">
        <is>
          <t>research_observation</t>
        </is>
      </c>
      <c r="AL122" s="26" t="n">
        <v>3</v>
      </c>
      <c r="AM122" s="24" t="inlineStr">
        <is>
          <t>RESEARCH_OBSERVATION</t>
        </is>
      </c>
      <c r="AN122" s="24" t="inlineStr">
        <is>
          <t>NO_CALL</t>
        </is>
      </c>
      <c r="AO122" s="24" t="inlineStr">
        <is>
          <t>NO_CALL_MODEL_UNVALIDATED</t>
        </is>
      </c>
      <c r="AP122" s="24" t="inlineStr">
        <is>
          <t>mlb-chc</t>
        </is>
      </c>
      <c r="AQ122" s="24" t="inlineStr">
        <is>
          <t>Chicago Cubs</t>
        </is>
      </c>
      <c r="AR122" s="24" t="inlineStr">
        <is>
          <t>Chicago Cubs</t>
        </is>
      </c>
      <c r="AS122" s="24" t="inlineStr">
        <is>
          <t>mlb-stl</t>
        </is>
      </c>
      <c r="AT122" s="24" t="inlineStr">
        <is>
          <t>St. Louis Cardinals</t>
        </is>
      </c>
      <c r="AU122" s="24" t="inlineStr">
        <is>
          <t>St. Louis Cardinals</t>
        </is>
      </c>
      <c r="AV122" s="24" t="n"/>
      <c r="AW122" s="24" t="n"/>
      <c r="AX122" s="24" t="inlineStr">
        <is>
          <t>statistical_model</t>
        </is>
      </c>
      <c r="AY122" s="24" t="n"/>
      <c r="AZ122" s="24" t="inlineStr">
        <is>
          <t>research</t>
        </is>
      </c>
      <c r="BA122" s="24" t="inlineStr">
        <is>
          <t>bd86494ed21c6a0389ab0efcf4b8a5bb7b9f8f8786b6d5fb9da69d8cf0a70bdc</t>
        </is>
      </c>
      <c r="BB122" s="24" t="inlineStr">
        <is>
          <t>flat_probability_shrinkage_toward_half</t>
        </is>
      </c>
      <c r="BC122" s="24" t="inlineStr">
        <is>
          <t>measured-edge-margin-v1</t>
        </is>
      </c>
      <c r="BD122" s="24" t="inlineStr">
        <is>
          <t>bd86494ed21c6a0389ab0efcf4b8a5bb7b9f8f8786b6d5fb9da69d8cf0a70bdc</t>
        </is>
      </c>
      <c r="BE122" s="24" t="inlineStr">
        <is>
          <t>v3</t>
        </is>
      </c>
      <c r="BF122" s="24" t="inlineStr">
        <is>
          <t>1</t>
        </is>
      </c>
      <c r="BG122" s="24" t="inlineStr">
        <is>
          <t>measured-edge-paired-v1</t>
        </is>
      </c>
      <c r="BH122" s="24" t="inlineStr">
        <is>
          <t>2026-07-28T16:31:55.190477Z</t>
        </is>
      </c>
      <c r="BI122" s="24" t="inlineStr">
        <is>
          <t>["same_event","same_team_same_day","same_league_same_day"]</t>
        </is>
      </c>
      <c r="BJ122" s="25" t="n">
        <v>1.5</v>
      </c>
      <c r="BK122" s="26" t="n">
        <v>-160</v>
      </c>
      <c r="BL122" s="27" t="n">
        <v>1.625</v>
      </c>
      <c r="BM122" s="28" t="n">
        <v>0.615385</v>
      </c>
      <c r="BN122" s="28" t="n">
        <v>0.61194</v>
      </c>
      <c r="BO122" s="28" t="n"/>
      <c r="BP122" s="25" t="n"/>
      <c r="BQ122" s="27" t="n"/>
      <c r="BR122" s="28" t="n"/>
      <c r="BS122" s="28" t="n"/>
      <c r="BT122" s="28" t="n"/>
      <c r="BU122" s="25" t="n"/>
      <c r="BV122" s="29" t="n"/>
      <c r="BW122" s="24" t="n"/>
      <c r="BX122" s="30" t="n"/>
      <c r="BY122" s="27" t="n"/>
      <c r="BZ122" s="24" t="n"/>
      <c r="CA122" s="31" t="n"/>
      <c r="CB122" s="24" t="n"/>
      <c r="CC122" s="24" t="n"/>
      <c r="CD122" s="24" t="n"/>
      <c r="CE122" s="24" t="n"/>
      <c r="CF122" s="24" t="n"/>
      <c r="CG122" s="24" t="n"/>
      <c r="CH122" s="24" t="n"/>
      <c r="CI122" s="24" t="n"/>
      <c r="CJ122" s="24" t="n"/>
      <c r="CK122" s="24" t="n"/>
      <c r="CL122" s="24" t="n"/>
      <c r="CM122" s="24" t="n"/>
      <c r="CN122" s="24" t="n"/>
      <c r="CO122" s="24" t="n"/>
    </row>
    <row r="123" ht="36" customHeight="1">
      <c r="A123" s="24" t="inlineStr">
        <is>
          <t>2bf99fe694044680</t>
        </is>
      </c>
      <c r="B123" s="24" t="inlineStr">
        <is>
          <t>2026-07-28T16:31:55.190477Z</t>
        </is>
      </c>
      <c r="C123" s="24" t="inlineStr">
        <is>
          <t>2026-07-28T23:45Z</t>
        </is>
      </c>
      <c r="D123" s="24" t="inlineStr">
        <is>
          <t>401816299</t>
        </is>
      </c>
      <c r="E123" s="24" t="inlineStr">
        <is>
          <t>MLB</t>
        </is>
      </c>
      <c r="F123" s="24" t="inlineStr">
        <is>
          <t>Chicago Cubs</t>
        </is>
      </c>
      <c r="G123" s="24" t="inlineStr">
        <is>
          <t>St. Louis Cardinals</t>
        </is>
      </c>
      <c r="H123" s="24" t="inlineStr">
        <is>
          <t>total</t>
        </is>
      </c>
      <c r="I123" s="24" t="inlineStr">
        <is>
          <t>under</t>
        </is>
      </c>
      <c r="J123" s="25" t="n">
        <v>8.5</v>
      </c>
      <c r="K123" s="24" t="inlineStr">
        <is>
          <t>polymarket_us</t>
        </is>
      </c>
      <c r="L123" s="26" t="n">
        <v>113</v>
      </c>
      <c r="M123" s="27" t="n">
        <v>2.13</v>
      </c>
      <c r="N123" s="28" t="n">
        <v>0.469484</v>
      </c>
      <c r="O123" s="28" t="n">
        <v>0.58228</v>
      </c>
      <c r="P123" s="28" t="n">
        <v>0.047697</v>
      </c>
      <c r="Q123" s="28" t="n">
        <v>0.112796</v>
      </c>
      <c r="R123" s="26" t="n">
        <v>78</v>
      </c>
      <c r="S123" s="29" t="n">
        <v>0</v>
      </c>
      <c r="T123" s="24" t="inlineStr">
        <is>
          <t>measured-edge-totals-v1</t>
        </is>
      </c>
      <c r="U123" s="24" t="inlineStr">
        <is>
          <t>open</t>
        </is>
      </c>
      <c r="V123" s="24" t="n"/>
      <c r="W123" s="26" t="n"/>
      <c r="X123" s="26" t="n"/>
      <c r="Y123" s="25" t="n"/>
      <c r="Z123" s="26" t="n"/>
      <c r="AA123" s="28" t="n"/>
      <c r="AB123" s="28" t="n"/>
      <c r="AC123" s="30" t="n"/>
      <c r="AD123" s="24" t="n"/>
      <c r="AE123" s="31" t="inlineStr">
        <is>
          <t>Measured Edge Totals: Trend Engine projected 3.27-4.56; raw selected-side p=0.5968, calibrated p=0.5823.</t>
        </is>
      </c>
      <c r="AF123" s="31" t="inlineStr">
        <is>
          <t>Research-only; lineup, bullpen, park, weather, xFIP, and wRC+ may be neutral fallbacks; market availability and BBO depth may change before first pitch.</t>
        </is>
      </c>
      <c r="AG123" s="24" t="inlineStr">
        <is>
          <t>not_applicable</t>
        </is>
      </c>
      <c r="AH123" s="24" t="n"/>
      <c r="AI123" s="31" t="n"/>
      <c r="AJ123" s="31" t="n"/>
      <c r="AK123" s="24" t="inlineStr">
        <is>
          <t>research_observation</t>
        </is>
      </c>
      <c r="AL123" s="26" t="n">
        <v>3</v>
      </c>
      <c r="AM123" s="24" t="inlineStr">
        <is>
          <t>RESEARCH_OBSERVATION</t>
        </is>
      </c>
      <c r="AN123" s="24" t="inlineStr">
        <is>
          <t>NO_CALL</t>
        </is>
      </c>
      <c r="AO123" s="24" t="inlineStr">
        <is>
          <t>NO_CALL_MODEL_UNVALIDATED</t>
        </is>
      </c>
      <c r="AP123" s="24" t="inlineStr">
        <is>
          <t>mlb-chc</t>
        </is>
      </c>
      <c r="AQ123" s="24" t="inlineStr">
        <is>
          <t>Chicago Cubs</t>
        </is>
      </c>
      <c r="AR123" s="24" t="inlineStr">
        <is>
          <t>Chicago Cubs</t>
        </is>
      </c>
      <c r="AS123" s="24" t="inlineStr">
        <is>
          <t>mlb-stl</t>
        </is>
      </c>
      <c r="AT123" s="24" t="inlineStr">
        <is>
          <t>St. Louis Cardinals</t>
        </is>
      </c>
      <c r="AU123" s="24" t="inlineStr">
        <is>
          <t>St. Louis Cardinals</t>
        </is>
      </c>
      <c r="AV123" s="24" t="n"/>
      <c r="AW123" s="24" t="n"/>
      <c r="AX123" s="24" t="inlineStr">
        <is>
          <t>statistical_model</t>
        </is>
      </c>
      <c r="AY123" s="24" t="n"/>
      <c r="AZ123" s="24" t="inlineStr">
        <is>
          <t>research</t>
        </is>
      </c>
      <c r="BA123" s="24" t="inlineStr">
        <is>
          <t>0aa06c0f065ec20d43901d386280174165e2b07065216b6c7ffe72c98e322706</t>
        </is>
      </c>
      <c r="BB123" s="24" t="inlineStr">
        <is>
          <t>flat_probability_shrinkage_toward_half</t>
        </is>
      </c>
      <c r="BC123" s="24" t="inlineStr">
        <is>
          <t>measured-edge-totals-v1</t>
        </is>
      </c>
      <c r="BD123" s="24" t="inlineStr">
        <is>
          <t>0aa06c0f065ec20d43901d386280174165e2b07065216b6c7ffe72c98e322706</t>
        </is>
      </c>
      <c r="BE123" s="24" t="inlineStr">
        <is>
          <t>v3</t>
        </is>
      </c>
      <c r="BF123" s="24" t="inlineStr">
        <is>
          <t>1</t>
        </is>
      </c>
      <c r="BG123" s="24" t="inlineStr">
        <is>
          <t>measured-edge-paired-v1</t>
        </is>
      </c>
      <c r="BH123" s="24" t="inlineStr">
        <is>
          <t>2026-07-28T16:31:55.190477Z</t>
        </is>
      </c>
      <c r="BI123" s="24" t="inlineStr">
        <is>
          <t>["same_event","same_team_same_day","same_league_same_day"]</t>
        </is>
      </c>
      <c r="BJ123" s="25" t="n">
        <v>8.5</v>
      </c>
      <c r="BK123" s="26" t="n">
        <v>113</v>
      </c>
      <c r="BL123" s="27" t="n">
        <v>2.13</v>
      </c>
      <c r="BM123" s="28" t="n">
        <v>0.469484</v>
      </c>
      <c r="BN123" s="28" t="n">
        <v>0.467662</v>
      </c>
      <c r="BO123" s="28" t="n"/>
      <c r="BP123" s="25" t="n"/>
      <c r="BQ123" s="27" t="n"/>
      <c r="BR123" s="28" t="n"/>
      <c r="BS123" s="28" t="n"/>
      <c r="BT123" s="28" t="n"/>
      <c r="BU123" s="25" t="n"/>
      <c r="BV123" s="29" t="n"/>
      <c r="BW123" s="24" t="n"/>
      <c r="BX123" s="30" t="n"/>
      <c r="BY123" s="27" t="n"/>
      <c r="BZ123" s="24" t="n"/>
      <c r="CA123" s="31" t="n"/>
      <c r="CB123" s="24" t="n"/>
      <c r="CC123" s="24" t="n"/>
      <c r="CD123" s="24" t="n"/>
      <c r="CE123" s="24" t="n"/>
      <c r="CF123" s="24" t="n"/>
      <c r="CG123" s="24" t="n"/>
      <c r="CH123" s="24" t="n"/>
      <c r="CI123" s="24" t="n"/>
      <c r="CJ123" s="24" t="n"/>
      <c r="CK123" s="24" t="n"/>
      <c r="CL123" s="24" t="n"/>
      <c r="CM123" s="24" t="n"/>
      <c r="CN123" s="24" t="n"/>
      <c r="CO123" s="24" t="n"/>
    </row>
    <row r="124" ht="36" customHeight="1">
      <c r="A124" s="24" t="inlineStr">
        <is>
          <t>0fc7e4508ecd4854</t>
        </is>
      </c>
      <c r="B124" s="24" t="inlineStr">
        <is>
          <t>2026-07-28T16:31:55.190477Z</t>
        </is>
      </c>
      <c r="C124" s="24" t="inlineStr">
        <is>
          <t>2026-07-29T01:38Z</t>
        </is>
      </c>
      <c r="D124" s="24" t="inlineStr">
        <is>
          <t>401816304</t>
        </is>
      </c>
      <c r="E124" s="24" t="inlineStr">
        <is>
          <t>MLB</t>
        </is>
      </c>
      <c r="F124" s="24" t="inlineStr">
        <is>
          <t>Houston Astros</t>
        </is>
      </c>
      <c r="G124" s="24" t="inlineStr">
        <is>
          <t>Los Angeles Angels</t>
        </is>
      </c>
      <c r="H124" s="24" t="inlineStr">
        <is>
          <t>spread</t>
        </is>
      </c>
      <c r="I124" s="24" t="inlineStr">
        <is>
          <t>away</t>
        </is>
      </c>
      <c r="J124" s="25" t="n">
        <v>-1.5</v>
      </c>
      <c r="K124" s="24" t="inlineStr">
        <is>
          <t>polymarket_us</t>
        </is>
      </c>
      <c r="L124" s="26" t="n">
        <v>163</v>
      </c>
      <c r="M124" s="27" t="n">
        <v>2.63</v>
      </c>
      <c r="N124" s="28" t="n">
        <v>0.380228</v>
      </c>
      <c r="O124" s="28" t="n">
        <v>0.5625599999999999</v>
      </c>
      <c r="P124" s="28" t="n">
        <v>0.047697</v>
      </c>
      <c r="Q124" s="28" t="n">
        <v>0.182332</v>
      </c>
      <c r="R124" s="26" t="n">
        <v>100</v>
      </c>
      <c r="S124" s="29" t="n">
        <v>0</v>
      </c>
      <c r="T124" s="24" t="inlineStr">
        <is>
          <t>measured-edge-margin-v1</t>
        </is>
      </c>
      <c r="U124" s="24" t="inlineStr">
        <is>
          <t>open</t>
        </is>
      </c>
      <c r="V124" s="24" t="n"/>
      <c r="W124" s="26" t="n"/>
      <c r="X124" s="26" t="n"/>
      <c r="Y124" s="25" t="n"/>
      <c r="Z124" s="26" t="n"/>
      <c r="AA124" s="28" t="n"/>
      <c r="AB124" s="28" t="n"/>
      <c r="AC124" s="30" t="n"/>
      <c r="AD124" s="24" t="n"/>
      <c r="AE124" s="31" t="inlineStr">
        <is>
          <t>Measured Edge Margin: Trend Engine projected 4.81-2.49; raw selected-side p=0.5736, calibrated p=0.5626.</t>
        </is>
      </c>
      <c r="AF124" s="31" t="inlineStr">
        <is>
          <t>Research-only; lineup, bullpen, park, weather, xFIP, and wRC+ may be neutral fallbacks; market availability and BBO depth may change before first pitch.</t>
        </is>
      </c>
      <c r="AG124" s="24" t="inlineStr">
        <is>
          <t>not_applicable</t>
        </is>
      </c>
      <c r="AH124" s="24" t="n"/>
      <c r="AI124" s="31" t="n"/>
      <c r="AJ124" s="31" t="n"/>
      <c r="AK124" s="24" t="inlineStr">
        <is>
          <t>research_observation</t>
        </is>
      </c>
      <c r="AL124" s="26" t="n">
        <v>3</v>
      </c>
      <c r="AM124" s="24" t="inlineStr">
        <is>
          <t>RESEARCH_OBSERVATION</t>
        </is>
      </c>
      <c r="AN124" s="24" t="inlineStr">
        <is>
          <t>NO_CALL</t>
        </is>
      </c>
      <c r="AO124" s="24" t="inlineStr">
        <is>
          <t>NO_CALL_MODEL_UNVALIDATED</t>
        </is>
      </c>
      <c r="AP124" s="24" t="inlineStr">
        <is>
          <t>mlb-hou</t>
        </is>
      </c>
      <c r="AQ124" s="24" t="inlineStr">
        <is>
          <t>Houston Astros</t>
        </is>
      </c>
      <c r="AR124" s="24" t="inlineStr">
        <is>
          <t>Houston Astros</t>
        </is>
      </c>
      <c r="AS124" s="24" t="inlineStr">
        <is>
          <t>mlb-laa</t>
        </is>
      </c>
      <c r="AT124" s="24" t="inlineStr">
        <is>
          <t>Los Angeles Angels</t>
        </is>
      </c>
      <c r="AU124" s="24" t="inlineStr">
        <is>
          <t>Los Angeles Angels</t>
        </is>
      </c>
      <c r="AV124" s="24" t="n"/>
      <c r="AW124" s="24" t="n"/>
      <c r="AX124" s="24" t="inlineStr">
        <is>
          <t>statistical_model</t>
        </is>
      </c>
      <c r="AY124" s="24" t="n"/>
      <c r="AZ124" s="24" t="inlineStr">
        <is>
          <t>research</t>
        </is>
      </c>
      <c r="BA124" s="24" t="inlineStr">
        <is>
          <t>bd86494ed21c6a0389ab0efcf4b8a5bb7b9f8f8786b6d5fb9da69d8cf0a70bdc</t>
        </is>
      </c>
      <c r="BB124" s="24" t="inlineStr">
        <is>
          <t>flat_probability_shrinkage_toward_half</t>
        </is>
      </c>
      <c r="BC124" s="24" t="inlineStr">
        <is>
          <t>measured-edge-margin-v1</t>
        </is>
      </c>
      <c r="BD124" s="24" t="inlineStr">
        <is>
          <t>bd86494ed21c6a0389ab0efcf4b8a5bb7b9f8f8786b6d5fb9da69d8cf0a70bdc</t>
        </is>
      </c>
      <c r="BE124" s="24" t="inlineStr">
        <is>
          <t>v3</t>
        </is>
      </c>
      <c r="BF124" s="24" t="inlineStr">
        <is>
          <t>1</t>
        </is>
      </c>
      <c r="BG124" s="24" t="inlineStr">
        <is>
          <t>measured-edge-paired-v1</t>
        </is>
      </c>
      <c r="BH124" s="24" t="inlineStr">
        <is>
          <t>2026-07-28T16:31:55.190477Z</t>
        </is>
      </c>
      <c r="BI124" s="24" t="inlineStr">
        <is>
          <t>["same_event","same_team_same_day","same_league_same_day"]</t>
        </is>
      </c>
      <c r="BJ124" s="25" t="n">
        <v>-1.5</v>
      </c>
      <c r="BK124" s="26" t="n">
        <v>163</v>
      </c>
      <c r="BL124" s="27" t="n">
        <v>2.63</v>
      </c>
      <c r="BM124" s="28" t="n">
        <v>0.380228</v>
      </c>
      <c r="BN124" s="28" t="n">
        <v>0.378109</v>
      </c>
      <c r="BO124" s="28" t="n"/>
      <c r="BP124" s="25" t="n"/>
      <c r="BQ124" s="27" t="n"/>
      <c r="BR124" s="28" t="n"/>
      <c r="BS124" s="28" t="n"/>
      <c r="BT124" s="28" t="n"/>
      <c r="BU124" s="25" t="n"/>
      <c r="BV124" s="29" t="n"/>
      <c r="BW124" s="24" t="n"/>
      <c r="BX124" s="30" t="n"/>
      <c r="BY124" s="27" t="n"/>
      <c r="BZ124" s="24" t="n"/>
      <c r="CA124" s="31" t="n"/>
      <c r="CB124" s="24" t="n"/>
      <c r="CC124" s="24" t="n"/>
      <c r="CD124" s="24" t="n"/>
      <c r="CE124" s="24" t="n"/>
      <c r="CF124" s="24" t="n"/>
      <c r="CG124" s="24" t="n"/>
      <c r="CH124" s="24" t="n"/>
      <c r="CI124" s="24" t="n"/>
      <c r="CJ124" s="24" t="n"/>
      <c r="CK124" s="24" t="n"/>
      <c r="CL124" s="24" t="n"/>
      <c r="CM124" s="24" t="n"/>
      <c r="CN124" s="24" t="n"/>
      <c r="CO124" s="24" t="n"/>
    </row>
    <row r="125" ht="36" customHeight="1">
      <c r="A125" s="24" t="inlineStr">
        <is>
          <t>e7d8a0804d924437</t>
        </is>
      </c>
      <c r="B125" s="24" t="inlineStr">
        <is>
          <t>2026-07-28T16:31:55.190477Z</t>
        </is>
      </c>
      <c r="C125" s="24" t="inlineStr">
        <is>
          <t>2026-07-29T01:38Z</t>
        </is>
      </c>
      <c r="D125" s="24" t="inlineStr">
        <is>
          <t>401816304</t>
        </is>
      </c>
      <c r="E125" s="24" t="inlineStr">
        <is>
          <t>MLB</t>
        </is>
      </c>
      <c r="F125" s="24" t="inlineStr">
        <is>
          <t>Houston Astros</t>
        </is>
      </c>
      <c r="G125" s="24" t="inlineStr">
        <is>
          <t>Los Angeles Angels</t>
        </is>
      </c>
      <c r="H125" s="24" t="inlineStr">
        <is>
          <t>total</t>
        </is>
      </c>
      <c r="I125" s="24" t="inlineStr">
        <is>
          <t>under</t>
        </is>
      </c>
      <c r="J125" s="25" t="n">
        <v>8.5</v>
      </c>
      <c r="K125" s="24" t="inlineStr">
        <is>
          <t>polymarket_us</t>
        </is>
      </c>
      <c r="L125" s="26" t="n">
        <v>-106</v>
      </c>
      <c r="M125" s="27" t="n">
        <v>1.943396</v>
      </c>
      <c r="N125" s="28" t="n">
        <v>0.514563</v>
      </c>
      <c r="O125" s="28" t="n">
        <v>0.63073</v>
      </c>
      <c r="P125" s="28" t="n">
        <v>0.047697</v>
      </c>
      <c r="Q125" s="28" t="n">
        <v>0.116167</v>
      </c>
      <c r="R125" s="26" t="n">
        <v>79</v>
      </c>
      <c r="S125" s="29" t="n">
        <v>0</v>
      </c>
      <c r="T125" s="24" t="inlineStr">
        <is>
          <t>measured-edge-totals-v1</t>
        </is>
      </c>
      <c r="U125" s="24" t="inlineStr">
        <is>
          <t>open</t>
        </is>
      </c>
      <c r="V125" s="24" t="n"/>
      <c r="W125" s="26" t="n"/>
      <c r="X125" s="26" t="n"/>
      <c r="Y125" s="25" t="n"/>
      <c r="Z125" s="26" t="n"/>
      <c r="AA125" s="28" t="n"/>
      <c r="AB125" s="28" t="n"/>
      <c r="AC125" s="30" t="n"/>
      <c r="AD125" s="24" t="n"/>
      <c r="AE125" s="31" t="inlineStr">
        <is>
          <t>Measured Edge Totals: Trend Engine projected 4.81-2.49; raw selected-side p=0.6538, calibrated p=0.6307.</t>
        </is>
      </c>
      <c r="AF125" s="31" t="inlineStr">
        <is>
          <t>Research-only; lineup, bullpen, park, weather, xFIP, and wRC+ may be neutral fallbacks; market availability and BBO depth may change before first pitch.</t>
        </is>
      </c>
      <c r="AG125" s="24" t="inlineStr">
        <is>
          <t>not_applicable</t>
        </is>
      </c>
      <c r="AH125" s="24" t="n"/>
      <c r="AI125" s="31" t="n"/>
      <c r="AJ125" s="31" t="n"/>
      <c r="AK125" s="24" t="inlineStr">
        <is>
          <t>research_observation</t>
        </is>
      </c>
      <c r="AL125" s="26" t="n">
        <v>3</v>
      </c>
      <c r="AM125" s="24" t="inlineStr">
        <is>
          <t>RESEARCH_OBSERVATION</t>
        </is>
      </c>
      <c r="AN125" s="24" t="inlineStr">
        <is>
          <t>NO_CALL</t>
        </is>
      </c>
      <c r="AO125" s="24" t="inlineStr">
        <is>
          <t>NO_CALL_MODEL_UNVALIDATED</t>
        </is>
      </c>
      <c r="AP125" s="24" t="inlineStr">
        <is>
          <t>mlb-hou</t>
        </is>
      </c>
      <c r="AQ125" s="24" t="inlineStr">
        <is>
          <t>Houston Astros</t>
        </is>
      </c>
      <c r="AR125" s="24" t="inlineStr">
        <is>
          <t>Houston Astros</t>
        </is>
      </c>
      <c r="AS125" s="24" t="inlineStr">
        <is>
          <t>mlb-laa</t>
        </is>
      </c>
      <c r="AT125" s="24" t="inlineStr">
        <is>
          <t>Los Angeles Angels</t>
        </is>
      </c>
      <c r="AU125" s="24" t="inlineStr">
        <is>
          <t>Los Angeles Angels</t>
        </is>
      </c>
      <c r="AV125" s="24" t="n"/>
      <c r="AW125" s="24" t="n"/>
      <c r="AX125" s="24" t="inlineStr">
        <is>
          <t>statistical_model</t>
        </is>
      </c>
      <c r="AY125" s="24" t="n"/>
      <c r="AZ125" s="24" t="inlineStr">
        <is>
          <t>research</t>
        </is>
      </c>
      <c r="BA125" s="24" t="inlineStr">
        <is>
          <t>0aa06c0f065ec20d43901d386280174165e2b07065216b6c7ffe72c98e322706</t>
        </is>
      </c>
      <c r="BB125" s="24" t="inlineStr">
        <is>
          <t>flat_probability_shrinkage_toward_half</t>
        </is>
      </c>
      <c r="BC125" s="24" t="inlineStr">
        <is>
          <t>measured-edge-totals-v1</t>
        </is>
      </c>
      <c r="BD125" s="24" t="inlineStr">
        <is>
          <t>0aa06c0f065ec20d43901d386280174165e2b07065216b6c7ffe72c98e322706</t>
        </is>
      </c>
      <c r="BE125" s="24" t="inlineStr">
        <is>
          <t>v3</t>
        </is>
      </c>
      <c r="BF125" s="24" t="inlineStr">
        <is>
          <t>1</t>
        </is>
      </c>
      <c r="BG125" s="24" t="inlineStr">
        <is>
          <t>measured-edge-paired-v1</t>
        </is>
      </c>
      <c r="BH125" s="24" t="inlineStr">
        <is>
          <t>2026-07-28T16:31:55.190477Z</t>
        </is>
      </c>
      <c r="BI125" s="24" t="inlineStr">
        <is>
          <t>["same_event","same_team_same_day","same_league_same_day"]</t>
        </is>
      </c>
      <c r="BJ125" s="25" t="n">
        <v>8.5</v>
      </c>
      <c r="BK125" s="26" t="n">
        <v>-106</v>
      </c>
      <c r="BL125" s="27" t="n">
        <v>1.943396</v>
      </c>
      <c r="BM125" s="28" t="n">
        <v>0.514563</v>
      </c>
      <c r="BN125" s="28" t="n">
        <v>0.5124379999999999</v>
      </c>
      <c r="BO125" s="28" t="n"/>
      <c r="BP125" s="25" t="n"/>
      <c r="BQ125" s="27" t="n"/>
      <c r="BR125" s="28" t="n"/>
      <c r="BS125" s="28" t="n"/>
      <c r="BT125" s="28" t="n"/>
      <c r="BU125" s="25" t="n"/>
      <c r="BV125" s="29" t="n"/>
      <c r="BW125" s="24" t="n"/>
      <c r="BX125" s="30" t="n"/>
      <c r="BY125" s="27" t="n"/>
      <c r="BZ125" s="24" t="n"/>
      <c r="CA125" s="31" t="n"/>
      <c r="CB125" s="24" t="n"/>
      <c r="CC125" s="24" t="n"/>
      <c r="CD125" s="24" t="n"/>
      <c r="CE125" s="24" t="n"/>
      <c r="CF125" s="24" t="n"/>
      <c r="CG125" s="24" t="n"/>
      <c r="CH125" s="24" t="n"/>
      <c r="CI125" s="24" t="n"/>
      <c r="CJ125" s="24" t="n"/>
      <c r="CK125" s="24" t="n"/>
      <c r="CL125" s="24" t="n"/>
      <c r="CM125" s="24" t="n"/>
      <c r="CN125" s="24" t="n"/>
      <c r="CO125" s="24" t="n"/>
    </row>
    <row r="126" ht="36" customHeight="1">
      <c r="A126" s="24" t="inlineStr">
        <is>
          <t>6669424d0b9b411e</t>
        </is>
      </c>
      <c r="B126" s="24" t="inlineStr">
        <is>
          <t>2026-07-28T16:31:55.190477Z</t>
        </is>
      </c>
      <c r="C126" s="24" t="inlineStr">
        <is>
          <t>2026-07-29T01:40Z</t>
        </is>
      </c>
      <c r="D126" s="24" t="inlineStr">
        <is>
          <t>401816302</t>
        </is>
      </c>
      <c r="E126" s="24" t="inlineStr">
        <is>
          <t>MLB</t>
        </is>
      </c>
      <c r="F126" s="24" t="inlineStr">
        <is>
          <t>Boston Red Sox</t>
        </is>
      </c>
      <c r="G126" s="24" t="inlineStr">
        <is>
          <t>Athletics</t>
        </is>
      </c>
      <c r="H126" s="24" t="inlineStr">
        <is>
          <t>spread</t>
        </is>
      </c>
      <c r="I126" s="24" t="inlineStr">
        <is>
          <t>away</t>
        </is>
      </c>
      <c r="J126" s="25" t="n">
        <v>-1.5</v>
      </c>
      <c r="K126" s="24" t="inlineStr">
        <is>
          <t>polymarket_us</t>
        </is>
      </c>
      <c r="L126" s="26" t="n">
        <v>111</v>
      </c>
      <c r="M126" s="27" t="n">
        <v>2.11</v>
      </c>
      <c r="N126" s="28" t="n">
        <v>0.473934</v>
      </c>
      <c r="O126" s="28" t="n">
        <v>0.761375</v>
      </c>
      <c r="P126" s="28" t="n">
        <v>0.047697</v>
      </c>
      <c r="Q126" s="28" t="n">
        <v>0.287441</v>
      </c>
      <c r="R126" s="26" t="n">
        <v>100</v>
      </c>
      <c r="S126" s="29" t="n">
        <v>0</v>
      </c>
      <c r="T126" s="24" t="inlineStr">
        <is>
          <t>measured-edge-margin-v1</t>
        </is>
      </c>
      <c r="U126" s="24" t="inlineStr">
        <is>
          <t>open</t>
        </is>
      </c>
      <c r="V126" s="24" t="n"/>
      <c r="W126" s="26" t="n"/>
      <c r="X126" s="26" t="n"/>
      <c r="Y126" s="25" t="n"/>
      <c r="Z126" s="26" t="n"/>
      <c r="AA126" s="28" t="n"/>
      <c r="AB126" s="28" t="n"/>
      <c r="AC126" s="30" t="n"/>
      <c r="AD126" s="24" t="n"/>
      <c r="AE126" s="31" t="inlineStr">
        <is>
          <t>Measured Edge Margin: Trend Engine projected 7.52-2.30; raw selected-side p=0.8075, calibrated p=0.7614.</t>
        </is>
      </c>
      <c r="AF126" s="31" t="inlineStr">
        <is>
          <t>Research-only; lineup, bullpen, park, weather, xFIP, and wRC+ may be neutral fallbacks; market availability and BBO depth may change before first pitch.</t>
        </is>
      </c>
      <c r="AG126" s="24" t="inlineStr">
        <is>
          <t>not_applicable</t>
        </is>
      </c>
      <c r="AH126" s="24" t="n"/>
      <c r="AI126" s="31" t="n"/>
      <c r="AJ126" s="31" t="n"/>
      <c r="AK126" s="24" t="inlineStr">
        <is>
          <t>research_observation</t>
        </is>
      </c>
      <c r="AL126" s="26" t="n">
        <v>3</v>
      </c>
      <c r="AM126" s="24" t="inlineStr">
        <is>
          <t>RESEARCH_OBSERVATION</t>
        </is>
      </c>
      <c r="AN126" s="24" t="inlineStr">
        <is>
          <t>NO_CALL</t>
        </is>
      </c>
      <c r="AO126" s="24" t="inlineStr">
        <is>
          <t>NO_CALL_MODEL_UNVALIDATED</t>
        </is>
      </c>
      <c r="AP126" s="24" t="inlineStr">
        <is>
          <t>mlb-bos</t>
        </is>
      </c>
      <c r="AQ126" s="24" t="inlineStr">
        <is>
          <t>Boston Red Sox</t>
        </is>
      </c>
      <c r="AR126" s="24" t="inlineStr">
        <is>
          <t>Boston Red Sox</t>
        </is>
      </c>
      <c r="AS126" s="24" t="inlineStr">
        <is>
          <t>mlb-ath</t>
        </is>
      </c>
      <c r="AT126" s="24" t="inlineStr">
        <is>
          <t>Athletics</t>
        </is>
      </c>
      <c r="AU126" s="24" t="inlineStr">
        <is>
          <t>Athletics</t>
        </is>
      </c>
      <c r="AV126" s="24" t="n"/>
      <c r="AW126" s="24" t="n"/>
      <c r="AX126" s="24" t="inlineStr">
        <is>
          <t>statistical_model</t>
        </is>
      </c>
      <c r="AY126" s="24" t="n"/>
      <c r="AZ126" s="24" t="inlineStr">
        <is>
          <t>research</t>
        </is>
      </c>
      <c r="BA126" s="24" t="inlineStr">
        <is>
          <t>bd86494ed21c6a0389ab0efcf4b8a5bb7b9f8f8786b6d5fb9da69d8cf0a70bdc</t>
        </is>
      </c>
      <c r="BB126" s="24" t="inlineStr">
        <is>
          <t>flat_probability_shrinkage_toward_half</t>
        </is>
      </c>
      <c r="BC126" s="24" t="inlineStr">
        <is>
          <t>measured-edge-margin-v1</t>
        </is>
      </c>
      <c r="BD126" s="24" t="inlineStr">
        <is>
          <t>bd86494ed21c6a0389ab0efcf4b8a5bb7b9f8f8786b6d5fb9da69d8cf0a70bdc</t>
        </is>
      </c>
      <c r="BE126" s="24" t="inlineStr">
        <is>
          <t>v3</t>
        </is>
      </c>
      <c r="BF126" s="24" t="inlineStr">
        <is>
          <t>1</t>
        </is>
      </c>
      <c r="BG126" s="24" t="inlineStr">
        <is>
          <t>measured-edge-paired-v1</t>
        </is>
      </c>
      <c r="BH126" s="24" t="inlineStr">
        <is>
          <t>2026-07-28T16:31:55.190477Z</t>
        </is>
      </c>
      <c r="BI126" s="24" t="inlineStr">
        <is>
          <t>["same_event","same_team_same_day","same_league_same_day"]</t>
        </is>
      </c>
      <c r="BJ126" s="25" t="n">
        <v>-1.5</v>
      </c>
      <c r="BK126" s="26" t="n">
        <v>111</v>
      </c>
      <c r="BL126" s="27" t="n">
        <v>2.11</v>
      </c>
      <c r="BM126" s="28" t="n">
        <v>0.473934</v>
      </c>
      <c r="BN126" s="28" t="n">
        <v>0.472637</v>
      </c>
      <c r="BO126" s="28" t="n"/>
      <c r="BP126" s="25" t="n"/>
      <c r="BQ126" s="27" t="n"/>
      <c r="BR126" s="28" t="n"/>
      <c r="BS126" s="28" t="n"/>
      <c r="BT126" s="28" t="n"/>
      <c r="BU126" s="25" t="n"/>
      <c r="BV126" s="29" t="n"/>
      <c r="BW126" s="24" t="n"/>
      <c r="BX126" s="30" t="n"/>
      <c r="BY126" s="27" t="n"/>
      <c r="BZ126" s="24" t="n"/>
      <c r="CA126" s="31" t="n"/>
      <c r="CB126" s="24" t="n"/>
      <c r="CC126" s="24" t="n"/>
      <c r="CD126" s="24" t="n"/>
      <c r="CE126" s="24" t="n"/>
      <c r="CF126" s="24" t="n"/>
      <c r="CG126" s="24" t="n"/>
      <c r="CH126" s="24" t="n"/>
      <c r="CI126" s="24" t="n"/>
      <c r="CJ126" s="24" t="n"/>
      <c r="CK126" s="24" t="n"/>
      <c r="CL126" s="24" t="n"/>
      <c r="CM126" s="24" t="n"/>
      <c r="CN126" s="24" t="n"/>
      <c r="CO126" s="24" t="n"/>
    </row>
    <row r="127" ht="36" customHeight="1">
      <c r="A127" s="24" t="inlineStr">
        <is>
          <t>03bc1c72fa954ab9</t>
        </is>
      </c>
      <c r="B127" s="24" t="inlineStr">
        <is>
          <t>2026-07-28T16:31:55.190477Z</t>
        </is>
      </c>
      <c r="C127" s="24" t="inlineStr">
        <is>
          <t>2026-07-29T01:40Z</t>
        </is>
      </c>
      <c r="D127" s="24" t="inlineStr">
        <is>
          <t>401816302</t>
        </is>
      </c>
      <c r="E127" s="24" t="inlineStr">
        <is>
          <t>MLB</t>
        </is>
      </c>
      <c r="F127" s="24" t="inlineStr">
        <is>
          <t>Boston Red Sox</t>
        </is>
      </c>
      <c r="G127" s="24" t="inlineStr">
        <is>
          <t>Athletics</t>
        </is>
      </c>
      <c r="H127" s="24" t="inlineStr">
        <is>
          <t>total</t>
        </is>
      </c>
      <c r="I127" s="24" t="inlineStr">
        <is>
          <t>under</t>
        </is>
      </c>
      <c r="J127" s="25" t="n">
        <v>9.5</v>
      </c>
      <c r="K127" s="24" t="inlineStr">
        <is>
          <t>polymarket_us</t>
        </is>
      </c>
      <c r="L127" s="26" t="n">
        <v>108</v>
      </c>
      <c r="M127" s="27" t="n">
        <v>2.08</v>
      </c>
      <c r="N127" s="28" t="n">
        <v>0.480769</v>
      </c>
      <c r="O127" s="28" t="n">
        <v>0.52635</v>
      </c>
      <c r="P127" s="28" t="n">
        <v>0.047697</v>
      </c>
      <c r="Q127" s="28" t="n">
        <v>0.045581</v>
      </c>
      <c r="R127" s="26" t="n">
        <v>44</v>
      </c>
      <c r="S127" s="29" t="n">
        <v>0</v>
      </c>
      <c r="T127" s="24" t="inlineStr">
        <is>
          <t>measured-edge-totals-v1</t>
        </is>
      </c>
      <c r="U127" s="24" t="inlineStr">
        <is>
          <t>open</t>
        </is>
      </c>
      <c r="V127" s="24" t="n"/>
      <c r="W127" s="26" t="n"/>
      <c r="X127" s="26" t="n"/>
      <c r="Y127" s="25" t="n"/>
      <c r="Z127" s="26" t="n"/>
      <c r="AA127" s="28" t="n"/>
      <c r="AB127" s="28" t="n"/>
      <c r="AC127" s="30" t="n"/>
      <c r="AD127" s="24" t="n"/>
      <c r="AE127" s="31" t="inlineStr">
        <is>
          <t>Measured Edge Totals: Trend Engine projected 7.52-2.30; raw selected-side p=0.5310, calibrated p=0.5263.</t>
        </is>
      </c>
      <c r="AF127" s="31" t="inlineStr">
        <is>
          <t>Research-only; lineup, bullpen, park, weather, xFIP, and wRC+ may be neutral fallbacks; market availability and BBO depth may change before first pitch.</t>
        </is>
      </c>
      <c r="AG127" s="24" t="inlineStr">
        <is>
          <t>not_applicable</t>
        </is>
      </c>
      <c r="AH127" s="24" t="n"/>
      <c r="AI127" s="31" t="n"/>
      <c r="AJ127" s="31" t="n"/>
      <c r="AK127" s="24" t="inlineStr">
        <is>
          <t>research_observation</t>
        </is>
      </c>
      <c r="AL127" s="26" t="n">
        <v>3</v>
      </c>
      <c r="AM127" s="24" t="inlineStr">
        <is>
          <t>RESEARCH_OBSERVATION</t>
        </is>
      </c>
      <c r="AN127" s="24" t="inlineStr">
        <is>
          <t>NO_CALL</t>
        </is>
      </c>
      <c r="AO127" s="24" t="inlineStr">
        <is>
          <t>NO_CALL_MODEL_UNVALIDATED</t>
        </is>
      </c>
      <c r="AP127" s="24" t="inlineStr">
        <is>
          <t>mlb-bos</t>
        </is>
      </c>
      <c r="AQ127" s="24" t="inlineStr">
        <is>
          <t>Boston Red Sox</t>
        </is>
      </c>
      <c r="AR127" s="24" t="inlineStr">
        <is>
          <t>Boston Red Sox</t>
        </is>
      </c>
      <c r="AS127" s="24" t="inlineStr">
        <is>
          <t>mlb-ath</t>
        </is>
      </c>
      <c r="AT127" s="24" t="inlineStr">
        <is>
          <t>Athletics</t>
        </is>
      </c>
      <c r="AU127" s="24" t="inlineStr">
        <is>
          <t>Athletics</t>
        </is>
      </c>
      <c r="AV127" s="24" t="n"/>
      <c r="AW127" s="24" t="n"/>
      <c r="AX127" s="24" t="inlineStr">
        <is>
          <t>statistical_model</t>
        </is>
      </c>
      <c r="AY127" s="24" t="n"/>
      <c r="AZ127" s="24" t="inlineStr">
        <is>
          <t>research</t>
        </is>
      </c>
      <c r="BA127" s="24" t="inlineStr">
        <is>
          <t>0aa06c0f065ec20d43901d386280174165e2b07065216b6c7ffe72c98e322706</t>
        </is>
      </c>
      <c r="BB127" s="24" t="inlineStr">
        <is>
          <t>flat_probability_shrinkage_toward_half</t>
        </is>
      </c>
      <c r="BC127" s="24" t="inlineStr">
        <is>
          <t>measured-edge-totals-v1</t>
        </is>
      </c>
      <c r="BD127" s="24" t="inlineStr">
        <is>
          <t>0aa06c0f065ec20d43901d386280174165e2b07065216b6c7ffe72c98e322706</t>
        </is>
      </c>
      <c r="BE127" s="24" t="inlineStr">
        <is>
          <t>v3</t>
        </is>
      </c>
      <c r="BF127" s="24" t="inlineStr">
        <is>
          <t>1</t>
        </is>
      </c>
      <c r="BG127" s="24" t="inlineStr">
        <is>
          <t>measured-edge-paired-v1</t>
        </is>
      </c>
      <c r="BH127" s="24" t="inlineStr">
        <is>
          <t>2026-07-28T16:31:55.190477Z</t>
        </is>
      </c>
      <c r="BI127" s="24" t="inlineStr">
        <is>
          <t>["same_event","same_team_same_day","same_league_same_day"]</t>
        </is>
      </c>
      <c r="BJ127" s="25" t="n">
        <v>9.5</v>
      </c>
      <c r="BK127" s="26" t="n">
        <v>108</v>
      </c>
      <c r="BL127" s="27" t="n">
        <v>2.08</v>
      </c>
      <c r="BM127" s="28" t="n">
        <v>0.480769</v>
      </c>
      <c r="BN127" s="28" t="n">
        <v>0.477612</v>
      </c>
      <c r="BO127" s="28" t="n"/>
      <c r="BP127" s="25" t="n"/>
      <c r="BQ127" s="27" t="n"/>
      <c r="BR127" s="28" t="n"/>
      <c r="BS127" s="28" t="n"/>
      <c r="BT127" s="28" t="n"/>
      <c r="BU127" s="25" t="n"/>
      <c r="BV127" s="29" t="n"/>
      <c r="BW127" s="24" t="n"/>
      <c r="BX127" s="30" t="n"/>
      <c r="BY127" s="27" t="n"/>
      <c r="BZ127" s="24" t="n"/>
      <c r="CA127" s="31" t="n"/>
      <c r="CB127" s="24" t="n"/>
      <c r="CC127" s="24" t="n"/>
      <c r="CD127" s="24" t="n"/>
      <c r="CE127" s="24" t="n"/>
      <c r="CF127" s="24" t="n"/>
      <c r="CG127" s="24" t="n"/>
      <c r="CH127" s="24" t="n"/>
      <c r="CI127" s="24" t="n"/>
      <c r="CJ127" s="24" t="n"/>
      <c r="CK127" s="24" t="n"/>
      <c r="CL127" s="24" t="n"/>
      <c r="CM127" s="24" t="n"/>
      <c r="CN127" s="24" t="n"/>
      <c r="CO127" s="24" t="n"/>
    </row>
    <row r="128" ht="36" customHeight="1">
      <c r="A128" s="24" t="inlineStr">
        <is>
          <t>61e2863399534974</t>
        </is>
      </c>
      <c r="B128" s="24" t="inlineStr">
        <is>
          <t>2026-07-28T16:31:55.190477Z</t>
        </is>
      </c>
      <c r="C128" s="24" t="inlineStr">
        <is>
          <t>2026-07-29T01:40Z</t>
        </is>
      </c>
      <c r="D128" s="24" t="inlineStr">
        <is>
          <t>401816303</t>
        </is>
      </c>
      <c r="E128" s="24" t="inlineStr">
        <is>
          <t>MLB</t>
        </is>
      </c>
      <c r="F128" s="24" t="inlineStr">
        <is>
          <t>Colorado Rockies</t>
        </is>
      </c>
      <c r="G128" s="24" t="inlineStr">
        <is>
          <t>San Diego Padres</t>
        </is>
      </c>
      <c r="H128" s="24" t="inlineStr">
        <is>
          <t>spread</t>
        </is>
      </c>
      <c r="I128" s="24" t="inlineStr">
        <is>
          <t>home</t>
        </is>
      </c>
      <c r="J128" s="25" t="n">
        <v>-1.5</v>
      </c>
      <c r="K128" s="24" t="inlineStr">
        <is>
          <t>polymarket_us</t>
        </is>
      </c>
      <c r="L128" s="26" t="n">
        <v>111</v>
      </c>
      <c r="M128" s="27" t="n">
        <v>2.11</v>
      </c>
      <c r="N128" s="28" t="n">
        <v>0.473934</v>
      </c>
      <c r="O128" s="28" t="n">
        <v>0.661075</v>
      </c>
      <c r="P128" s="28" t="n">
        <v>0.047697</v>
      </c>
      <c r="Q128" s="28" t="n">
        <v>0.187141</v>
      </c>
      <c r="R128" s="26" t="n">
        <v>100</v>
      </c>
      <c r="S128" s="29" t="n">
        <v>0</v>
      </c>
      <c r="T128" s="24" t="inlineStr">
        <is>
          <t>measured-edge-margin-v1</t>
        </is>
      </c>
      <c r="U128" s="24" t="inlineStr">
        <is>
          <t>open</t>
        </is>
      </c>
      <c r="V128" s="24" t="n"/>
      <c r="W128" s="26" t="n"/>
      <c r="X128" s="26" t="n"/>
      <c r="Y128" s="25" t="n"/>
      <c r="Z128" s="26" t="n"/>
      <c r="AA128" s="28" t="n"/>
      <c r="AB128" s="28" t="n"/>
      <c r="AC128" s="30" t="n"/>
      <c r="AD128" s="24" t="n"/>
      <c r="AE128" s="31" t="inlineStr">
        <is>
          <t>Measured Edge Margin: Trend Engine projected 3.01-6.66; raw selected-side p=0.6895, calibrated p=0.6611.</t>
        </is>
      </c>
      <c r="AF128" s="31" t="inlineStr">
        <is>
          <t>Research-only; lineup, bullpen, park, weather, xFIP, and wRC+ may be neutral fallbacks; market availability and BBO depth may change before first pitch.</t>
        </is>
      </c>
      <c r="AG128" s="24" t="inlineStr">
        <is>
          <t>not_applicable</t>
        </is>
      </c>
      <c r="AH128" s="24" t="n"/>
      <c r="AI128" s="31" t="n"/>
      <c r="AJ128" s="31" t="n"/>
      <c r="AK128" s="24" t="inlineStr">
        <is>
          <t>research_observation</t>
        </is>
      </c>
      <c r="AL128" s="26" t="n">
        <v>3</v>
      </c>
      <c r="AM128" s="24" t="inlineStr">
        <is>
          <t>RESEARCH_OBSERVATION</t>
        </is>
      </c>
      <c r="AN128" s="24" t="inlineStr">
        <is>
          <t>NO_CALL</t>
        </is>
      </c>
      <c r="AO128" s="24" t="inlineStr">
        <is>
          <t>NO_CALL_MODEL_UNVALIDATED</t>
        </is>
      </c>
      <c r="AP128" s="24" t="inlineStr">
        <is>
          <t>mlb-col</t>
        </is>
      </c>
      <c r="AQ128" s="24" t="inlineStr">
        <is>
          <t>Colorado Rockies</t>
        </is>
      </c>
      <c r="AR128" s="24" t="inlineStr">
        <is>
          <t>Colorado Rockies</t>
        </is>
      </c>
      <c r="AS128" s="24" t="inlineStr">
        <is>
          <t>mlb-sd</t>
        </is>
      </c>
      <c r="AT128" s="24" t="inlineStr">
        <is>
          <t>San Diego Padres</t>
        </is>
      </c>
      <c r="AU128" s="24" t="inlineStr">
        <is>
          <t>San Diego Padres</t>
        </is>
      </c>
      <c r="AV128" s="24" t="n"/>
      <c r="AW128" s="24" t="n"/>
      <c r="AX128" s="24" t="inlineStr">
        <is>
          <t>statistical_model</t>
        </is>
      </c>
      <c r="AY128" s="24" t="n"/>
      <c r="AZ128" s="24" t="inlineStr">
        <is>
          <t>research</t>
        </is>
      </c>
      <c r="BA128" s="24" t="inlineStr">
        <is>
          <t>bd86494ed21c6a0389ab0efcf4b8a5bb7b9f8f8786b6d5fb9da69d8cf0a70bdc</t>
        </is>
      </c>
      <c r="BB128" s="24" t="inlineStr">
        <is>
          <t>flat_probability_shrinkage_toward_half</t>
        </is>
      </c>
      <c r="BC128" s="24" t="inlineStr">
        <is>
          <t>measured-edge-margin-v1</t>
        </is>
      </c>
      <c r="BD128" s="24" t="inlineStr">
        <is>
          <t>bd86494ed21c6a0389ab0efcf4b8a5bb7b9f8f8786b6d5fb9da69d8cf0a70bdc</t>
        </is>
      </c>
      <c r="BE128" s="24" t="inlineStr">
        <is>
          <t>v3</t>
        </is>
      </c>
      <c r="BF128" s="24" t="inlineStr">
        <is>
          <t>1</t>
        </is>
      </c>
      <c r="BG128" s="24" t="inlineStr">
        <is>
          <t>measured-edge-paired-v1</t>
        </is>
      </c>
      <c r="BH128" s="24" t="inlineStr">
        <is>
          <t>2026-07-28T16:31:55.190477Z</t>
        </is>
      </c>
      <c r="BI128" s="24" t="inlineStr">
        <is>
          <t>["same_event","same_team_same_day","same_league_same_day"]</t>
        </is>
      </c>
      <c r="BJ128" s="25" t="n">
        <v>-1.5</v>
      </c>
      <c r="BK128" s="26" t="n">
        <v>111</v>
      </c>
      <c r="BL128" s="27" t="n">
        <v>2.11</v>
      </c>
      <c r="BM128" s="28" t="n">
        <v>0.473934</v>
      </c>
      <c r="BN128" s="28" t="n">
        <v>0.472637</v>
      </c>
      <c r="BO128" s="28" t="n"/>
      <c r="BP128" s="25" t="n"/>
      <c r="BQ128" s="27" t="n"/>
      <c r="BR128" s="28" t="n"/>
      <c r="BS128" s="28" t="n"/>
      <c r="BT128" s="28" t="n"/>
      <c r="BU128" s="25" t="n"/>
      <c r="BV128" s="29" t="n"/>
      <c r="BW128" s="24" t="n"/>
      <c r="BX128" s="30" t="n"/>
      <c r="BY128" s="27" t="n"/>
      <c r="BZ128" s="24" t="n"/>
      <c r="CA128" s="31" t="n"/>
      <c r="CB128" s="24" t="n"/>
      <c r="CC128" s="24" t="n"/>
      <c r="CD128" s="24" t="n"/>
      <c r="CE128" s="24" t="n"/>
      <c r="CF128" s="24" t="n"/>
      <c r="CG128" s="24" t="n"/>
      <c r="CH128" s="24" t="n"/>
      <c r="CI128" s="24" t="n"/>
      <c r="CJ128" s="24" t="n"/>
      <c r="CK128" s="24" t="n"/>
      <c r="CL128" s="24" t="n"/>
      <c r="CM128" s="24" t="n"/>
      <c r="CN128" s="24" t="n"/>
      <c r="CO128" s="24" t="n"/>
    </row>
    <row r="129" ht="36" customHeight="1">
      <c r="A129" s="24" t="inlineStr">
        <is>
          <t>27d47ea7bf784850</t>
        </is>
      </c>
      <c r="B129" s="24" t="inlineStr">
        <is>
          <t>2026-07-28T16:31:55.190477Z</t>
        </is>
      </c>
      <c r="C129" s="24" t="inlineStr">
        <is>
          <t>2026-07-29T01:40Z</t>
        </is>
      </c>
      <c r="D129" s="24" t="inlineStr">
        <is>
          <t>401816303</t>
        </is>
      </c>
      <c r="E129" s="24" t="inlineStr">
        <is>
          <t>MLB</t>
        </is>
      </c>
      <c r="F129" s="24" t="inlineStr">
        <is>
          <t>Colorado Rockies</t>
        </is>
      </c>
      <c r="G129" s="24" t="inlineStr">
        <is>
          <t>San Diego Padres</t>
        </is>
      </c>
      <c r="H129" s="24" t="inlineStr">
        <is>
          <t>total</t>
        </is>
      </c>
      <c r="I129" s="24" t="inlineStr">
        <is>
          <t>over</t>
        </is>
      </c>
      <c r="J129" s="25" t="n">
        <v>8.5</v>
      </c>
      <c r="K129" s="24" t="inlineStr">
        <is>
          <t>polymarket_us</t>
        </is>
      </c>
      <c r="L129" s="26" t="n">
        <v>108</v>
      </c>
      <c r="M129" s="27" t="n">
        <v>2.08</v>
      </c>
      <c r="N129" s="28" t="n">
        <v>0.480769</v>
      </c>
      <c r="O129" s="28" t="n">
        <v>0.554145</v>
      </c>
      <c r="P129" s="28" t="n">
        <v>0.047697</v>
      </c>
      <c r="Q129" s="28" t="n">
        <v>0.073376</v>
      </c>
      <c r="R129" s="26" t="n">
        <v>58</v>
      </c>
      <c r="S129" s="29" t="n">
        <v>0</v>
      </c>
      <c r="T129" s="24" t="inlineStr">
        <is>
          <t>measured-edge-totals-v1</t>
        </is>
      </c>
      <c r="U129" s="24" t="inlineStr">
        <is>
          <t>open</t>
        </is>
      </c>
      <c r="V129" s="24" t="n"/>
      <c r="W129" s="26" t="n"/>
      <c r="X129" s="26" t="n"/>
      <c r="Y129" s="25" t="n"/>
      <c r="Z129" s="26" t="n"/>
      <c r="AA129" s="28" t="n"/>
      <c r="AB129" s="28" t="n"/>
      <c r="AC129" s="30" t="n"/>
      <c r="AD129" s="24" t="n"/>
      <c r="AE129" s="31" t="inlineStr">
        <is>
          <t>Measured Edge Totals: Trend Engine projected 3.01-6.66; raw selected-side p=0.5637, calibrated p=0.5541.</t>
        </is>
      </c>
      <c r="AF129" s="31" t="inlineStr">
        <is>
          <t>Research-only; lineup, bullpen, park, weather, xFIP, and wRC+ may be neutral fallbacks; market availability and BBO depth may change before first pitch.</t>
        </is>
      </c>
      <c r="AG129" s="24" t="inlineStr">
        <is>
          <t>not_applicable</t>
        </is>
      </c>
      <c r="AH129" s="24" t="n"/>
      <c r="AI129" s="31" t="n"/>
      <c r="AJ129" s="31" t="n"/>
      <c r="AK129" s="24" t="inlineStr">
        <is>
          <t>research_observation</t>
        </is>
      </c>
      <c r="AL129" s="26" t="n">
        <v>3</v>
      </c>
      <c r="AM129" s="24" t="inlineStr">
        <is>
          <t>RESEARCH_OBSERVATION</t>
        </is>
      </c>
      <c r="AN129" s="24" t="inlineStr">
        <is>
          <t>NO_CALL</t>
        </is>
      </c>
      <c r="AO129" s="24" t="inlineStr">
        <is>
          <t>NO_CALL_MODEL_UNVALIDATED</t>
        </is>
      </c>
      <c r="AP129" s="24" t="inlineStr">
        <is>
          <t>mlb-col</t>
        </is>
      </c>
      <c r="AQ129" s="24" t="inlineStr">
        <is>
          <t>Colorado Rockies</t>
        </is>
      </c>
      <c r="AR129" s="24" t="inlineStr">
        <is>
          <t>Colorado Rockies</t>
        </is>
      </c>
      <c r="AS129" s="24" t="inlineStr">
        <is>
          <t>mlb-sd</t>
        </is>
      </c>
      <c r="AT129" s="24" t="inlineStr">
        <is>
          <t>San Diego Padres</t>
        </is>
      </c>
      <c r="AU129" s="24" t="inlineStr">
        <is>
          <t>San Diego Padres</t>
        </is>
      </c>
      <c r="AV129" s="24" t="n"/>
      <c r="AW129" s="24" t="n"/>
      <c r="AX129" s="24" t="inlineStr">
        <is>
          <t>statistical_model</t>
        </is>
      </c>
      <c r="AY129" s="24" t="n"/>
      <c r="AZ129" s="24" t="inlineStr">
        <is>
          <t>research</t>
        </is>
      </c>
      <c r="BA129" s="24" t="inlineStr">
        <is>
          <t>0aa06c0f065ec20d43901d386280174165e2b07065216b6c7ffe72c98e322706</t>
        </is>
      </c>
      <c r="BB129" s="24" t="inlineStr">
        <is>
          <t>flat_probability_shrinkage_toward_half</t>
        </is>
      </c>
      <c r="BC129" s="24" t="inlineStr">
        <is>
          <t>measured-edge-totals-v1</t>
        </is>
      </c>
      <c r="BD129" s="24" t="inlineStr">
        <is>
          <t>0aa06c0f065ec20d43901d386280174165e2b07065216b6c7ffe72c98e322706</t>
        </is>
      </c>
      <c r="BE129" s="24" t="inlineStr">
        <is>
          <t>v3</t>
        </is>
      </c>
      <c r="BF129" s="24" t="inlineStr">
        <is>
          <t>1</t>
        </is>
      </c>
      <c r="BG129" s="24" t="inlineStr">
        <is>
          <t>measured-edge-paired-v1</t>
        </is>
      </c>
      <c r="BH129" s="24" t="inlineStr">
        <is>
          <t>2026-07-28T16:31:55.190477Z</t>
        </is>
      </c>
      <c r="BI129" s="24" t="inlineStr">
        <is>
          <t>["same_event","same_team_same_day","same_league_same_day"]</t>
        </is>
      </c>
      <c r="BJ129" s="25" t="n">
        <v>8.5</v>
      </c>
      <c r="BK129" s="26" t="n">
        <v>108</v>
      </c>
      <c r="BL129" s="27" t="n">
        <v>2.08</v>
      </c>
      <c r="BM129" s="28" t="n">
        <v>0.480769</v>
      </c>
      <c r="BN129" s="28" t="n">
        <v>0.477612</v>
      </c>
      <c r="BO129" s="28" t="n"/>
      <c r="BP129" s="25" t="n"/>
      <c r="BQ129" s="27" t="n"/>
      <c r="BR129" s="28" t="n"/>
      <c r="BS129" s="28" t="n"/>
      <c r="BT129" s="28" t="n"/>
      <c r="BU129" s="25" t="n"/>
      <c r="BV129" s="29" t="n"/>
      <c r="BW129" s="24" t="n"/>
      <c r="BX129" s="30" t="n"/>
      <c r="BY129" s="27" t="n"/>
      <c r="BZ129" s="24" t="n"/>
      <c r="CA129" s="31" t="n"/>
      <c r="CB129" s="24" t="n"/>
      <c r="CC129" s="24" t="n"/>
      <c r="CD129" s="24" t="n"/>
      <c r="CE129" s="24" t="n"/>
      <c r="CF129" s="24" t="n"/>
      <c r="CG129" s="24" t="n"/>
      <c r="CH129" s="24" t="n"/>
      <c r="CI129" s="24" t="n"/>
      <c r="CJ129" s="24" t="n"/>
      <c r="CK129" s="24" t="n"/>
      <c r="CL129" s="24" t="n"/>
      <c r="CM129" s="24" t="n"/>
      <c r="CN129" s="24" t="n"/>
      <c r="CO129" s="24" t="n"/>
    </row>
    <row r="130" ht="36" customHeight="1">
      <c r="A130" s="24" t="inlineStr">
        <is>
          <t>4c563880269045a5</t>
        </is>
      </c>
      <c r="B130" s="24" t="inlineStr">
        <is>
          <t>2026-07-28T16:31:55.190477Z</t>
        </is>
      </c>
      <c r="C130" s="24" t="inlineStr">
        <is>
          <t>2026-07-29T01:45Z</t>
        </is>
      </c>
      <c r="D130" s="24" t="inlineStr">
        <is>
          <t>401816305</t>
        </is>
      </c>
      <c r="E130" s="24" t="inlineStr">
        <is>
          <t>MLB</t>
        </is>
      </c>
      <c r="F130" s="24" t="inlineStr">
        <is>
          <t>Milwaukee Brewers</t>
        </is>
      </c>
      <c r="G130" s="24" t="inlineStr">
        <is>
          <t>San Francisco Giants</t>
        </is>
      </c>
      <c r="H130" s="24" t="inlineStr">
        <is>
          <t>spread</t>
        </is>
      </c>
      <c r="I130" s="24" t="inlineStr">
        <is>
          <t>home</t>
        </is>
      </c>
      <c r="J130" s="25" t="n">
        <v>1.5</v>
      </c>
      <c r="K130" s="24" t="inlineStr">
        <is>
          <t>polymarket_us</t>
        </is>
      </c>
      <c r="L130" s="26" t="n">
        <v>-125</v>
      </c>
      <c r="M130" s="27" t="n">
        <v>1.8</v>
      </c>
      <c r="N130" s="28" t="n">
        <v>0.555556</v>
      </c>
      <c r="O130" s="28" t="n">
        <v>0.5799</v>
      </c>
      <c r="P130" s="28" t="n">
        <v>0.056347</v>
      </c>
      <c r="Q130" s="28" t="n">
        <v>0.024344</v>
      </c>
      <c r="R130" s="26" t="n">
        <v>28</v>
      </c>
      <c r="S130" s="29" t="n">
        <v>0</v>
      </c>
      <c r="T130" s="24" t="inlineStr">
        <is>
          <t>measured-edge-margin-v1</t>
        </is>
      </c>
      <c r="U130" s="24" t="inlineStr">
        <is>
          <t>open</t>
        </is>
      </c>
      <c r="V130" s="24" t="n"/>
      <c r="W130" s="26" t="n"/>
      <c r="X130" s="26" t="n"/>
      <c r="Y130" s="25" t="n"/>
      <c r="Z130" s="26" t="n"/>
      <c r="AA130" s="28" t="n"/>
      <c r="AB130" s="28" t="n"/>
      <c r="AC130" s="30" t="n"/>
      <c r="AD130" s="24" t="n"/>
      <c r="AE130" s="31" t="inlineStr">
        <is>
          <t>Measured Edge Margin: Trend Engine projected 3.69-2.77; raw selected-side p=0.5940, calibrated p=0.5799.</t>
        </is>
      </c>
      <c r="AF130" s="31" t="inlineStr">
        <is>
          <t>Research-only; lineup, bullpen, park, weather, xFIP, and wRC+ may be neutral fallbacks; market availability and BBO depth may change before first pitch.</t>
        </is>
      </c>
      <c r="AG130" s="24" t="inlineStr">
        <is>
          <t>not_applicable</t>
        </is>
      </c>
      <c r="AH130" s="24" t="n"/>
      <c r="AI130" s="31" t="n"/>
      <c r="AJ130" s="31" t="n"/>
      <c r="AK130" s="24" t="inlineStr">
        <is>
          <t>research_observation</t>
        </is>
      </c>
      <c r="AL130" s="26" t="n">
        <v>3</v>
      </c>
      <c r="AM130" s="24" t="inlineStr">
        <is>
          <t>RESEARCH_OBSERVATION</t>
        </is>
      </c>
      <c r="AN130" s="24" t="inlineStr">
        <is>
          <t>NO_CALL</t>
        </is>
      </c>
      <c r="AO130" s="24" t="inlineStr">
        <is>
          <t>NO_CALL_MODEL_UNVALIDATED</t>
        </is>
      </c>
      <c r="AP130" s="24" t="inlineStr">
        <is>
          <t>mlb-mil</t>
        </is>
      </c>
      <c r="AQ130" s="24" t="inlineStr">
        <is>
          <t>Milwaukee Brewers</t>
        </is>
      </c>
      <c r="AR130" s="24" t="inlineStr">
        <is>
          <t>Milwaukee Brewers</t>
        </is>
      </c>
      <c r="AS130" s="24" t="inlineStr">
        <is>
          <t>mlb-sf</t>
        </is>
      </c>
      <c r="AT130" s="24" t="inlineStr">
        <is>
          <t>San Francisco Giants</t>
        </is>
      </c>
      <c r="AU130" s="24" t="inlineStr">
        <is>
          <t>San Francisco Giants</t>
        </is>
      </c>
      <c r="AV130" s="24" t="n"/>
      <c r="AW130" s="24" t="n"/>
      <c r="AX130" s="24" t="inlineStr">
        <is>
          <t>statistical_model</t>
        </is>
      </c>
      <c r="AY130" s="24" t="n"/>
      <c r="AZ130" s="24" t="inlineStr">
        <is>
          <t>research</t>
        </is>
      </c>
      <c r="BA130" s="24" t="inlineStr">
        <is>
          <t>bd86494ed21c6a0389ab0efcf4b8a5bb7b9f8f8786b6d5fb9da69d8cf0a70bdc</t>
        </is>
      </c>
      <c r="BB130" s="24" t="inlineStr">
        <is>
          <t>flat_probability_shrinkage_toward_half</t>
        </is>
      </c>
      <c r="BC130" s="24" t="inlineStr">
        <is>
          <t>measured-edge-margin-v1</t>
        </is>
      </c>
      <c r="BD130" s="24" t="inlineStr">
        <is>
          <t>bd86494ed21c6a0389ab0efcf4b8a5bb7b9f8f8786b6d5fb9da69d8cf0a70bdc</t>
        </is>
      </c>
      <c r="BE130" s="24" t="inlineStr">
        <is>
          <t>v3</t>
        </is>
      </c>
      <c r="BF130" s="24" t="inlineStr">
        <is>
          <t>1</t>
        </is>
      </c>
      <c r="BG130" s="24" t="inlineStr">
        <is>
          <t>measured-edge-paired-v1</t>
        </is>
      </c>
      <c r="BH130" s="24" t="inlineStr">
        <is>
          <t>2026-07-28T16:31:55.190477Z</t>
        </is>
      </c>
      <c r="BI130" s="24" t="inlineStr">
        <is>
          <t>["same_event","same_team_same_day","same_league_same_day"]</t>
        </is>
      </c>
      <c r="BJ130" s="25" t="n">
        <v>1.5</v>
      </c>
      <c r="BK130" s="26" t="n">
        <v>-125</v>
      </c>
      <c r="BL130" s="27" t="n">
        <v>1.8</v>
      </c>
      <c r="BM130" s="28" t="n">
        <v>0.555556</v>
      </c>
      <c r="BN130" s="28" t="n">
        <v>0.552239</v>
      </c>
      <c r="BO130" s="28" t="n"/>
      <c r="BP130" s="25" t="n"/>
      <c r="BQ130" s="27" t="n"/>
      <c r="BR130" s="28" t="n"/>
      <c r="BS130" s="28" t="n"/>
      <c r="BT130" s="28" t="n"/>
      <c r="BU130" s="25" t="n"/>
      <c r="BV130" s="29" t="n"/>
      <c r="BW130" s="24" t="n"/>
      <c r="BX130" s="30" t="n"/>
      <c r="BY130" s="27" t="n"/>
      <c r="BZ130" s="24" t="n"/>
      <c r="CA130" s="31" t="n"/>
      <c r="CB130" s="24" t="n"/>
      <c r="CC130" s="24" t="n"/>
      <c r="CD130" s="24" t="n"/>
      <c r="CE130" s="24" t="n"/>
      <c r="CF130" s="24" t="n"/>
      <c r="CG130" s="24" t="n"/>
      <c r="CH130" s="24" t="n"/>
      <c r="CI130" s="24" t="n"/>
      <c r="CJ130" s="24" t="n"/>
      <c r="CK130" s="24" t="n"/>
      <c r="CL130" s="24" t="n"/>
      <c r="CM130" s="24" t="n"/>
      <c r="CN130" s="24" t="n"/>
      <c r="CO130" s="24" t="n"/>
    </row>
    <row r="131" ht="36" customHeight="1">
      <c r="A131" s="24" t="inlineStr">
        <is>
          <t>f35c4569712b4b06</t>
        </is>
      </c>
      <c r="B131" s="24" t="inlineStr">
        <is>
          <t>2026-07-28T16:31:55.190477Z</t>
        </is>
      </c>
      <c r="C131" s="24" t="inlineStr">
        <is>
          <t>2026-07-29T01:45Z</t>
        </is>
      </c>
      <c r="D131" s="24" t="inlineStr">
        <is>
          <t>401816305</t>
        </is>
      </c>
      <c r="E131" s="24" t="inlineStr">
        <is>
          <t>MLB</t>
        </is>
      </c>
      <c r="F131" s="24" t="inlineStr">
        <is>
          <t>Milwaukee Brewers</t>
        </is>
      </c>
      <c r="G131" s="24" t="inlineStr">
        <is>
          <t>San Francisco Giants</t>
        </is>
      </c>
      <c r="H131" s="24" t="inlineStr">
        <is>
          <t>total</t>
        </is>
      </c>
      <c r="I131" s="24" t="inlineStr">
        <is>
          <t>under</t>
        </is>
      </c>
      <c r="J131" s="25" t="n">
        <v>7.5</v>
      </c>
      <c r="K131" s="24" t="inlineStr">
        <is>
          <t>polymarket_us</t>
        </is>
      </c>
      <c r="L131" s="26" t="n">
        <v>-115</v>
      </c>
      <c r="M131" s="27" t="n">
        <v>1.869565</v>
      </c>
      <c r="N131" s="28" t="n">
        <v>0.534884</v>
      </c>
      <c r="O131" s="28" t="n">
        <v>0.64501</v>
      </c>
      <c r="P131" s="28" t="n">
        <v>0.056347</v>
      </c>
      <c r="Q131" s="28" t="n">
        <v>0.110126</v>
      </c>
      <c r="R131" s="26" t="n">
        <v>71</v>
      </c>
      <c r="S131" s="29" t="n">
        <v>0</v>
      </c>
      <c r="T131" s="24" t="inlineStr">
        <is>
          <t>measured-edge-totals-v1</t>
        </is>
      </c>
      <c r="U131" s="24" t="inlineStr">
        <is>
          <t>open</t>
        </is>
      </c>
      <c r="V131" s="24" t="n"/>
      <c r="W131" s="26" t="n"/>
      <c r="X131" s="26" t="n"/>
      <c r="Y131" s="25" t="n"/>
      <c r="Z131" s="26" t="n"/>
      <c r="AA131" s="28" t="n"/>
      <c r="AB131" s="28" t="n"/>
      <c r="AC131" s="30" t="n"/>
      <c r="AD131" s="24" t="n"/>
      <c r="AE131" s="31" t="inlineStr">
        <is>
          <t>Measured Edge Totals: Trend Engine projected 3.69-2.77; raw selected-side p=0.6706, calibrated p=0.6450.</t>
        </is>
      </c>
      <c r="AF131" s="31" t="inlineStr">
        <is>
          <t>Research-only; lineup, bullpen, park, weather, xFIP, and wRC+ may be neutral fallbacks; market availability and BBO depth may change before first pitch.</t>
        </is>
      </c>
      <c r="AG131" s="24" t="inlineStr">
        <is>
          <t>not_applicable</t>
        </is>
      </c>
      <c r="AH131" s="24" t="n"/>
      <c r="AI131" s="31" t="n"/>
      <c r="AJ131" s="31" t="n"/>
      <c r="AK131" s="24" t="inlineStr">
        <is>
          <t>research_observation</t>
        </is>
      </c>
      <c r="AL131" s="26" t="n">
        <v>3</v>
      </c>
      <c r="AM131" s="24" t="inlineStr">
        <is>
          <t>RESEARCH_OBSERVATION</t>
        </is>
      </c>
      <c r="AN131" s="24" t="inlineStr">
        <is>
          <t>NO_CALL</t>
        </is>
      </c>
      <c r="AO131" s="24" t="inlineStr">
        <is>
          <t>NO_CALL_MODEL_UNVALIDATED</t>
        </is>
      </c>
      <c r="AP131" s="24" t="inlineStr">
        <is>
          <t>mlb-mil</t>
        </is>
      </c>
      <c r="AQ131" s="24" t="inlineStr">
        <is>
          <t>Milwaukee Brewers</t>
        </is>
      </c>
      <c r="AR131" s="24" t="inlineStr">
        <is>
          <t>Milwaukee Brewers</t>
        </is>
      </c>
      <c r="AS131" s="24" t="inlineStr">
        <is>
          <t>mlb-sf</t>
        </is>
      </c>
      <c r="AT131" s="24" t="inlineStr">
        <is>
          <t>San Francisco Giants</t>
        </is>
      </c>
      <c r="AU131" s="24" t="inlineStr">
        <is>
          <t>San Francisco Giants</t>
        </is>
      </c>
      <c r="AV131" s="24" t="n"/>
      <c r="AW131" s="24" t="n"/>
      <c r="AX131" s="24" t="inlineStr">
        <is>
          <t>statistical_model</t>
        </is>
      </c>
      <c r="AY131" s="24" t="n"/>
      <c r="AZ131" s="24" t="inlineStr">
        <is>
          <t>research</t>
        </is>
      </c>
      <c r="BA131" s="24" t="inlineStr">
        <is>
          <t>0aa06c0f065ec20d43901d386280174165e2b07065216b6c7ffe72c98e322706</t>
        </is>
      </c>
      <c r="BB131" s="24" t="inlineStr">
        <is>
          <t>flat_probability_shrinkage_toward_half</t>
        </is>
      </c>
      <c r="BC131" s="24" t="inlineStr">
        <is>
          <t>measured-edge-totals-v1</t>
        </is>
      </c>
      <c r="BD131" s="24" t="inlineStr">
        <is>
          <t>0aa06c0f065ec20d43901d386280174165e2b07065216b6c7ffe72c98e322706</t>
        </is>
      </c>
      <c r="BE131" s="24" t="inlineStr">
        <is>
          <t>v3</t>
        </is>
      </c>
      <c r="BF131" s="24" t="inlineStr">
        <is>
          <t>1</t>
        </is>
      </c>
      <c r="BG131" s="24" t="inlineStr">
        <is>
          <t>measured-edge-paired-v1</t>
        </is>
      </c>
      <c r="BH131" s="24" t="inlineStr">
        <is>
          <t>2026-07-28T16:31:55.190477Z</t>
        </is>
      </c>
      <c r="BI131" s="24" t="inlineStr">
        <is>
          <t>["same_event","same_team_same_day","same_league_same_day"]</t>
        </is>
      </c>
      <c r="BJ131" s="25" t="n">
        <v>7.5</v>
      </c>
      <c r="BK131" s="26" t="n">
        <v>-115</v>
      </c>
      <c r="BL131" s="27" t="n">
        <v>1.869565</v>
      </c>
      <c r="BM131" s="28" t="n">
        <v>0.534884</v>
      </c>
      <c r="BN131" s="28" t="n">
        <v>0.532338</v>
      </c>
      <c r="BO131" s="28" t="n"/>
      <c r="BP131" s="25" t="n"/>
      <c r="BQ131" s="27" t="n"/>
      <c r="BR131" s="28" t="n"/>
      <c r="BS131" s="28" t="n"/>
      <c r="BT131" s="28" t="n"/>
      <c r="BU131" s="25" t="n"/>
      <c r="BV131" s="29" t="n"/>
      <c r="BW131" s="24" t="n"/>
      <c r="BX131" s="30" t="n"/>
      <c r="BY131" s="27" t="n"/>
      <c r="BZ131" s="24" t="n"/>
      <c r="CA131" s="31" t="n"/>
      <c r="CB131" s="24" t="n"/>
      <c r="CC131" s="24" t="n"/>
      <c r="CD131" s="24" t="n"/>
      <c r="CE131" s="24" t="n"/>
      <c r="CF131" s="24" t="n"/>
      <c r="CG131" s="24" t="n"/>
      <c r="CH131" s="24" t="n"/>
      <c r="CI131" s="24" t="n"/>
      <c r="CJ131" s="24" t="n"/>
      <c r="CK131" s="24" t="n"/>
      <c r="CL131" s="24" t="n"/>
      <c r="CM131" s="24" t="n"/>
      <c r="CN131" s="24" t="n"/>
      <c r="CO131" s="24" t="n"/>
    </row>
    <row r="132" ht="36" customHeight="1">
      <c r="A132" s="24" t="inlineStr">
        <is>
          <t>4131bc704bb246bf</t>
        </is>
      </c>
      <c r="B132" s="24" t="inlineStr">
        <is>
          <t>2026-07-28T16:31:55.190477Z</t>
        </is>
      </c>
      <c r="C132" s="24" t="inlineStr">
        <is>
          <t>2026-07-29T02:10Z</t>
        </is>
      </c>
      <c r="D132" s="24" t="inlineStr">
        <is>
          <t>401816306</t>
        </is>
      </c>
      <c r="E132" s="24" t="inlineStr">
        <is>
          <t>MLB</t>
        </is>
      </c>
      <c r="F132" s="24" t="inlineStr">
        <is>
          <t>Seattle Mariners</t>
        </is>
      </c>
      <c r="G132" s="24" t="inlineStr">
        <is>
          <t>Los Angeles Dodgers</t>
        </is>
      </c>
      <c r="H132" s="24" t="inlineStr">
        <is>
          <t>spread</t>
        </is>
      </c>
      <c r="I132" s="24" t="inlineStr">
        <is>
          <t>home</t>
        </is>
      </c>
      <c r="J132" s="25" t="n">
        <v>-1.5</v>
      </c>
      <c r="K132" s="24" t="inlineStr">
        <is>
          <t>polymarket_us</t>
        </is>
      </c>
      <c r="L132" s="26" t="n">
        <v>111</v>
      </c>
      <c r="M132" s="27" t="n">
        <v>2.11</v>
      </c>
      <c r="N132" s="28" t="n">
        <v>0.473934</v>
      </c>
      <c r="O132" s="28" t="n">
        <v>0.581515</v>
      </c>
      <c r="P132" s="28" t="n">
        <v>0.047697</v>
      </c>
      <c r="Q132" s="28" t="n">
        <v>0.107581</v>
      </c>
      <c r="R132" s="26" t="n">
        <v>75</v>
      </c>
      <c r="S132" s="29" t="n">
        <v>0</v>
      </c>
      <c r="T132" s="24" t="inlineStr">
        <is>
          <t>measured-edge-margin-v1</t>
        </is>
      </c>
      <c r="U132" s="24" t="inlineStr">
        <is>
          <t>open</t>
        </is>
      </c>
      <c r="V132" s="24" t="n"/>
      <c r="W132" s="26" t="n"/>
      <c r="X132" s="26" t="n"/>
      <c r="Y132" s="25" t="n"/>
      <c r="Z132" s="26" t="n"/>
      <c r="AA132" s="28" t="n"/>
      <c r="AB132" s="28" t="n"/>
      <c r="AC132" s="30" t="n"/>
      <c r="AD132" s="24" t="n"/>
      <c r="AE132" s="31" t="inlineStr">
        <is>
          <t>Measured Edge Margin: Trend Engine projected 2.41-5.02; raw selected-side p=0.5959, calibrated p=0.5815.</t>
        </is>
      </c>
      <c r="AF132" s="31" t="inlineStr">
        <is>
          <t>Research-only; lineup, bullpen, park, weather, xFIP, and wRC+ may be neutral fallbacks; market availability and BBO depth may change before first pitch.</t>
        </is>
      </c>
      <c r="AG132" s="24" t="inlineStr">
        <is>
          <t>not_applicable</t>
        </is>
      </c>
      <c r="AH132" s="24" t="n"/>
      <c r="AI132" s="31" t="n"/>
      <c r="AJ132" s="31" t="n"/>
      <c r="AK132" s="24" t="inlineStr">
        <is>
          <t>research_observation</t>
        </is>
      </c>
      <c r="AL132" s="26" t="n">
        <v>3</v>
      </c>
      <c r="AM132" s="24" t="inlineStr">
        <is>
          <t>RESEARCH_OBSERVATION</t>
        </is>
      </c>
      <c r="AN132" s="24" t="inlineStr">
        <is>
          <t>NO_CALL</t>
        </is>
      </c>
      <c r="AO132" s="24" t="inlineStr">
        <is>
          <t>NO_CALL_MODEL_UNVALIDATED</t>
        </is>
      </c>
      <c r="AP132" s="24" t="inlineStr">
        <is>
          <t>mlb-sea</t>
        </is>
      </c>
      <c r="AQ132" s="24" t="inlineStr">
        <is>
          <t>Seattle Mariners</t>
        </is>
      </c>
      <c r="AR132" s="24" t="inlineStr">
        <is>
          <t>Seattle Mariners</t>
        </is>
      </c>
      <c r="AS132" s="24" t="inlineStr">
        <is>
          <t>mlb-lad</t>
        </is>
      </c>
      <c r="AT132" s="24" t="inlineStr">
        <is>
          <t>Los Angeles Dodgers</t>
        </is>
      </c>
      <c r="AU132" s="24" t="inlineStr">
        <is>
          <t>Los Angeles Dodgers</t>
        </is>
      </c>
      <c r="AV132" s="24" t="n"/>
      <c r="AW132" s="24" t="n"/>
      <c r="AX132" s="24" t="inlineStr">
        <is>
          <t>statistical_model</t>
        </is>
      </c>
      <c r="AY132" s="24" t="n"/>
      <c r="AZ132" s="24" t="inlineStr">
        <is>
          <t>research</t>
        </is>
      </c>
      <c r="BA132" s="24" t="inlineStr">
        <is>
          <t>bd86494ed21c6a0389ab0efcf4b8a5bb7b9f8f8786b6d5fb9da69d8cf0a70bdc</t>
        </is>
      </c>
      <c r="BB132" s="24" t="inlineStr">
        <is>
          <t>flat_probability_shrinkage_toward_half</t>
        </is>
      </c>
      <c r="BC132" s="24" t="inlineStr">
        <is>
          <t>measured-edge-margin-v1</t>
        </is>
      </c>
      <c r="BD132" s="24" t="inlineStr">
        <is>
          <t>bd86494ed21c6a0389ab0efcf4b8a5bb7b9f8f8786b6d5fb9da69d8cf0a70bdc</t>
        </is>
      </c>
      <c r="BE132" s="24" t="inlineStr">
        <is>
          <t>v3</t>
        </is>
      </c>
      <c r="BF132" s="24" t="inlineStr">
        <is>
          <t>1</t>
        </is>
      </c>
      <c r="BG132" s="24" t="inlineStr">
        <is>
          <t>measured-edge-paired-v1</t>
        </is>
      </c>
      <c r="BH132" s="24" t="inlineStr">
        <is>
          <t>2026-07-28T16:31:55.190477Z</t>
        </is>
      </c>
      <c r="BI132" s="24" t="inlineStr">
        <is>
          <t>["same_event","same_team_same_day","same_league_same_day"]</t>
        </is>
      </c>
      <c r="BJ132" s="25" t="n">
        <v>-1.5</v>
      </c>
      <c r="BK132" s="26" t="n">
        <v>111</v>
      </c>
      <c r="BL132" s="27" t="n">
        <v>2.11</v>
      </c>
      <c r="BM132" s="28" t="n">
        <v>0.473934</v>
      </c>
      <c r="BN132" s="28" t="n">
        <v>0.472637</v>
      </c>
      <c r="BO132" s="28" t="n"/>
      <c r="BP132" s="25" t="n"/>
      <c r="BQ132" s="27" t="n"/>
      <c r="BR132" s="28" t="n"/>
      <c r="BS132" s="28" t="n"/>
      <c r="BT132" s="28" t="n"/>
      <c r="BU132" s="25" t="n"/>
      <c r="BV132" s="29" t="n"/>
      <c r="BW132" s="24" t="n"/>
      <c r="BX132" s="30" t="n"/>
      <c r="BY132" s="27" t="n"/>
      <c r="BZ132" s="24" t="n"/>
      <c r="CA132" s="31" t="n"/>
      <c r="CB132" s="24" t="n"/>
      <c r="CC132" s="24" t="n"/>
      <c r="CD132" s="24" t="n"/>
      <c r="CE132" s="24" t="n"/>
      <c r="CF132" s="24" t="n"/>
      <c r="CG132" s="24" t="n"/>
      <c r="CH132" s="24" t="n"/>
      <c r="CI132" s="24" t="n"/>
      <c r="CJ132" s="24" t="n"/>
      <c r="CK132" s="24" t="n"/>
      <c r="CL132" s="24" t="n"/>
      <c r="CM132" s="24" t="n"/>
      <c r="CN132" s="24" t="n"/>
      <c r="CO132" s="24" t="n"/>
    </row>
    <row r="133" ht="36" customHeight="1">
      <c r="A133" s="24" t="inlineStr">
        <is>
          <t>4144b09c81334356</t>
        </is>
      </c>
      <c r="B133" s="24" t="inlineStr">
        <is>
          <t>2026-07-28T16:31:55.190477Z</t>
        </is>
      </c>
      <c r="C133" s="24" t="inlineStr">
        <is>
          <t>2026-07-29T02:10Z</t>
        </is>
      </c>
      <c r="D133" s="24" t="inlineStr">
        <is>
          <t>401816306</t>
        </is>
      </c>
      <c r="E133" s="24" t="inlineStr">
        <is>
          <t>MLB</t>
        </is>
      </c>
      <c r="F133" s="24" t="inlineStr">
        <is>
          <t>Seattle Mariners</t>
        </is>
      </c>
      <c r="G133" s="24" t="inlineStr">
        <is>
          <t>Los Angeles Dodgers</t>
        </is>
      </c>
      <c r="H133" s="24" t="inlineStr">
        <is>
          <t>total</t>
        </is>
      </c>
      <c r="I133" s="24" t="inlineStr">
        <is>
          <t>under</t>
        </is>
      </c>
      <c r="J133" s="25" t="n">
        <v>9.5</v>
      </c>
      <c r="K133" s="24" t="inlineStr">
        <is>
          <t>polymarket_us</t>
        </is>
      </c>
      <c r="L133" s="26" t="n">
        <v>-108</v>
      </c>
      <c r="M133" s="27" t="n">
        <v>1.925926</v>
      </c>
      <c r="N133" s="28" t="n">
        <v>0.519231</v>
      </c>
      <c r="O133" s="28" t="n">
        <v>0.69992</v>
      </c>
      <c r="P133" s="28" t="n">
        <v>0.047697</v>
      </c>
      <c r="Q133" s="28" t="n">
        <v>0.180689</v>
      </c>
      <c r="R133" s="26" t="n">
        <v>100</v>
      </c>
      <c r="S133" s="29" t="n">
        <v>0</v>
      </c>
      <c r="T133" s="24" t="inlineStr">
        <is>
          <t>measured-edge-totals-v1</t>
        </is>
      </c>
      <c r="U133" s="24" t="inlineStr">
        <is>
          <t>open</t>
        </is>
      </c>
      <c r="V133" s="24" t="n"/>
      <c r="W133" s="26" t="n"/>
      <c r="X133" s="26" t="n"/>
      <c r="Y133" s="25" t="n"/>
      <c r="Z133" s="26" t="n"/>
      <c r="AA133" s="28" t="n"/>
      <c r="AB133" s="28" t="n"/>
      <c r="AC133" s="30" t="n"/>
      <c r="AD133" s="24" t="n"/>
      <c r="AE133" s="31" t="inlineStr">
        <is>
          <t>Measured Edge Totals: Trend Engine projected 2.41-5.02; raw selected-side p=0.7352, calibrated p=0.6999.</t>
        </is>
      </c>
      <c r="AF133" s="31" t="inlineStr">
        <is>
          <t>Research-only; lineup, bullpen, park, weather, xFIP, and wRC+ may be neutral fallbacks; market availability and BBO depth may change before first pitch.</t>
        </is>
      </c>
      <c r="AG133" s="24" t="inlineStr">
        <is>
          <t>not_applicable</t>
        </is>
      </c>
      <c r="AH133" s="24" t="n"/>
      <c r="AI133" s="31" t="n"/>
      <c r="AJ133" s="31" t="n"/>
      <c r="AK133" s="24" t="inlineStr">
        <is>
          <t>research_observation</t>
        </is>
      </c>
      <c r="AL133" s="26" t="n">
        <v>3</v>
      </c>
      <c r="AM133" s="24" t="inlineStr">
        <is>
          <t>RESEARCH_OBSERVATION</t>
        </is>
      </c>
      <c r="AN133" s="24" t="inlineStr">
        <is>
          <t>NO_CALL</t>
        </is>
      </c>
      <c r="AO133" s="24" t="inlineStr">
        <is>
          <t>NO_CALL_MODEL_UNVALIDATED</t>
        </is>
      </c>
      <c r="AP133" s="24" t="inlineStr">
        <is>
          <t>mlb-sea</t>
        </is>
      </c>
      <c r="AQ133" s="24" t="inlineStr">
        <is>
          <t>Seattle Mariners</t>
        </is>
      </c>
      <c r="AR133" s="24" t="inlineStr">
        <is>
          <t>Seattle Mariners</t>
        </is>
      </c>
      <c r="AS133" s="24" t="inlineStr">
        <is>
          <t>mlb-lad</t>
        </is>
      </c>
      <c r="AT133" s="24" t="inlineStr">
        <is>
          <t>Los Angeles Dodgers</t>
        </is>
      </c>
      <c r="AU133" s="24" t="inlineStr">
        <is>
          <t>Los Angeles Dodgers</t>
        </is>
      </c>
      <c r="AV133" s="24" t="n"/>
      <c r="AW133" s="24" t="n"/>
      <c r="AX133" s="24" t="inlineStr">
        <is>
          <t>statistical_model</t>
        </is>
      </c>
      <c r="AY133" s="24" t="n"/>
      <c r="AZ133" s="24" t="inlineStr">
        <is>
          <t>research</t>
        </is>
      </c>
      <c r="BA133" s="24" t="inlineStr">
        <is>
          <t>0aa06c0f065ec20d43901d386280174165e2b07065216b6c7ffe72c98e322706</t>
        </is>
      </c>
      <c r="BB133" s="24" t="inlineStr">
        <is>
          <t>flat_probability_shrinkage_toward_half</t>
        </is>
      </c>
      <c r="BC133" s="24" t="inlineStr">
        <is>
          <t>measured-edge-totals-v1</t>
        </is>
      </c>
      <c r="BD133" s="24" t="inlineStr">
        <is>
          <t>0aa06c0f065ec20d43901d386280174165e2b07065216b6c7ffe72c98e322706</t>
        </is>
      </c>
      <c r="BE133" s="24" t="inlineStr">
        <is>
          <t>v3</t>
        </is>
      </c>
      <c r="BF133" s="24" t="inlineStr">
        <is>
          <t>1</t>
        </is>
      </c>
      <c r="BG133" s="24" t="inlineStr">
        <is>
          <t>measured-edge-paired-v1</t>
        </is>
      </c>
      <c r="BH133" s="24" t="inlineStr">
        <is>
          <t>2026-07-28T16:31:55.190477Z</t>
        </is>
      </c>
      <c r="BI133" s="24" t="inlineStr">
        <is>
          <t>["same_event","same_team_same_day","same_league_same_day"]</t>
        </is>
      </c>
      <c r="BJ133" s="25" t="n">
        <v>9.5</v>
      </c>
      <c r="BK133" s="26" t="n">
        <v>-108</v>
      </c>
      <c r="BL133" s="27" t="n">
        <v>1.925926</v>
      </c>
      <c r="BM133" s="28" t="n">
        <v>0.519231</v>
      </c>
      <c r="BN133" s="28" t="n">
        <v>0.517413</v>
      </c>
      <c r="BO133" s="28" t="n"/>
      <c r="BP133" s="25" t="n"/>
      <c r="BQ133" s="27" t="n"/>
      <c r="BR133" s="28" t="n"/>
      <c r="BS133" s="28" t="n"/>
      <c r="BT133" s="28" t="n"/>
      <c r="BU133" s="25" t="n"/>
      <c r="BV133" s="29" t="n"/>
      <c r="BW133" s="24" t="n"/>
      <c r="BX133" s="30" t="n"/>
      <c r="BY133" s="27" t="n"/>
      <c r="BZ133" s="24" t="n"/>
      <c r="CA133" s="31" t="n"/>
      <c r="CB133" s="24" t="n"/>
      <c r="CC133" s="24" t="n"/>
      <c r="CD133" s="24" t="n"/>
      <c r="CE133" s="24" t="n"/>
      <c r="CF133" s="24" t="n"/>
      <c r="CG133" s="24" t="n"/>
      <c r="CH133" s="24" t="n"/>
      <c r="CI133" s="24" t="n"/>
      <c r="CJ133" s="24" t="n"/>
      <c r="CK133" s="24" t="n"/>
      <c r="CL133" s="24" t="n"/>
      <c r="CM133" s="24" t="n"/>
      <c r="CN133" s="24" t="n"/>
      <c r="CO133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2026-07-28T16:33:04Z</dcterms:created>
  <dcterms:modified xsi:type="dcterms:W3CDTF">2026-07-28T16:33:04Z</dcterms:modified>
</cp:coreProperties>
</file>