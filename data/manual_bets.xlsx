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23" headerRowCount="1">
  <autoFilter ref="A1:DP23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COUNTA('Picks'!$A$2:$A$23)</f>
        <v/>
      </c>
      <c r="C4" s="6">
        <f>COUNTIF('Picks'!$U$2:$U$23,"open")</f>
        <v/>
      </c>
      <c r="E4" s="6">
        <f>COUNTIF('Picks'!$U$2:$U$23,"settled")</f>
        <v/>
      </c>
      <c r="G4" s="6">
        <f>IF(COUNTIFS('Picks'!$U$2:$U$23,"settled",'Picks'!$V$2:$V$23,"win")+COUNTIFS('Picks'!$U$2:$U$23,"settled",'Picks'!$V$2:$V$23,"loss")&gt;=$L$2,"Ready","Insufficient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COUNTIF('Picks'!$BX$2:$BX$23,"&gt;0")</f>
        <v/>
      </c>
      <c r="C7" s="6">
        <f>COUNTIFS('Picks'!$BX$2:$BX$23,"&gt;0",'Picks'!$V$2:$V$23,"win")&amp;"-"&amp;COUNTIFS('Picks'!$BX$2:$BX$23,"&gt;0",'Picks'!$V$2:$V$23,"loss")</f>
        <v/>
      </c>
      <c r="E7" s="7">
        <f>IFERROR(COUNTIFS('Picks'!$BX$2:$BX$23,"&gt;0",'Picks'!$V$2:$V$23,"win")/(COUNTIFS('Picks'!$BX$2:$BX$23,"&gt;0",'Picks'!$V$2:$V$23,"win")+COUNTIFS('Picks'!$BX$2:$BX$23,"&gt;0",'Picks'!$V$2:$V$23,"loss")),0)</f>
        <v/>
      </c>
      <c r="G7" s="7">
        <f>IFERROR(SUM('Picks'!$BY$2:$BY$23)/SUM('Picks'!$BX$2:$BX$23),0)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SUM('Picks'!$BY$2:$BY$23)</f>
        <v/>
      </c>
      <c r="C10" s="9">
        <f>IFERROR(AVERAGEIF('Picks'!$AB$2:$AB$23,"&lt;&gt;",'Picks'!$AB$2:$AB$23),0)</f>
        <v/>
      </c>
      <c r="E10" s="6">
        <f>COUNTIFS('Picks'!$AM$2:$AM$23,"QUALIFIED_SHADOW_CALL",'Picks'!$U$2:$U$23,"settled")</f>
        <v/>
      </c>
      <c r="G10" s="8">
        <f>SUMIFS('Picks'!$AC$2:$AC$23,'Picks'!$AM$2:$AM$23,"QUALIFIED_SHADOW_CALL")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COUNTIFS('Picks'!$H$2:$H$23,$A14,'Picks'!$U$2:$U$23,"settled")</f>
        <v/>
      </c>
      <c r="C14" s="13">
        <f>COUNTIFS('Picks'!$H$2:$H$23,$A14,'Picks'!$U$2:$U$23,"settled",'Picks'!$V$2:$V$23,"win")</f>
        <v/>
      </c>
      <c r="D14" s="13">
        <f>COUNTIFS('Picks'!$H$2:$H$23,$A14,'Picks'!$U$2:$U$23,"settled",'Picks'!$V$2:$V$23,"loss")</f>
        <v/>
      </c>
      <c r="E14" s="14">
        <f>IFERROR(C14/(C14+D14),0)</f>
        <v/>
      </c>
      <c r="F14" s="15">
        <f>SUMIFS('Picks'!$BY$2:$BY$23,'Picks'!$H$2:$H$23,$A14)</f>
        <v/>
      </c>
      <c r="G14" s="16">
        <f>IFERROR(AVERAGEIFS('Picks'!$AB$2:$AB$23,'Picks'!$H$2:$H$23,$A14,'Picks'!$U$2:$U$23,"settled"),0)</f>
        <v/>
      </c>
    </row>
    <row r="15">
      <c r="A15" s="17" t="inlineStr">
        <is>
          <t>spread</t>
        </is>
      </c>
      <c r="B15" s="18">
        <f>COUNTIFS('Picks'!$H$2:$H$23,$A15,'Picks'!$U$2:$U$23,"settled")</f>
        <v/>
      </c>
      <c r="C15" s="18">
        <f>COUNTIFS('Picks'!$H$2:$H$23,$A15,'Picks'!$U$2:$U$23,"settled",'Picks'!$V$2:$V$23,"win")</f>
        <v/>
      </c>
      <c r="D15" s="18">
        <f>COUNTIFS('Picks'!$H$2:$H$23,$A15,'Picks'!$U$2:$U$23,"settled",'Picks'!$V$2:$V$23,"loss")</f>
        <v/>
      </c>
      <c r="E15" s="19">
        <f>IFERROR(C15/(C15+D15),0)</f>
        <v/>
      </c>
      <c r="F15" s="20">
        <f>SUMIFS('Picks'!$BY$2:$BY$23,'Picks'!$H$2:$H$23,$A15)</f>
        <v/>
      </c>
      <c r="G15" s="21">
        <f>IFERROR(AVERAGEIFS('Picks'!$AB$2:$AB$23,'Picks'!$H$2:$H$23,$A15,'Picks'!$U$2:$U$23,"settled"),0)</f>
        <v/>
      </c>
    </row>
    <row r="16">
      <c r="A16" s="12" t="inlineStr">
        <is>
          <t>total</t>
        </is>
      </c>
      <c r="B16" s="13">
        <f>COUNTIFS('Picks'!$H$2:$H$23,$A16,'Picks'!$U$2:$U$23,"settled")</f>
        <v/>
      </c>
      <c r="C16" s="13">
        <f>COUNTIFS('Picks'!$H$2:$H$23,$A16,'Picks'!$U$2:$U$23,"settled",'Picks'!$V$2:$V$23,"win")</f>
        <v/>
      </c>
      <c r="D16" s="13">
        <f>COUNTIFS('Picks'!$H$2:$H$23,$A16,'Picks'!$U$2:$U$23,"settled",'Picks'!$V$2:$V$23,"loss")</f>
        <v/>
      </c>
      <c r="E16" s="14">
        <f>IFERROR(C16/(C16+D16),0)</f>
        <v/>
      </c>
      <c r="F16" s="15">
        <f>SUMIFS('Picks'!$BY$2:$BY$23,'Picks'!$H$2:$H$23,$A16)</f>
        <v/>
      </c>
      <c r="G16" s="16">
        <f>IFERROR(AVERAGEIFS('Picks'!$AB$2:$AB$23,'Picks'!$H$2:$H$23,$A16,'Picks'!$U$2:$U$23,"settled"),0)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5dba33661ec8c861</t>
        </is>
      </c>
      <c r="B2" s="24" t="inlineStr">
        <is>
          <t>2026-09-08T16:17:55.087589+00:00</t>
        </is>
      </c>
      <c r="C2" s="24" t="inlineStr">
        <is>
          <t>2026-09-08T12:00:00Z</t>
        </is>
      </c>
      <c r="D2" s="24" t="inlineStr">
        <is>
          <t>tsc-mlb-hou-phi-2026-09-08-8pt5</t>
        </is>
      </c>
      <c r="E2" s="24" t="inlineStr">
        <is>
          <t>MLB</t>
        </is>
      </c>
      <c r="F2" s="24" t="inlineStr">
        <is>
          <t>Houston Astros</t>
        </is>
      </c>
      <c r="G2" s="24" t="inlineStr">
        <is>
          <t>Philadelphia Phillies</t>
        </is>
      </c>
      <c r="H2" s="24" t="inlineStr">
        <is>
          <t>total</t>
        </is>
      </c>
      <c r="I2" s="24" t="inlineStr">
        <is>
          <t>over</t>
        </is>
      </c>
      <c r="J2" s="25" t="n">
        <v>8.5</v>
      </c>
      <c r="K2" s="24" t="inlineStr">
        <is>
          <t>polymarket</t>
        </is>
      </c>
      <c r="L2" s="26" t="n">
        <v>-115</v>
      </c>
      <c r="M2" s="27" t="n">
        <v>1.8696</v>
      </c>
      <c r="N2" s="28" t="n">
        <v>0.5356</v>
      </c>
      <c r="O2" s="28" t="n"/>
      <c r="P2" s="28" t="n"/>
      <c r="Q2" s="28" t="n"/>
      <c r="R2" s="26" t="n"/>
      <c r="S2" s="29" t="n">
        <v>15</v>
      </c>
      <c r="T2" s="24" t="inlineStr">
        <is>
          <t>manual</t>
        </is>
      </c>
      <c r="U2" s="24" t="inlineStr">
        <is>
          <t>open</t>
        </is>
      </c>
      <c r="V2" s="24" t="n"/>
      <c r="W2" s="26" t="n"/>
      <c r="X2" s="26" t="n"/>
      <c r="Y2" s="25" t="n"/>
      <c r="Z2" s="26" t="n"/>
      <c r="AA2" s="28" t="n"/>
      <c r="AB2" s="28" t="n"/>
      <c r="AC2" s="30" t="n"/>
      <c r="AD2" s="24" t="n"/>
      <c r="AE2" s="31" t="inlineStr">
        <is>
          <t>auto-synced from Polymarket account (position updated 2026-09-08T15:54:10.830188958Z); event_start_utc is a placeholder (noon UTC on the market's slug date, not the real kickoff) -- correct if needed</t>
        </is>
      </c>
      <c r="AF2" s="31" t="n"/>
      <c r="AG2" s="24" t="n"/>
      <c r="AH2" s="24" t="n"/>
      <c r="AI2" s="31" t="n"/>
      <c r="AJ2" s="31" t="n"/>
      <c r="AK2" s="24" t="n"/>
      <c r="AL2" s="26" t="n">
        <v>4</v>
      </c>
      <c r="AM2" s="24" t="inlineStr">
        <is>
          <t>manual_bet</t>
        </is>
      </c>
      <c r="AN2" s="24" t="inlineStr">
        <is>
          <t>take</t>
        </is>
      </c>
      <c r="AO2" s="24" t="inlineStr">
        <is>
          <t>MANUAL_ENTRY</t>
        </is>
      </c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24" t="n"/>
      <c r="BC2" s="24" t="n"/>
      <c r="BD2" s="24" t="n"/>
      <c r="BE2" s="24" t="n"/>
      <c r="BF2" s="24" t="n"/>
      <c r="BG2" s="24" t="n"/>
      <c r="BH2" s="24" t="n"/>
      <c r="BI2" s="24" t="n"/>
      <c r="BJ2" s="25" t="n"/>
      <c r="BK2" s="26" t="n"/>
      <c r="BL2" s="27" t="n"/>
      <c r="BM2" s="28" t="n"/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n"/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1b379cc27f1e3a84</t>
        </is>
      </c>
      <c r="B3" s="24" t="inlineStr">
        <is>
          <t>2026-09-07T19:35:46.743546+00:00</t>
        </is>
      </c>
      <c r="C3" s="24" t="inlineStr">
        <is>
          <t>2026-09-07T17:04:38.834361699Z</t>
        </is>
      </c>
      <c r="D3" s="24" t="inlineStr">
        <is>
          <t>caoc-815dc690e55e18fc</t>
        </is>
      </c>
      <c r="E3" s="24" t="inlineStr">
        <is>
          <t>UNKNOWN</t>
        </is>
      </c>
      <c r="F3" s="24" t="inlineStr">
        <is>
          <t>Unknown</t>
        </is>
      </c>
      <c r="G3" s="24" t="inlineStr">
        <is>
          <t>caoc-815dc690e55e18fc</t>
        </is>
      </c>
      <c r="H3" s="24" t="inlineStr">
        <is>
          <t>moneyline</t>
        </is>
      </c>
      <c r="I3" s="24" t="inlineStr">
        <is>
          <t>long</t>
        </is>
      </c>
      <c r="J3" s="25" t="n"/>
      <c r="K3" s="24" t="inlineStr">
        <is>
          <t>polymarket</t>
        </is>
      </c>
      <c r="L3" s="26" t="n">
        <v>-115</v>
      </c>
      <c r="M3" s="27" t="n">
        <v>1.8696</v>
      </c>
      <c r="N3" s="28" t="n">
        <v>0.5356</v>
      </c>
      <c r="O3" s="28" t="n"/>
      <c r="P3" s="28" t="n"/>
      <c r="Q3" s="28" t="n"/>
      <c r="R3" s="26" t="n"/>
      <c r="S3" s="29" t="n">
        <v>15</v>
      </c>
      <c r="T3" s="24" t="inlineStr">
        <is>
          <t>manual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auto-synced from Polymarket account (position updated 2026-09-07T17:04:38.834361699Z); no date found in market slug -- event_start_utc defaulted to last position update time; market metadata unavailable from Polymarket API -- identify manually</t>
        </is>
      </c>
      <c r="AF3" s="31" t="n"/>
      <c r="AG3" s="24" t="n"/>
      <c r="AH3" s="24" t="n"/>
      <c r="AI3" s="31" t="n"/>
      <c r="AJ3" s="31" t="n"/>
      <c r="AK3" s="24" t="n"/>
      <c r="AL3" s="26" t="n">
        <v>4</v>
      </c>
      <c r="AM3" s="24" t="inlineStr">
        <is>
          <t>manual_bet</t>
        </is>
      </c>
      <c r="AN3" s="24" t="inlineStr">
        <is>
          <t>take</t>
        </is>
      </c>
      <c r="AO3" s="24" t="inlineStr">
        <is>
          <t>MANUAL_ENTRY</t>
        </is>
      </c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5" t="n"/>
      <c r="BK3" s="26" t="n"/>
      <c r="BL3" s="27" t="n"/>
      <c r="BM3" s="28" t="n"/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73e8a430b8e9b52f</t>
        </is>
      </c>
      <c r="B4" s="24" t="inlineStr">
        <is>
          <t>2026-09-07T19:35:46.629893+00:00</t>
        </is>
      </c>
      <c r="C4" s="24" t="inlineStr">
        <is>
          <t>2026-09-07T17:03:52.222425982Z</t>
        </is>
      </c>
      <c r="D4" s="24" t="inlineStr">
        <is>
          <t>caoc-7c347fe6674edeb0</t>
        </is>
      </c>
      <c r="E4" s="24" t="inlineStr">
        <is>
          <t>UNKNOWN</t>
        </is>
      </c>
      <c r="F4" s="24" t="inlineStr">
        <is>
          <t>Unknown</t>
        </is>
      </c>
      <c r="G4" s="24" t="inlineStr">
        <is>
          <t>caoc-7c347fe6674edeb0</t>
        </is>
      </c>
      <c r="H4" s="24" t="inlineStr">
        <is>
          <t>moneyline</t>
        </is>
      </c>
      <c r="I4" s="24" t="inlineStr">
        <is>
          <t>long</t>
        </is>
      </c>
      <c r="J4" s="25" t="n"/>
      <c r="K4" s="24" t="inlineStr">
        <is>
          <t>polymarket</t>
        </is>
      </c>
      <c r="L4" s="26" t="n">
        <v>100</v>
      </c>
      <c r="M4" s="27" t="n">
        <v>2</v>
      </c>
      <c r="N4" s="28" t="n">
        <v>0.4999</v>
      </c>
      <c r="O4" s="28" t="n"/>
      <c r="P4" s="28" t="n"/>
      <c r="Q4" s="28" t="n"/>
      <c r="R4" s="26" t="n"/>
      <c r="S4" s="29" t="n">
        <v>15</v>
      </c>
      <c r="T4" s="24" t="inlineStr">
        <is>
          <t>manual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auto-synced from Polymarket account (position updated 2026-09-07T17:03:52.222425982Z); no date found in market slug -- event_start_utc defaulted to last position update time; market metadata unavailable from Polymarket API -- identify manually</t>
        </is>
      </c>
      <c r="AF4" s="31" t="n"/>
      <c r="AG4" s="24" t="n"/>
      <c r="AH4" s="24" t="n"/>
      <c r="AI4" s="31" t="n"/>
      <c r="AJ4" s="31" t="n"/>
      <c r="AK4" s="24" t="n"/>
      <c r="AL4" s="26" t="n">
        <v>4</v>
      </c>
      <c r="AM4" s="24" t="inlineStr">
        <is>
          <t>manual_bet</t>
        </is>
      </c>
      <c r="AN4" s="24" t="inlineStr">
        <is>
          <t>take</t>
        </is>
      </c>
      <c r="AO4" s="24" t="inlineStr">
        <is>
          <t>MANUAL_ENTRY</t>
        </is>
      </c>
      <c r="AP4" s="24" t="n"/>
      <c r="AQ4" s="24" t="n"/>
      <c r="AR4" s="24" t="n"/>
      <c r="AS4" s="24" t="n"/>
      <c r="AT4" s="24" t="n"/>
      <c r="AU4" s="24" t="n"/>
      <c r="AV4" s="24" t="n"/>
      <c r="AW4" s="24" t="n"/>
      <c r="AX4" s="24" t="n"/>
      <c r="AY4" s="24" t="n"/>
      <c r="AZ4" s="24" t="n"/>
      <c r="BA4" s="24" t="n"/>
      <c r="BB4" s="24" t="n"/>
      <c r="BC4" s="24" t="n"/>
      <c r="BD4" s="24" t="n"/>
      <c r="BE4" s="24" t="n"/>
      <c r="BF4" s="24" t="n"/>
      <c r="BG4" s="24" t="n"/>
      <c r="BH4" s="24" t="n"/>
      <c r="BI4" s="24" t="n"/>
      <c r="BJ4" s="25" t="n"/>
      <c r="BK4" s="26" t="n"/>
      <c r="BL4" s="27" t="n"/>
      <c r="BM4" s="28" t="n"/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4955e6b38ab1c2f2</t>
        </is>
      </c>
      <c r="B5" s="24" t="inlineStr">
        <is>
          <t>2026-09-07T19:35:46.419247+00:00</t>
        </is>
      </c>
      <c r="C5" s="24" t="inlineStr">
        <is>
          <t>2026-09-07T17:01:56.739027159Z</t>
        </is>
      </c>
      <c r="D5" s="24" t="inlineStr">
        <is>
          <t>caoc-41ac8c91beb9cec6</t>
        </is>
      </c>
      <c r="E5" s="24" t="inlineStr">
        <is>
          <t>UNKNOWN</t>
        </is>
      </c>
      <c r="F5" s="24" t="inlineStr">
        <is>
          <t>Unknown</t>
        </is>
      </c>
      <c r="G5" s="24" t="inlineStr">
        <is>
          <t>caoc-41ac8c91beb9cec6</t>
        </is>
      </c>
      <c r="H5" s="24" t="inlineStr">
        <is>
          <t>moneyline</t>
        </is>
      </c>
      <c r="I5" s="24" t="inlineStr">
        <is>
          <t>long</t>
        </is>
      </c>
      <c r="J5" s="25" t="n"/>
      <c r="K5" s="24" t="inlineStr">
        <is>
          <t>polymarket</t>
        </is>
      </c>
      <c r="L5" s="26" t="n">
        <v>-136</v>
      </c>
      <c r="M5" s="27" t="n">
        <v>1.7353</v>
      </c>
      <c r="N5" s="28" t="n">
        <v>0.5767</v>
      </c>
      <c r="O5" s="28" t="n"/>
      <c r="P5" s="28" t="n"/>
      <c r="Q5" s="28" t="n"/>
      <c r="R5" s="26" t="n"/>
      <c r="S5" s="29" t="n">
        <v>14.99</v>
      </c>
      <c r="T5" s="24" t="inlineStr">
        <is>
          <t>manual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auto-synced from Polymarket account (position updated 2026-09-07T17:01:56.739027159Z); no date found in market slug -- event_start_utc defaulted to last position update time; market metadata unavailable from Polymarket API -- identify manually</t>
        </is>
      </c>
      <c r="AF5" s="31" t="n"/>
      <c r="AG5" s="24" t="n"/>
      <c r="AH5" s="24" t="n"/>
      <c r="AI5" s="31" t="n"/>
      <c r="AJ5" s="31" t="n"/>
      <c r="AK5" s="24" t="n"/>
      <c r="AL5" s="26" t="n">
        <v>4</v>
      </c>
      <c r="AM5" s="24" t="inlineStr">
        <is>
          <t>manual_bet</t>
        </is>
      </c>
      <c r="AN5" s="24" t="inlineStr">
        <is>
          <t>take</t>
        </is>
      </c>
      <c r="AO5" s="24" t="inlineStr">
        <is>
          <t>MANUAL_ENTRY</t>
        </is>
      </c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5" t="n"/>
      <c r="BK5" s="26" t="n"/>
      <c r="BL5" s="27" t="n"/>
      <c r="BM5" s="28" t="n"/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cc737080b97cff91</t>
        </is>
      </c>
      <c r="B6" s="24" t="inlineStr">
        <is>
          <t>2026-09-07T19:35:46.522394+00:00</t>
        </is>
      </c>
      <c r="C6" s="24" t="inlineStr">
        <is>
          <t>2026-09-07T17:01:15.215823876Z</t>
        </is>
      </c>
      <c r="D6" s="24" t="inlineStr">
        <is>
          <t>caoc-756d3f4959f7122d</t>
        </is>
      </c>
      <c r="E6" s="24" t="inlineStr">
        <is>
          <t>UNKNOWN</t>
        </is>
      </c>
      <c r="F6" s="24" t="inlineStr">
        <is>
          <t>Unknown</t>
        </is>
      </c>
      <c r="G6" s="24" t="inlineStr">
        <is>
          <t>caoc-756d3f4959f7122d</t>
        </is>
      </c>
      <c r="H6" s="24" t="inlineStr">
        <is>
          <t>moneyline</t>
        </is>
      </c>
      <c r="I6" s="24" t="inlineStr">
        <is>
          <t>long</t>
        </is>
      </c>
      <c r="J6" s="25" t="n"/>
      <c r="K6" s="24" t="inlineStr">
        <is>
          <t>polymarket</t>
        </is>
      </c>
      <c r="L6" s="26" t="n">
        <v>167</v>
      </c>
      <c r="M6" s="27" t="n">
        <v>2.67</v>
      </c>
      <c r="N6" s="28" t="n">
        <v>0.375</v>
      </c>
      <c r="O6" s="28" t="n"/>
      <c r="P6" s="28" t="n"/>
      <c r="Q6" s="28" t="n"/>
      <c r="R6" s="26" t="n"/>
      <c r="S6" s="29" t="n">
        <v>15</v>
      </c>
      <c r="T6" s="24" t="inlineStr">
        <is>
          <t>manual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auto-synced from Polymarket account (position updated 2026-09-07T17:01:15.215823876Z); no date found in market slug -- event_start_utc defaulted to last position update time; market metadata unavailable from Polymarket API -- identify manually</t>
        </is>
      </c>
      <c r="AF6" s="31" t="n"/>
      <c r="AG6" s="24" t="n"/>
      <c r="AH6" s="24" t="n"/>
      <c r="AI6" s="31" t="n"/>
      <c r="AJ6" s="31" t="n"/>
      <c r="AK6" s="24" t="n"/>
      <c r="AL6" s="26" t="n">
        <v>4</v>
      </c>
      <c r="AM6" s="24" t="inlineStr">
        <is>
          <t>manual_bet</t>
        </is>
      </c>
      <c r="AN6" s="24" t="inlineStr">
        <is>
          <t>take</t>
        </is>
      </c>
      <c r="AO6" s="24" t="inlineStr">
        <is>
          <t>MANUAL_ENTRY</t>
        </is>
      </c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5" t="n"/>
      <c r="BK6" s="26" t="n"/>
      <c r="BL6" s="27" t="n"/>
      <c r="BM6" s="28" t="n"/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e8e762a2a019bd9f</t>
        </is>
      </c>
      <c r="B7" s="24" t="inlineStr">
        <is>
          <t>2026-09-07T06:34:44.753919+00:00</t>
        </is>
      </c>
      <c r="C7" s="24" t="inlineStr">
        <is>
          <t>2026-09-07T12:00:00Z</t>
        </is>
      </c>
      <c r="D7" s="24" t="inlineStr">
        <is>
          <t>asc-cfb-smu-flst-2026-09-07-neg-3pt5</t>
        </is>
      </c>
      <c r="E7" s="24" t="inlineStr">
        <is>
          <t>NCAAF</t>
        </is>
      </c>
      <c r="F7" s="24" t="inlineStr">
        <is>
          <t>SMU</t>
        </is>
      </c>
      <c r="G7" s="24" t="inlineStr">
        <is>
          <t>Florida State</t>
        </is>
      </c>
      <c r="H7" s="24" t="inlineStr">
        <is>
          <t>spread</t>
        </is>
      </c>
      <c r="I7" s="24" t="inlineStr">
        <is>
          <t>home</t>
        </is>
      </c>
      <c r="J7" s="25" t="n">
        <v>3.5</v>
      </c>
      <c r="K7" s="24" t="inlineStr">
        <is>
          <t>polymarket</t>
        </is>
      </c>
      <c r="L7" s="26" t="n">
        <v>-133</v>
      </c>
      <c r="M7" s="27" t="n">
        <v>1.7519</v>
      </c>
      <c r="N7" s="28" t="n">
        <v>0.5713</v>
      </c>
      <c r="O7" s="28" t="n"/>
      <c r="P7" s="28" t="n"/>
      <c r="Q7" s="28" t="n"/>
      <c r="R7" s="26" t="n"/>
      <c r="S7" s="29" t="n">
        <v>20</v>
      </c>
      <c r="T7" s="24" t="inlineStr">
        <is>
          <t>manual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auto-synced from Polymarket account (position updated 2026-09-07T04:02:11.825384166Z); event_start_utc is a placeholder (noon UTC on the market's slug date, not the real kickoff) -- correct if needed; selection='home' is an unverified assumption for alt-spread syncs -- confirm which side this position is actually on</t>
        </is>
      </c>
      <c r="AF7" s="31" t="n"/>
      <c r="AG7" s="24" t="n"/>
      <c r="AH7" s="24" t="n"/>
      <c r="AI7" s="31" t="n"/>
      <c r="AJ7" s="31" t="n"/>
      <c r="AK7" s="24" t="n"/>
      <c r="AL7" s="26" t="n">
        <v>4</v>
      </c>
      <c r="AM7" s="24" t="inlineStr">
        <is>
          <t>manual_bet</t>
        </is>
      </c>
      <c r="AN7" s="24" t="inlineStr">
        <is>
          <t>take</t>
        </is>
      </c>
      <c r="AO7" s="24" t="inlineStr">
        <is>
          <t>MANUAL_ENTRY</t>
        </is>
      </c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5" t="n"/>
      <c r="BK7" s="26" t="n"/>
      <c r="BL7" s="27" t="n"/>
      <c r="BM7" s="28" t="n"/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e8406efead85a0ab</t>
        </is>
      </c>
      <c r="B8" s="24" t="inlineStr">
        <is>
          <t>2026-09-07T13:35:18.028389+00:00</t>
        </is>
      </c>
      <c r="C8" s="24" t="inlineStr">
        <is>
          <t>2026-09-07T12:00:00Z</t>
        </is>
      </c>
      <c r="D8" s="24" t="inlineStr">
        <is>
          <t>aec-cfb-smu-flst-2026-09-07</t>
        </is>
      </c>
      <c r="E8" s="24" t="inlineStr">
        <is>
          <t>NCAAF</t>
        </is>
      </c>
      <c r="F8" s="24" t="inlineStr">
        <is>
          <t>SMU</t>
        </is>
      </c>
      <c r="G8" s="24" t="inlineStr">
        <is>
          <t>Florida State</t>
        </is>
      </c>
      <c r="H8" s="24" t="inlineStr">
        <is>
          <t>moneyline</t>
        </is>
      </c>
      <c r="I8" s="24" t="inlineStr">
        <is>
          <t>mustangs</t>
        </is>
      </c>
      <c r="J8" s="25" t="n"/>
      <c r="K8" s="24" t="inlineStr">
        <is>
          <t>polymarket</t>
        </is>
      </c>
      <c r="L8" s="26" t="n">
        <v>-136</v>
      </c>
      <c r="M8" s="27" t="n">
        <v>1.7353</v>
      </c>
      <c r="N8" s="28" t="n">
        <v>0.5765</v>
      </c>
      <c r="O8" s="28" t="n"/>
      <c r="P8" s="28" t="n"/>
      <c r="Q8" s="28" t="n"/>
      <c r="R8" s="26" t="n"/>
      <c r="S8" s="29" t="n">
        <v>14.99</v>
      </c>
      <c r="T8" s="24" t="inlineStr">
        <is>
          <t>manual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auto-synced from Polymarket account (position updated 2026-09-07T08:15:37.659034928Z); event_start_utc is a placeholder (noon UTC on the market's slug date, not the real kickoff) -- correct if needed</t>
        </is>
      </c>
      <c r="AF8" s="31" t="n"/>
      <c r="AG8" s="24" t="n"/>
      <c r="AH8" s="24" t="n"/>
      <c r="AI8" s="31" t="n"/>
      <c r="AJ8" s="31" t="n"/>
      <c r="AK8" s="24" t="n"/>
      <c r="AL8" s="26" t="n">
        <v>4</v>
      </c>
      <c r="AM8" s="24" t="inlineStr">
        <is>
          <t>manual_bet</t>
        </is>
      </c>
      <c r="AN8" s="24" t="inlineStr">
        <is>
          <t>take</t>
        </is>
      </c>
      <c r="AO8" s="24" t="inlineStr">
        <is>
          <t>MANUAL_ENTRY</t>
        </is>
      </c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5" t="n"/>
      <c r="BK8" s="26" t="n"/>
      <c r="BL8" s="27" t="n"/>
      <c r="BM8" s="28" t="n"/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1ff0dc2f7e0f2c93</t>
        </is>
      </c>
      <c r="B9" s="24" t="inlineStr">
        <is>
          <t>2026-09-07T19:35:46.303508+00:00</t>
        </is>
      </c>
      <c r="C9" s="24" t="inlineStr">
        <is>
          <t>2026-09-07T12:00:00Z</t>
        </is>
      </c>
      <c r="D9" s="24" t="inlineStr">
        <is>
          <t>astatc-mlb-chc-mil-2026-09-07-wa-robgas-gte2</t>
        </is>
      </c>
      <c r="E9" s="24" t="inlineStr">
        <is>
          <t>MLB</t>
        </is>
      </c>
      <c r="F9" s="24" t="inlineStr">
        <is>
          <t>Chicago Cubs</t>
        </is>
      </c>
      <c r="G9" s="24" t="inlineStr">
        <is>
          <t>Milwaukee Brewers</t>
        </is>
      </c>
      <c r="H9" s="24" t="inlineStr">
        <is>
          <t>moneyline</t>
        </is>
      </c>
      <c r="I9" s="24" t="inlineStr">
        <is>
          <t>yes</t>
        </is>
      </c>
      <c r="J9" s="25" t="n"/>
      <c r="K9" s="24" t="inlineStr">
        <is>
          <t>polymarket</t>
        </is>
      </c>
      <c r="L9" s="26" t="n">
        <v>-102</v>
      </c>
      <c r="M9" s="27" t="n">
        <v>1.9804</v>
      </c>
      <c r="N9" s="28" t="n">
        <v>0.5047</v>
      </c>
      <c r="O9" s="28" t="n"/>
      <c r="P9" s="28" t="n"/>
      <c r="Q9" s="28" t="n"/>
      <c r="R9" s="26" t="n"/>
      <c r="S9" s="29" t="n">
        <v>7.57</v>
      </c>
      <c r="T9" s="24" t="inlineStr">
        <is>
          <t>manual</t>
        </is>
      </c>
      <c r="U9" s="24" t="inlineStr">
        <is>
          <t>settled</t>
        </is>
      </c>
      <c r="V9" s="24" t="inlineStr">
        <is>
          <t>loss</t>
        </is>
      </c>
      <c r="W9" s="26" t="n">
        <v>3</v>
      </c>
      <c r="X9" s="26" t="n">
        <v>4</v>
      </c>
      <c r="Y9" s="25" t="n"/>
      <c r="Z9" s="26" t="n"/>
      <c r="AA9" s="28" t="n"/>
      <c r="AB9" s="28" t="n"/>
      <c r="AC9" s="30" t="n">
        <v>-7.57</v>
      </c>
      <c r="AD9" s="24" t="inlineStr">
        <is>
          <t>2026-09-07T21:59:16.362021+00:00</t>
        </is>
      </c>
      <c r="AE9" s="31" t="inlineStr">
        <is>
          <t>auto-synced from Polymarket account (position updated 2026-09-07T17:02:51.728193575Z); event_start_utc is a placeholder (noon UTC on the market's slug date, not the real kickoff) -- correct if needed</t>
        </is>
      </c>
      <c r="AF9" s="31" t="n"/>
      <c r="AG9" s="24" t="n"/>
      <c r="AH9" s="24" t="n"/>
      <c r="AI9" s="31" t="n"/>
      <c r="AJ9" s="31" t="n"/>
      <c r="AK9" s="24" t="n"/>
      <c r="AL9" s="26" t="n">
        <v>4</v>
      </c>
      <c r="AM9" s="24" t="inlineStr">
        <is>
          <t>manual_bet</t>
        </is>
      </c>
      <c r="AN9" s="24" t="inlineStr">
        <is>
          <t>take</t>
        </is>
      </c>
      <c r="AO9" s="24" t="inlineStr">
        <is>
          <t>MANUAL_ENTRY</t>
        </is>
      </c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5" t="n"/>
      <c r="BK9" s="26" t="n"/>
      <c r="BL9" s="27" t="n"/>
      <c r="BM9" s="28" t="n"/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dfd54abb2793eb81</t>
        </is>
      </c>
      <c r="B10" s="24" t="inlineStr">
        <is>
          <t>2026-09-07T19:35:46.861360+00:00</t>
        </is>
      </c>
      <c r="C10" s="24" t="inlineStr">
        <is>
          <t>2026-09-07T12:00:00Z</t>
        </is>
      </c>
      <c r="D10" s="24" t="inlineStr">
        <is>
          <t>tsc-mlb-cin-lad-2026-09-07-f5-4pt5</t>
        </is>
      </c>
      <c r="E10" s="24" t="inlineStr">
        <is>
          <t>MLB</t>
        </is>
      </c>
      <c r="F10" s="24" t="inlineStr">
        <is>
          <t>Cincinnati Reds</t>
        </is>
      </c>
      <c r="G10" s="24" t="inlineStr">
        <is>
          <t>Los Angeles Dodgers</t>
        </is>
      </c>
      <c r="H10" s="24" t="inlineStr">
        <is>
          <t>total</t>
        </is>
      </c>
      <c r="I10" s="24" t="inlineStr">
        <is>
          <t>under</t>
        </is>
      </c>
      <c r="J10" s="25" t="n">
        <v>4.5</v>
      </c>
      <c r="K10" s="24" t="inlineStr">
        <is>
          <t>polymarket</t>
        </is>
      </c>
      <c r="L10" s="26" t="n">
        <v>-115</v>
      </c>
      <c r="M10" s="27" t="n">
        <v>1.8696</v>
      </c>
      <c r="N10" s="28" t="n">
        <v>0.5353</v>
      </c>
      <c r="O10" s="28" t="n"/>
      <c r="P10" s="28" t="n"/>
      <c r="Q10" s="28" t="n"/>
      <c r="R10" s="26" t="n"/>
      <c r="S10" s="29" t="n">
        <v>14.99</v>
      </c>
      <c r="T10" s="24" t="inlineStr">
        <is>
          <t>manual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auto-synced from Polymarket account (position updated 2026-09-07T17:35:26.447329765Z); event_start_utc is a placeholder (noon UTC on the market's slug date, not the real kickoff) -- correct if needed</t>
        </is>
      </c>
      <c r="AF10" s="31" t="n"/>
      <c r="AG10" s="24" t="n"/>
      <c r="AH10" s="24" t="n"/>
      <c r="AI10" s="31" t="n"/>
      <c r="AJ10" s="31" t="n"/>
      <c r="AK10" s="24" t="n"/>
      <c r="AL10" s="26" t="n">
        <v>4</v>
      </c>
      <c r="AM10" s="24" t="inlineStr">
        <is>
          <t>manual_bet</t>
        </is>
      </c>
      <c r="AN10" s="24" t="inlineStr">
        <is>
          <t>take</t>
        </is>
      </c>
      <c r="AO10" s="24" t="inlineStr">
        <is>
          <t>MANUAL_ENTRY</t>
        </is>
      </c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5" t="n"/>
      <c r="BK10" s="26" t="n"/>
      <c r="BL10" s="27" t="n"/>
      <c r="BM10" s="28" t="n"/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e0604840f998c511</t>
        </is>
      </c>
      <c r="B11" s="24" t="inlineStr">
        <is>
          <t>2026-09-07T06:34:44.981032+00:00</t>
        </is>
      </c>
      <c r="C11" s="24" t="inlineStr">
        <is>
          <t>2026-09-07T06:33:15.818878327Z</t>
        </is>
      </c>
      <c r="D11" s="24" t="inlineStr">
        <is>
          <t>caoc-cf82af636e229adb</t>
        </is>
      </c>
      <c r="E11" s="24" t="inlineStr">
        <is>
          <t>UNKNOWN</t>
        </is>
      </c>
      <c r="F11" s="24" t="inlineStr">
        <is>
          <t>Unknown</t>
        </is>
      </c>
      <c r="G11" s="24" t="inlineStr">
        <is>
          <t>caoc-cf82af636e229adb</t>
        </is>
      </c>
      <c r="H11" s="24" t="inlineStr">
        <is>
          <t>moneyline</t>
        </is>
      </c>
      <c r="I11" s="24" t="inlineStr">
        <is>
          <t>long</t>
        </is>
      </c>
      <c r="J11" s="25" t="n"/>
      <c r="K11" s="24" t="inlineStr">
        <is>
          <t>polymarket</t>
        </is>
      </c>
      <c r="L11" s="26" t="n">
        <v>107</v>
      </c>
      <c r="M11" s="27" t="n">
        <v>2.07</v>
      </c>
      <c r="N11" s="28" t="n">
        <v>0.4837</v>
      </c>
      <c r="O11" s="28" t="n"/>
      <c r="P11" s="28" t="n"/>
      <c r="Q11" s="28" t="n"/>
      <c r="R11" s="26" t="n"/>
      <c r="S11" s="29" t="n">
        <v>14.99</v>
      </c>
      <c r="T11" s="24" t="inlineStr">
        <is>
          <t>manual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auto-synced from Polymarket account (position updated 2026-09-07T06:33:15.818878327Z); no date found in market slug -- event_start_utc defaulted to last position update time; market metadata unavailable from Polymarket API -- identify manually</t>
        </is>
      </c>
      <c r="AF11" s="31" t="n"/>
      <c r="AG11" s="24" t="n"/>
      <c r="AH11" s="24" t="n"/>
      <c r="AI11" s="31" t="n"/>
      <c r="AJ11" s="31" t="n"/>
      <c r="AK11" s="24" t="n"/>
      <c r="AL11" s="26" t="n">
        <v>4</v>
      </c>
      <c r="AM11" s="24" t="inlineStr">
        <is>
          <t>manual_bet</t>
        </is>
      </c>
      <c r="AN11" s="24" t="inlineStr">
        <is>
          <t>take</t>
        </is>
      </c>
      <c r="AO11" s="24" t="inlineStr">
        <is>
          <t>MANUAL_ENTRY</t>
        </is>
      </c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5" t="n"/>
      <c r="BK11" s="26" t="n"/>
      <c r="BL11" s="27" t="n"/>
      <c r="BM11" s="28" t="n"/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38fcbba6baa60ebc</t>
        </is>
      </c>
      <c r="B12" s="24" t="inlineStr">
        <is>
          <t>2026-09-07T06:34:44.881286+00:00</t>
        </is>
      </c>
      <c r="C12" s="24" t="inlineStr">
        <is>
          <t>2026-09-07T06:31:44.340002958Z</t>
        </is>
      </c>
      <c r="D12" s="24" t="inlineStr">
        <is>
          <t>caoc-14d7dc9aaf63eca3</t>
        </is>
      </c>
      <c r="E12" s="24" t="inlineStr">
        <is>
          <t>UNKNOWN</t>
        </is>
      </c>
      <c r="F12" s="24" t="inlineStr">
        <is>
          <t>Unknown</t>
        </is>
      </c>
      <c r="G12" s="24" t="inlineStr">
        <is>
          <t>caoc-14d7dc9aaf63eca3</t>
        </is>
      </c>
      <c r="H12" s="24" t="inlineStr">
        <is>
          <t>moneyline</t>
        </is>
      </c>
      <c r="I12" s="24" t="inlineStr">
        <is>
          <t>long</t>
        </is>
      </c>
      <c r="J12" s="25" t="n"/>
      <c r="K12" s="24" t="inlineStr">
        <is>
          <t>polymarket</t>
        </is>
      </c>
      <c r="L12" s="26" t="n">
        <v>193</v>
      </c>
      <c r="M12" s="27" t="n">
        <v>2.93</v>
      </c>
      <c r="N12" s="28" t="n">
        <v>0.3409</v>
      </c>
      <c r="O12" s="28" t="n"/>
      <c r="P12" s="28" t="n"/>
      <c r="Q12" s="28" t="n"/>
      <c r="R12" s="26" t="n"/>
      <c r="S12" s="29" t="n">
        <v>15</v>
      </c>
      <c r="T12" s="24" t="inlineStr">
        <is>
          <t>manual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auto-synced from Polymarket account (position updated 2026-09-07T06:31:44.340002958Z); no date found in market slug -- event_start_utc defaulted to last position update time; market metadata unavailable from Polymarket API -- identify manually</t>
        </is>
      </c>
      <c r="AF12" s="31" t="n"/>
      <c r="AG12" s="24" t="n"/>
      <c r="AH12" s="24" t="n"/>
      <c r="AI12" s="31" t="n"/>
      <c r="AJ12" s="31" t="n"/>
      <c r="AK12" s="24" t="n"/>
      <c r="AL12" s="26" t="n">
        <v>4</v>
      </c>
      <c r="AM12" s="24" t="inlineStr">
        <is>
          <t>manual_bet</t>
        </is>
      </c>
      <c r="AN12" s="24" t="inlineStr">
        <is>
          <t>take</t>
        </is>
      </c>
      <c r="AO12" s="24" t="inlineStr">
        <is>
          <t>MANUAL_ENTRY</t>
        </is>
      </c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5" t="n"/>
      <c r="BK12" s="26" t="n"/>
      <c r="BL12" s="27" t="n"/>
      <c r="BM12" s="28" t="n"/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2715559516497557</t>
        </is>
      </c>
      <c r="B13" s="24" t="inlineStr">
        <is>
          <t>2026-09-06T18:14:10.121883+00:00</t>
        </is>
      </c>
      <c r="C13" s="24" t="inlineStr">
        <is>
          <t>2026-09-06T17:07:37.928236807Z</t>
        </is>
      </c>
      <c r="D13" s="24" t="inlineStr">
        <is>
          <t>caoc-7b4aa7aea23a2196</t>
        </is>
      </c>
      <c r="E13" s="24" t="inlineStr">
        <is>
          <t>UNKNOWN</t>
        </is>
      </c>
      <c r="F13" s="24" t="inlineStr">
        <is>
          <t>Unknown</t>
        </is>
      </c>
      <c r="G13" s="24" t="inlineStr">
        <is>
          <t>caoc-7b4aa7aea23a2196</t>
        </is>
      </c>
      <c r="H13" s="24" t="inlineStr">
        <is>
          <t>moneyline</t>
        </is>
      </c>
      <c r="I13" s="24" t="inlineStr">
        <is>
          <t>long</t>
        </is>
      </c>
      <c r="J13" s="25" t="n"/>
      <c r="K13" s="24" t="inlineStr">
        <is>
          <t>polymarket</t>
        </is>
      </c>
      <c r="L13" s="26" t="n">
        <v>120</v>
      </c>
      <c r="M13" s="27" t="n">
        <v>2.2</v>
      </c>
      <c r="N13" s="28" t="n">
        <v>0.4545</v>
      </c>
      <c r="O13" s="28" t="n"/>
      <c r="P13" s="28" t="n"/>
      <c r="Q13" s="28" t="n"/>
      <c r="R13" s="26" t="n"/>
      <c r="S13" s="29" t="n">
        <v>15</v>
      </c>
      <c r="T13" s="24" t="inlineStr">
        <is>
          <t>manual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auto-synced from Polymarket account (position updated 2026-09-06T17:07:37.928236807Z); no date found in market slug -- event_start_utc defaulted to last position update time; market metadata unavailable from Polymarket API -- identify manually</t>
        </is>
      </c>
      <c r="AF13" s="31" t="n"/>
      <c r="AG13" s="24" t="n"/>
      <c r="AH13" s="24" t="n"/>
      <c r="AI13" s="31" t="n"/>
      <c r="AJ13" s="31" t="n"/>
      <c r="AK13" s="24" t="n"/>
      <c r="AL13" s="26" t="n">
        <v>4</v>
      </c>
      <c r="AM13" s="24" t="inlineStr">
        <is>
          <t>manual_bet</t>
        </is>
      </c>
      <c r="AN13" s="24" t="inlineStr">
        <is>
          <t>take</t>
        </is>
      </c>
      <c r="AO13" s="24" t="inlineStr">
        <is>
          <t>MANUAL_ENTRY</t>
        </is>
      </c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5" t="n"/>
      <c r="BK13" s="26" t="n"/>
      <c r="BL13" s="27" t="n"/>
      <c r="BM13" s="28" t="n"/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1fda2a78a6e3dff0</t>
        </is>
      </c>
      <c r="B14" s="24" t="inlineStr">
        <is>
          <t>2026-09-06T18:14:10.057910+00:00</t>
        </is>
      </c>
      <c r="C14" s="24" t="inlineStr">
        <is>
          <t>2026-09-06T17:06:55.012607124Z</t>
        </is>
      </c>
      <c r="D14" s="24" t="inlineStr">
        <is>
          <t>caoc-2979d8737311a084</t>
        </is>
      </c>
      <c r="E14" s="24" t="inlineStr">
        <is>
          <t>UNKNOWN</t>
        </is>
      </c>
      <c r="F14" s="24" t="inlineStr">
        <is>
          <t>Unknown</t>
        </is>
      </c>
      <c r="G14" s="24" t="inlineStr">
        <is>
          <t>caoc-2979d8737311a084</t>
        </is>
      </c>
      <c r="H14" s="24" t="inlineStr">
        <is>
          <t>moneyline</t>
        </is>
      </c>
      <c r="I14" s="24" t="inlineStr">
        <is>
          <t>long</t>
        </is>
      </c>
      <c r="J14" s="25" t="n"/>
      <c r="K14" s="24" t="inlineStr">
        <is>
          <t>polymarket</t>
        </is>
      </c>
      <c r="L14" s="26" t="n">
        <v>120</v>
      </c>
      <c r="M14" s="27" t="n">
        <v>2.2</v>
      </c>
      <c r="N14" s="28" t="n">
        <v>0.4543</v>
      </c>
      <c r="O14" s="28" t="n"/>
      <c r="P14" s="28" t="n"/>
      <c r="Q14" s="28" t="n"/>
      <c r="R14" s="26" t="n"/>
      <c r="S14" s="29" t="n">
        <v>14.99</v>
      </c>
      <c r="T14" s="24" t="inlineStr">
        <is>
          <t>manual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auto-synced from Polymarket account (position updated 2026-09-06T17:06:55.012607124Z); no date found in market slug -- event_start_utc defaulted to last position update time; market metadata unavailable from Polymarket API -- identify manually</t>
        </is>
      </c>
      <c r="AF14" s="31" t="n"/>
      <c r="AG14" s="24" t="n"/>
      <c r="AH14" s="24" t="n"/>
      <c r="AI14" s="31" t="n"/>
      <c r="AJ14" s="31" t="n"/>
      <c r="AK14" s="24" t="n"/>
      <c r="AL14" s="26" t="n">
        <v>4</v>
      </c>
      <c r="AM14" s="24" t="inlineStr">
        <is>
          <t>manual_bet</t>
        </is>
      </c>
      <c r="AN14" s="24" t="inlineStr">
        <is>
          <t>take</t>
        </is>
      </c>
      <c r="AO14" s="24" t="inlineStr">
        <is>
          <t>MANUAL_ENTRY</t>
        </is>
      </c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5" t="n"/>
      <c r="BK14" s="26" t="n"/>
      <c r="BL14" s="27" t="n"/>
      <c r="BM14" s="28" t="n"/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4ab92ba0e37b951e</t>
        </is>
      </c>
      <c r="B15" s="24" t="inlineStr">
        <is>
          <t>2026-09-06T18:14:10.191916+00:00</t>
        </is>
      </c>
      <c r="C15" s="24" t="inlineStr">
        <is>
          <t>2026-09-06T16:33:52.905492859Z</t>
        </is>
      </c>
      <c r="D15" s="24" t="inlineStr">
        <is>
          <t>caoc-cd708ff2ecd6c2d0</t>
        </is>
      </c>
      <c r="E15" s="24" t="inlineStr">
        <is>
          <t>UNKNOWN</t>
        </is>
      </c>
      <c r="F15" s="24" t="inlineStr">
        <is>
          <t>Unknown</t>
        </is>
      </c>
      <c r="G15" s="24" t="inlineStr">
        <is>
          <t>caoc-cd708ff2ecd6c2d0</t>
        </is>
      </c>
      <c r="H15" s="24" t="inlineStr">
        <is>
          <t>moneyline</t>
        </is>
      </c>
      <c r="I15" s="24" t="inlineStr">
        <is>
          <t>long</t>
        </is>
      </c>
      <c r="J15" s="25" t="n"/>
      <c r="K15" s="24" t="inlineStr">
        <is>
          <t>polymarket</t>
        </is>
      </c>
      <c r="L15" s="26" t="n">
        <v>268</v>
      </c>
      <c r="M15" s="27" t="n">
        <v>3.68</v>
      </c>
      <c r="N15" s="28" t="n">
        <v>0.2717</v>
      </c>
      <c r="O15" s="28" t="n"/>
      <c r="P15" s="28" t="n"/>
      <c r="Q15" s="28" t="n"/>
      <c r="R15" s="26" t="n"/>
      <c r="S15" s="29" t="n">
        <v>25</v>
      </c>
      <c r="T15" s="24" t="inlineStr">
        <is>
          <t>manual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auto-synced from Polymarket account (position updated 2026-09-06T16:33:52.905492859Z); no date found in market slug -- event_start_utc defaulted to last position update time; market metadata unavailable from Polymarket API -- identify manually</t>
        </is>
      </c>
      <c r="AF15" s="31" t="n"/>
      <c r="AG15" s="24" t="n"/>
      <c r="AH15" s="24" t="n"/>
      <c r="AI15" s="31" t="n"/>
      <c r="AJ15" s="31" t="n"/>
      <c r="AK15" s="24" t="n"/>
      <c r="AL15" s="26" t="n">
        <v>4</v>
      </c>
      <c r="AM15" s="24" t="inlineStr">
        <is>
          <t>manual_bet</t>
        </is>
      </c>
      <c r="AN15" s="24" t="inlineStr">
        <is>
          <t>take</t>
        </is>
      </c>
      <c r="AO15" s="24" t="inlineStr">
        <is>
          <t>MANUAL_ENTRY</t>
        </is>
      </c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5" t="n"/>
      <c r="BK15" s="26" t="n"/>
      <c r="BL15" s="27" t="n"/>
      <c r="BM15" s="28" t="n"/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4431ec56d61db4e4</t>
        </is>
      </c>
      <c r="B16" s="24" t="inlineStr">
        <is>
          <t>2026-09-06T18:14:09.918920+00:00</t>
        </is>
      </c>
      <c r="C16" s="24" t="inlineStr">
        <is>
          <t>2026-09-06T12:00:00Z</t>
        </is>
      </c>
      <c r="D16" s="24" t="inlineStr">
        <is>
          <t>asc-cfb-lou-miss-2026-09-06-pos-5pt5</t>
        </is>
      </c>
      <c r="E16" s="24" t="inlineStr">
        <is>
          <t>NCAAF</t>
        </is>
      </c>
      <c r="F16" s="24" t="inlineStr">
        <is>
          <t>Louisville</t>
        </is>
      </c>
      <c r="G16" s="24" t="inlineStr">
        <is>
          <t>Ole Miss</t>
        </is>
      </c>
      <c r="H16" s="24" t="inlineStr">
        <is>
          <t>spread</t>
        </is>
      </c>
      <c r="I16" s="24" t="inlineStr">
        <is>
          <t>home</t>
        </is>
      </c>
      <c r="J16" s="25" t="n">
        <v>-5.5</v>
      </c>
      <c r="K16" s="24" t="inlineStr">
        <is>
          <t>polymarket</t>
        </is>
      </c>
      <c r="L16" s="26" t="n">
        <v>-136</v>
      </c>
      <c r="M16" s="27" t="n">
        <v>1.7353</v>
      </c>
      <c r="N16" s="28" t="n">
        <v>0.5767</v>
      </c>
      <c r="O16" s="28" t="n"/>
      <c r="P16" s="28" t="n"/>
      <c r="Q16" s="28" t="n"/>
      <c r="R16" s="26" t="n"/>
      <c r="S16" s="29" t="n">
        <v>14.99</v>
      </c>
      <c r="T16" s="24" t="inlineStr">
        <is>
          <t>manual</t>
        </is>
      </c>
      <c r="U16" s="24" t="inlineStr">
        <is>
          <t>settled</t>
        </is>
      </c>
      <c r="V16" s="24" t="inlineStr">
        <is>
          <t>loss</t>
        </is>
      </c>
      <c r="W16" s="26" t="n">
        <v>38</v>
      </c>
      <c r="X16" s="26" t="n">
        <v>41</v>
      </c>
      <c r="Y16" s="25" t="n"/>
      <c r="Z16" s="26" t="n"/>
      <c r="AA16" s="28" t="n"/>
      <c r="AB16" s="28" t="n"/>
      <c r="AC16" s="30" t="n">
        <v>-14.99</v>
      </c>
      <c r="AD16" s="24" t="inlineStr">
        <is>
          <t>2026-09-07T15:41:42.579834+00:00</t>
        </is>
      </c>
      <c r="AE16" s="31" t="inlineStr">
        <is>
          <t>auto-synced from Polymarket account (position updated 2026-09-06T16:35:06.734492747Z); event_start_utc is a placeholder (noon UTC on the market's slug date, not the real kickoff) -- correct if needed; selection='home' is an unverified assumption for alt-spread syncs -- confirm which side this position is actually on</t>
        </is>
      </c>
      <c r="AF16" s="31" t="n"/>
      <c r="AG16" s="24" t="n"/>
      <c r="AH16" s="24" t="n"/>
      <c r="AI16" s="31" t="n"/>
      <c r="AJ16" s="31" t="n"/>
      <c r="AK16" s="24" t="n"/>
      <c r="AL16" s="26" t="n">
        <v>4</v>
      </c>
      <c r="AM16" s="24" t="inlineStr">
        <is>
          <t>manual_bet</t>
        </is>
      </c>
      <c r="AN16" s="24" t="inlineStr">
        <is>
          <t>take</t>
        </is>
      </c>
      <c r="AO16" s="24" t="inlineStr">
        <is>
          <t>MANUAL_ENTRY</t>
        </is>
      </c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5" t="n"/>
      <c r="BK16" s="26" t="n"/>
      <c r="BL16" s="27" t="n"/>
      <c r="BM16" s="28" t="n"/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865783bd983d9ffa</t>
        </is>
      </c>
      <c r="B17" s="24" t="inlineStr">
        <is>
          <t>2026-09-06T18:14:09.997620+00:00</t>
        </is>
      </c>
      <c r="C17" s="24" t="inlineStr">
        <is>
          <t>2026-09-06T12:00:00Z</t>
        </is>
      </c>
      <c r="D17" s="24" t="inlineStr">
        <is>
          <t>asc-cfb-wisc-nd-2026-09-06-pos-17pt5</t>
        </is>
      </c>
      <c r="E17" s="24" t="inlineStr">
        <is>
          <t>NCAAF</t>
        </is>
      </c>
      <c r="F17" s="24" t="inlineStr">
        <is>
          <t>Wisconsin</t>
        </is>
      </c>
      <c r="G17" s="24" t="inlineStr">
        <is>
          <t>Notre Dame</t>
        </is>
      </c>
      <c r="H17" s="24" t="inlineStr">
        <is>
          <t>spread</t>
        </is>
      </c>
      <c r="I17" s="24" t="inlineStr">
        <is>
          <t>home</t>
        </is>
      </c>
      <c r="J17" s="25" t="n">
        <v>-17.5</v>
      </c>
      <c r="K17" s="24" t="inlineStr">
        <is>
          <t>polymarket</t>
        </is>
      </c>
      <c r="L17" s="26" t="n">
        <v>-167</v>
      </c>
      <c r="M17" s="27" t="n">
        <v>1.5988</v>
      </c>
      <c r="N17" s="28" t="n">
        <v>0.6248</v>
      </c>
      <c r="O17" s="28" t="n"/>
      <c r="P17" s="28" t="n"/>
      <c r="Q17" s="28" t="n"/>
      <c r="R17" s="26" t="n"/>
      <c r="S17" s="29" t="n">
        <v>15</v>
      </c>
      <c r="T17" s="24" t="inlineStr">
        <is>
          <t>manual</t>
        </is>
      </c>
      <c r="U17" s="24" t="inlineStr">
        <is>
          <t>settled</t>
        </is>
      </c>
      <c r="V17" s="24" t="inlineStr">
        <is>
          <t>win</t>
        </is>
      </c>
      <c r="W17" s="26" t="n">
        <v>13</v>
      </c>
      <c r="X17" s="26" t="n">
        <v>41</v>
      </c>
      <c r="Y17" s="25" t="n"/>
      <c r="Z17" s="26" t="n"/>
      <c r="AA17" s="28" t="n"/>
      <c r="AB17" s="28" t="n"/>
      <c r="AC17" s="30" t="n">
        <v>8.981999999999999</v>
      </c>
      <c r="AD17" s="24" t="inlineStr">
        <is>
          <t>2026-09-07T15:41:42.579834+00:00</t>
        </is>
      </c>
      <c r="AE17" s="31" t="inlineStr">
        <is>
          <t>auto-synced from Polymarket account (position updated 2026-09-06T16:34:54.883662300Z); event_start_utc is a placeholder (noon UTC on the market's slug date, not the real kickoff) -- correct if needed; selection='home' is an unverified assumption for alt-spread syncs -- confirm which side this position is actually on</t>
        </is>
      </c>
      <c r="AF17" s="31" t="n"/>
      <c r="AG17" s="24" t="n"/>
      <c r="AH17" s="24" t="n"/>
      <c r="AI17" s="31" t="n"/>
      <c r="AJ17" s="31" t="n"/>
      <c r="AK17" s="24" t="n"/>
      <c r="AL17" s="26" t="n">
        <v>4</v>
      </c>
      <c r="AM17" s="24" t="inlineStr">
        <is>
          <t>manual_bet</t>
        </is>
      </c>
      <c r="AN17" s="24" t="inlineStr">
        <is>
          <t>take</t>
        </is>
      </c>
      <c r="AO17" s="24" t="inlineStr">
        <is>
          <t>MANUAL_ENTRY</t>
        </is>
      </c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5" t="n"/>
      <c r="BK17" s="26" t="n"/>
      <c r="BL17" s="27" t="n"/>
      <c r="BM17" s="28" t="n"/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</row>
    <row r="18" ht="36" customHeight="1">
      <c r="A18" s="24" t="inlineStr">
        <is>
          <t>d9832eecac51ef1e</t>
        </is>
      </c>
      <c r="B18" s="24" t="inlineStr">
        <is>
          <t>2026-09-06T04:52:24.245004+00:00</t>
        </is>
      </c>
      <c r="C18" s="24" t="inlineStr">
        <is>
          <t>2026-09-05T12:00:00Z</t>
        </is>
      </c>
      <c r="D18" s="24" t="inlineStr">
        <is>
          <t>asc-cfb-clmsn-lsu-2026-09-05-pos-34pt5</t>
        </is>
      </c>
      <c r="E18" s="24" t="inlineStr">
        <is>
          <t>NCAAF</t>
        </is>
      </c>
      <c r="F18" s="24" t="inlineStr">
        <is>
          <t>Clemson</t>
        </is>
      </c>
      <c r="G18" s="24" t="inlineStr">
        <is>
          <t>LSU</t>
        </is>
      </c>
      <c r="H18" s="24" t="inlineStr">
        <is>
          <t>spread</t>
        </is>
      </c>
      <c r="I18" s="24" t="inlineStr">
        <is>
          <t>home</t>
        </is>
      </c>
      <c r="J18" s="25" t="n">
        <v>-34.5</v>
      </c>
      <c r="K18" s="24" t="inlineStr">
        <is>
          <t>polymarket</t>
        </is>
      </c>
      <c r="L18" s="26" t="n">
        <v>-148</v>
      </c>
      <c r="M18" s="27" t="n">
        <v>1.6757</v>
      </c>
      <c r="N18" s="28" t="n">
        <v>0.597</v>
      </c>
      <c r="O18" s="28" t="n"/>
      <c r="P18" s="28" t="n"/>
      <c r="Q18" s="28" t="n"/>
      <c r="R18" s="26" t="n"/>
      <c r="S18" s="29" t="n">
        <v>11.94</v>
      </c>
      <c r="T18" s="24" t="inlineStr">
        <is>
          <t>manual</t>
        </is>
      </c>
      <c r="U18" s="24" t="inlineStr">
        <is>
          <t>settled</t>
        </is>
      </c>
      <c r="V18" s="24" t="inlineStr">
        <is>
          <t>win</t>
        </is>
      </c>
      <c r="W18" s="26" t="n">
        <v>10</v>
      </c>
      <c r="X18" s="26" t="n">
        <v>51</v>
      </c>
      <c r="Y18" s="25" t="n"/>
      <c r="Z18" s="26" t="n"/>
      <c r="AA18" s="28" t="n"/>
      <c r="AB18" s="28" t="n"/>
      <c r="AC18" s="30" t="n">
        <v>8.0679</v>
      </c>
      <c r="AD18" s="24" t="inlineStr">
        <is>
          <t>2026-09-07T15:41:42.579834+00:00</t>
        </is>
      </c>
      <c r="AE18" s="31" t="inlineStr">
        <is>
          <t>auto-synced from Polymarket account (position updated 2026-09-06T03:53:24.126865534Z); event_start_utc is a placeholder (noon UTC on the market's slug date, not the real kickoff) -- correct if needed; selection='home' is an unverified assumption for alt-spread syncs -- confirm which side this position is actually on</t>
        </is>
      </c>
      <c r="AF18" s="31" t="n"/>
      <c r="AG18" s="24" t="n"/>
      <c r="AH18" s="24" t="n"/>
      <c r="AI18" s="31" t="n"/>
      <c r="AJ18" s="31" t="n"/>
      <c r="AK18" s="24" t="n"/>
      <c r="AL18" s="26" t="n">
        <v>4</v>
      </c>
      <c r="AM18" s="24" t="inlineStr">
        <is>
          <t>manual_bet</t>
        </is>
      </c>
      <c r="AN18" s="24" t="inlineStr">
        <is>
          <t>take</t>
        </is>
      </c>
      <c r="AO18" s="24" t="inlineStr">
        <is>
          <t>MANUAL_ENTRY</t>
        </is>
      </c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5" t="n"/>
      <c r="BK18" s="26" t="n"/>
      <c r="BL18" s="27" t="n"/>
      <c r="BM18" s="28" t="n"/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</row>
    <row r="19" ht="36" customHeight="1">
      <c r="A19" s="24" t="inlineStr">
        <is>
          <t>5b63cf615f03b9d0</t>
        </is>
      </c>
      <c r="B19" s="24" t="inlineStr">
        <is>
          <t>2026-09-05T02:44:08.706949+00:00</t>
        </is>
      </c>
      <c r="C19" s="24" t="inlineStr">
        <is>
          <t>2026-09-04T17:43:23.477603501Z</t>
        </is>
      </c>
      <c r="D19" s="24" t="inlineStr">
        <is>
          <t>caoc-37f4453a3e43dfd2</t>
        </is>
      </c>
      <c r="E19" s="24" t="inlineStr">
        <is>
          <t>UNKNOWN</t>
        </is>
      </c>
      <c r="F19" s="24" t="inlineStr">
        <is>
          <t>Unknown</t>
        </is>
      </c>
      <c r="G19" s="24" t="inlineStr">
        <is>
          <t>caoc-37f4453a3e43dfd2</t>
        </is>
      </c>
      <c r="H19" s="24" t="inlineStr">
        <is>
          <t>moneyline</t>
        </is>
      </c>
      <c r="I19" s="24" t="inlineStr">
        <is>
          <t>long</t>
        </is>
      </c>
      <c r="J19" s="25" t="n"/>
      <c r="K19" s="24" t="inlineStr">
        <is>
          <t>polymarket</t>
        </is>
      </c>
      <c r="L19" s="26" t="n">
        <v>-129</v>
      </c>
      <c r="M19" s="27" t="n">
        <v>1.7752</v>
      </c>
      <c r="N19" s="28" t="n">
        <v>0.5639999999999999</v>
      </c>
      <c r="O19" s="28" t="n"/>
      <c r="P19" s="28" t="n"/>
      <c r="Q19" s="28" t="n"/>
      <c r="R19" s="26" t="n"/>
      <c r="S19" s="29" t="n">
        <v>17.48</v>
      </c>
      <c r="T19" s="24" t="inlineStr">
        <is>
          <t>manual</t>
        </is>
      </c>
      <c r="U19" s="24" t="inlineStr">
        <is>
          <t>voided</t>
        </is>
      </c>
      <c r="V19" s="24" t="inlineStr">
        <is>
          <t>push</t>
        </is>
      </c>
      <c r="W19" s="26" t="n"/>
      <c r="X19" s="26" t="n"/>
      <c r="Y19" s="25" t="n"/>
      <c r="Z19" s="26" t="n"/>
      <c r="AA19" s="28" t="n"/>
      <c r="AB19" s="28" t="n"/>
      <c r="AC19" s="30" t="n">
        <v>0</v>
      </c>
      <c r="AD19" s="24" t="inlineStr">
        <is>
          <t>2026-09-07T15:41:42.579834+00:00</t>
        </is>
      </c>
      <c r="AE19" s="31" t="inlineStr">
        <is>
          <t>auto-synced from Polymarket account (position updated 2026-09-04T17:43:23.477603501Z); no date found in market slug -- event_start_utc defaulted to last position update time; market metadata unavailable from Polymarket API -- identify manually</t>
        </is>
      </c>
      <c r="AF19" s="31" t="n"/>
      <c r="AG19" s="24" t="n"/>
      <c r="AH19" s="24" t="n"/>
      <c r="AI19" s="31" t="n"/>
      <c r="AJ19" s="31" t="n"/>
      <c r="AK19" s="24" t="n"/>
      <c r="AL19" s="26" t="n">
        <v>4</v>
      </c>
      <c r="AM19" s="24" t="inlineStr">
        <is>
          <t>manual_bet</t>
        </is>
      </c>
      <c r="AN19" s="24" t="inlineStr">
        <is>
          <t>take</t>
        </is>
      </c>
      <c r="AO19" s="24" t="inlineStr">
        <is>
          <t>MANUAL_ENTRY</t>
        </is>
      </c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5" t="n"/>
      <c r="BK19" s="26" t="n"/>
      <c r="BL19" s="27" t="n"/>
      <c r="BM19" s="28" t="n"/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inlineStr">
        <is>
          <t>match_unresolved_after_48h</t>
        </is>
      </c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</row>
    <row r="20" ht="36" customHeight="1">
      <c r="A20" s="24" t="inlineStr">
        <is>
          <t>80adefccbca1dc02</t>
        </is>
      </c>
      <c r="B20" s="24" t="inlineStr">
        <is>
          <t>2026-09-05T02:44:08.627327+00:00</t>
        </is>
      </c>
      <c r="C20" s="24" t="inlineStr">
        <is>
          <t>2026-09-04T12:00:00Z</t>
        </is>
      </c>
      <c r="D20" s="24" t="inlineStr">
        <is>
          <t>asc-cfb-liub-kan-2026-09-04-pos-40pt5</t>
        </is>
      </c>
      <c r="E20" s="24" t="inlineStr">
        <is>
          <t>NCAAF</t>
        </is>
      </c>
      <c r="F20" s="24" t="inlineStr">
        <is>
          <t>LIU</t>
        </is>
      </c>
      <c r="G20" s="24" t="inlineStr">
        <is>
          <t>Kansas</t>
        </is>
      </c>
      <c r="H20" s="24" t="inlineStr">
        <is>
          <t>spread</t>
        </is>
      </c>
      <c r="I20" s="24" t="inlineStr">
        <is>
          <t>home</t>
        </is>
      </c>
      <c r="J20" s="25" t="n">
        <v>-40.5</v>
      </c>
      <c r="K20" s="24" t="inlineStr">
        <is>
          <t>polymarket</t>
        </is>
      </c>
      <c r="L20" s="26" t="n">
        <v>-152</v>
      </c>
      <c r="M20" s="27" t="n">
        <v>1.6579</v>
      </c>
      <c r="N20" s="28" t="n">
        <v>0.6034</v>
      </c>
      <c r="O20" s="28" t="n"/>
      <c r="P20" s="28" t="n"/>
      <c r="Q20" s="28" t="n"/>
      <c r="R20" s="26" t="n"/>
      <c r="S20" s="29" t="n">
        <v>17.5</v>
      </c>
      <c r="T20" s="24" t="inlineStr">
        <is>
          <t>manual</t>
        </is>
      </c>
      <c r="U20" s="24" t="inlineStr">
        <is>
          <t>settled</t>
        </is>
      </c>
      <c r="V20" s="24" t="inlineStr">
        <is>
          <t>win</t>
        </is>
      </c>
      <c r="W20" s="26" t="n">
        <v>6</v>
      </c>
      <c r="X20" s="26" t="n">
        <v>51</v>
      </c>
      <c r="Y20" s="25" t="n"/>
      <c r="Z20" s="26" t="n"/>
      <c r="AA20" s="28" t="n"/>
      <c r="AB20" s="28" t="n"/>
      <c r="AC20" s="30" t="n">
        <v>11.5132</v>
      </c>
      <c r="AD20" s="24" t="inlineStr">
        <is>
          <t>2026-09-05T07:14:20.609253+00:00</t>
        </is>
      </c>
      <c r="AE20" s="31" t="inlineStr">
        <is>
          <t>auto-synced from Polymarket account (position updated 2026-09-04T18:31:32.327978769Z); event_start_utc is a placeholder (noon UTC on the market's slug date, not the real kickoff) -- correct if needed</t>
        </is>
      </c>
      <c r="AF20" s="31" t="n"/>
      <c r="AG20" s="24" t="n"/>
      <c r="AH20" s="24" t="n"/>
      <c r="AI20" s="31" t="n"/>
      <c r="AJ20" s="31" t="n"/>
      <c r="AK20" s="24" t="n"/>
      <c r="AL20" s="26" t="n">
        <v>4</v>
      </c>
      <c r="AM20" s="24" t="inlineStr">
        <is>
          <t>manual_bet</t>
        </is>
      </c>
      <c r="AN20" s="24" t="inlineStr">
        <is>
          <t>take</t>
        </is>
      </c>
      <c r="AO20" s="24" t="inlineStr">
        <is>
          <t>MANUAL_ENTRY</t>
        </is>
      </c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5" t="n"/>
      <c r="BK20" s="26" t="n"/>
      <c r="BL20" s="27" t="n"/>
      <c r="BM20" s="28" t="n"/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</row>
    <row r="21" ht="36" customHeight="1">
      <c r="A21" s="24" t="inlineStr">
        <is>
          <t>d986b6e7adcf7d75</t>
        </is>
      </c>
      <c r="B21" s="24" t="inlineStr">
        <is>
          <t>2026-09-05T02:44:08.670497+00:00</t>
        </is>
      </c>
      <c r="C21" s="24" t="inlineStr">
        <is>
          <t>2026-09-04T12:00:00Z</t>
        </is>
      </c>
      <c r="D21" s="24" t="inlineStr">
        <is>
          <t>asc-cfb-utep-okl-2026-09-04-pos-40pt5</t>
        </is>
      </c>
      <c r="E21" s="24" t="inlineStr">
        <is>
          <t>NCAAF</t>
        </is>
      </c>
      <c r="F21" s="24" t="inlineStr">
        <is>
          <t>UTEP</t>
        </is>
      </c>
      <c r="G21" s="24" t="inlineStr">
        <is>
          <t>Oklahoma</t>
        </is>
      </c>
      <c r="H21" s="24" t="inlineStr">
        <is>
          <t>spread</t>
        </is>
      </c>
      <c r="I21" s="24" t="inlineStr">
        <is>
          <t>home</t>
        </is>
      </c>
      <c r="J21" s="25" t="n">
        <v>-40.5</v>
      </c>
      <c r="K21" s="24" t="inlineStr">
        <is>
          <t>polymarket</t>
        </is>
      </c>
      <c r="L21" s="26" t="n">
        <v>-113</v>
      </c>
      <c r="M21" s="27" t="n">
        <v>1.885</v>
      </c>
      <c r="N21" s="28" t="n">
        <v>0.53</v>
      </c>
      <c r="O21" s="28" t="n"/>
      <c r="P21" s="28" t="n"/>
      <c r="Q21" s="28" t="n"/>
      <c r="R21" s="26" t="n"/>
      <c r="S21" s="29" t="n">
        <v>17.49</v>
      </c>
      <c r="T21" s="24" t="inlineStr">
        <is>
          <t>manual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51</v>
      </c>
      <c r="Y21" s="25" t="n"/>
      <c r="Z21" s="26" t="n"/>
      <c r="AA21" s="28" t="n"/>
      <c r="AB21" s="28" t="n"/>
      <c r="AC21" s="30" t="n">
        <v>15.4786</v>
      </c>
      <c r="AD21" s="24" t="inlineStr">
        <is>
          <t>2026-09-05T07:14:20.609253+00:00</t>
        </is>
      </c>
      <c r="AE21" s="31" t="inlineStr">
        <is>
          <t>auto-synced from Polymarket account (position updated 2026-09-04T21:18:33.482791350Z); event_start_utc is a placeholder (noon UTC on the market's slug date, not the real kickoff) -- correct if needed</t>
        </is>
      </c>
      <c r="AF21" s="31" t="n"/>
      <c r="AG21" s="24" t="n"/>
      <c r="AH21" s="24" t="n"/>
      <c r="AI21" s="31" t="n"/>
      <c r="AJ21" s="31" t="n"/>
      <c r="AK21" s="24" t="n"/>
      <c r="AL21" s="26" t="n">
        <v>4</v>
      </c>
      <c r="AM21" s="24" t="inlineStr">
        <is>
          <t>manual_bet</t>
        </is>
      </c>
      <c r="AN21" s="24" t="inlineStr">
        <is>
          <t>take</t>
        </is>
      </c>
      <c r="AO21" s="24" t="inlineStr">
        <is>
          <t>MANUAL_ENTRY</t>
        </is>
      </c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5" t="n"/>
      <c r="BK21" s="26" t="n"/>
      <c r="BL21" s="27" t="n"/>
      <c r="BM21" s="28" t="n"/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</row>
    <row r="22" ht="36" customHeight="1">
      <c r="A22" s="24" t="inlineStr">
        <is>
          <t>40b179d0cf88f29f</t>
        </is>
      </c>
      <c r="B22" s="24" t="inlineStr">
        <is>
          <t>2026-09-05T02:44:08.745533+00:00</t>
        </is>
      </c>
      <c r="C22" s="24" t="inlineStr">
        <is>
          <t>2026-09-04T12:00:00Z</t>
        </is>
      </c>
      <c r="D22" s="24" t="inlineStr">
        <is>
          <t>tsc-cfb-mia-stan-2026-09-04-tt-mia-36pt5</t>
        </is>
      </c>
      <c r="E22" s="24" t="inlineStr">
        <is>
          <t>NCAAF</t>
        </is>
      </c>
      <c r="F22" s="24" t="inlineStr">
        <is>
          <t>Miami</t>
        </is>
      </c>
      <c r="G22" s="24" t="inlineStr">
        <is>
          <t>Stanford</t>
        </is>
      </c>
      <c r="H22" s="24" t="inlineStr">
        <is>
          <t>total</t>
        </is>
      </c>
      <c r="I22" s="24" t="inlineStr">
        <is>
          <t>under</t>
        </is>
      </c>
      <c r="J22" s="25" t="n">
        <v>36.5</v>
      </c>
      <c r="K22" s="24" t="inlineStr">
        <is>
          <t>polymarket</t>
        </is>
      </c>
      <c r="L22" s="26" t="n">
        <v>-115</v>
      </c>
      <c r="M22" s="27" t="n">
        <v>1.8696</v>
      </c>
      <c r="N22" s="28" t="n">
        <v>0.5353</v>
      </c>
      <c r="O22" s="28" t="n"/>
      <c r="P22" s="28" t="n"/>
      <c r="Q22" s="28" t="n"/>
      <c r="R22" s="26" t="n"/>
      <c r="S22" s="29" t="n">
        <v>14.99</v>
      </c>
      <c r="T22" s="24" t="inlineStr">
        <is>
          <t>manual</t>
        </is>
      </c>
      <c r="U22" s="24" t="inlineStr">
        <is>
          <t>settled</t>
        </is>
      </c>
      <c r="V22" s="24" t="inlineStr">
        <is>
          <t>loss</t>
        </is>
      </c>
      <c r="W22" s="26" t="n">
        <v>45</v>
      </c>
      <c r="X22" s="26" t="n">
        <v>6</v>
      </c>
      <c r="Y22" s="25" t="n"/>
      <c r="Z22" s="26" t="n"/>
      <c r="AA22" s="28" t="n"/>
      <c r="AB22" s="28" t="n"/>
      <c r="AC22" s="30" t="n">
        <v>-14.99</v>
      </c>
      <c r="AD22" s="24" t="inlineStr">
        <is>
          <t>2026-09-05T07:15:34.212503+00:00</t>
        </is>
      </c>
      <c r="AE22" s="31" t="inlineStr">
        <is>
          <t>auto-synced from Polymarket account (position updated 2026-09-04T22:33:36.053052651Z); event_start_utc is a placeholder (noon UTC on the market's slug date, not the real kickoff) -- correct if needed; TEAM TOTAL graded via game-total math -- verified correct by hand (Miami 45 vs Stanford 6, both exceed 36.5 either way) but the automated grading path is not team-total-aware</t>
        </is>
      </c>
      <c r="AF22" s="31" t="n"/>
      <c r="AG22" s="24" t="n"/>
      <c r="AH22" s="24" t="n"/>
      <c r="AI22" s="31" t="n"/>
      <c r="AJ22" s="31" t="n"/>
      <c r="AK22" s="24" t="n"/>
      <c r="AL22" s="26" t="n">
        <v>4</v>
      </c>
      <c r="AM22" s="24" t="inlineStr">
        <is>
          <t>manual_bet</t>
        </is>
      </c>
      <c r="AN22" s="24" t="inlineStr">
        <is>
          <t>take</t>
        </is>
      </c>
      <c r="AO22" s="24" t="inlineStr">
        <is>
          <t>MANUAL_ENTRY</t>
        </is>
      </c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5" t="n"/>
      <c r="BK22" s="26" t="n"/>
      <c r="BL22" s="27" t="n"/>
      <c r="BM22" s="28" t="n"/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</row>
    <row r="23" ht="36" customHeight="1">
      <c r="A23" s="24" t="inlineStr">
        <is>
          <t>2045c6f18a074ba6</t>
        </is>
      </c>
      <c r="B23" s="24" t="inlineStr">
        <is>
          <t>2026-09-05T02:44:08.788315+00:00</t>
        </is>
      </c>
      <c r="C23" s="24" t="inlineStr">
        <is>
          <t>2026-09-04T12:00:00Z</t>
        </is>
      </c>
      <c r="D23" s="24" t="inlineStr">
        <is>
          <t>tsc-cfb-utep-okl-2026-09-04-total-50pt5</t>
        </is>
      </c>
      <c r="E23" s="24" t="inlineStr">
        <is>
          <t>NCAAF</t>
        </is>
      </c>
      <c r="F23" s="24" t="inlineStr">
        <is>
          <t>UTEP</t>
        </is>
      </c>
      <c r="G23" s="24" t="inlineStr">
        <is>
          <t>Oklahoma</t>
        </is>
      </c>
      <c r="H23" s="24" t="inlineStr">
        <is>
          <t>total</t>
        </is>
      </c>
      <c r="I23" s="24" t="inlineStr">
        <is>
          <t>over</t>
        </is>
      </c>
      <c r="J23" s="25" t="n">
        <v>50.5</v>
      </c>
      <c r="K23" s="24" t="inlineStr">
        <is>
          <t>polymarket</t>
        </is>
      </c>
      <c r="L23" s="26" t="n">
        <v>-130</v>
      </c>
      <c r="M23" s="27" t="n">
        <v>1.7692</v>
      </c>
      <c r="N23" s="28" t="n">
        <v>0.5645</v>
      </c>
      <c r="O23" s="28" t="n"/>
      <c r="P23" s="28" t="n"/>
      <c r="Q23" s="28" t="n"/>
      <c r="R23" s="26" t="n"/>
      <c r="S23" s="29" t="n">
        <v>17.5</v>
      </c>
      <c r="T23" s="24" t="inlineStr">
        <is>
          <t>manual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51</v>
      </c>
      <c r="Y23" s="25" t="n"/>
      <c r="Z23" s="26" t="n"/>
      <c r="AA23" s="28" t="n"/>
      <c r="AB23" s="28" t="n"/>
      <c r="AC23" s="30" t="n">
        <v>13.461</v>
      </c>
      <c r="AD23" s="24" t="inlineStr">
        <is>
          <t>2026-09-05T07:14:20.609253+00:00</t>
        </is>
      </c>
      <c r="AE23" s="31" t="inlineStr">
        <is>
          <t>auto-synced from Polymarket account (position updated 2026-09-04T18:31:48.413747790Z); event_start_utc is a placeholder (noon UTC on the market's slug date, not the real kickoff) -- correct if needed</t>
        </is>
      </c>
      <c r="AF23" s="31" t="n"/>
      <c r="AG23" s="24" t="n"/>
      <c r="AH23" s="24" t="n"/>
      <c r="AI23" s="31" t="n"/>
      <c r="AJ23" s="31" t="n"/>
      <c r="AK23" s="24" t="n"/>
      <c r="AL23" s="26" t="n">
        <v>4</v>
      </c>
      <c r="AM23" s="24" t="inlineStr">
        <is>
          <t>manual_bet</t>
        </is>
      </c>
      <c r="AN23" s="24" t="inlineStr">
        <is>
          <t>take</t>
        </is>
      </c>
      <c r="AO23" s="24" t="inlineStr">
        <is>
          <t>MANUAL_ENTRY</t>
        </is>
      </c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5" t="n"/>
      <c r="BK23" s="26" t="n"/>
      <c r="BL23" s="27" t="n"/>
      <c r="BM23" s="28" t="n"/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2026-09-08T16:17:55Z</dcterms:created>
  <dcterms:modified xmlns:dcterms="http://purl.org/dc/terms/" xmlns:xsi="http://www.w3.org/2001/XMLSchema-instance" xsi:type="dcterms:W3CDTF">2026-09-08T16:17:55Z</dcterms:modified>
</cp:coreProperties>
</file>